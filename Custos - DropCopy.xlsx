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Drop Copy\"/>
    </mc:Choice>
  </mc:AlternateContent>
  <xr:revisionPtr revIDLastSave="0" documentId="13_ncr:1_{77391A38-AF4B-4FDD-9716-343E73CA190D}" xr6:coauthVersionLast="47" xr6:coauthVersionMax="47" xr10:uidLastSave="{00000000-0000-0000-0000-000000000000}"/>
  <bookViews>
    <workbookView xWindow="28740" yWindow="15" windowWidth="29040" windowHeight="16440" activeTab="5" xr2:uid="{4563AC1B-16C3-47EB-A2EB-1EDF6CD05A8B}"/>
  </bookViews>
  <sheets>
    <sheet name="JAN" sheetId="43" r:id="rId1"/>
    <sheet name="FEV" sheetId="45" r:id="rId2"/>
    <sheet name="MAR" sheetId="48" r:id="rId3"/>
    <sheet name="ABR" sheetId="49" r:id="rId4"/>
    <sheet name="MAIO" sheetId="50" r:id="rId5"/>
    <sheet name="JUN" sheetId="51" r:id="rId6"/>
    <sheet name="Sheet2" sheetId="44" state="hidden" r:id="rId7"/>
    <sheet name="Sheet1" sheetId="19" state="hidden" r:id="rId8"/>
  </sheets>
  <definedNames>
    <definedName name="_xlnm._FilterDatabase" localSheetId="3" hidden="1">ABR!$A$1:$P$134</definedName>
    <definedName name="_xlnm._FilterDatabase" localSheetId="1" hidden="1">FEV!$A$1:$P$122</definedName>
    <definedName name="_xlnm._FilterDatabase" localSheetId="0" hidden="1">JAN!$A$1:$P$121</definedName>
    <definedName name="_xlnm._FilterDatabase" localSheetId="5" hidden="1">JUN!$A$1:$P$129</definedName>
    <definedName name="_xlnm._FilterDatabase" localSheetId="4" hidden="1">MAIO!$A$1:$P$127</definedName>
    <definedName name="_xlnm._FilterDatabase" localSheetId="2" hidden="1">MAR!$A$1:$P$121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2" i="51" l="1"/>
  <c r="A112" i="51"/>
  <c r="E118" i="51" l="1"/>
  <c r="A118" i="51"/>
  <c r="E15" i="51"/>
  <c r="A15" i="51"/>
  <c r="E8" i="51"/>
  <c r="A8" i="51"/>
  <c r="E89" i="50" l="1"/>
  <c r="A89" i="50"/>
  <c r="E88" i="50"/>
  <c r="A88" i="50"/>
  <c r="E87" i="50"/>
  <c r="A87" i="50"/>
  <c r="E126" i="50"/>
  <c r="A126" i="50"/>
  <c r="E115" i="50"/>
  <c r="A115" i="50"/>
  <c r="E7" i="51"/>
  <c r="A7" i="51"/>
  <c r="E129" i="51"/>
  <c r="A129" i="51"/>
  <c r="E128" i="51"/>
  <c r="A128" i="51"/>
  <c r="E127" i="51"/>
  <c r="A127" i="51"/>
  <c r="E126" i="51"/>
  <c r="A126" i="51"/>
  <c r="E125" i="51"/>
  <c r="A125" i="51"/>
  <c r="E124" i="51"/>
  <c r="A124" i="51"/>
  <c r="E123" i="51"/>
  <c r="A123" i="51"/>
  <c r="E122" i="51"/>
  <c r="A122" i="51"/>
  <c r="E121" i="51"/>
  <c r="A121" i="51"/>
  <c r="E120" i="51"/>
  <c r="A120" i="51"/>
  <c r="E119" i="51"/>
  <c r="A119" i="51"/>
  <c r="E117" i="51"/>
  <c r="A117" i="51"/>
  <c r="E116" i="51"/>
  <c r="A116" i="51"/>
  <c r="E115" i="51"/>
  <c r="A115" i="51"/>
  <c r="E114" i="51"/>
  <c r="A114" i="51"/>
  <c r="E113" i="51"/>
  <c r="A113" i="51"/>
  <c r="E111" i="51"/>
  <c r="A111" i="51"/>
  <c r="E110" i="51"/>
  <c r="A110" i="51"/>
  <c r="E109" i="51"/>
  <c r="A109" i="51"/>
  <c r="E108" i="51"/>
  <c r="A108" i="51"/>
  <c r="E107" i="51"/>
  <c r="A107" i="51"/>
  <c r="E106" i="51"/>
  <c r="A106" i="51"/>
  <c r="E105" i="51"/>
  <c r="A105" i="51"/>
  <c r="E104" i="51"/>
  <c r="A104" i="51"/>
  <c r="E103" i="51"/>
  <c r="A103" i="51"/>
  <c r="E102" i="51"/>
  <c r="A102" i="51"/>
  <c r="E101" i="51"/>
  <c r="A101" i="51"/>
  <c r="E100" i="51"/>
  <c r="A100" i="51"/>
  <c r="E99" i="51"/>
  <c r="A99" i="51"/>
  <c r="E98" i="51"/>
  <c r="A98" i="51"/>
  <c r="E97" i="51"/>
  <c r="A97" i="51"/>
  <c r="E96" i="51"/>
  <c r="A96" i="51"/>
  <c r="E95" i="51"/>
  <c r="A95" i="51"/>
  <c r="E94" i="51"/>
  <c r="A94" i="51"/>
  <c r="E93" i="51"/>
  <c r="A93" i="51"/>
  <c r="E92" i="51"/>
  <c r="A92" i="51"/>
  <c r="E91" i="51"/>
  <c r="A91" i="51"/>
  <c r="E90" i="51"/>
  <c r="A90" i="51"/>
  <c r="E89" i="51"/>
  <c r="A89" i="51"/>
  <c r="E88" i="51"/>
  <c r="A88" i="51"/>
  <c r="E87" i="51"/>
  <c r="A87" i="51"/>
  <c r="E86" i="51"/>
  <c r="A86" i="51"/>
  <c r="E85" i="51"/>
  <c r="A85" i="51"/>
  <c r="E84" i="51"/>
  <c r="A84" i="51"/>
  <c r="E83" i="51"/>
  <c r="A83" i="51"/>
  <c r="E82" i="51"/>
  <c r="A82" i="51"/>
  <c r="E81" i="51"/>
  <c r="A81" i="51"/>
  <c r="E80" i="51"/>
  <c r="A80" i="51"/>
  <c r="E79" i="51"/>
  <c r="A79" i="51"/>
  <c r="E78" i="51"/>
  <c r="A78" i="51"/>
  <c r="E77" i="51"/>
  <c r="A77" i="51"/>
  <c r="E76" i="51"/>
  <c r="A76" i="51"/>
  <c r="E75" i="51"/>
  <c r="A75" i="51"/>
  <c r="E74" i="51"/>
  <c r="A74" i="51"/>
  <c r="E73" i="51"/>
  <c r="A73" i="51"/>
  <c r="E72" i="51"/>
  <c r="A72" i="51"/>
  <c r="E71" i="51"/>
  <c r="A71" i="51"/>
  <c r="E70" i="51"/>
  <c r="A70" i="51"/>
  <c r="E69" i="51"/>
  <c r="A69" i="51"/>
  <c r="E68" i="51"/>
  <c r="A68" i="51"/>
  <c r="E67" i="51"/>
  <c r="A67" i="51"/>
  <c r="E66" i="51"/>
  <c r="A66" i="51"/>
  <c r="E65" i="51"/>
  <c r="A65" i="51"/>
  <c r="E64" i="51"/>
  <c r="A64" i="51"/>
  <c r="E63" i="51"/>
  <c r="A63" i="51"/>
  <c r="E62" i="51"/>
  <c r="A62" i="51"/>
  <c r="E61" i="51"/>
  <c r="A61" i="51"/>
  <c r="E60" i="51"/>
  <c r="A60" i="51"/>
  <c r="E59" i="51"/>
  <c r="A59" i="51"/>
  <c r="E58" i="51"/>
  <c r="A58" i="51"/>
  <c r="E57" i="51"/>
  <c r="A57" i="51"/>
  <c r="E56" i="51"/>
  <c r="A56" i="51"/>
  <c r="E55" i="51"/>
  <c r="A55" i="51"/>
  <c r="E54" i="51"/>
  <c r="A54" i="51"/>
  <c r="E53" i="51"/>
  <c r="A53" i="51"/>
  <c r="E52" i="51"/>
  <c r="A52" i="51"/>
  <c r="E51" i="51"/>
  <c r="A51" i="51"/>
  <c r="E50" i="51"/>
  <c r="A50" i="51"/>
  <c r="E49" i="51"/>
  <c r="A49" i="51"/>
  <c r="E48" i="51"/>
  <c r="A48" i="51"/>
  <c r="E47" i="51"/>
  <c r="A47" i="51"/>
  <c r="E46" i="51"/>
  <c r="A46" i="51"/>
  <c r="E45" i="51"/>
  <c r="A45" i="51"/>
  <c r="E44" i="51"/>
  <c r="A44" i="51"/>
  <c r="E43" i="51"/>
  <c r="A43" i="51"/>
  <c r="E42" i="51"/>
  <c r="A42" i="51"/>
  <c r="E41" i="51"/>
  <c r="A41" i="51"/>
  <c r="E40" i="51"/>
  <c r="A40" i="51"/>
  <c r="E39" i="51"/>
  <c r="A39" i="51"/>
  <c r="E38" i="51"/>
  <c r="A38" i="51"/>
  <c r="E37" i="51"/>
  <c r="A37" i="51"/>
  <c r="E36" i="51"/>
  <c r="A36" i="51"/>
  <c r="E35" i="51"/>
  <c r="A35" i="51"/>
  <c r="E34" i="51"/>
  <c r="A34" i="51"/>
  <c r="E33" i="51"/>
  <c r="A33" i="51"/>
  <c r="E32" i="51"/>
  <c r="A32" i="51"/>
  <c r="E31" i="51"/>
  <c r="A31" i="51"/>
  <c r="E30" i="51"/>
  <c r="A30" i="51"/>
  <c r="E29" i="51"/>
  <c r="A29" i="51"/>
  <c r="E28" i="51"/>
  <c r="A28" i="51"/>
  <c r="E27" i="51"/>
  <c r="A27" i="51"/>
  <c r="E26" i="51"/>
  <c r="A26" i="51"/>
  <c r="E25" i="51"/>
  <c r="A25" i="51"/>
  <c r="E24" i="51"/>
  <c r="A24" i="51"/>
  <c r="E23" i="51"/>
  <c r="A23" i="51"/>
  <c r="E22" i="51"/>
  <c r="A22" i="51"/>
  <c r="E21" i="51"/>
  <c r="A21" i="51"/>
  <c r="E20" i="51"/>
  <c r="A20" i="51"/>
  <c r="E19" i="51"/>
  <c r="A19" i="51"/>
  <c r="E18" i="51"/>
  <c r="A18" i="51"/>
  <c r="E17" i="51"/>
  <c r="A17" i="51"/>
  <c r="E16" i="51"/>
  <c r="A16" i="51"/>
  <c r="E14" i="51"/>
  <c r="A14" i="51"/>
  <c r="E13" i="51"/>
  <c r="A13" i="51"/>
  <c r="E12" i="51"/>
  <c r="A12" i="51"/>
  <c r="E11" i="51"/>
  <c r="A11" i="51"/>
  <c r="E10" i="51"/>
  <c r="A10" i="51"/>
  <c r="E9" i="51"/>
  <c r="A9" i="51"/>
  <c r="E6" i="51"/>
  <c r="A6" i="51"/>
  <c r="E5" i="51"/>
  <c r="A5" i="51"/>
  <c r="E4" i="51"/>
  <c r="A4" i="51"/>
  <c r="E3" i="51"/>
  <c r="A3" i="51"/>
  <c r="E2" i="51"/>
  <c r="A2" i="51"/>
  <c r="E127" i="50"/>
  <c r="A127" i="50"/>
  <c r="E125" i="50"/>
  <c r="A125" i="50"/>
  <c r="E124" i="50"/>
  <c r="A124" i="50"/>
  <c r="E123" i="50"/>
  <c r="A123" i="50"/>
  <c r="E122" i="50"/>
  <c r="A122" i="50"/>
  <c r="E121" i="50"/>
  <c r="A121" i="50"/>
  <c r="E120" i="50"/>
  <c r="A120" i="50"/>
  <c r="E119" i="50"/>
  <c r="A119" i="50"/>
  <c r="E118" i="50"/>
  <c r="A118" i="50"/>
  <c r="E117" i="50"/>
  <c r="A117" i="50"/>
  <c r="E116" i="50"/>
  <c r="A116" i="50"/>
  <c r="E114" i="50"/>
  <c r="A114" i="50"/>
  <c r="E113" i="50"/>
  <c r="A113" i="50"/>
  <c r="E112" i="50"/>
  <c r="A112" i="50"/>
  <c r="E111" i="50"/>
  <c r="A111" i="50"/>
  <c r="E110" i="50"/>
  <c r="A110" i="50"/>
  <c r="E109" i="50"/>
  <c r="A109" i="50"/>
  <c r="E108" i="50"/>
  <c r="A108" i="50"/>
  <c r="E107" i="50"/>
  <c r="A107" i="50"/>
  <c r="E106" i="50"/>
  <c r="A106" i="50"/>
  <c r="E105" i="50"/>
  <c r="A105" i="50"/>
  <c r="E104" i="50"/>
  <c r="A104" i="50"/>
  <c r="E103" i="50"/>
  <c r="A103" i="50"/>
  <c r="E102" i="50"/>
  <c r="A102" i="50"/>
  <c r="E101" i="50"/>
  <c r="A101" i="50"/>
  <c r="E100" i="50"/>
  <c r="A100" i="50"/>
  <c r="E99" i="50"/>
  <c r="A99" i="50"/>
  <c r="E98" i="50"/>
  <c r="A98" i="50"/>
  <c r="E97" i="50"/>
  <c r="A97" i="50"/>
  <c r="E96" i="50"/>
  <c r="A96" i="50"/>
  <c r="E95" i="50"/>
  <c r="A95" i="50"/>
  <c r="E94" i="50"/>
  <c r="A94" i="50"/>
  <c r="E93" i="50"/>
  <c r="A93" i="50"/>
  <c r="E92" i="50"/>
  <c r="A92" i="50"/>
  <c r="E91" i="50"/>
  <c r="A91" i="50"/>
  <c r="E90" i="50"/>
  <c r="A90" i="50"/>
  <c r="E86" i="50"/>
  <c r="A86" i="50"/>
  <c r="E85" i="50"/>
  <c r="A85" i="50"/>
  <c r="E84" i="50"/>
  <c r="A84" i="50"/>
  <c r="E83" i="50"/>
  <c r="A83" i="50"/>
  <c r="E82" i="50"/>
  <c r="A82" i="50"/>
  <c r="E81" i="50"/>
  <c r="A81" i="50"/>
  <c r="E80" i="50"/>
  <c r="A80" i="50"/>
  <c r="E79" i="50"/>
  <c r="A79" i="50"/>
  <c r="E78" i="50"/>
  <c r="A78" i="50"/>
  <c r="E77" i="50"/>
  <c r="A77" i="50"/>
  <c r="E76" i="50"/>
  <c r="A76" i="50"/>
  <c r="E75" i="50"/>
  <c r="A75" i="50"/>
  <c r="E74" i="50"/>
  <c r="A74" i="50"/>
  <c r="E73" i="50"/>
  <c r="A73" i="50"/>
  <c r="E72" i="50"/>
  <c r="A72" i="50"/>
  <c r="E71" i="50"/>
  <c r="A71" i="50"/>
  <c r="E70" i="50"/>
  <c r="A70" i="50"/>
  <c r="E69" i="50"/>
  <c r="A69" i="50"/>
  <c r="E68" i="50"/>
  <c r="A68" i="50"/>
  <c r="E67" i="50"/>
  <c r="A67" i="50"/>
  <c r="E66" i="50"/>
  <c r="A66" i="50"/>
  <c r="E65" i="50"/>
  <c r="A65" i="50"/>
  <c r="E64" i="50"/>
  <c r="A64" i="50"/>
  <c r="E63" i="50"/>
  <c r="A63" i="50"/>
  <c r="E62" i="50"/>
  <c r="A62" i="50"/>
  <c r="E61" i="50"/>
  <c r="A61" i="50"/>
  <c r="E60" i="50"/>
  <c r="A60" i="50"/>
  <c r="E59" i="50"/>
  <c r="A59" i="50"/>
  <c r="E58" i="50"/>
  <c r="A58" i="50"/>
  <c r="E57" i="50"/>
  <c r="A57" i="50"/>
  <c r="E56" i="50"/>
  <c r="A56" i="50"/>
  <c r="E55" i="50"/>
  <c r="A55" i="50"/>
  <c r="E54" i="50"/>
  <c r="A54" i="50"/>
  <c r="E53" i="50"/>
  <c r="A53" i="50"/>
  <c r="E52" i="50"/>
  <c r="A52" i="50"/>
  <c r="E51" i="50"/>
  <c r="A51" i="50"/>
  <c r="E50" i="50"/>
  <c r="A50" i="50"/>
  <c r="E49" i="50"/>
  <c r="A49" i="50"/>
  <c r="E48" i="50"/>
  <c r="A48" i="50"/>
  <c r="E47" i="50"/>
  <c r="A47" i="50"/>
  <c r="E46" i="50"/>
  <c r="A46" i="50"/>
  <c r="E45" i="50"/>
  <c r="A45" i="50"/>
  <c r="E44" i="50"/>
  <c r="A44" i="50"/>
  <c r="E43" i="50"/>
  <c r="A43" i="50"/>
  <c r="E42" i="50"/>
  <c r="A42" i="50"/>
  <c r="E41" i="50"/>
  <c r="A41" i="50"/>
  <c r="E40" i="50"/>
  <c r="A40" i="50"/>
  <c r="E39" i="50"/>
  <c r="A39" i="50"/>
  <c r="E38" i="50"/>
  <c r="A38" i="50"/>
  <c r="E37" i="50"/>
  <c r="A37" i="50"/>
  <c r="E36" i="50"/>
  <c r="A36" i="50"/>
  <c r="E35" i="50"/>
  <c r="A35" i="50"/>
  <c r="E34" i="50"/>
  <c r="A34" i="50"/>
  <c r="E33" i="50"/>
  <c r="A33" i="50"/>
  <c r="E32" i="50"/>
  <c r="A32" i="50"/>
  <c r="E31" i="50"/>
  <c r="A31" i="50"/>
  <c r="E30" i="50"/>
  <c r="A30" i="50"/>
  <c r="E29" i="50"/>
  <c r="A29" i="50"/>
  <c r="E28" i="50"/>
  <c r="A28" i="50"/>
  <c r="E27" i="50"/>
  <c r="A27" i="50"/>
  <c r="E26" i="50"/>
  <c r="A26" i="50"/>
  <c r="E25" i="50"/>
  <c r="A25" i="50"/>
  <c r="E24" i="50"/>
  <c r="A24" i="50"/>
  <c r="E23" i="50"/>
  <c r="A23" i="50"/>
  <c r="E22" i="50"/>
  <c r="A22" i="50"/>
  <c r="E21" i="50"/>
  <c r="A21" i="50"/>
  <c r="E20" i="50"/>
  <c r="A20" i="50"/>
  <c r="E19" i="50"/>
  <c r="A19" i="50"/>
  <c r="E18" i="50"/>
  <c r="A18" i="50"/>
  <c r="E17" i="50"/>
  <c r="A17" i="50"/>
  <c r="E16" i="50"/>
  <c r="A16" i="50"/>
  <c r="E15" i="50"/>
  <c r="A15" i="50"/>
  <c r="E14" i="50"/>
  <c r="A14" i="50"/>
  <c r="E13" i="50"/>
  <c r="A13" i="50"/>
  <c r="E12" i="50"/>
  <c r="A12" i="50"/>
  <c r="E11" i="50"/>
  <c r="A11" i="50"/>
  <c r="E10" i="50"/>
  <c r="A10" i="50"/>
  <c r="E9" i="50"/>
  <c r="A9" i="50"/>
  <c r="E8" i="50"/>
  <c r="A8" i="50"/>
  <c r="E7" i="50"/>
  <c r="A7" i="50"/>
  <c r="E6" i="50"/>
  <c r="A6" i="50"/>
  <c r="E5" i="50"/>
  <c r="A5" i="50"/>
  <c r="E4" i="50"/>
  <c r="A4" i="50"/>
  <c r="E3" i="50"/>
  <c r="A3" i="50"/>
  <c r="E2" i="50"/>
  <c r="A2" i="50"/>
  <c r="E80" i="45"/>
  <c r="A80" i="45"/>
  <c r="E79" i="45"/>
  <c r="A79" i="45"/>
  <c r="E90" i="43"/>
  <c r="A90" i="43"/>
  <c r="E102" i="43"/>
  <c r="A102" i="43"/>
  <c r="E51" i="49" l="1"/>
  <c r="A51" i="49"/>
  <c r="E50" i="49"/>
  <c r="A50" i="49"/>
  <c r="E49" i="49"/>
  <c r="A49" i="49"/>
  <c r="E48" i="49"/>
  <c r="A48" i="49"/>
  <c r="A47" i="49"/>
  <c r="A46" i="49"/>
  <c r="A45" i="49"/>
  <c r="A44" i="49"/>
  <c r="A43" i="49"/>
  <c r="A42" i="49"/>
  <c r="A41" i="49"/>
  <c r="A40" i="49"/>
  <c r="A39" i="49"/>
  <c r="A38" i="49"/>
  <c r="E47" i="49"/>
  <c r="E46" i="49"/>
  <c r="E45" i="49"/>
  <c r="E44" i="49"/>
  <c r="E43" i="49"/>
  <c r="E42" i="49"/>
  <c r="E41" i="49"/>
  <c r="E40" i="49"/>
  <c r="E39" i="49"/>
  <c r="E38" i="49"/>
  <c r="E37" i="49"/>
  <c r="A37" i="49"/>
  <c r="E36" i="49"/>
  <c r="A36" i="49"/>
  <c r="E134" i="49"/>
  <c r="A134" i="49"/>
  <c r="E133" i="49"/>
  <c r="A133" i="49"/>
  <c r="E132" i="49"/>
  <c r="A132" i="49"/>
  <c r="E131" i="49"/>
  <c r="A131" i="49"/>
  <c r="E130" i="49"/>
  <c r="A130" i="49"/>
  <c r="E129" i="49"/>
  <c r="A129" i="49"/>
  <c r="E128" i="49"/>
  <c r="A128" i="49"/>
  <c r="E127" i="49"/>
  <c r="A127" i="49"/>
  <c r="E126" i="49"/>
  <c r="A126" i="49"/>
  <c r="E125" i="49"/>
  <c r="A125" i="49"/>
  <c r="E124" i="49"/>
  <c r="A124" i="49"/>
  <c r="E123" i="49"/>
  <c r="A123" i="49"/>
  <c r="E122" i="49"/>
  <c r="A122" i="49"/>
  <c r="E121" i="49"/>
  <c r="A121" i="49"/>
  <c r="E120" i="49"/>
  <c r="A120" i="49"/>
  <c r="E119" i="49"/>
  <c r="A119" i="49"/>
  <c r="E118" i="49"/>
  <c r="A118" i="49"/>
  <c r="E117" i="49"/>
  <c r="A117" i="49"/>
  <c r="E116" i="49"/>
  <c r="A116" i="49"/>
  <c r="E115" i="49"/>
  <c r="A115" i="49"/>
  <c r="E114" i="49"/>
  <c r="A114" i="49"/>
  <c r="E113" i="49"/>
  <c r="A113" i="49"/>
  <c r="E112" i="49"/>
  <c r="A112" i="49"/>
  <c r="E111" i="49"/>
  <c r="A111" i="49"/>
  <c r="E110" i="49"/>
  <c r="A110" i="49"/>
  <c r="E109" i="49"/>
  <c r="A109" i="49"/>
  <c r="E108" i="49"/>
  <c r="A108" i="49"/>
  <c r="E107" i="49"/>
  <c r="A107" i="49"/>
  <c r="E106" i="49"/>
  <c r="A106" i="49"/>
  <c r="E105" i="49"/>
  <c r="A105" i="49"/>
  <c r="E104" i="49"/>
  <c r="A104" i="49"/>
  <c r="E103" i="49"/>
  <c r="A103" i="49"/>
  <c r="E102" i="49"/>
  <c r="A102" i="49"/>
  <c r="E101" i="49"/>
  <c r="A101" i="49"/>
  <c r="E100" i="49"/>
  <c r="A100" i="49"/>
  <c r="E99" i="49"/>
  <c r="A99" i="49"/>
  <c r="E98" i="49"/>
  <c r="A98" i="49"/>
  <c r="E97" i="49"/>
  <c r="A97" i="49"/>
  <c r="E96" i="49"/>
  <c r="A96" i="49"/>
  <c r="E95" i="49"/>
  <c r="A95" i="49"/>
  <c r="E94" i="49"/>
  <c r="A94" i="49"/>
  <c r="E93" i="49"/>
  <c r="A93" i="49"/>
  <c r="E92" i="49"/>
  <c r="A92" i="49"/>
  <c r="E91" i="49"/>
  <c r="A91" i="49"/>
  <c r="E90" i="49"/>
  <c r="A90" i="49"/>
  <c r="E89" i="49"/>
  <c r="A89" i="49"/>
  <c r="E88" i="49"/>
  <c r="A88" i="49"/>
  <c r="E87" i="49"/>
  <c r="A87" i="49"/>
  <c r="E86" i="49"/>
  <c r="A86" i="49"/>
  <c r="E85" i="49"/>
  <c r="A85" i="49"/>
  <c r="E84" i="49"/>
  <c r="A84" i="49"/>
  <c r="E83" i="49"/>
  <c r="A83" i="49"/>
  <c r="E82" i="49"/>
  <c r="A82" i="49"/>
  <c r="E81" i="49"/>
  <c r="A81" i="49"/>
  <c r="E80" i="49"/>
  <c r="A80" i="49"/>
  <c r="E79" i="49"/>
  <c r="A79" i="49"/>
  <c r="E78" i="49"/>
  <c r="A78" i="49"/>
  <c r="E77" i="49"/>
  <c r="A77" i="49"/>
  <c r="E76" i="49"/>
  <c r="A76" i="49"/>
  <c r="E75" i="49"/>
  <c r="A75" i="49"/>
  <c r="E74" i="49"/>
  <c r="A74" i="49"/>
  <c r="E73" i="49"/>
  <c r="A73" i="49"/>
  <c r="E72" i="49"/>
  <c r="A72" i="49"/>
  <c r="E71" i="49"/>
  <c r="A71" i="49"/>
  <c r="E70" i="49"/>
  <c r="A70" i="49"/>
  <c r="E69" i="49"/>
  <c r="A69" i="49"/>
  <c r="E68" i="49"/>
  <c r="A68" i="49"/>
  <c r="E67" i="49"/>
  <c r="A67" i="49"/>
  <c r="E66" i="49"/>
  <c r="A66" i="49"/>
  <c r="E65" i="49"/>
  <c r="A65" i="49"/>
  <c r="E64" i="49"/>
  <c r="A64" i="49"/>
  <c r="E63" i="49"/>
  <c r="A63" i="49"/>
  <c r="E62" i="49"/>
  <c r="A62" i="49"/>
  <c r="E61" i="49"/>
  <c r="A61" i="49"/>
  <c r="E60" i="49"/>
  <c r="A60" i="49"/>
  <c r="E59" i="49"/>
  <c r="A59" i="49"/>
  <c r="E58" i="49"/>
  <c r="A58" i="49"/>
  <c r="E57" i="49"/>
  <c r="A57" i="49"/>
  <c r="E56" i="49"/>
  <c r="A56" i="49"/>
  <c r="E55" i="49"/>
  <c r="A55" i="49"/>
  <c r="E54" i="49"/>
  <c r="A54" i="49"/>
  <c r="E53" i="49"/>
  <c r="A53" i="49"/>
  <c r="E52" i="49"/>
  <c r="A52" i="49"/>
  <c r="E35" i="49"/>
  <c r="A35" i="49"/>
  <c r="E34" i="49"/>
  <c r="A34" i="49"/>
  <c r="E33" i="49"/>
  <c r="A33" i="49"/>
  <c r="E32" i="49"/>
  <c r="A32" i="49"/>
  <c r="E31" i="49"/>
  <c r="A31" i="49"/>
  <c r="E30" i="49"/>
  <c r="A30" i="49"/>
  <c r="E29" i="49"/>
  <c r="A29" i="49"/>
  <c r="E28" i="49"/>
  <c r="A28" i="49"/>
  <c r="E27" i="49"/>
  <c r="A27" i="49"/>
  <c r="E26" i="49"/>
  <c r="A26" i="49"/>
  <c r="E25" i="49"/>
  <c r="A25" i="49"/>
  <c r="E24" i="49"/>
  <c r="A24" i="49"/>
  <c r="E23" i="49"/>
  <c r="A23" i="49"/>
  <c r="E22" i="49"/>
  <c r="A22" i="49"/>
  <c r="E21" i="49"/>
  <c r="A21" i="49"/>
  <c r="E20" i="49"/>
  <c r="A20" i="49"/>
  <c r="E19" i="49"/>
  <c r="A19" i="49"/>
  <c r="E18" i="49"/>
  <c r="A18" i="49"/>
  <c r="E17" i="49"/>
  <c r="A17" i="49"/>
  <c r="E16" i="49"/>
  <c r="A16" i="49"/>
  <c r="E15" i="49"/>
  <c r="A15" i="49"/>
  <c r="E14" i="49"/>
  <c r="A14" i="49"/>
  <c r="E13" i="49"/>
  <c r="A13" i="49"/>
  <c r="E12" i="49"/>
  <c r="A12" i="49"/>
  <c r="E11" i="49"/>
  <c r="A11" i="49"/>
  <c r="E10" i="49"/>
  <c r="A10" i="49"/>
  <c r="E9" i="49"/>
  <c r="A9" i="49"/>
  <c r="E8" i="49"/>
  <c r="A8" i="49"/>
  <c r="E7" i="49"/>
  <c r="A7" i="49"/>
  <c r="E6" i="49"/>
  <c r="A6" i="49"/>
  <c r="E5" i="49"/>
  <c r="A5" i="49"/>
  <c r="E4" i="49"/>
  <c r="A4" i="49"/>
  <c r="E3" i="49"/>
  <c r="A3" i="49"/>
  <c r="E2" i="49"/>
  <c r="A2" i="49"/>
  <c r="E121" i="48"/>
  <c r="A121" i="48"/>
  <c r="E120" i="48"/>
  <c r="A120" i="48"/>
  <c r="E119" i="48"/>
  <c r="A119" i="48"/>
  <c r="E118" i="48"/>
  <c r="A118" i="48"/>
  <c r="E117" i="48"/>
  <c r="A117" i="48"/>
  <c r="E116" i="48"/>
  <c r="A116" i="48"/>
  <c r="E115" i="48"/>
  <c r="A115" i="48"/>
  <c r="E114" i="48"/>
  <c r="A114" i="48"/>
  <c r="E113" i="48"/>
  <c r="A113" i="48"/>
  <c r="E112" i="48"/>
  <c r="A112" i="48"/>
  <c r="E111" i="48"/>
  <c r="A111" i="48"/>
  <c r="E110" i="48"/>
  <c r="A110" i="48"/>
  <c r="E109" i="48"/>
  <c r="A109" i="48"/>
  <c r="E108" i="48"/>
  <c r="A108" i="48"/>
  <c r="E107" i="48"/>
  <c r="A107" i="48"/>
  <c r="E106" i="48"/>
  <c r="A106" i="48"/>
  <c r="E105" i="48"/>
  <c r="A105" i="48"/>
  <c r="E104" i="48"/>
  <c r="A104" i="48"/>
  <c r="E103" i="48"/>
  <c r="A103" i="48"/>
  <c r="E102" i="48"/>
  <c r="A102" i="48"/>
  <c r="E101" i="48"/>
  <c r="A101" i="48"/>
  <c r="E100" i="48"/>
  <c r="A100" i="48"/>
  <c r="E99" i="48"/>
  <c r="A99" i="48"/>
  <c r="E98" i="48"/>
  <c r="A98" i="48"/>
  <c r="E97" i="48"/>
  <c r="A97" i="48"/>
  <c r="E96" i="48"/>
  <c r="A96" i="48"/>
  <c r="E95" i="48"/>
  <c r="A95" i="48"/>
  <c r="E94" i="48"/>
  <c r="A94" i="48"/>
  <c r="E93" i="48"/>
  <c r="A93" i="48"/>
  <c r="E92" i="48"/>
  <c r="A92" i="48"/>
  <c r="E91" i="48"/>
  <c r="A91" i="48"/>
  <c r="E90" i="48"/>
  <c r="A90" i="48"/>
  <c r="E89" i="48"/>
  <c r="A89" i="48"/>
  <c r="E88" i="48"/>
  <c r="A88" i="48"/>
  <c r="E87" i="48"/>
  <c r="A87" i="48"/>
  <c r="E86" i="48"/>
  <c r="A86" i="48"/>
  <c r="E85" i="48"/>
  <c r="A85" i="48"/>
  <c r="E84" i="48"/>
  <c r="A84" i="48"/>
  <c r="E83" i="48"/>
  <c r="A83" i="48"/>
  <c r="E82" i="48"/>
  <c r="A82" i="48"/>
  <c r="E81" i="48"/>
  <c r="A81" i="48"/>
  <c r="E80" i="48"/>
  <c r="A80" i="48"/>
  <c r="E79" i="48"/>
  <c r="A79" i="48"/>
  <c r="E78" i="48"/>
  <c r="A78" i="48"/>
  <c r="E77" i="48"/>
  <c r="A77" i="48"/>
  <c r="E76" i="48"/>
  <c r="A76" i="48"/>
  <c r="E75" i="48"/>
  <c r="A75" i="48"/>
  <c r="E74" i="48"/>
  <c r="A74" i="48"/>
  <c r="E73" i="48"/>
  <c r="A73" i="48"/>
  <c r="E72" i="48"/>
  <c r="A72" i="48"/>
  <c r="E71" i="48"/>
  <c r="A71" i="48"/>
  <c r="E70" i="48"/>
  <c r="A70" i="48"/>
  <c r="E69" i="48"/>
  <c r="A69" i="48"/>
  <c r="E68" i="48"/>
  <c r="A68" i="48"/>
  <c r="E67" i="48"/>
  <c r="A67" i="48"/>
  <c r="E66" i="48"/>
  <c r="A66" i="48"/>
  <c r="E65" i="48"/>
  <c r="A65" i="48"/>
  <c r="E64" i="48"/>
  <c r="A64" i="48"/>
  <c r="E63" i="48"/>
  <c r="A63" i="48"/>
  <c r="E62" i="48"/>
  <c r="A62" i="48"/>
  <c r="E61" i="48"/>
  <c r="A61" i="48"/>
  <c r="E60" i="48"/>
  <c r="A60" i="48"/>
  <c r="E59" i="48"/>
  <c r="A59" i="48"/>
  <c r="E58" i="48"/>
  <c r="A58" i="48"/>
  <c r="E57" i="48"/>
  <c r="A57" i="48"/>
  <c r="E56" i="48"/>
  <c r="A56" i="48"/>
  <c r="E55" i="48"/>
  <c r="A55" i="48"/>
  <c r="E54" i="48"/>
  <c r="A54" i="48"/>
  <c r="E53" i="48"/>
  <c r="A53" i="48"/>
  <c r="E52" i="48"/>
  <c r="A52" i="48"/>
  <c r="E51" i="48"/>
  <c r="A51" i="48"/>
  <c r="E50" i="48"/>
  <c r="A50" i="48"/>
  <c r="E49" i="48"/>
  <c r="A49" i="48"/>
  <c r="E48" i="48"/>
  <c r="A48" i="48"/>
  <c r="E47" i="48"/>
  <c r="A47" i="48"/>
  <c r="E46" i="48"/>
  <c r="A46" i="48"/>
  <c r="E45" i="48"/>
  <c r="A45" i="48"/>
  <c r="E44" i="48"/>
  <c r="A44" i="48"/>
  <c r="E43" i="48"/>
  <c r="A43" i="48"/>
  <c r="E42" i="48"/>
  <c r="A42" i="48"/>
  <c r="E41" i="48"/>
  <c r="A41" i="48"/>
  <c r="E40" i="48"/>
  <c r="A40" i="48"/>
  <c r="E39" i="48"/>
  <c r="A39" i="48"/>
  <c r="E38" i="48"/>
  <c r="A38" i="48"/>
  <c r="E37" i="48"/>
  <c r="A37" i="48"/>
  <c r="E36" i="48"/>
  <c r="A36" i="48"/>
  <c r="E35" i="48"/>
  <c r="A35" i="48"/>
  <c r="E34" i="48"/>
  <c r="A34" i="48"/>
  <c r="E33" i="48"/>
  <c r="A33" i="48"/>
  <c r="E32" i="48"/>
  <c r="A32" i="48"/>
  <c r="E31" i="48"/>
  <c r="A31" i="48"/>
  <c r="E30" i="48"/>
  <c r="A30" i="48"/>
  <c r="E29" i="48"/>
  <c r="A29" i="48"/>
  <c r="E28" i="48"/>
  <c r="A28" i="48"/>
  <c r="E27" i="48"/>
  <c r="A27" i="48"/>
  <c r="E26" i="48"/>
  <c r="A26" i="48"/>
  <c r="E25" i="48"/>
  <c r="A25" i="48"/>
  <c r="E24" i="48"/>
  <c r="A24" i="48"/>
  <c r="E23" i="48"/>
  <c r="A23" i="48"/>
  <c r="E22" i="48"/>
  <c r="A22" i="48"/>
  <c r="E21" i="48"/>
  <c r="A21" i="48"/>
  <c r="E20" i="48"/>
  <c r="A20" i="48"/>
  <c r="E19" i="48"/>
  <c r="A19" i="48"/>
  <c r="E18" i="48"/>
  <c r="A18" i="48"/>
  <c r="E17" i="48"/>
  <c r="A17" i="48"/>
  <c r="E16" i="48"/>
  <c r="A16" i="48"/>
  <c r="E15" i="48"/>
  <c r="A15" i="48"/>
  <c r="E14" i="48"/>
  <c r="A14" i="48"/>
  <c r="E13" i="48"/>
  <c r="A13" i="48"/>
  <c r="E12" i="48"/>
  <c r="A12" i="48"/>
  <c r="E11" i="48"/>
  <c r="A11" i="48"/>
  <c r="E10" i="48"/>
  <c r="A10" i="48"/>
  <c r="E9" i="48"/>
  <c r="A9" i="48"/>
  <c r="E8" i="48"/>
  <c r="A8" i="48"/>
  <c r="E7" i="48"/>
  <c r="A7" i="48"/>
  <c r="E6" i="48"/>
  <c r="A6" i="48"/>
  <c r="E5" i="48"/>
  <c r="A5" i="48"/>
  <c r="E4" i="48"/>
  <c r="A4" i="48"/>
  <c r="E3" i="48"/>
  <c r="A3" i="48"/>
  <c r="E2" i="48"/>
  <c r="A2" i="48"/>
  <c r="A49" i="45"/>
  <c r="A48" i="45"/>
  <c r="A47" i="45"/>
  <c r="E49" i="45"/>
  <c r="E48" i="45"/>
  <c r="E47" i="45"/>
  <c r="E37" i="43"/>
  <c r="E38" i="43"/>
  <c r="E122" i="45" l="1"/>
  <c r="A122" i="45"/>
  <c r="E121" i="45"/>
  <c r="A121" i="45"/>
  <c r="E120" i="45"/>
  <c r="A120" i="45"/>
  <c r="E119" i="45"/>
  <c r="A119" i="45"/>
  <c r="E118" i="45"/>
  <c r="A118" i="45"/>
  <c r="E117" i="45"/>
  <c r="A117" i="45"/>
  <c r="E116" i="45"/>
  <c r="A116" i="45"/>
  <c r="E115" i="45"/>
  <c r="A115" i="45"/>
  <c r="E114" i="45"/>
  <c r="A114" i="45"/>
  <c r="E113" i="45"/>
  <c r="A113" i="45"/>
  <c r="E112" i="45"/>
  <c r="A112" i="45"/>
  <c r="E111" i="45"/>
  <c r="A111" i="45"/>
  <c r="E110" i="45"/>
  <c r="A110" i="45"/>
  <c r="E109" i="45"/>
  <c r="A109" i="45"/>
  <c r="E108" i="45"/>
  <c r="A108" i="45"/>
  <c r="E107" i="45"/>
  <c r="A107" i="45"/>
  <c r="E106" i="45"/>
  <c r="A106" i="45"/>
  <c r="E105" i="45"/>
  <c r="A105" i="45"/>
  <c r="E104" i="45"/>
  <c r="A104" i="45"/>
  <c r="E103" i="45"/>
  <c r="A103" i="45"/>
  <c r="E102" i="45"/>
  <c r="A102" i="45"/>
  <c r="E101" i="45"/>
  <c r="A101" i="45"/>
  <c r="E100" i="45"/>
  <c r="A100" i="45"/>
  <c r="E99" i="45"/>
  <c r="A99" i="45"/>
  <c r="E98" i="45"/>
  <c r="A98" i="45"/>
  <c r="E97" i="45"/>
  <c r="A97" i="45"/>
  <c r="E96" i="45"/>
  <c r="A96" i="45"/>
  <c r="E95" i="45"/>
  <c r="A95" i="45"/>
  <c r="E94" i="45"/>
  <c r="A94" i="45"/>
  <c r="E93" i="45"/>
  <c r="A93" i="45"/>
  <c r="E92" i="45"/>
  <c r="A92" i="45"/>
  <c r="E91" i="45"/>
  <c r="A91" i="45"/>
  <c r="E90" i="45"/>
  <c r="A90" i="45"/>
  <c r="E89" i="45"/>
  <c r="A89" i="45"/>
  <c r="E88" i="45"/>
  <c r="A88" i="45"/>
  <c r="E87" i="45"/>
  <c r="A87" i="45"/>
  <c r="E86" i="45"/>
  <c r="A86" i="45"/>
  <c r="E85" i="45"/>
  <c r="A85" i="45"/>
  <c r="E84" i="45"/>
  <c r="A84" i="45"/>
  <c r="E83" i="45"/>
  <c r="A83" i="45"/>
  <c r="E82" i="45"/>
  <c r="A82" i="45"/>
  <c r="E81" i="45"/>
  <c r="A81" i="45"/>
  <c r="E78" i="45"/>
  <c r="A78" i="45"/>
  <c r="E77" i="45"/>
  <c r="A77" i="45"/>
  <c r="E76" i="45"/>
  <c r="A76" i="45"/>
  <c r="E75" i="45"/>
  <c r="A75" i="45"/>
  <c r="E74" i="45"/>
  <c r="A74" i="45"/>
  <c r="E73" i="45"/>
  <c r="A73" i="45"/>
  <c r="E72" i="45"/>
  <c r="A72" i="45"/>
  <c r="E71" i="45"/>
  <c r="A71" i="45"/>
  <c r="E70" i="45"/>
  <c r="A70" i="45"/>
  <c r="E69" i="45"/>
  <c r="A69" i="45"/>
  <c r="E68" i="45"/>
  <c r="A68" i="45"/>
  <c r="E67" i="45"/>
  <c r="A67" i="45"/>
  <c r="E66" i="45"/>
  <c r="A66" i="45"/>
  <c r="E65" i="45"/>
  <c r="A65" i="45"/>
  <c r="E64" i="45"/>
  <c r="A64" i="45"/>
  <c r="E63" i="45"/>
  <c r="A63" i="45"/>
  <c r="E62" i="45"/>
  <c r="A62" i="45"/>
  <c r="A61" i="45"/>
  <c r="A60" i="45"/>
  <c r="A59" i="45"/>
  <c r="E58" i="45"/>
  <c r="A58" i="45"/>
  <c r="E57" i="45"/>
  <c r="A57" i="45"/>
  <c r="E56" i="45"/>
  <c r="A56" i="45"/>
  <c r="E55" i="45"/>
  <c r="A55" i="45"/>
  <c r="E54" i="45"/>
  <c r="A54" i="45"/>
  <c r="E53" i="45"/>
  <c r="A53" i="45"/>
  <c r="E52" i="45"/>
  <c r="A52" i="45"/>
  <c r="E51" i="45"/>
  <c r="A51" i="45"/>
  <c r="E50" i="45"/>
  <c r="A50" i="45"/>
  <c r="E46" i="45"/>
  <c r="A46" i="45"/>
  <c r="E45" i="45"/>
  <c r="A45" i="45"/>
  <c r="E44" i="45"/>
  <c r="A44" i="45"/>
  <c r="E43" i="45"/>
  <c r="A43" i="45"/>
  <c r="E42" i="45"/>
  <c r="A42" i="45"/>
  <c r="E41" i="45"/>
  <c r="A41" i="45"/>
  <c r="E40" i="45"/>
  <c r="A40" i="45"/>
  <c r="E39" i="45"/>
  <c r="A39" i="45"/>
  <c r="E38" i="45"/>
  <c r="A38" i="45"/>
  <c r="E37" i="45"/>
  <c r="A37" i="45"/>
  <c r="E36" i="45"/>
  <c r="A36" i="45"/>
  <c r="E35" i="45"/>
  <c r="A35" i="45"/>
  <c r="E34" i="45"/>
  <c r="A34" i="45"/>
  <c r="E33" i="45"/>
  <c r="A33" i="45"/>
  <c r="E32" i="45"/>
  <c r="A32" i="45"/>
  <c r="E31" i="45"/>
  <c r="A31" i="45"/>
  <c r="E30" i="45"/>
  <c r="A30" i="45"/>
  <c r="E29" i="45"/>
  <c r="A29" i="45"/>
  <c r="E28" i="45"/>
  <c r="A28" i="45"/>
  <c r="E27" i="45"/>
  <c r="A27" i="45"/>
  <c r="E26" i="45"/>
  <c r="A26" i="45"/>
  <c r="E25" i="45"/>
  <c r="A25" i="45"/>
  <c r="E24" i="45"/>
  <c r="A24" i="45"/>
  <c r="E23" i="45"/>
  <c r="A23" i="45"/>
  <c r="E22" i="45"/>
  <c r="A22" i="45"/>
  <c r="E21" i="45"/>
  <c r="A21" i="45"/>
  <c r="E20" i="45"/>
  <c r="A20" i="45"/>
  <c r="E19" i="45"/>
  <c r="A19" i="45"/>
  <c r="E18" i="45"/>
  <c r="A18" i="45"/>
  <c r="E17" i="45"/>
  <c r="A17" i="45"/>
  <c r="E16" i="45"/>
  <c r="A16" i="45"/>
  <c r="E15" i="45"/>
  <c r="A15" i="45"/>
  <c r="E14" i="45"/>
  <c r="A14" i="45"/>
  <c r="E13" i="45"/>
  <c r="A13" i="45"/>
  <c r="E12" i="45"/>
  <c r="A12" i="45"/>
  <c r="E11" i="45"/>
  <c r="A11" i="45"/>
  <c r="E10" i="45"/>
  <c r="A10" i="45"/>
  <c r="E9" i="45"/>
  <c r="A9" i="45"/>
  <c r="E8" i="45"/>
  <c r="A8" i="45"/>
  <c r="E7" i="45"/>
  <c r="A7" i="45"/>
  <c r="E6" i="45"/>
  <c r="A6" i="45"/>
  <c r="E5" i="45"/>
  <c r="A5" i="45"/>
  <c r="E4" i="45"/>
  <c r="A4" i="45"/>
  <c r="E3" i="45"/>
  <c r="A3" i="45"/>
  <c r="E2" i="45"/>
  <c r="A2" i="45"/>
  <c r="E60" i="43" l="1"/>
  <c r="A60" i="43"/>
  <c r="E63" i="43"/>
  <c r="E69" i="43"/>
  <c r="A69" i="43"/>
  <c r="E68" i="43"/>
  <c r="A68" i="43"/>
  <c r="E121" i="43"/>
  <c r="A121" i="43"/>
  <c r="E120" i="43"/>
  <c r="A120" i="43"/>
  <c r="E119" i="43"/>
  <c r="A119" i="43"/>
  <c r="E118" i="43"/>
  <c r="A118" i="43"/>
  <c r="E117" i="43"/>
  <c r="A117" i="43"/>
  <c r="E116" i="43"/>
  <c r="A116" i="43"/>
  <c r="E115" i="43"/>
  <c r="A115" i="43"/>
  <c r="E114" i="43"/>
  <c r="A114" i="43"/>
  <c r="E113" i="43"/>
  <c r="A113" i="43"/>
  <c r="E112" i="43"/>
  <c r="A112" i="43"/>
  <c r="E111" i="43"/>
  <c r="A111" i="43"/>
  <c r="E110" i="43"/>
  <c r="A110" i="43"/>
  <c r="E109" i="43"/>
  <c r="A109" i="43"/>
  <c r="E108" i="43"/>
  <c r="A108" i="43"/>
  <c r="E107" i="43"/>
  <c r="A107" i="43"/>
  <c r="E106" i="43"/>
  <c r="A106" i="43"/>
  <c r="E105" i="43"/>
  <c r="A105" i="43"/>
  <c r="E104" i="43"/>
  <c r="A104" i="43"/>
  <c r="E103" i="43"/>
  <c r="A103" i="43"/>
  <c r="E101" i="43"/>
  <c r="A101" i="43"/>
  <c r="E100" i="43"/>
  <c r="A100" i="43"/>
  <c r="E99" i="43"/>
  <c r="A99" i="43"/>
  <c r="E98" i="43"/>
  <c r="A98" i="43"/>
  <c r="E97" i="43"/>
  <c r="A97" i="43"/>
  <c r="E96" i="43"/>
  <c r="A96" i="43"/>
  <c r="E95" i="43"/>
  <c r="A95" i="43"/>
  <c r="E94" i="43"/>
  <c r="A94" i="43"/>
  <c r="E93" i="43"/>
  <c r="A93" i="43"/>
  <c r="E92" i="43"/>
  <c r="A92" i="43"/>
  <c r="E91" i="43"/>
  <c r="A91" i="43"/>
  <c r="E89" i="43"/>
  <c r="A89" i="43"/>
  <c r="E88" i="43"/>
  <c r="A88" i="43"/>
  <c r="E87" i="43"/>
  <c r="A87" i="43"/>
  <c r="E86" i="43"/>
  <c r="A86" i="43"/>
  <c r="E85" i="43"/>
  <c r="A85" i="43"/>
  <c r="E84" i="43"/>
  <c r="A84" i="43"/>
  <c r="E83" i="43"/>
  <c r="A83" i="43"/>
  <c r="E82" i="43"/>
  <c r="A82" i="43"/>
  <c r="E81" i="43"/>
  <c r="A81" i="43"/>
  <c r="E80" i="43"/>
  <c r="A80" i="43"/>
  <c r="E79" i="43"/>
  <c r="A79" i="43"/>
  <c r="E78" i="43"/>
  <c r="A78" i="43"/>
  <c r="E77" i="43"/>
  <c r="A77" i="43"/>
  <c r="E76" i="43"/>
  <c r="A76" i="43"/>
  <c r="E75" i="43"/>
  <c r="A75" i="43"/>
  <c r="E74" i="43"/>
  <c r="A74" i="43"/>
  <c r="E73" i="43"/>
  <c r="A73" i="43"/>
  <c r="E72" i="43"/>
  <c r="A72" i="43"/>
  <c r="E71" i="43"/>
  <c r="A71" i="43"/>
  <c r="E70" i="43"/>
  <c r="A70" i="43"/>
  <c r="E67" i="43"/>
  <c r="A67" i="43"/>
  <c r="E66" i="43"/>
  <c r="A66" i="43"/>
  <c r="E65" i="43"/>
  <c r="A65" i="43"/>
  <c r="E64" i="43"/>
  <c r="A64" i="43"/>
  <c r="A63" i="43"/>
  <c r="E62" i="43"/>
  <c r="A62" i="43"/>
  <c r="E61" i="43"/>
  <c r="A61" i="43"/>
  <c r="A59" i="43"/>
  <c r="A58" i="43"/>
  <c r="A57" i="43"/>
  <c r="E56" i="43"/>
  <c r="A56" i="43"/>
  <c r="E55" i="43"/>
  <c r="A55" i="43"/>
  <c r="E54" i="43"/>
  <c r="A54" i="43"/>
  <c r="E53" i="43"/>
  <c r="A53" i="43"/>
  <c r="E52" i="43"/>
  <c r="A52" i="43"/>
  <c r="E51" i="43"/>
  <c r="A51" i="43"/>
  <c r="E50" i="43"/>
  <c r="A50" i="43"/>
  <c r="E49" i="43"/>
  <c r="A49" i="43"/>
  <c r="E48" i="43"/>
  <c r="A48" i="43"/>
  <c r="E47" i="43"/>
  <c r="A47" i="43"/>
  <c r="E46" i="43"/>
  <c r="A46" i="43"/>
  <c r="E45" i="43"/>
  <c r="A45" i="43"/>
  <c r="E44" i="43"/>
  <c r="A44" i="43"/>
  <c r="E43" i="43"/>
  <c r="A43" i="43"/>
  <c r="E42" i="43"/>
  <c r="A42" i="43"/>
  <c r="E41" i="43"/>
  <c r="A41" i="43"/>
  <c r="E40" i="43"/>
  <c r="A40" i="43"/>
  <c r="E39" i="43"/>
  <c r="A39" i="43"/>
  <c r="A38" i="43"/>
  <c r="A37" i="43"/>
  <c r="E36" i="43"/>
  <c r="A36" i="43"/>
  <c r="E35" i="43"/>
  <c r="A35" i="43"/>
  <c r="E34" i="43"/>
  <c r="A34" i="43"/>
  <c r="E33" i="43"/>
  <c r="A33" i="43"/>
  <c r="E32" i="43"/>
  <c r="A32" i="43"/>
  <c r="E31" i="43"/>
  <c r="A31" i="43"/>
  <c r="E30" i="43"/>
  <c r="A30" i="43"/>
  <c r="E29" i="43"/>
  <c r="A29" i="43"/>
  <c r="E28" i="43"/>
  <c r="A28" i="43"/>
  <c r="E27" i="43"/>
  <c r="A27" i="43"/>
  <c r="E26" i="43"/>
  <c r="A26" i="43"/>
  <c r="E25" i="43"/>
  <c r="A25" i="43"/>
  <c r="E24" i="43"/>
  <c r="A24" i="43"/>
  <c r="E23" i="43"/>
  <c r="A23" i="43"/>
  <c r="E22" i="43"/>
  <c r="A22" i="43"/>
  <c r="E21" i="43"/>
  <c r="A21" i="43"/>
  <c r="E20" i="43"/>
  <c r="A20" i="43"/>
  <c r="E19" i="43"/>
  <c r="A19" i="43"/>
  <c r="E18" i="43"/>
  <c r="A18" i="43"/>
  <c r="E17" i="43"/>
  <c r="A17" i="43"/>
  <c r="E16" i="43"/>
  <c r="A16" i="43"/>
  <c r="E15" i="43"/>
  <c r="A15" i="43"/>
  <c r="E14" i="43"/>
  <c r="A14" i="43"/>
  <c r="E13" i="43"/>
  <c r="A13" i="43"/>
  <c r="E12" i="43"/>
  <c r="A12" i="43"/>
  <c r="E11" i="43"/>
  <c r="A11" i="43"/>
  <c r="E10" i="43"/>
  <c r="A10" i="43"/>
  <c r="E9" i="43"/>
  <c r="A9" i="43"/>
  <c r="E8" i="43"/>
  <c r="A8" i="43"/>
  <c r="E7" i="43"/>
  <c r="A7" i="43"/>
  <c r="E6" i="43"/>
  <c r="A6" i="43"/>
  <c r="E5" i="43"/>
  <c r="A5" i="43"/>
  <c r="E4" i="43"/>
  <c r="A4" i="43"/>
  <c r="E3" i="43"/>
  <c r="A3" i="43"/>
  <c r="E2" i="43"/>
  <c r="A2" i="43"/>
  <c r="B23" i="19" l="1"/>
  <c r="C23" i="19"/>
</calcChain>
</file>

<file path=xl/sharedStrings.xml><?xml version="1.0" encoding="utf-8"?>
<sst xmlns="http://schemas.openxmlformats.org/spreadsheetml/2006/main" count="4937" uniqueCount="181">
  <si>
    <t>BLOOMBERG REVERSE</t>
  </si>
  <si>
    <t xml:space="preserve"> - </t>
  </si>
  <si>
    <t>ALEXANDRE DA COSTA SOARES</t>
  </si>
  <si>
    <t>BANCO BRADESCO S/A</t>
  </si>
  <si>
    <t>GABRIEL BORINI</t>
  </si>
  <si>
    <t>JOAO VITOR CAIRES ALVES</t>
  </si>
  <si>
    <t>MARCELO CAIRES</t>
  </si>
  <si>
    <t>RONALDO SASAKI</t>
  </si>
  <si>
    <t>EDUARDO MORGAO</t>
  </si>
  <si>
    <t>SPX EQUITIES GESTAO DE RECURSOS LTDA</t>
  </si>
  <si>
    <t>LUCAS ROSSI</t>
  </si>
  <si>
    <t>DANIEL TEIXEIRA SIQUEIRA GONÇALVES</t>
  </si>
  <si>
    <t>BLOOMBERG API</t>
  </si>
  <si>
    <t>BANCO SANTANDER (BRASIL) S/A</t>
  </si>
  <si>
    <t>ROGERIO ENDO</t>
  </si>
  <si>
    <t>CHRISTIANO MARCONDES DE BARROS LIMA</t>
  </si>
  <si>
    <t>BRUNO BERNARDES</t>
  </si>
  <si>
    <t>RODRIGO FERNANDEZ</t>
  </si>
  <si>
    <t>ANDREA LICASSIA ALMEIDA SANTOS</t>
  </si>
  <si>
    <t>LUIZ FERNANDO GENOVA</t>
  </si>
  <si>
    <t>JOSÉ VERGARA</t>
  </si>
  <si>
    <t>BRUNO PEROTTONI</t>
  </si>
  <si>
    <t>GABRIEL RIBEIRO</t>
  </si>
  <si>
    <t xml:space="preserve">HISTORICO </t>
  </si>
  <si>
    <t>DATA COMPETENCIA</t>
  </si>
  <si>
    <t>Conta Contabil</t>
  </si>
  <si>
    <t>BROKER</t>
  </si>
  <si>
    <t>VALOR</t>
  </si>
  <si>
    <t>FORNECEDOR</t>
  </si>
  <si>
    <t>DATA LANCAMENTO</t>
  </si>
  <si>
    <t>CÓDIGO DO CLIENTE</t>
  </si>
  <si>
    <t>HISTORICO</t>
  </si>
  <si>
    <t>CLIENTE</t>
  </si>
  <si>
    <t>ESPAÇO</t>
  </si>
  <si>
    <t>MÊS</t>
  </si>
  <si>
    <t>PERCENTUAL</t>
  </si>
  <si>
    <t>CUSTO DE DROPCOPY USD</t>
  </si>
  <si>
    <t>KAPITALO INVESTIMENTO LTDA</t>
  </si>
  <si>
    <t>RAFAEL POPPE</t>
  </si>
  <si>
    <t>BANCO SANTANDER S.A (HISPANO)</t>
  </si>
  <si>
    <t>LIQUIDEZ-OTHER</t>
  </si>
  <si>
    <t>RAFFAELE SCURTI NETTO</t>
  </si>
  <si>
    <t>ITAU UNIBANCO S/A</t>
  </si>
  <si>
    <t>EDUARDO TADEU CARAPIA UTTEMBERG</t>
  </si>
  <si>
    <t>ANTONIO AGIZ FILHO</t>
  </si>
  <si>
    <t>NIMBUS</t>
  </si>
  <si>
    <t>MAGIC ORDER</t>
  </si>
  <si>
    <t>BGC LIQUIDEZ</t>
  </si>
  <si>
    <t>FIS - US PREMIUM</t>
  </si>
  <si>
    <t>B3</t>
  </si>
  <si>
    <t>LUDMILA TRECHAU (729)</t>
  </si>
  <si>
    <t>BRAZA BANK S/A BANCO DE CAMBIO</t>
  </si>
  <si>
    <t>CUSTO DE DROPCOPY BRL</t>
  </si>
  <si>
    <t>BANCO CITIBANK</t>
  </si>
  <si>
    <t>BANCO SANTANDER</t>
  </si>
  <si>
    <t>GOLDMAN SACHS</t>
  </si>
  <si>
    <t>BANCO BTG PACTUAL</t>
  </si>
  <si>
    <t>ITAU BBA</t>
  </si>
  <si>
    <t>FERNANDO FAIRBANKS</t>
  </si>
  <si>
    <t>Qty</t>
  </si>
  <si>
    <t>Price</t>
  </si>
  <si>
    <t>Price + Tax</t>
  </si>
  <si>
    <t>PeriodStart</t>
  </si>
  <si>
    <t>PeriodEnd</t>
  </si>
  <si>
    <t>Trader</t>
  </si>
  <si>
    <t>OrigFirmName</t>
  </si>
  <si>
    <t>Broker</t>
  </si>
  <si>
    <t>CC Oracle</t>
  </si>
  <si>
    <t>DESK</t>
  </si>
  <si>
    <t>FRANKLIN TEMPLETON COMPANIES LLC</t>
  </si>
  <si>
    <t>BOVESPA EQUITIES</t>
  </si>
  <si>
    <t xml:space="preserve">JULIANE ANDRADE </t>
  </si>
  <si>
    <t>CHINA CONSTRUCTION BANK BRASIL BM SA</t>
  </si>
  <si>
    <t>FX SPOT</t>
  </si>
  <si>
    <t>BRAZA BANK SA BANCO DE CAMBIO</t>
  </si>
  <si>
    <t>RENATO PEREIRA</t>
  </si>
  <si>
    <t>HAITONG BANCO DE INVES DO BRASIL SA</t>
  </si>
  <si>
    <t>MARCELO EIRAS</t>
  </si>
  <si>
    <t>VOLATILITY IDI</t>
  </si>
  <si>
    <t>LUCIANA NAVAZINAS</t>
  </si>
  <si>
    <t>MATHEUS FERNANDES</t>
  </si>
  <si>
    <t>FX FUTURES</t>
  </si>
  <si>
    <t>BANCO DAYCOVAL SA</t>
  </si>
  <si>
    <t>ITAU UNIBANCO SA</t>
  </si>
  <si>
    <t>BANCO SANTANDER BRASIL SA</t>
  </si>
  <si>
    <t xml:space="preserve">LUDMILA TRECHAU </t>
  </si>
  <si>
    <t>DI FUTURES</t>
  </si>
  <si>
    <t>GIOVANNE TELES</t>
  </si>
  <si>
    <t>FITPART</t>
  </si>
  <si>
    <t>GIOVANNE TELES (833)</t>
  </si>
  <si>
    <t>THIAGO SANTOS</t>
  </si>
  <si>
    <t>HAMILTON DEL MONACO FILHO</t>
  </si>
  <si>
    <t>MATHEUS FERNANDES (632)</t>
  </si>
  <si>
    <t>RODRIGO PENTAGNA</t>
  </si>
  <si>
    <t>FIS - OPRA</t>
  </si>
  <si>
    <t>OFFSHORE LISTED</t>
  </si>
  <si>
    <t>FIS - NASDAQ</t>
  </si>
  <si>
    <t>ALVARO LUIZ RICOTTA SOARES</t>
  </si>
  <si>
    <t>ANTONIO AUGUSTO DAS CHAGAS CARVALHO</t>
  </si>
  <si>
    <t>CARLOS JOSE SEPPE MILANI</t>
  </si>
  <si>
    <t>CLYBAS PINTO FERRAZ NETO</t>
  </si>
  <si>
    <t>JOSE MAURICIO GOMES TEIXEIRA</t>
  </si>
  <si>
    <t>ANTÔNIO MARTINS NETO</t>
  </si>
  <si>
    <t>BGC SEGUNDA VOLTA</t>
  </si>
  <si>
    <t>CARLA REGINA DE SOUZA CARREIRA</t>
  </si>
  <si>
    <t>RICARDO ANDRE VASCONCELOS RAMOS</t>
  </si>
  <si>
    <t>ALEXANDRE BRENO STEVENS</t>
  </si>
  <si>
    <t>FRANCISCO JOSE DIAS CARVALHO</t>
  </si>
  <si>
    <t>LAKESIDE TRADING LLC</t>
  </si>
  <si>
    <t>MORGAN STANLEY URUGUAY LTDA - CITIBANK</t>
  </si>
  <si>
    <t>MARYLIA CARVALHO PONCE</t>
  </si>
  <si>
    <t>ITAU CV S/A</t>
  </si>
  <si>
    <t>CREDIT SUISSE (BRASIL)</t>
  </si>
  <si>
    <t>KAPITALO INVESTIMENTOS LTDA</t>
  </si>
  <si>
    <t>RPS CAPITAL ADMINISTRADORA</t>
  </si>
  <si>
    <t>NYFIX</t>
  </si>
  <si>
    <t>VINLAND CAPITAL MANAGEMENT</t>
  </si>
  <si>
    <t>SS&amp;C COMMUNICATION LINE(S)</t>
  </si>
  <si>
    <t>ENFUSION</t>
  </si>
  <si>
    <t xml:space="preserve">HAITONG BANCO </t>
  </si>
  <si>
    <t>NDF</t>
  </si>
  <si>
    <t>VINLAND CAPITAL</t>
  </si>
  <si>
    <t>FELIPE MEIRELLES RACCAH</t>
  </si>
  <si>
    <t>GABRIEL FERREIRA</t>
  </si>
  <si>
    <t>MURILO ORTIZ</t>
  </si>
  <si>
    <t>ALESSANDRO EZEQUIEL</t>
  </si>
  <si>
    <t>ANDRE FERREIRA DOS SANTOS</t>
  </si>
  <si>
    <t>ITAU FACIL</t>
  </si>
  <si>
    <t>CAOE MARTINS</t>
  </si>
  <si>
    <t>EDRAS DURAES D ANUNCIACAO</t>
  </si>
  <si>
    <t>GUILHERME SILVA</t>
  </si>
  <si>
    <t>GUSTAVO BEVILACQUA</t>
  </si>
  <si>
    <t>I9DX</t>
  </si>
  <si>
    <t>RODRIGO MOURA MARQUES</t>
  </si>
  <si>
    <t>AGUILA CAPITAL ADM</t>
  </si>
  <si>
    <t>AETHER2</t>
  </si>
  <si>
    <t>AETHER</t>
  </si>
  <si>
    <t>ALESSANDRO DRAGO</t>
  </si>
  <si>
    <t>LUCAS HORI</t>
  </si>
  <si>
    <t>VINICIUS AMARAL DE MOURA</t>
  </si>
  <si>
    <t>GLAYSON PATRICIO</t>
  </si>
  <si>
    <t>FELIPE GOMES BASILE</t>
  </si>
  <si>
    <t>JANEIRO 26</t>
  </si>
  <si>
    <t>SCHONFELD</t>
  </si>
  <si>
    <t>VINLAND CAPITAL MANAGEMENT GESTORA DE RECURSOS LTDA</t>
  </si>
  <si>
    <t>CUSTO DE DROPCOPY BRL - VINLAND CAPITAL -  DEZEMBRO 25</t>
  </si>
  <si>
    <t>cb44c386-02bb-4c4d-909f-af9180e006a4</t>
  </si>
  <si>
    <t>BGC LIQUIDEZ DTVM LTDA</t>
  </si>
  <si>
    <t>CUSTO DE DROPCOPY USD - BGC LIQUIDEZ -  DEZEMBRO 25</t>
  </si>
  <si>
    <t>ef41e826-494f-4245-9749-f0518aefd594</t>
  </si>
  <si>
    <t>CUSTO DE DROPCOPY USD - VINLAND CAPITAL MANAGEMENT -  DEZEMBRO 25</t>
  </si>
  <si>
    <t>5756c4ed-2ba4-4156-bb9d-cddeb98c72cd</t>
  </si>
  <si>
    <t>83810b15-41e6-4d32-8469-bee0a82ab444</t>
  </si>
  <si>
    <t>a1cc0ea6-6162-4377-9d6d-61c5ca6bb0be</t>
  </si>
  <si>
    <t>235eaa52-aa6c-42e1-ae06-d395648a0832</t>
  </si>
  <si>
    <t>72f81ea4-82e6-4cf2-9277-8bdf1157d24f</t>
  </si>
  <si>
    <t xml:space="preserve"> FEVEREIRO 26</t>
  </si>
  <si>
    <t xml:space="preserve"> MARÇO 26</t>
  </si>
  <si>
    <t xml:space="preserve"> ABRIL 26</t>
  </si>
  <si>
    <t>BANCO DO BRASIL S/A</t>
  </si>
  <si>
    <t>ARTHUR LAZARETTI</t>
  </si>
  <si>
    <t>RAFAEL CAMARGO</t>
  </si>
  <si>
    <t>SERGIO GUIMARAES</t>
  </si>
  <si>
    <t>DAHLIA CAPITAL GESTAO DE RECURSOS LTDA</t>
  </si>
  <si>
    <t>ULISSES GORITO</t>
  </si>
  <si>
    <t>DANILO GALVAO</t>
  </si>
  <si>
    <t>CLAUDIO DE SOUZA PACINI</t>
  </si>
  <si>
    <t>TRUXT INVESTIMENTOS LTDA</t>
  </si>
  <si>
    <t>NAYANA IVO DE ALMEIDA</t>
  </si>
  <si>
    <t>RICARDO FERREIRA DA COSTA</t>
  </si>
  <si>
    <t>FABIO SOARES PFAENDER</t>
  </si>
  <si>
    <t>FERNANDA CORVELLO BUTRICO</t>
  </si>
  <si>
    <t>CESAR MARIANO SCARAMBONE MENEZES</t>
  </si>
  <si>
    <t xml:space="preserve"> MAIO 26</t>
  </si>
  <si>
    <t xml:space="preserve"> JUNHO 26</t>
  </si>
  <si>
    <t>LUDMILA TRECHAU</t>
  </si>
  <si>
    <t>MARCELO MACHADO</t>
  </si>
  <si>
    <t>BANCO DA CHINA BRASIL S/A</t>
  </si>
  <si>
    <t>ANDRE F LOURETTI</t>
  </si>
  <si>
    <t>GOLDMAN SACHS INTERNATIONAL</t>
  </si>
  <si>
    <t>ALESSANDRO ORTENBLAD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</si>
</sst>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000000"/>
      <name val="Calibri"/>
      <family val="2"/>
    </font>
    <font>
      <b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9" fontId="2" fillId="2" borderId="1" xfId="2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9" fontId="2" fillId="2" borderId="0" xfId="2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9" fontId="2" fillId="2" borderId="2" xfId="2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43" fontId="3" fillId="3" borderId="0" xfId="1" applyFont="1" applyFill="1" applyAlignment="1">
      <alignment vertical="center"/>
    </xf>
    <xf numFmtId="0" fontId="2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9" fontId="2" fillId="4" borderId="0" xfId="2" applyFont="1" applyFill="1" applyAlignment="1">
      <alignment vertical="center"/>
    </xf>
    <xf numFmtId="165" fontId="3" fillId="3" borderId="0" xfId="1" applyNumberFormat="1" applyFont="1" applyFill="1" applyAlignment="1">
      <alignment horizontal="left" vertical="center"/>
    </xf>
    <xf numFmtId="0" fontId="0" fillId="0" borderId="1" xfId="0" applyBorder="1"/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43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14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43" fontId="2" fillId="2" borderId="6" xfId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vertical="center"/>
    </xf>
    <xf numFmtId="9" fontId="2" fillId="2" borderId="6" xfId="2" applyFont="1" applyFill="1" applyBorder="1" applyAlignment="1">
      <alignment vertical="center"/>
    </xf>
    <xf numFmtId="43" fontId="7" fillId="2" borderId="0" xfId="1" applyFont="1" applyFill="1" applyBorder="1" applyAlignment="1">
      <alignment vertical="center"/>
    </xf>
    <xf numFmtId="43" fontId="7" fillId="2" borderId="1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/>
    </xf>
    <xf numFmtId="43" fontId="2" fillId="6" borderId="0" xfId="1" applyFont="1" applyFill="1" applyAlignment="1">
      <alignment vertical="center"/>
    </xf>
    <xf numFmtId="43" fontId="2" fillId="6" borderId="1" xfId="1" applyFont="1" applyFill="1" applyBorder="1" applyAlignment="1">
      <alignment vertical="center"/>
    </xf>
    <xf numFmtId="43" fontId="2" fillId="6" borderId="0" xfId="1" applyFont="1" applyFill="1" applyBorder="1" applyAlignment="1">
      <alignment vertical="center"/>
    </xf>
    <xf numFmtId="43" fontId="2" fillId="6" borderId="6" xfId="1" applyFont="1" applyFill="1" applyBorder="1" applyAlignment="1">
      <alignment vertical="center"/>
    </xf>
    <xf numFmtId="43" fontId="2" fillId="6" borderId="2" xfId="1" applyFont="1" applyFill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43" fontId="2" fillId="0" borderId="1" xfId="1" applyFont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43" fontId="7" fillId="6" borderId="2" xfId="1" applyFont="1" applyFill="1" applyBorder="1" applyAlignment="1">
      <alignment vertical="center"/>
    </xf>
    <xf numFmtId="14" fontId="2" fillId="0" borderId="0" xfId="0" applyNumberFormat="1" applyFont="1"/>
    <xf numFmtId="14" fontId="2" fillId="2" borderId="0" xfId="0" applyNumberFormat="1" applyFont="1" applyFill="1"/>
    <xf numFmtId="0" fontId="2" fillId="2" borderId="0" xfId="0" applyFont="1" applyFill="1"/>
    <xf numFmtId="40" fontId="2" fillId="0" borderId="0" xfId="1" applyNumberFormat="1" applyFont="1"/>
    <xf numFmtId="40" fontId="2" fillId="2" borderId="0" xfId="1" applyNumberFormat="1" applyFont="1" applyFill="1"/>
    <xf numFmtId="43" fontId="7" fillId="6" borderId="0" xfId="1" applyFont="1" applyFill="1" applyBorder="1" applyAlignment="1">
      <alignment vertical="center"/>
    </xf>
    <xf numFmtId="43" fontId="0" fillId="0" borderId="0" xfId="0" applyNumberFormat="1"/>
    <xf numFmtId="0" fontId="2" fillId="7" borderId="6" xfId="0" applyFont="1" applyFill="1" applyBorder="1" applyAlignment="1">
      <alignment vertical="center"/>
    </xf>
    <xf numFmtId="43" fontId="2" fillId="8" borderId="0" xfId="1" applyFont="1" applyFill="1" applyAlignment="1">
      <alignment vertical="center"/>
    </xf>
    <xf numFmtId="43" fontId="2" fillId="8" borderId="1" xfId="1" applyFont="1" applyFill="1" applyBorder="1" applyAlignment="1">
      <alignment vertical="center"/>
    </xf>
    <xf numFmtId="43" fontId="2" fillId="8" borderId="0" xfId="1" applyFont="1" applyFill="1" applyBorder="1" applyAlignment="1">
      <alignment vertical="center"/>
    </xf>
    <xf numFmtId="43" fontId="2" fillId="8" borderId="2" xfId="1" applyFont="1" applyFill="1" applyBorder="1" applyAlignment="1">
      <alignment vertical="center"/>
    </xf>
    <xf numFmtId="43" fontId="2" fillId="8" borderId="6" xfId="1" applyFont="1" applyFill="1" applyBorder="1" applyAlignment="1">
      <alignment vertical="center"/>
    </xf>
    <xf numFmtId="43" fontId="7" fillId="8" borderId="2" xfId="1" applyFont="1" applyFill="1" applyBorder="1" applyAlignment="1">
      <alignment vertical="center"/>
    </xf>
  </cellXfs>
  <cellStyles count="4">
    <cellStyle name="Comma" xfId="1" builtinId="3"/>
    <cellStyle name="Comma 2" xfId="3" xr:uid="{2264E4FC-D380-4A1D-BEE4-F959B9B38B23}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572B6D7E-4910-46EA-8450-8C427CD505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DD9F-C02B-461A-80E7-A1EDA5D8657E}">
  <sheetPr codeName="Sheet1"/>
  <dimension ref="A1:Q121"/>
  <sheetViews>
    <sheetView zoomScaleNormal="100" workbookViewId="0">
      <selection activeCell="G1" sqref="G1"/>
    </sheetView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8.425781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36" si="0">CONCATENATE(J2,P2,M2,K2,M2,Q2,M2,N2)</f>
        <v>CUSTO DE DROPCOPY USD - BANCO SANTANDER S.A (HISPANO) - ROGERIO ENDO - JANEIRO 26</v>
      </c>
      <c r="B2" s="10">
        <v>46023</v>
      </c>
      <c r="C2" s="9">
        <v>817632</v>
      </c>
      <c r="D2" s="11" t="s">
        <v>40</v>
      </c>
      <c r="E2" s="57">
        <f>-L2*O2</f>
        <v>-467.21070200000003</v>
      </c>
      <c r="F2" s="9" t="s">
        <v>12</v>
      </c>
      <c r="G2" s="10">
        <v>46023</v>
      </c>
      <c r="H2" s="9">
        <v>80195</v>
      </c>
      <c r="J2" s="12" t="s">
        <v>36</v>
      </c>
      <c r="K2" s="12" t="s">
        <v>39</v>
      </c>
      <c r="L2" s="59">
        <v>467.21070200000003</v>
      </c>
      <c r="M2" s="14" t="s">
        <v>1</v>
      </c>
      <c r="N2" s="15" t="s">
        <v>142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JANEIRO 26</v>
      </c>
      <c r="B3" s="10">
        <v>46023</v>
      </c>
      <c r="C3" s="9">
        <v>817632</v>
      </c>
      <c r="D3" s="11" t="s">
        <v>40</v>
      </c>
      <c r="E3" s="57">
        <f t="shared" ref="E3:E66" si="1">-L3*O3</f>
        <v>-467.21070200000003</v>
      </c>
      <c r="F3" s="9" t="s">
        <v>12</v>
      </c>
      <c r="G3" s="10">
        <v>46023</v>
      </c>
      <c r="H3" s="9">
        <v>80015</v>
      </c>
      <c r="J3" s="12" t="s">
        <v>36</v>
      </c>
      <c r="K3" s="12" t="s">
        <v>13</v>
      </c>
      <c r="L3" s="59">
        <v>467.21070200000003</v>
      </c>
      <c r="M3" s="14" t="s">
        <v>1</v>
      </c>
      <c r="N3" s="15" t="s">
        <v>142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(729) - JANEIRO 26</v>
      </c>
      <c r="B4" s="10">
        <v>46023</v>
      </c>
      <c r="C4" s="9">
        <v>817632</v>
      </c>
      <c r="D4" s="11" t="s">
        <v>15</v>
      </c>
      <c r="E4" s="57">
        <f t="shared" si="1"/>
        <v>-467.21070200000003</v>
      </c>
      <c r="F4" s="9" t="s">
        <v>12</v>
      </c>
      <c r="G4" s="10">
        <v>46023</v>
      </c>
      <c r="H4" s="9">
        <v>14479</v>
      </c>
      <c r="J4" s="12" t="s">
        <v>36</v>
      </c>
      <c r="K4" s="12" t="s">
        <v>13</v>
      </c>
      <c r="L4" s="59">
        <v>467.21070200000003</v>
      </c>
      <c r="M4" s="14" t="s">
        <v>1</v>
      </c>
      <c r="N4" s="15" t="s">
        <v>142</v>
      </c>
      <c r="O4" s="16">
        <v>1</v>
      </c>
      <c r="P4" s="13"/>
      <c r="Q4" s="17" t="s">
        <v>50</v>
      </c>
    </row>
    <row r="5" spans="1:17" x14ac:dyDescent="0.25">
      <c r="A5" s="9" t="str">
        <f t="shared" si="0"/>
        <v>CUSTO DE DROPCOPY USD - BANCO SANTANDER S.A (HISPANO) - RODRIGO FERNANDEZ - JANEIRO 26</v>
      </c>
      <c r="B5" s="10">
        <v>46023</v>
      </c>
      <c r="C5" s="9">
        <v>817632</v>
      </c>
      <c r="D5" s="11" t="s">
        <v>15</v>
      </c>
      <c r="E5" s="57">
        <f t="shared" si="1"/>
        <v>-467.21070200000003</v>
      </c>
      <c r="F5" s="9" t="s">
        <v>12</v>
      </c>
      <c r="G5" s="10">
        <v>46023</v>
      </c>
      <c r="H5" s="9">
        <v>80195</v>
      </c>
      <c r="J5" s="12" t="s">
        <v>36</v>
      </c>
      <c r="K5" s="12" t="s">
        <v>39</v>
      </c>
      <c r="L5" s="59">
        <v>467.21070200000003</v>
      </c>
      <c r="M5" s="14" t="s">
        <v>1</v>
      </c>
      <c r="N5" s="15" t="s">
        <v>142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(833) - JANEIRO 26</v>
      </c>
      <c r="B6" s="10">
        <v>46023</v>
      </c>
      <c r="C6" s="9">
        <v>817632</v>
      </c>
      <c r="D6" s="11" t="s">
        <v>11</v>
      </c>
      <c r="E6" s="57">
        <f t="shared" si="1"/>
        <v>-467.21070200000003</v>
      </c>
      <c r="F6" s="9" t="s">
        <v>12</v>
      </c>
      <c r="G6" s="10">
        <v>46023</v>
      </c>
      <c r="H6" s="9">
        <v>14479</v>
      </c>
      <c r="J6" s="12" t="s">
        <v>36</v>
      </c>
      <c r="K6" s="12" t="s">
        <v>13</v>
      </c>
      <c r="L6" s="59">
        <v>467.21070200000003</v>
      </c>
      <c r="M6" s="14" t="s">
        <v>1</v>
      </c>
      <c r="N6" s="15" t="s">
        <v>142</v>
      </c>
      <c r="O6" s="16">
        <v>1</v>
      </c>
      <c r="P6" s="13"/>
      <c r="Q6" s="17" t="s">
        <v>89</v>
      </c>
    </row>
    <row r="7" spans="1:17" x14ac:dyDescent="0.25">
      <c r="A7" s="1" t="str">
        <f t="shared" si="0"/>
        <v>CUSTO DE DROPCOPY USD - BANCO SANTANDER (BRASIL) S/A - ALESSANDRO EZEQUIEL - JANEIRO 26</v>
      </c>
      <c r="B7" s="2">
        <v>46023</v>
      </c>
      <c r="C7" s="1">
        <v>817632</v>
      </c>
      <c r="D7" s="3" t="s">
        <v>105</v>
      </c>
      <c r="E7" s="58">
        <f t="shared" si="1"/>
        <v>-467.21070200000003</v>
      </c>
      <c r="F7" s="1" t="s">
        <v>12</v>
      </c>
      <c r="G7" s="2">
        <v>46023</v>
      </c>
      <c r="H7" s="1">
        <v>14479</v>
      </c>
      <c r="J7" s="4" t="s">
        <v>36</v>
      </c>
      <c r="K7" s="4" t="s">
        <v>13</v>
      </c>
      <c r="L7" s="60">
        <v>467.21070200000003</v>
      </c>
      <c r="M7" s="6" t="s">
        <v>1</v>
      </c>
      <c r="N7" s="7" t="s">
        <v>142</v>
      </c>
      <c r="O7" s="8">
        <v>1</v>
      </c>
      <c r="P7" s="5"/>
      <c r="Q7" s="64" t="s">
        <v>125</v>
      </c>
    </row>
    <row r="8" spans="1:17" x14ac:dyDescent="0.25">
      <c r="A8" s="9" t="str">
        <f t="shared" si="0"/>
        <v>CUSTO DE DROPCOPY USD - HAITONG BANCO  - MATHEUS FERNANDES (632) - JANEIRO 26</v>
      </c>
      <c r="B8" s="10">
        <v>46023</v>
      </c>
      <c r="C8" s="9">
        <v>817632</v>
      </c>
      <c r="D8" s="44" t="s">
        <v>41</v>
      </c>
      <c r="E8" s="57">
        <f t="shared" si="1"/>
        <v>-1401.632106</v>
      </c>
      <c r="F8" s="9" t="s">
        <v>12</v>
      </c>
      <c r="G8" s="10">
        <v>46023</v>
      </c>
      <c r="H8" s="9">
        <v>80041</v>
      </c>
      <c r="J8" s="12" t="s">
        <v>36</v>
      </c>
      <c r="K8" s="12" t="s">
        <v>119</v>
      </c>
      <c r="L8" s="61">
        <v>2803.264212</v>
      </c>
      <c r="M8" s="14" t="s">
        <v>1</v>
      </c>
      <c r="N8" s="15" t="s">
        <v>142</v>
      </c>
      <c r="O8" s="16">
        <v>0.5</v>
      </c>
      <c r="P8" s="13"/>
      <c r="Q8" s="17" t="s">
        <v>92</v>
      </c>
    </row>
    <row r="9" spans="1:17" x14ac:dyDescent="0.25">
      <c r="A9" s="9" t="str">
        <f t="shared" si="0"/>
        <v>CUSTO DE DROPCOPY USD - HAITONG BANCO  - MATHEUS FERNANDES (632) - JANEIRO 26</v>
      </c>
      <c r="B9" s="2">
        <v>46023</v>
      </c>
      <c r="C9" s="1">
        <v>817632</v>
      </c>
      <c r="D9" s="3" t="s">
        <v>15</v>
      </c>
      <c r="E9" s="58">
        <f t="shared" si="1"/>
        <v>-1401.632106</v>
      </c>
      <c r="F9" s="1" t="s">
        <v>12</v>
      </c>
      <c r="G9" s="2">
        <v>46023</v>
      </c>
      <c r="H9" s="1">
        <v>80041</v>
      </c>
      <c r="J9" s="4" t="s">
        <v>36</v>
      </c>
      <c r="K9" s="4" t="s">
        <v>119</v>
      </c>
      <c r="L9" s="60">
        <v>2803.264212</v>
      </c>
      <c r="M9" s="6" t="s">
        <v>1</v>
      </c>
      <c r="N9" s="7" t="s">
        <v>142</v>
      </c>
      <c r="O9" s="8">
        <v>0.5</v>
      </c>
      <c r="P9" s="5"/>
      <c r="Q9" s="64" t="s">
        <v>92</v>
      </c>
    </row>
    <row r="10" spans="1:17" x14ac:dyDescent="0.25">
      <c r="A10" s="18" t="str">
        <f t="shared" si="0"/>
        <v>CUSTO DE DROPCOPY USD - ITAU UNIBANCO S/A - EDUARDO MORGAO - JANEIRO 26</v>
      </c>
      <c r="B10" s="2">
        <v>46023</v>
      </c>
      <c r="C10" s="1">
        <v>817632</v>
      </c>
      <c r="D10" s="3" t="s">
        <v>2</v>
      </c>
      <c r="E10" s="58">
        <f t="shared" si="1"/>
        <v>-2803.264212</v>
      </c>
      <c r="F10" s="1" t="s">
        <v>12</v>
      </c>
      <c r="G10" s="2">
        <v>46023</v>
      </c>
      <c r="H10" s="1">
        <v>79806</v>
      </c>
      <c r="J10" s="4" t="s">
        <v>36</v>
      </c>
      <c r="K10" s="4" t="s">
        <v>42</v>
      </c>
      <c r="L10" s="60">
        <v>2803.264212</v>
      </c>
      <c r="M10" s="6" t="s">
        <v>1</v>
      </c>
      <c r="N10" s="24" t="s">
        <v>142</v>
      </c>
      <c r="O10" s="8">
        <v>1</v>
      </c>
      <c r="P10" s="5"/>
      <c r="Q10" s="65" t="s">
        <v>8</v>
      </c>
    </row>
    <row r="11" spans="1:17" x14ac:dyDescent="0.25">
      <c r="A11" s="9" t="str">
        <f t="shared" si="0"/>
        <v>CUSTO DE DROPCOPY USD - BRAZA BANK S/A BANCO DE CAMBIO - GUSTAVO BEVILACQUA - JANEIRO 26</v>
      </c>
      <c r="B11" s="10">
        <v>46023</v>
      </c>
      <c r="C11" s="9">
        <v>817632</v>
      </c>
      <c r="D11" s="11" t="s">
        <v>20</v>
      </c>
      <c r="E11" s="57">
        <f t="shared" si="1"/>
        <v>-934.42140399999994</v>
      </c>
      <c r="F11" s="9" t="s">
        <v>12</v>
      </c>
      <c r="G11" s="10">
        <v>46023</v>
      </c>
      <c r="H11" s="9">
        <v>80213</v>
      </c>
      <c r="J11" s="12" t="s">
        <v>36</v>
      </c>
      <c r="K11" s="12" t="s">
        <v>51</v>
      </c>
      <c r="L11" s="61">
        <v>934.42140399999994</v>
      </c>
      <c r="M11" s="14" t="s">
        <v>1</v>
      </c>
      <c r="N11" s="15" t="s">
        <v>142</v>
      </c>
      <c r="O11" s="16">
        <v>1</v>
      </c>
      <c r="P11" s="13"/>
      <c r="Q11" s="17" t="s">
        <v>131</v>
      </c>
    </row>
    <row r="12" spans="1:17" x14ac:dyDescent="0.25">
      <c r="A12" s="9" t="str">
        <f t="shared" si="0"/>
        <v>CUSTO DE DROPCOPY USD - BRAZA BANK S/A BANCO DE CAMBIO - BRUNO PEROTTONI - JANEIRO 26</v>
      </c>
      <c r="B12" s="10">
        <v>46023</v>
      </c>
      <c r="C12" s="9">
        <v>817632</v>
      </c>
      <c r="D12" s="11" t="s">
        <v>20</v>
      </c>
      <c r="E12" s="57">
        <f t="shared" si="1"/>
        <v>-934.42140399999994</v>
      </c>
      <c r="F12" s="9" t="s">
        <v>12</v>
      </c>
      <c r="G12" s="10">
        <v>46023</v>
      </c>
      <c r="H12" s="9">
        <v>80213</v>
      </c>
      <c r="J12" s="12" t="s">
        <v>36</v>
      </c>
      <c r="K12" s="12" t="s">
        <v>51</v>
      </c>
      <c r="L12" s="61">
        <v>934.42140399999994</v>
      </c>
      <c r="M12" s="14" t="s">
        <v>1</v>
      </c>
      <c r="N12" s="15" t="s">
        <v>142</v>
      </c>
      <c r="O12" s="16">
        <v>1</v>
      </c>
      <c r="P12" s="13"/>
      <c r="Q12" s="17" t="s">
        <v>21</v>
      </c>
    </row>
    <row r="13" spans="1:17" x14ac:dyDescent="0.25">
      <c r="A13" s="1" t="str">
        <f t="shared" si="0"/>
        <v>CUSTO DE DROPCOPY USD - BRAZA BANK S/A BANCO DE CAMBIO - GABRIEL RIBEIRO - JANEIRO 26</v>
      </c>
      <c r="B13" s="2">
        <v>46023</v>
      </c>
      <c r="C13" s="1">
        <v>817632</v>
      </c>
      <c r="D13" s="3" t="s">
        <v>20</v>
      </c>
      <c r="E13" s="58">
        <f t="shared" si="1"/>
        <v>-934.42140399999994</v>
      </c>
      <c r="F13" s="1" t="s">
        <v>12</v>
      </c>
      <c r="G13" s="2">
        <v>46023</v>
      </c>
      <c r="H13" s="1">
        <v>80213</v>
      </c>
      <c r="J13" s="4" t="s">
        <v>36</v>
      </c>
      <c r="K13" s="4" t="s">
        <v>51</v>
      </c>
      <c r="L13" s="60">
        <v>934.42140399999994</v>
      </c>
      <c r="M13" s="6" t="s">
        <v>1</v>
      </c>
      <c r="N13" s="7" t="s">
        <v>142</v>
      </c>
      <c r="O13" s="8">
        <v>1</v>
      </c>
      <c r="P13" s="5"/>
      <c r="Q13" s="64" t="s">
        <v>22</v>
      </c>
    </row>
    <row r="14" spans="1:17" x14ac:dyDescent="0.25">
      <c r="A14" s="1" t="str">
        <f t="shared" si="0"/>
        <v>CUSTO DE DROPCOPY USD - BANCO BRADESCO S/A - CAOE MARTINS - JANEIRO 26</v>
      </c>
      <c r="B14" s="2">
        <v>46023</v>
      </c>
      <c r="C14" s="1">
        <v>817632</v>
      </c>
      <c r="D14" s="3" t="s">
        <v>2</v>
      </c>
      <c r="E14" s="58">
        <f t="shared" si="1"/>
        <v>-1401.632106</v>
      </c>
      <c r="F14" s="1" t="s">
        <v>12</v>
      </c>
      <c r="G14" s="2">
        <v>46023</v>
      </c>
      <c r="H14" s="1">
        <v>81502</v>
      </c>
      <c r="J14" s="4" t="s">
        <v>36</v>
      </c>
      <c r="K14" s="4" t="s">
        <v>3</v>
      </c>
      <c r="L14" s="60">
        <v>1401.632106</v>
      </c>
      <c r="M14" s="6" t="s">
        <v>1</v>
      </c>
      <c r="N14" s="7" t="s">
        <v>142</v>
      </c>
      <c r="O14" s="8">
        <v>1</v>
      </c>
      <c r="P14" s="5"/>
      <c r="Q14" s="64" t="s">
        <v>128</v>
      </c>
    </row>
    <row r="15" spans="1:17" x14ac:dyDescent="0.25">
      <c r="A15" s="1" t="str">
        <f t="shared" si="0"/>
        <v>CUSTO DE DROPCOPY USD - BANCO BRADESCO S/A - JOAO VITOR CAIRES ALVES - JANEIRO 26</v>
      </c>
      <c r="B15" s="2">
        <v>46023</v>
      </c>
      <c r="C15" s="1">
        <v>817632</v>
      </c>
      <c r="D15" s="3" t="s">
        <v>2</v>
      </c>
      <c r="E15" s="58">
        <f t="shared" si="1"/>
        <v>-1401.632106</v>
      </c>
      <c r="F15" s="1" t="s">
        <v>12</v>
      </c>
      <c r="G15" s="2">
        <v>46023</v>
      </c>
      <c r="H15" s="1">
        <v>81502</v>
      </c>
      <c r="J15" s="4" t="s">
        <v>36</v>
      </c>
      <c r="K15" s="4" t="s">
        <v>3</v>
      </c>
      <c r="L15" s="60">
        <v>1401.632106</v>
      </c>
      <c r="M15" s="6" t="s">
        <v>1</v>
      </c>
      <c r="N15" s="7" t="s">
        <v>142</v>
      </c>
      <c r="O15" s="8">
        <v>1</v>
      </c>
      <c r="P15" s="5"/>
      <c r="Q15" s="64" t="s">
        <v>5</v>
      </c>
    </row>
    <row r="16" spans="1:17" x14ac:dyDescent="0.25">
      <c r="A16" s="1" t="str">
        <f t="shared" si="0"/>
        <v>CUSTO DE DROPCOPY USD - BANCO BRADESCO S/A - ALESSANDRO DRAGO - JANEIRO 26</v>
      </c>
      <c r="B16" s="2">
        <v>46023</v>
      </c>
      <c r="C16" s="1">
        <v>817632</v>
      </c>
      <c r="D16" s="3" t="s">
        <v>2</v>
      </c>
      <c r="E16" s="58">
        <f t="shared" si="1"/>
        <v>-934.42140399999994</v>
      </c>
      <c r="F16" s="1" t="s">
        <v>12</v>
      </c>
      <c r="G16" s="2">
        <v>46023</v>
      </c>
      <c r="H16" s="1">
        <v>81502</v>
      </c>
      <c r="J16" s="4" t="s">
        <v>36</v>
      </c>
      <c r="K16" s="4" t="s">
        <v>3</v>
      </c>
      <c r="L16" s="60">
        <v>934.42140399999994</v>
      </c>
      <c r="M16" s="6" t="s">
        <v>1</v>
      </c>
      <c r="N16" s="7" t="s">
        <v>142</v>
      </c>
      <c r="O16" s="8">
        <v>1</v>
      </c>
      <c r="P16" s="5"/>
      <c r="Q16" s="64" t="s">
        <v>137</v>
      </c>
    </row>
    <row r="17" spans="1:17" x14ac:dyDescent="0.25">
      <c r="A17" s="1" t="str">
        <f t="shared" si="0"/>
        <v>CUSTO DE DROPCOPY USD - BANCO BRADESCO S/A - LUCAS HORI - JANEIRO 26</v>
      </c>
      <c r="B17" s="2">
        <v>46023</v>
      </c>
      <c r="C17" s="1">
        <v>817632</v>
      </c>
      <c r="D17" s="3" t="s">
        <v>2</v>
      </c>
      <c r="E17" s="58">
        <f t="shared" si="1"/>
        <v>-934.42140399999994</v>
      </c>
      <c r="F17" s="1" t="s">
        <v>12</v>
      </c>
      <c r="G17" s="2">
        <v>46023</v>
      </c>
      <c r="H17" s="1">
        <v>81502</v>
      </c>
      <c r="J17" s="4" t="s">
        <v>36</v>
      </c>
      <c r="K17" s="4" t="s">
        <v>3</v>
      </c>
      <c r="L17" s="60">
        <v>934.42140399999994</v>
      </c>
      <c r="M17" s="6" t="s">
        <v>1</v>
      </c>
      <c r="N17" s="7" t="s">
        <v>142</v>
      </c>
      <c r="O17" s="8">
        <v>1</v>
      </c>
      <c r="P17" s="5"/>
      <c r="Q17" s="64" t="s">
        <v>138</v>
      </c>
    </row>
    <row r="18" spans="1:17" x14ac:dyDescent="0.25">
      <c r="A18" s="1" t="str">
        <f t="shared" si="0"/>
        <v>CUSTO DE DROPCOPY USD - BANCO BRADESCO S/A - GLAYSON PATRICIO - JANEIRO 26</v>
      </c>
      <c r="B18" s="2">
        <v>46023</v>
      </c>
      <c r="C18" s="1">
        <v>817632</v>
      </c>
      <c r="D18" s="3" t="s">
        <v>107</v>
      </c>
      <c r="E18" s="58">
        <f t="shared" si="1"/>
        <v>-934.42140399999994</v>
      </c>
      <c r="F18" s="1" t="s">
        <v>12</v>
      </c>
      <c r="G18" s="2">
        <v>46023</v>
      </c>
      <c r="H18" s="1">
        <v>81502</v>
      </c>
      <c r="J18" s="4" t="s">
        <v>36</v>
      </c>
      <c r="K18" s="4" t="s">
        <v>3</v>
      </c>
      <c r="L18" s="60">
        <v>934.42140399999994</v>
      </c>
      <c r="M18" s="6" t="s">
        <v>1</v>
      </c>
      <c r="N18" s="7" t="s">
        <v>142</v>
      </c>
      <c r="O18" s="8">
        <v>1</v>
      </c>
      <c r="P18" s="5"/>
      <c r="Q18" s="64" t="s">
        <v>140</v>
      </c>
    </row>
    <row r="19" spans="1:17" x14ac:dyDescent="0.25">
      <c r="A19" s="1" t="str">
        <f t="shared" si="0"/>
        <v>CUSTO DE DROPCOPY USD - KAPITALO INVESTIMENTOS LTDA - GUILHERME SILVA - JANEIRO 26</v>
      </c>
      <c r="B19" s="2">
        <v>46023</v>
      </c>
      <c r="C19" s="1">
        <v>817632</v>
      </c>
      <c r="D19" s="3" t="s">
        <v>2</v>
      </c>
      <c r="E19" s="58">
        <f t="shared" si="1"/>
        <v>-2803.264212</v>
      </c>
      <c r="F19" s="1" t="s">
        <v>12</v>
      </c>
      <c r="G19" s="2">
        <v>46023</v>
      </c>
      <c r="H19" s="1">
        <v>12413</v>
      </c>
      <c r="J19" s="4" t="s">
        <v>36</v>
      </c>
      <c r="K19" s="4" t="s">
        <v>113</v>
      </c>
      <c r="L19" s="60">
        <v>2803.264212</v>
      </c>
      <c r="M19" s="6" t="s">
        <v>1</v>
      </c>
      <c r="N19" s="7" t="s">
        <v>142</v>
      </c>
      <c r="O19" s="8">
        <v>1</v>
      </c>
      <c r="P19" s="5"/>
      <c r="Q19" s="64" t="s">
        <v>130</v>
      </c>
    </row>
    <row r="20" spans="1:17" x14ac:dyDescent="0.25">
      <c r="A20" s="9" t="str">
        <f t="shared" si="0"/>
        <v>CUSTO DE DROPCOPY USD - BANCO BRADESCO S/A - GABRIEL BORINI - JANEIRO 26</v>
      </c>
      <c r="B20" s="10">
        <v>46023</v>
      </c>
      <c r="C20" s="9">
        <v>817632</v>
      </c>
      <c r="D20" s="11" t="s">
        <v>2</v>
      </c>
      <c r="E20" s="57">
        <f>-L20*O20</f>
        <v>-80.593408387500006</v>
      </c>
      <c r="F20" s="9" t="s">
        <v>0</v>
      </c>
      <c r="G20" s="10">
        <v>46023</v>
      </c>
      <c r="H20" s="9">
        <v>81503</v>
      </c>
      <c r="J20" s="12" t="s">
        <v>36</v>
      </c>
      <c r="K20" s="12" t="s">
        <v>3</v>
      </c>
      <c r="L20" s="61">
        <v>161.18681677500001</v>
      </c>
      <c r="M20" s="14" t="s">
        <v>1</v>
      </c>
      <c r="N20" s="15" t="s">
        <v>142</v>
      </c>
      <c r="O20" s="16">
        <v>0.5</v>
      </c>
      <c r="P20" s="13"/>
      <c r="Q20" s="17" t="s">
        <v>4</v>
      </c>
    </row>
    <row r="21" spans="1:17" x14ac:dyDescent="0.25">
      <c r="A21" s="9" t="str">
        <f t="shared" si="0"/>
        <v>CUSTO DE DROPCOPY USD - BANCO BRADESCO S/A - GABRIEL BORINI - JANEIRO 26</v>
      </c>
      <c r="B21" s="10">
        <v>46023</v>
      </c>
      <c r="C21" s="9">
        <v>817632</v>
      </c>
      <c r="D21" s="11" t="s">
        <v>91</v>
      </c>
      <c r="E21" s="57">
        <f>-L21*O21</f>
        <v>-80.593408387500006</v>
      </c>
      <c r="F21" s="9" t="s">
        <v>0</v>
      </c>
      <c r="G21" s="10">
        <v>46023</v>
      </c>
      <c r="H21" s="9">
        <v>81503</v>
      </c>
      <c r="J21" s="12" t="s">
        <v>36</v>
      </c>
      <c r="K21" s="12" t="s">
        <v>3</v>
      </c>
      <c r="L21" s="61">
        <v>161.18681677500001</v>
      </c>
      <c r="M21" s="14" t="s">
        <v>1</v>
      </c>
      <c r="N21" s="15" t="s">
        <v>142</v>
      </c>
      <c r="O21" s="16">
        <v>0.5</v>
      </c>
      <c r="P21" s="13"/>
      <c r="Q21" s="17" t="s">
        <v>4</v>
      </c>
    </row>
    <row r="22" spans="1:17" x14ac:dyDescent="0.25">
      <c r="A22" s="9" t="str">
        <f t="shared" si="0"/>
        <v>CUSTO DE DROPCOPY USD - BANCO BRADESCO S/A - JOAO VITOR CAIRES ALVES - JANEIRO 26</v>
      </c>
      <c r="B22" s="10">
        <v>46023</v>
      </c>
      <c r="C22" s="9">
        <v>817632</v>
      </c>
      <c r="D22" s="11" t="s">
        <v>2</v>
      </c>
      <c r="E22" s="57">
        <f>-L22*O22</f>
        <v>-80.593408387500006</v>
      </c>
      <c r="F22" s="9" t="s">
        <v>0</v>
      </c>
      <c r="G22" s="10">
        <v>46023</v>
      </c>
      <c r="H22" s="9">
        <v>81503</v>
      </c>
      <c r="J22" s="12" t="s">
        <v>36</v>
      </c>
      <c r="K22" s="12" t="s">
        <v>3</v>
      </c>
      <c r="L22" s="61">
        <v>161.18681677500001</v>
      </c>
      <c r="M22" s="14" t="s">
        <v>1</v>
      </c>
      <c r="N22" s="15" t="s">
        <v>142</v>
      </c>
      <c r="O22" s="16">
        <v>0.5</v>
      </c>
      <c r="P22" s="13"/>
      <c r="Q22" s="17" t="s">
        <v>5</v>
      </c>
    </row>
    <row r="23" spans="1:17" x14ac:dyDescent="0.25">
      <c r="A23" s="9" t="str">
        <f t="shared" si="0"/>
        <v>CUSTO DE DROPCOPY USD - BANCO BRADESCO S/A - JOAO VITOR CAIRES ALVES - JANEIRO 26</v>
      </c>
      <c r="B23" s="10">
        <v>46023</v>
      </c>
      <c r="C23" s="9">
        <v>817632</v>
      </c>
      <c r="D23" s="11" t="s">
        <v>91</v>
      </c>
      <c r="E23" s="57">
        <f t="shared" si="1"/>
        <v>-80.593408387500006</v>
      </c>
      <c r="F23" s="9" t="s">
        <v>0</v>
      </c>
      <c r="G23" s="10">
        <v>46023</v>
      </c>
      <c r="H23" s="9">
        <v>81503</v>
      </c>
      <c r="J23" s="12" t="s">
        <v>36</v>
      </c>
      <c r="K23" s="12" t="s">
        <v>3</v>
      </c>
      <c r="L23" s="61">
        <v>161.18681677500001</v>
      </c>
      <c r="M23" s="14" t="s">
        <v>1</v>
      </c>
      <c r="N23" s="15" t="s">
        <v>142</v>
      </c>
      <c r="O23" s="16">
        <v>0.5</v>
      </c>
      <c r="P23" s="13"/>
      <c r="Q23" s="17" t="s">
        <v>5</v>
      </c>
    </row>
    <row r="24" spans="1:17" x14ac:dyDescent="0.25">
      <c r="A24" s="9" t="str">
        <f t="shared" si="0"/>
        <v>CUSTO DE DROPCOPY USD - BANCO BRADESCO S/A - MARCELO CAIRES - JANEIRO 26</v>
      </c>
      <c r="B24" s="10">
        <v>46023</v>
      </c>
      <c r="C24" s="9">
        <v>817632</v>
      </c>
      <c r="D24" s="11" t="s">
        <v>2</v>
      </c>
      <c r="E24" s="57">
        <f t="shared" si="1"/>
        <v>-80.593408387500006</v>
      </c>
      <c r="F24" s="9" t="s">
        <v>0</v>
      </c>
      <c r="G24" s="10">
        <v>46023</v>
      </c>
      <c r="H24" s="9">
        <v>81503</v>
      </c>
      <c r="J24" s="12" t="s">
        <v>36</v>
      </c>
      <c r="K24" s="12" t="s">
        <v>3</v>
      </c>
      <c r="L24" s="61">
        <v>161.18681677500001</v>
      </c>
      <c r="M24" s="14" t="s">
        <v>1</v>
      </c>
      <c r="N24" s="15" t="s">
        <v>142</v>
      </c>
      <c r="O24" s="16">
        <v>0.5</v>
      </c>
      <c r="P24" s="13"/>
      <c r="Q24" s="17" t="s">
        <v>6</v>
      </c>
    </row>
    <row r="25" spans="1:17" x14ac:dyDescent="0.25">
      <c r="A25" s="9" t="str">
        <f t="shared" si="0"/>
        <v>CUSTO DE DROPCOPY USD - BANCO BRADESCO S/A - MARCELO CAIRES - JANEIRO 26</v>
      </c>
      <c r="B25" s="10">
        <v>46023</v>
      </c>
      <c r="C25" s="9">
        <v>817632</v>
      </c>
      <c r="D25" s="11" t="s">
        <v>91</v>
      </c>
      <c r="E25" s="57">
        <f t="shared" si="1"/>
        <v>-80.593408387500006</v>
      </c>
      <c r="F25" s="9" t="s">
        <v>0</v>
      </c>
      <c r="G25" s="10">
        <v>46023</v>
      </c>
      <c r="H25" s="9">
        <v>81503</v>
      </c>
      <c r="J25" s="12" t="s">
        <v>36</v>
      </c>
      <c r="K25" s="12" t="s">
        <v>3</v>
      </c>
      <c r="L25" s="61">
        <v>161.18681677500001</v>
      </c>
      <c r="M25" s="14" t="s">
        <v>1</v>
      </c>
      <c r="N25" s="15" t="s">
        <v>142</v>
      </c>
      <c r="O25" s="16">
        <v>0.5</v>
      </c>
      <c r="P25" s="13"/>
      <c r="Q25" s="17" t="s">
        <v>6</v>
      </c>
    </row>
    <row r="26" spans="1:17" x14ac:dyDescent="0.25">
      <c r="A26" s="9" t="str">
        <f t="shared" si="0"/>
        <v>CUSTO DE DROPCOPY USD - BANCO BRADESCO S/A - RONALDO SASAKI - JANEIRO 26</v>
      </c>
      <c r="B26" s="10">
        <v>46023</v>
      </c>
      <c r="C26" s="9">
        <v>817632</v>
      </c>
      <c r="D26" s="11" t="s">
        <v>2</v>
      </c>
      <c r="E26" s="57">
        <f t="shared" si="1"/>
        <v>-80.593408387500006</v>
      </c>
      <c r="F26" s="9" t="s">
        <v>0</v>
      </c>
      <c r="G26" s="10">
        <v>46023</v>
      </c>
      <c r="H26" s="9">
        <v>81503</v>
      </c>
      <c r="J26" s="12" t="s">
        <v>36</v>
      </c>
      <c r="K26" s="12" t="s">
        <v>3</v>
      </c>
      <c r="L26" s="61">
        <v>161.18681677500001</v>
      </c>
      <c r="M26" s="14" t="s">
        <v>1</v>
      </c>
      <c r="N26" s="15" t="s">
        <v>142</v>
      </c>
      <c r="O26" s="16">
        <v>0.5</v>
      </c>
      <c r="P26" s="13"/>
      <c r="Q26" s="17" t="s">
        <v>7</v>
      </c>
    </row>
    <row r="27" spans="1:17" x14ac:dyDescent="0.25">
      <c r="A27" s="1" t="str">
        <f t="shared" si="0"/>
        <v>CUSTO DE DROPCOPY USD - BANCO BRADESCO S/A - RONALDO SASAKI - JANEIRO 26</v>
      </c>
      <c r="B27" s="2">
        <v>46023</v>
      </c>
      <c r="C27" s="1">
        <v>817632</v>
      </c>
      <c r="D27" s="3" t="s">
        <v>91</v>
      </c>
      <c r="E27" s="58">
        <f t="shared" si="1"/>
        <v>-80.593408387500006</v>
      </c>
      <c r="F27" s="1" t="s">
        <v>0</v>
      </c>
      <c r="G27" s="2">
        <v>46023</v>
      </c>
      <c r="H27" s="1">
        <v>81503</v>
      </c>
      <c r="J27" s="4" t="s">
        <v>36</v>
      </c>
      <c r="K27" s="4" t="s">
        <v>3</v>
      </c>
      <c r="L27" s="60">
        <v>161.18681677500001</v>
      </c>
      <c r="M27" s="6" t="s">
        <v>1</v>
      </c>
      <c r="N27" s="7" t="s">
        <v>142</v>
      </c>
      <c r="O27" s="8">
        <v>0.5</v>
      </c>
      <c r="P27" s="5"/>
      <c r="Q27" s="64" t="s">
        <v>7</v>
      </c>
    </row>
    <row r="28" spans="1:17" x14ac:dyDescent="0.25">
      <c r="A28" s="9" t="str">
        <f t="shared" si="0"/>
        <v>CUSTO DE DROPCOPY USD - SPX EQUITIES GESTAO DE RECURSOS LTDA - LUCAS ROSSI - JANEIRO 26</v>
      </c>
      <c r="B28" s="10">
        <v>46023</v>
      </c>
      <c r="C28" s="9">
        <v>817632</v>
      </c>
      <c r="D28" s="11" t="s">
        <v>2</v>
      </c>
      <c r="E28" s="57">
        <f t="shared" si="1"/>
        <v>-77.369672051999999</v>
      </c>
      <c r="F28" s="9" t="s">
        <v>0</v>
      </c>
      <c r="G28" s="10">
        <v>46023</v>
      </c>
      <c r="H28" s="9">
        <v>79931</v>
      </c>
      <c r="J28" s="12" t="s">
        <v>36</v>
      </c>
      <c r="K28" s="12" t="s">
        <v>9</v>
      </c>
      <c r="L28" s="61">
        <v>128.94945342</v>
      </c>
      <c r="M28" s="14" t="s">
        <v>1</v>
      </c>
      <c r="N28" s="15" t="s">
        <v>142</v>
      </c>
      <c r="O28" s="16">
        <v>0.6</v>
      </c>
      <c r="P28" s="13"/>
      <c r="Q28" s="17" t="s">
        <v>10</v>
      </c>
    </row>
    <row r="29" spans="1:17" x14ac:dyDescent="0.25">
      <c r="A29" s="1" t="str">
        <f t="shared" si="0"/>
        <v>CUSTO DE DROPCOPY USD - SPX EQUITIES GESTAO DE RECURSOS LTDA - LUCAS ROSSI - JANEIRO 26</v>
      </c>
      <c r="B29" s="2">
        <v>46023</v>
      </c>
      <c r="C29" s="1">
        <v>817632</v>
      </c>
      <c r="D29" s="3" t="s">
        <v>91</v>
      </c>
      <c r="E29" s="58">
        <f t="shared" si="1"/>
        <v>-51.579781367999999</v>
      </c>
      <c r="F29" s="1" t="s">
        <v>0</v>
      </c>
      <c r="G29" s="2">
        <v>46023</v>
      </c>
      <c r="H29" s="1">
        <v>79931</v>
      </c>
      <c r="I29" s="34"/>
      <c r="J29" s="4" t="s">
        <v>36</v>
      </c>
      <c r="K29" s="4" t="s">
        <v>9</v>
      </c>
      <c r="L29" s="60">
        <v>128.94945342</v>
      </c>
      <c r="M29" s="6" t="s">
        <v>1</v>
      </c>
      <c r="N29" s="7" t="s">
        <v>142</v>
      </c>
      <c r="O29" s="8">
        <v>0.4</v>
      </c>
      <c r="P29" s="5"/>
      <c r="Q29" s="64" t="s">
        <v>10</v>
      </c>
    </row>
    <row r="30" spans="1:17" x14ac:dyDescent="0.25">
      <c r="A30" s="9" t="str">
        <f t="shared" si="0"/>
        <v>CUSTO DE DROPCOPY USD - SPX EQUITIES GESTAO DE RECURSOS LTDA - THIAGO SANTOS - JANEIRO 26</v>
      </c>
      <c r="B30" s="10">
        <v>46023</v>
      </c>
      <c r="C30" s="9">
        <v>817632</v>
      </c>
      <c r="D30" s="11" t="s">
        <v>2</v>
      </c>
      <c r="E30" s="57">
        <f t="shared" si="1"/>
        <v>-154.739344104</v>
      </c>
      <c r="F30" s="9" t="s">
        <v>0</v>
      </c>
      <c r="G30" s="10">
        <v>46023</v>
      </c>
      <c r="H30" s="9">
        <v>81564</v>
      </c>
      <c r="J30" s="12" t="s">
        <v>36</v>
      </c>
      <c r="K30" s="12" t="s">
        <v>9</v>
      </c>
      <c r="L30" s="61">
        <v>257.89890684</v>
      </c>
      <c r="M30" s="14" t="s">
        <v>1</v>
      </c>
      <c r="N30" s="15" t="s">
        <v>142</v>
      </c>
      <c r="O30" s="16">
        <v>0.6</v>
      </c>
      <c r="P30" s="13"/>
      <c r="Q30" s="17" t="s">
        <v>90</v>
      </c>
    </row>
    <row r="31" spans="1:17" x14ac:dyDescent="0.25">
      <c r="A31" s="1" t="str">
        <f t="shared" si="0"/>
        <v>CUSTO DE DROPCOPY USD - SPX EQUITIES GESTAO DE RECURSOS LTDA - THIAGO SANTOS - JANEIRO 26</v>
      </c>
      <c r="B31" s="2">
        <v>46023</v>
      </c>
      <c r="C31" s="1">
        <v>817632</v>
      </c>
      <c r="D31" s="3" t="s">
        <v>91</v>
      </c>
      <c r="E31" s="58">
        <f t="shared" si="1"/>
        <v>-103.159562736</v>
      </c>
      <c r="F31" s="1" t="s">
        <v>0</v>
      </c>
      <c r="G31" s="2">
        <v>46023</v>
      </c>
      <c r="H31" s="1">
        <v>81564</v>
      </c>
      <c r="I31" s="34"/>
      <c r="J31" s="4" t="s">
        <v>36</v>
      </c>
      <c r="K31" s="4" t="s">
        <v>9</v>
      </c>
      <c r="L31" s="60">
        <v>257.89890684</v>
      </c>
      <c r="M31" s="6" t="s">
        <v>1</v>
      </c>
      <c r="N31" s="7" t="s">
        <v>142</v>
      </c>
      <c r="O31" s="8">
        <v>0.4</v>
      </c>
      <c r="P31" s="5"/>
      <c r="Q31" s="64" t="s">
        <v>90</v>
      </c>
    </row>
    <row r="32" spans="1:17" x14ac:dyDescent="0.25">
      <c r="A32" s="9" t="str">
        <f t="shared" si="0"/>
        <v>CUSTO DE DROPCOPY USD - SPX EQUITIES GESTAO DE RECURSOS LTDA - GABRIEL FERREIRA - JANEIRO 26</v>
      </c>
      <c r="B32" s="10">
        <v>46023</v>
      </c>
      <c r="C32" s="9">
        <v>817632</v>
      </c>
      <c r="D32" s="11" t="s">
        <v>2</v>
      </c>
      <c r="E32" s="57">
        <f t="shared" si="1"/>
        <v>-77.369672051999999</v>
      </c>
      <c r="F32" s="9" t="s">
        <v>0</v>
      </c>
      <c r="G32" s="10">
        <v>46023</v>
      </c>
      <c r="H32" s="9">
        <v>81564</v>
      </c>
      <c r="J32" s="12" t="s">
        <v>36</v>
      </c>
      <c r="K32" s="12" t="s">
        <v>9</v>
      </c>
      <c r="L32" s="61">
        <v>128.94945342</v>
      </c>
      <c r="M32" s="14" t="s">
        <v>1</v>
      </c>
      <c r="N32" s="15" t="s">
        <v>142</v>
      </c>
      <c r="O32" s="16">
        <v>0.6</v>
      </c>
      <c r="P32" s="13"/>
      <c r="Q32" s="17" t="s">
        <v>123</v>
      </c>
    </row>
    <row r="33" spans="1:17" x14ac:dyDescent="0.25">
      <c r="A33" s="1" t="str">
        <f t="shared" si="0"/>
        <v>CUSTO DE DROPCOPY USD - SPX EQUITIES GESTAO DE RECURSOS LTDA - GABRIEL FERREIRA - JANEIRO 26</v>
      </c>
      <c r="B33" s="2">
        <v>46023</v>
      </c>
      <c r="C33" s="1">
        <v>817632</v>
      </c>
      <c r="D33" s="3" t="s">
        <v>91</v>
      </c>
      <c r="E33" s="58">
        <f t="shared" si="1"/>
        <v>-51.579781367999999</v>
      </c>
      <c r="F33" s="1" t="s">
        <v>0</v>
      </c>
      <c r="G33" s="2">
        <v>46023</v>
      </c>
      <c r="H33" s="1">
        <v>81564</v>
      </c>
      <c r="I33" s="34"/>
      <c r="J33" s="4" t="s">
        <v>36</v>
      </c>
      <c r="K33" s="4" t="s">
        <v>9</v>
      </c>
      <c r="L33" s="60">
        <v>128.94945342</v>
      </c>
      <c r="M33" s="6" t="s">
        <v>1</v>
      </c>
      <c r="N33" s="7" t="s">
        <v>142</v>
      </c>
      <c r="O33" s="8">
        <v>0.4</v>
      </c>
      <c r="P33" s="5"/>
      <c r="Q33" s="64" t="s">
        <v>123</v>
      </c>
    </row>
    <row r="34" spans="1:17" x14ac:dyDescent="0.25">
      <c r="A34" s="9" t="str">
        <f t="shared" si="0"/>
        <v>CUSTO DE DROPCOPY USD - SPX EQUITIES GESTAO DE RECURSOS LTDA - MURILO ORTIZ - JANEIRO 26</v>
      </c>
      <c r="B34" s="10">
        <v>46023</v>
      </c>
      <c r="C34" s="9">
        <v>817632</v>
      </c>
      <c r="D34" s="11" t="s">
        <v>2</v>
      </c>
      <c r="E34" s="57">
        <f t="shared" si="1"/>
        <v>-77.369672051999999</v>
      </c>
      <c r="F34" s="9" t="s">
        <v>0</v>
      </c>
      <c r="G34" s="10">
        <v>46023</v>
      </c>
      <c r="H34" s="9">
        <v>81564</v>
      </c>
      <c r="J34" s="12" t="s">
        <v>36</v>
      </c>
      <c r="K34" s="12" t="s">
        <v>9</v>
      </c>
      <c r="L34" s="61">
        <v>128.94945342</v>
      </c>
      <c r="M34" s="14" t="s">
        <v>1</v>
      </c>
      <c r="N34" s="15" t="s">
        <v>142</v>
      </c>
      <c r="O34" s="16">
        <v>0.6</v>
      </c>
      <c r="P34" s="13"/>
      <c r="Q34" s="17" t="s">
        <v>124</v>
      </c>
    </row>
    <row r="35" spans="1:17" x14ac:dyDescent="0.25">
      <c r="A35" s="1" t="str">
        <f t="shared" si="0"/>
        <v>CUSTO DE DROPCOPY USD - SPX EQUITIES GESTAO DE RECURSOS LTDA - MURILO ORTIZ - JANEIRO 26</v>
      </c>
      <c r="B35" s="2">
        <v>46023</v>
      </c>
      <c r="C35" s="1">
        <v>817632</v>
      </c>
      <c r="D35" s="3" t="s">
        <v>91</v>
      </c>
      <c r="E35" s="58">
        <f t="shared" si="1"/>
        <v>-51.579781367999999</v>
      </c>
      <c r="F35" s="1" t="s">
        <v>0</v>
      </c>
      <c r="G35" s="2">
        <v>46023</v>
      </c>
      <c r="H35" s="1">
        <v>81564</v>
      </c>
      <c r="I35" s="34"/>
      <c r="J35" s="4" t="s">
        <v>36</v>
      </c>
      <c r="K35" s="4" t="s">
        <v>9</v>
      </c>
      <c r="L35" s="60">
        <v>128.94945342</v>
      </c>
      <c r="M35" s="6" t="s">
        <v>1</v>
      </c>
      <c r="N35" s="7" t="s">
        <v>142</v>
      </c>
      <c r="O35" s="8">
        <v>0.4</v>
      </c>
      <c r="P35" s="5"/>
      <c r="Q35" s="64" t="s">
        <v>124</v>
      </c>
    </row>
    <row r="36" spans="1:17" x14ac:dyDescent="0.25">
      <c r="A36" s="1" t="str">
        <f t="shared" si="0"/>
        <v>CUSTO DE DROPCOPY USD - KAPITALO INVESTIMENTO LTDA - RAFAEL POPPE - JANEIRO 26</v>
      </c>
      <c r="B36" s="2">
        <v>46023</v>
      </c>
      <c r="C36" s="1">
        <v>817632</v>
      </c>
      <c r="D36" s="3" t="s">
        <v>2</v>
      </c>
      <c r="E36" s="58">
        <f t="shared" si="1"/>
        <v>-644.74726709999993</v>
      </c>
      <c r="F36" s="1" t="s">
        <v>0</v>
      </c>
      <c r="G36" s="2">
        <v>46023</v>
      </c>
      <c r="H36" s="1">
        <v>81778</v>
      </c>
      <c r="J36" s="4" t="s">
        <v>36</v>
      </c>
      <c r="K36" s="4" t="s">
        <v>37</v>
      </c>
      <c r="L36" s="60">
        <v>644.74726709999993</v>
      </c>
      <c r="M36" s="6" t="s">
        <v>1</v>
      </c>
      <c r="N36" s="7" t="s">
        <v>142</v>
      </c>
      <c r="O36" s="8">
        <v>1</v>
      </c>
      <c r="P36" s="5"/>
      <c r="Q36" s="64" t="s">
        <v>38</v>
      </c>
    </row>
    <row r="37" spans="1:17" x14ac:dyDescent="0.25">
      <c r="A37" s="9" t="str">
        <f t="shared" ref="A37:A98" si="2">CONCATENATE(J37,P37,M37,K37,M37,N37)</f>
        <v>CUSTO DE DROPCOPY USD - BGC LIQUIDEZ - JANEIRO 26</v>
      </c>
      <c r="B37" s="10">
        <v>46023</v>
      </c>
      <c r="C37" s="9">
        <v>817632</v>
      </c>
      <c r="D37" s="11" t="s">
        <v>2</v>
      </c>
      <c r="E37" s="57">
        <f t="shared" si="1"/>
        <v>-3522.2579999999998</v>
      </c>
      <c r="F37" s="9" t="s">
        <v>48</v>
      </c>
      <c r="G37" s="10">
        <v>46023</v>
      </c>
      <c r="H37" s="9">
        <v>1170</v>
      </c>
      <c r="J37" s="12" t="s">
        <v>36</v>
      </c>
      <c r="K37" s="12" t="s">
        <v>47</v>
      </c>
      <c r="L37" s="61">
        <v>3522.2579999999998</v>
      </c>
      <c r="M37" s="14" t="s">
        <v>1</v>
      </c>
      <c r="N37" s="15" t="s">
        <v>142</v>
      </c>
      <c r="O37" s="16">
        <v>1</v>
      </c>
      <c r="P37" s="13"/>
      <c r="Q37" s="17"/>
    </row>
    <row r="38" spans="1:17" x14ac:dyDescent="0.25">
      <c r="A38" s="9" t="str">
        <f t="shared" si="2"/>
        <v>CUSTO DE DROPCOPY USD - BGC LIQUIDEZ - JANEIRO 26</v>
      </c>
      <c r="B38" s="10">
        <v>46023</v>
      </c>
      <c r="C38" s="9">
        <v>817632</v>
      </c>
      <c r="D38" s="11" t="s">
        <v>91</v>
      </c>
      <c r="E38" s="57">
        <f t="shared" si="1"/>
        <v>-1174.086</v>
      </c>
      <c r="F38" s="9" t="s">
        <v>48</v>
      </c>
      <c r="G38" s="10">
        <v>46023</v>
      </c>
      <c r="H38" s="9">
        <v>1170</v>
      </c>
      <c r="J38" s="12" t="s">
        <v>36</v>
      </c>
      <c r="K38" s="12" t="s">
        <v>47</v>
      </c>
      <c r="L38" s="61">
        <v>1174.086</v>
      </c>
      <c r="M38" s="14" t="s">
        <v>1</v>
      </c>
      <c r="N38" s="15" t="s">
        <v>142</v>
      </c>
      <c r="O38" s="16">
        <v>1</v>
      </c>
      <c r="P38" s="13"/>
      <c r="Q38" s="17"/>
    </row>
    <row r="39" spans="1:17" x14ac:dyDescent="0.25">
      <c r="A39" s="1" t="str">
        <f t="shared" si="2"/>
        <v>CUSTO DE DROPCOPY USD - BGC LIQUIDEZ - JANEIRO 26</v>
      </c>
      <c r="B39" s="2">
        <v>46023</v>
      </c>
      <c r="C39" s="1">
        <v>817632</v>
      </c>
      <c r="D39" s="3" t="s">
        <v>93</v>
      </c>
      <c r="E39" s="58">
        <f t="shared" si="1"/>
        <v>-1174.086</v>
      </c>
      <c r="F39" s="3" t="s">
        <v>48</v>
      </c>
      <c r="G39" s="2">
        <v>46023</v>
      </c>
      <c r="H39" s="1">
        <v>1170</v>
      </c>
      <c r="J39" s="4" t="s">
        <v>36</v>
      </c>
      <c r="K39" s="4" t="s">
        <v>47</v>
      </c>
      <c r="L39" s="60">
        <v>1174.086</v>
      </c>
      <c r="M39" s="6" t="s">
        <v>1</v>
      </c>
      <c r="N39" s="7" t="s">
        <v>142</v>
      </c>
      <c r="O39" s="8">
        <v>1</v>
      </c>
      <c r="P39" s="5"/>
      <c r="Q39" s="17"/>
    </row>
    <row r="40" spans="1:17" x14ac:dyDescent="0.25">
      <c r="A40" s="9" t="str">
        <f t="shared" si="2"/>
        <v>CUSTO DE DROPCOPY USD - BGC LIQUIDEZ - JANEIRO 26</v>
      </c>
      <c r="B40" s="10">
        <v>46023</v>
      </c>
      <c r="C40" s="9">
        <v>817632</v>
      </c>
      <c r="D40" s="11" t="s">
        <v>40</v>
      </c>
      <c r="E40" s="57">
        <f t="shared" si="1"/>
        <v>-162.20925</v>
      </c>
      <c r="F40" s="9" t="s">
        <v>94</v>
      </c>
      <c r="G40" s="10">
        <v>46023</v>
      </c>
      <c r="H40" s="9">
        <v>1170</v>
      </c>
      <c r="J40" s="12" t="s">
        <v>36</v>
      </c>
      <c r="K40" s="12" t="s">
        <v>47</v>
      </c>
      <c r="L40" s="61">
        <v>162.20925</v>
      </c>
      <c r="M40" s="14" t="s">
        <v>1</v>
      </c>
      <c r="N40" s="15" t="s">
        <v>142</v>
      </c>
      <c r="O40" s="16">
        <v>1</v>
      </c>
      <c r="P40" s="13"/>
      <c r="Q40" s="17"/>
    </row>
    <row r="41" spans="1:17" x14ac:dyDescent="0.25">
      <c r="A41" s="9" t="str">
        <f t="shared" si="2"/>
        <v>CUSTO DE DROPCOPY USD - BGC LIQUIDEZ - JANEIRO 26</v>
      </c>
      <c r="B41" s="10">
        <v>46023</v>
      </c>
      <c r="C41" s="9">
        <v>817632</v>
      </c>
      <c r="D41" s="11" t="s">
        <v>95</v>
      </c>
      <c r="E41" s="57">
        <f t="shared" si="1"/>
        <v>-162.20925</v>
      </c>
      <c r="F41" s="9" t="s">
        <v>94</v>
      </c>
      <c r="G41" s="10">
        <v>46023</v>
      </c>
      <c r="H41" s="9">
        <v>1170</v>
      </c>
      <c r="J41" s="12" t="s">
        <v>36</v>
      </c>
      <c r="K41" s="12" t="s">
        <v>47</v>
      </c>
      <c r="L41" s="61">
        <v>162.20925</v>
      </c>
      <c r="M41" s="14" t="s">
        <v>1</v>
      </c>
      <c r="N41" s="15" t="s">
        <v>142</v>
      </c>
      <c r="O41" s="16">
        <v>1</v>
      </c>
      <c r="P41" s="13"/>
      <c r="Q41" s="17"/>
    </row>
    <row r="42" spans="1:17" x14ac:dyDescent="0.25">
      <c r="A42" s="9" t="str">
        <f t="shared" si="2"/>
        <v>CUSTO DE DROPCOPY USD - BGC LIQUIDEZ - JANEIRO 26</v>
      </c>
      <c r="B42" s="10">
        <v>46023</v>
      </c>
      <c r="C42" s="9">
        <v>817632</v>
      </c>
      <c r="D42" s="11" t="s">
        <v>2</v>
      </c>
      <c r="E42" s="57">
        <f t="shared" si="1"/>
        <v>-486.62774999999999</v>
      </c>
      <c r="F42" s="9" t="s">
        <v>94</v>
      </c>
      <c r="G42" s="10">
        <v>46023</v>
      </c>
      <c r="H42" s="9">
        <v>1170</v>
      </c>
      <c r="J42" s="12" t="s">
        <v>36</v>
      </c>
      <c r="K42" s="12" t="s">
        <v>47</v>
      </c>
      <c r="L42" s="61">
        <v>486.62774999999999</v>
      </c>
      <c r="M42" s="14" t="s">
        <v>1</v>
      </c>
      <c r="N42" s="15" t="s">
        <v>142</v>
      </c>
      <c r="O42" s="16">
        <v>1</v>
      </c>
      <c r="P42" s="13"/>
      <c r="Q42" s="17"/>
    </row>
    <row r="43" spans="1:17" x14ac:dyDescent="0.25">
      <c r="A43" s="9" t="str">
        <f t="shared" si="2"/>
        <v>CUSTO DE DROPCOPY USD - BGC LIQUIDEZ - JANEIRO 26</v>
      </c>
      <c r="B43" s="10">
        <v>46023</v>
      </c>
      <c r="C43" s="9">
        <v>817632</v>
      </c>
      <c r="D43" s="11" t="s">
        <v>93</v>
      </c>
      <c r="E43" s="57">
        <f t="shared" si="1"/>
        <v>-162.20925</v>
      </c>
      <c r="F43" s="9" t="s">
        <v>94</v>
      </c>
      <c r="G43" s="10">
        <v>46023</v>
      </c>
      <c r="H43" s="9">
        <v>1170</v>
      </c>
      <c r="J43" s="12" t="s">
        <v>36</v>
      </c>
      <c r="K43" s="12" t="s">
        <v>47</v>
      </c>
      <c r="L43" s="61">
        <v>162.20925</v>
      </c>
      <c r="M43" s="14" t="s">
        <v>1</v>
      </c>
      <c r="N43" s="15" t="s">
        <v>142</v>
      </c>
      <c r="O43" s="16">
        <v>1</v>
      </c>
      <c r="P43" s="13"/>
      <c r="Q43" s="17"/>
    </row>
    <row r="44" spans="1:17" x14ac:dyDescent="0.25">
      <c r="A44" s="1" t="str">
        <f t="shared" si="2"/>
        <v>CUSTO DE DROPCOPY USD - BGC LIQUIDEZ - JANEIRO 26</v>
      </c>
      <c r="B44" s="2">
        <v>46023</v>
      </c>
      <c r="C44" s="1">
        <v>817632</v>
      </c>
      <c r="D44" s="3" t="s">
        <v>91</v>
      </c>
      <c r="E44" s="58">
        <f t="shared" si="1"/>
        <v>-162.20925</v>
      </c>
      <c r="F44" s="1" t="s">
        <v>94</v>
      </c>
      <c r="G44" s="2">
        <v>46023</v>
      </c>
      <c r="H44" s="1">
        <v>1170</v>
      </c>
      <c r="J44" s="4" t="s">
        <v>36</v>
      </c>
      <c r="K44" s="4" t="s">
        <v>47</v>
      </c>
      <c r="L44" s="60">
        <v>162.20925</v>
      </c>
      <c r="M44" s="6" t="s">
        <v>1</v>
      </c>
      <c r="N44" s="7" t="s">
        <v>142</v>
      </c>
      <c r="O44" s="8">
        <v>1</v>
      </c>
      <c r="P44" s="5"/>
      <c r="Q44" s="17"/>
    </row>
    <row r="45" spans="1:17" x14ac:dyDescent="0.25">
      <c r="A45" s="9" t="str">
        <f t="shared" si="2"/>
        <v>CUSTO DE DROPCOPY USD - BGC LIQUIDEZ - JANEIRO 26</v>
      </c>
      <c r="B45" s="10">
        <v>46023</v>
      </c>
      <c r="C45" s="9">
        <v>817632</v>
      </c>
      <c r="D45" s="11" t="s">
        <v>95</v>
      </c>
      <c r="E45" s="57">
        <f t="shared" si="1"/>
        <v>-66.9435</v>
      </c>
      <c r="F45" s="9" t="s">
        <v>96</v>
      </c>
      <c r="G45" s="10">
        <v>46023</v>
      </c>
      <c r="H45" s="9">
        <v>1170</v>
      </c>
      <c r="J45" s="12" t="s">
        <v>36</v>
      </c>
      <c r="K45" s="12" t="s">
        <v>47</v>
      </c>
      <c r="L45" s="61">
        <v>66.9435</v>
      </c>
      <c r="M45" s="14" t="s">
        <v>1</v>
      </c>
      <c r="N45" s="15" t="s">
        <v>142</v>
      </c>
      <c r="O45" s="16">
        <v>1</v>
      </c>
      <c r="P45" s="13"/>
      <c r="Q45" s="17"/>
    </row>
    <row r="46" spans="1:17" x14ac:dyDescent="0.25">
      <c r="A46" s="1" t="str">
        <f t="shared" si="2"/>
        <v>CUSTO DE DROPCOPY USD - BGC LIQUIDEZ - JANEIRO 26</v>
      </c>
      <c r="B46" s="2">
        <v>46023</v>
      </c>
      <c r="C46" s="1">
        <v>817632</v>
      </c>
      <c r="D46" s="3" t="s">
        <v>40</v>
      </c>
      <c r="E46" s="58">
        <f t="shared" si="1"/>
        <v>-66.9435</v>
      </c>
      <c r="F46" s="1" t="s">
        <v>96</v>
      </c>
      <c r="G46" s="2">
        <v>46023</v>
      </c>
      <c r="H46" s="1">
        <v>1170</v>
      </c>
      <c r="J46" s="4" t="s">
        <v>36</v>
      </c>
      <c r="K46" s="4" t="s">
        <v>47</v>
      </c>
      <c r="L46" s="60">
        <v>66.9435</v>
      </c>
      <c r="M46" s="6" t="s">
        <v>1</v>
      </c>
      <c r="N46" s="7" t="s">
        <v>142</v>
      </c>
      <c r="O46" s="8">
        <v>1</v>
      </c>
      <c r="P46" s="5"/>
      <c r="Q46" s="17"/>
    </row>
    <row r="47" spans="1:17" x14ac:dyDescent="0.25">
      <c r="A47" s="9" t="str">
        <f t="shared" si="2"/>
        <v>CUSTO DE DROPCOPY BRL - AGUILA CAPITAL ADM - JANEIRO 26</v>
      </c>
      <c r="B47" s="10">
        <v>46023</v>
      </c>
      <c r="C47" s="9">
        <v>817632</v>
      </c>
      <c r="D47" s="11" t="s">
        <v>133</v>
      </c>
      <c r="E47" s="57">
        <f t="shared" si="1"/>
        <v>-2816</v>
      </c>
      <c r="F47" s="9" t="s">
        <v>132</v>
      </c>
      <c r="G47" s="10">
        <v>46023</v>
      </c>
      <c r="H47" s="9">
        <v>12397</v>
      </c>
      <c r="J47" s="12" t="s">
        <v>52</v>
      </c>
      <c r="K47" s="12" t="s">
        <v>134</v>
      </c>
      <c r="L47" s="61">
        <v>2816</v>
      </c>
      <c r="M47" s="14" t="s">
        <v>1</v>
      </c>
      <c r="N47" s="15" t="s">
        <v>142</v>
      </c>
      <c r="O47" s="16">
        <v>1</v>
      </c>
      <c r="P47" s="68"/>
      <c r="Q47" s="17"/>
    </row>
    <row r="48" spans="1:17" x14ac:dyDescent="0.25">
      <c r="A48" s="18" t="str">
        <f t="shared" si="2"/>
        <v>CUSTO DE DROPCOPY BRL - VINLAND CAPITAL - JANEIRO 26</v>
      </c>
      <c r="B48" s="19">
        <v>46023</v>
      </c>
      <c r="C48" s="18">
        <v>817632</v>
      </c>
      <c r="D48" s="20" t="s">
        <v>95</v>
      </c>
      <c r="E48" s="55">
        <f t="shared" si="1"/>
        <v>-318.0443874685165</v>
      </c>
      <c r="F48" s="18" t="s">
        <v>46</v>
      </c>
      <c r="G48" s="19">
        <v>46023</v>
      </c>
      <c r="H48" s="18">
        <v>80359</v>
      </c>
      <c r="J48" s="21" t="s">
        <v>52</v>
      </c>
      <c r="K48" s="21" t="s">
        <v>121</v>
      </c>
      <c r="L48" s="63">
        <v>318.0443874685165</v>
      </c>
      <c r="M48" s="23" t="s">
        <v>1</v>
      </c>
      <c r="N48" s="24" t="s">
        <v>142</v>
      </c>
      <c r="O48" s="25">
        <v>1</v>
      </c>
      <c r="P48" s="22"/>
      <c r="Q48" s="17"/>
    </row>
    <row r="49" spans="1:17" x14ac:dyDescent="0.25">
      <c r="A49" s="9" t="str">
        <f t="shared" si="2"/>
        <v>CUSTO DE DROPCOPY BRL - RPS CAPITAL ADMINISTRADORA - JANEIRO 26</v>
      </c>
      <c r="B49" s="10">
        <v>46023</v>
      </c>
      <c r="C49" s="9">
        <v>817632</v>
      </c>
      <c r="D49" s="11" t="s">
        <v>91</v>
      </c>
      <c r="E49" s="57">
        <f t="shared" si="1"/>
        <v>-318.0443874685165</v>
      </c>
      <c r="F49" s="9" t="s">
        <v>46</v>
      </c>
      <c r="G49" s="10">
        <v>46023</v>
      </c>
      <c r="H49" s="9">
        <v>12339</v>
      </c>
      <c r="J49" s="12" t="s">
        <v>52</v>
      </c>
      <c r="K49" s="12" t="s">
        <v>114</v>
      </c>
      <c r="L49" s="61">
        <v>318.0443874685165</v>
      </c>
      <c r="M49" s="14" t="s">
        <v>1</v>
      </c>
      <c r="N49" s="15" t="s">
        <v>142</v>
      </c>
      <c r="O49" s="16">
        <v>1</v>
      </c>
      <c r="P49" s="13"/>
      <c r="Q49" s="17"/>
    </row>
    <row r="50" spans="1:17" x14ac:dyDescent="0.25">
      <c r="A50" s="45" t="str">
        <f t="shared" si="2"/>
        <v>CUSTO DE DROPCOPY BRL - BANCO BRADESCO S/A - JANEIRO 26</v>
      </c>
      <c r="B50" s="46">
        <v>46023</v>
      </c>
      <c r="C50" s="45">
        <v>817632</v>
      </c>
      <c r="D50" s="47" t="s">
        <v>2</v>
      </c>
      <c r="E50" s="56">
        <f t="shared" si="1"/>
        <v>-238.53329060138736</v>
      </c>
      <c r="F50" s="45" t="s">
        <v>46</v>
      </c>
      <c r="G50" s="46">
        <v>46023</v>
      </c>
      <c r="H50" s="45">
        <v>81503</v>
      </c>
      <c r="J50" s="48" t="s">
        <v>52</v>
      </c>
      <c r="K50" s="48" t="s">
        <v>3</v>
      </c>
      <c r="L50" s="62">
        <v>318.0443874685165</v>
      </c>
      <c r="M50" s="50" t="s">
        <v>1</v>
      </c>
      <c r="N50" s="51" t="s">
        <v>142</v>
      </c>
      <c r="O50" s="52">
        <v>0.75</v>
      </c>
      <c r="P50" s="49"/>
      <c r="Q50" s="17"/>
    </row>
    <row r="51" spans="1:17" x14ac:dyDescent="0.25">
      <c r="A51" s="1" t="str">
        <f t="shared" si="2"/>
        <v>CUSTO DE DROPCOPY BRL - BANCO BRADESCO S/A - JANEIRO 26</v>
      </c>
      <c r="B51" s="2">
        <v>46023</v>
      </c>
      <c r="C51" s="1">
        <v>817632</v>
      </c>
      <c r="D51" s="3" t="s">
        <v>91</v>
      </c>
      <c r="E51" s="58">
        <f t="shared" si="1"/>
        <v>-79.511096867129126</v>
      </c>
      <c r="F51" s="1" t="s">
        <v>46</v>
      </c>
      <c r="G51" s="2">
        <v>46023</v>
      </c>
      <c r="H51" s="1">
        <v>81503</v>
      </c>
      <c r="J51" s="4" t="s">
        <v>52</v>
      </c>
      <c r="K51" s="4" t="s">
        <v>3</v>
      </c>
      <c r="L51" s="60">
        <v>318.0443874685165</v>
      </c>
      <c r="M51" s="6" t="s">
        <v>1</v>
      </c>
      <c r="N51" s="7" t="s">
        <v>142</v>
      </c>
      <c r="O51" s="8">
        <v>0.25</v>
      </c>
      <c r="P51" s="5"/>
      <c r="Q51" s="17"/>
    </row>
    <row r="52" spans="1:17" x14ac:dyDescent="0.25">
      <c r="A52" s="9" t="str">
        <f t="shared" si="2"/>
        <v>CUSTO DE DROPCOPY BRL - KAPITALO INVESTIMENTOS LTDA - JANEIRO 26</v>
      </c>
      <c r="B52" s="10">
        <v>46023</v>
      </c>
      <c r="C52" s="9">
        <v>817632</v>
      </c>
      <c r="D52" s="11" t="s">
        <v>2</v>
      </c>
      <c r="E52" s="57">
        <f t="shared" si="1"/>
        <v>-318.0443874685165</v>
      </c>
      <c r="F52" s="9" t="s">
        <v>46</v>
      </c>
      <c r="G52" s="10">
        <v>46023</v>
      </c>
      <c r="H52" s="9">
        <v>12413</v>
      </c>
      <c r="J52" s="12" t="s">
        <v>52</v>
      </c>
      <c r="K52" s="12" t="s">
        <v>113</v>
      </c>
      <c r="L52" s="61">
        <v>318.0443874685165</v>
      </c>
      <c r="M52" s="14" t="s">
        <v>1</v>
      </c>
      <c r="N52" s="15" t="s">
        <v>142</v>
      </c>
      <c r="O52" s="16">
        <v>1</v>
      </c>
      <c r="P52" s="13"/>
      <c r="Q52" s="17"/>
    </row>
    <row r="53" spans="1:17" x14ac:dyDescent="0.25">
      <c r="A53" s="18" t="str">
        <f t="shared" si="2"/>
        <v>CUSTO DE DROPCOPY BRL - FITPART - JANEIRO 26</v>
      </c>
      <c r="B53" s="19">
        <v>46023</v>
      </c>
      <c r="C53" s="18">
        <v>817632</v>
      </c>
      <c r="D53" s="20" t="s">
        <v>2</v>
      </c>
      <c r="E53" s="55">
        <f>-L53*O53</f>
        <v>-318.0443874685165</v>
      </c>
      <c r="F53" s="18" t="s">
        <v>46</v>
      </c>
      <c r="G53" s="19">
        <v>46023</v>
      </c>
      <c r="H53" s="18">
        <v>1170</v>
      </c>
      <c r="J53" s="21" t="s">
        <v>52</v>
      </c>
      <c r="K53" s="21" t="s">
        <v>88</v>
      </c>
      <c r="L53" s="63">
        <v>318.0443874685165</v>
      </c>
      <c r="M53" s="23" t="s">
        <v>1</v>
      </c>
      <c r="N53" s="24" t="s">
        <v>142</v>
      </c>
      <c r="O53" s="25">
        <v>1</v>
      </c>
      <c r="P53" s="22"/>
      <c r="Q53" s="17"/>
    </row>
    <row r="54" spans="1:17" x14ac:dyDescent="0.25">
      <c r="A54" s="9" t="str">
        <f t="shared" si="2"/>
        <v>CUSTO DE DROPCOPY BRL - SPX EQUITIES GESTAO DE RECURSOS LTDA - JANEIRO 26</v>
      </c>
      <c r="B54" s="10">
        <v>46023</v>
      </c>
      <c r="C54" s="9">
        <v>817632</v>
      </c>
      <c r="D54" s="11" t="s">
        <v>2</v>
      </c>
      <c r="E54" s="57">
        <f t="shared" si="1"/>
        <v>-190.8266324811099</v>
      </c>
      <c r="F54" s="9" t="s">
        <v>46</v>
      </c>
      <c r="G54" s="10">
        <v>46023</v>
      </c>
      <c r="H54" s="9">
        <v>79931</v>
      </c>
      <c r="J54" s="12" t="s">
        <v>52</v>
      </c>
      <c r="K54" s="12" t="s">
        <v>9</v>
      </c>
      <c r="L54" s="61">
        <v>318.0443874685165</v>
      </c>
      <c r="M54" s="14" t="s">
        <v>1</v>
      </c>
      <c r="N54" s="15" t="s">
        <v>142</v>
      </c>
      <c r="O54" s="16">
        <v>0.6</v>
      </c>
      <c r="P54" s="13"/>
      <c r="Q54" s="17"/>
    </row>
    <row r="55" spans="1:17" x14ac:dyDescent="0.25">
      <c r="A55" s="9" t="str">
        <f t="shared" si="2"/>
        <v>CUSTO DE DROPCOPY BRL - SPX EQUITIES GESTAO DE RECURSOS LTDA - JANEIRO 26</v>
      </c>
      <c r="B55" s="10">
        <v>46023</v>
      </c>
      <c r="C55" s="9">
        <v>817632</v>
      </c>
      <c r="D55" s="11" t="s">
        <v>91</v>
      </c>
      <c r="E55" s="57">
        <f>-L55*O55</f>
        <v>-127.21775498740661</v>
      </c>
      <c r="F55" s="9" t="s">
        <v>46</v>
      </c>
      <c r="G55" s="10">
        <v>46023</v>
      </c>
      <c r="H55" s="9">
        <v>79931</v>
      </c>
      <c r="J55" s="12" t="s">
        <v>52</v>
      </c>
      <c r="K55" s="12" t="s">
        <v>9</v>
      </c>
      <c r="L55" s="61">
        <v>318.0443874685165</v>
      </c>
      <c r="M55" s="14" t="s">
        <v>1</v>
      </c>
      <c r="N55" s="15" t="s">
        <v>142</v>
      </c>
      <c r="O55" s="16">
        <v>0.4</v>
      </c>
      <c r="P55" s="13"/>
      <c r="Q55" s="17"/>
    </row>
    <row r="56" spans="1:17" x14ac:dyDescent="0.25">
      <c r="A56" s="45" t="str">
        <f t="shared" si="2"/>
        <v>CUSTO DE DROPCOPY BRL - ITAU BBA - JANEIRO 26</v>
      </c>
      <c r="B56" s="46">
        <v>46023</v>
      </c>
      <c r="C56" s="45">
        <v>817632</v>
      </c>
      <c r="D56" s="47" t="s">
        <v>2</v>
      </c>
      <c r="E56" s="56">
        <f t="shared" si="1"/>
        <v>-318.0443874685165</v>
      </c>
      <c r="F56" s="45" t="s">
        <v>46</v>
      </c>
      <c r="G56" s="46">
        <v>46023</v>
      </c>
      <c r="H56" s="45">
        <v>80922</v>
      </c>
      <c r="J56" s="48" t="s">
        <v>52</v>
      </c>
      <c r="K56" s="48" t="s">
        <v>57</v>
      </c>
      <c r="L56" s="63">
        <v>318.0443874685165</v>
      </c>
      <c r="M56" s="50" t="s">
        <v>1</v>
      </c>
      <c r="N56" s="51" t="s">
        <v>142</v>
      </c>
      <c r="O56" s="52">
        <v>1</v>
      </c>
      <c r="P56" s="49"/>
      <c r="Q56" s="17"/>
    </row>
    <row r="57" spans="1:17" x14ac:dyDescent="0.25">
      <c r="A57" s="45" t="str">
        <f t="shared" si="2"/>
        <v>CUSTO DE DROPCOPY USD - BGC LIQUIDEZ - JANEIRO 26</v>
      </c>
      <c r="B57" s="46">
        <v>46023</v>
      </c>
      <c r="C57" s="45">
        <v>817632</v>
      </c>
      <c r="D57" s="47" t="s">
        <v>2</v>
      </c>
      <c r="E57" s="56">
        <v>-1844.5423174999999</v>
      </c>
      <c r="F57" s="45" t="s">
        <v>45</v>
      </c>
      <c r="G57" s="46">
        <v>46023</v>
      </c>
      <c r="H57" s="45">
        <v>1170</v>
      </c>
      <c r="J57" s="48" t="s">
        <v>36</v>
      </c>
      <c r="K57" s="48" t="s">
        <v>47</v>
      </c>
      <c r="L57" s="61">
        <v>3660.4362500000002</v>
      </c>
      <c r="M57" s="50" t="s">
        <v>1</v>
      </c>
      <c r="N57" s="51" t="s">
        <v>142</v>
      </c>
      <c r="O57" s="52">
        <v>1</v>
      </c>
      <c r="P57" s="49"/>
      <c r="Q57" s="17"/>
    </row>
    <row r="58" spans="1:17" x14ac:dyDescent="0.25">
      <c r="A58" s="9" t="str">
        <f t="shared" si="2"/>
        <v>CUSTO DE DROPCOPY USD - BGC LIQUIDEZ - JANEIRO 26</v>
      </c>
      <c r="B58" s="10">
        <v>46023</v>
      </c>
      <c r="C58" s="9">
        <v>817632</v>
      </c>
      <c r="D58" s="11" t="s">
        <v>141</v>
      </c>
      <c r="E58" s="57">
        <v>-1844.5423174999999</v>
      </c>
      <c r="F58" s="9" t="s">
        <v>45</v>
      </c>
      <c r="G58" s="10">
        <v>46023</v>
      </c>
      <c r="H58" s="9">
        <v>1170</v>
      </c>
      <c r="J58" s="12" t="s">
        <v>36</v>
      </c>
      <c r="K58" s="12" t="s">
        <v>47</v>
      </c>
      <c r="L58" s="61">
        <v>3660.4362500000002</v>
      </c>
      <c r="M58" s="14" t="s">
        <v>1</v>
      </c>
      <c r="N58" s="15" t="s">
        <v>142</v>
      </c>
      <c r="O58" s="16">
        <v>1</v>
      </c>
      <c r="P58" s="13"/>
      <c r="Q58" s="17"/>
    </row>
    <row r="59" spans="1:17" x14ac:dyDescent="0.25">
      <c r="A59" s="1" t="str">
        <f t="shared" si="2"/>
        <v>CUSTO DE DROPCOPY USD - BGC LIQUIDEZ - JANEIRO 26</v>
      </c>
      <c r="B59" s="2">
        <v>46023</v>
      </c>
      <c r="C59" s="1">
        <v>817632</v>
      </c>
      <c r="D59" s="3" t="s">
        <v>95</v>
      </c>
      <c r="E59" s="58">
        <v>-1844.5423174999999</v>
      </c>
      <c r="F59" s="1" t="s">
        <v>45</v>
      </c>
      <c r="G59" s="2">
        <v>46023</v>
      </c>
      <c r="H59" s="1">
        <v>1170</v>
      </c>
      <c r="J59" s="4" t="s">
        <v>36</v>
      </c>
      <c r="K59" s="4" t="s">
        <v>47</v>
      </c>
      <c r="L59" s="60">
        <v>3660.4362500000002</v>
      </c>
      <c r="M59" s="6" t="s">
        <v>1</v>
      </c>
      <c r="N59" s="7" t="s">
        <v>142</v>
      </c>
      <c r="O59" s="8">
        <v>1</v>
      </c>
      <c r="P59" s="5"/>
      <c r="Q59" s="17"/>
    </row>
    <row r="60" spans="1:17" x14ac:dyDescent="0.25">
      <c r="A60" s="1" t="str">
        <f t="shared" ref="A60" si="3">CONCATENATE(J60,P60,M60,K60,M60,N60)</f>
        <v>CUSTO DE DROPCOPY USD - SCHONFELD - JANEIRO 26</v>
      </c>
      <c r="B60" s="2">
        <v>46023</v>
      </c>
      <c r="C60" s="1">
        <v>817632</v>
      </c>
      <c r="D60" s="3" t="s">
        <v>95</v>
      </c>
      <c r="E60" s="58">
        <f t="shared" ref="E60" si="4">-L60*O60</f>
        <v>-3979.2761249999999</v>
      </c>
      <c r="F60" s="1" t="s">
        <v>115</v>
      </c>
      <c r="G60" s="2">
        <v>46023</v>
      </c>
      <c r="H60" s="1">
        <v>83063</v>
      </c>
      <c r="J60" s="4" t="s">
        <v>36</v>
      </c>
      <c r="K60" s="4" t="s">
        <v>143</v>
      </c>
      <c r="L60" s="60">
        <v>3979.2761249999999</v>
      </c>
      <c r="M60" s="6" t="s">
        <v>1</v>
      </c>
      <c r="N60" s="7" t="s">
        <v>142</v>
      </c>
      <c r="O60" s="8">
        <v>1</v>
      </c>
      <c r="P60" s="54"/>
      <c r="Q60" s="17"/>
    </row>
    <row r="61" spans="1:17" x14ac:dyDescent="0.25">
      <c r="A61" s="1" t="str">
        <f t="shared" si="2"/>
        <v>CUSTO DE DROPCOPY USD - VINLAND CAPITAL MANAGEMENT - JANEIRO 26</v>
      </c>
      <c r="B61" s="2">
        <v>46023</v>
      </c>
      <c r="C61" s="1">
        <v>817632</v>
      </c>
      <c r="D61" s="3" t="s">
        <v>95</v>
      </c>
      <c r="E61" s="58">
        <f t="shared" si="1"/>
        <v>-2597.6137800000001</v>
      </c>
      <c r="F61" s="1" t="s">
        <v>115</v>
      </c>
      <c r="G61" s="2">
        <v>46023</v>
      </c>
      <c r="H61" s="1">
        <v>80359</v>
      </c>
      <c r="J61" s="4" t="s">
        <v>36</v>
      </c>
      <c r="K61" s="4" t="s">
        <v>116</v>
      </c>
      <c r="L61" s="60">
        <v>2597.6137800000001</v>
      </c>
      <c r="M61" s="6" t="s">
        <v>1</v>
      </c>
      <c r="N61" s="7" t="s">
        <v>142</v>
      </c>
      <c r="O61" s="8">
        <v>1</v>
      </c>
      <c r="P61" s="54"/>
      <c r="Q61" s="17"/>
    </row>
    <row r="62" spans="1:17" x14ac:dyDescent="0.25">
      <c r="A62" s="1" t="str">
        <f t="shared" si="2"/>
        <v>CUSTO DE DROPCOPY USD - BGC LIQUIDEZ - JANEIRO 26</v>
      </c>
      <c r="B62" s="2">
        <v>46023</v>
      </c>
      <c r="C62" s="1">
        <v>817632</v>
      </c>
      <c r="D62" s="3" t="s">
        <v>2</v>
      </c>
      <c r="E62" s="58">
        <f t="shared" si="1"/>
        <v>-11328.9</v>
      </c>
      <c r="F62" s="1" t="s">
        <v>117</v>
      </c>
      <c r="G62" s="2">
        <v>46023</v>
      </c>
      <c r="H62" s="1">
        <v>1170</v>
      </c>
      <c r="J62" s="4" t="s">
        <v>36</v>
      </c>
      <c r="K62" s="4" t="s">
        <v>47</v>
      </c>
      <c r="L62" s="60">
        <v>11328.9</v>
      </c>
      <c r="M62" s="6" t="s">
        <v>1</v>
      </c>
      <c r="N62" s="7" t="s">
        <v>142</v>
      </c>
      <c r="O62" s="8">
        <v>1</v>
      </c>
      <c r="P62" s="5"/>
      <c r="Q62" s="17"/>
    </row>
    <row r="63" spans="1:17" x14ac:dyDescent="0.25">
      <c r="A63" s="1" t="str">
        <f t="shared" si="2"/>
        <v>CUSTO DE DROPCOPY USD - BGC LIQUIDEZ - JANEIRO 26</v>
      </c>
      <c r="B63" s="2">
        <v>46023</v>
      </c>
      <c r="C63" s="1">
        <v>817632</v>
      </c>
      <c r="D63" s="3" t="s">
        <v>95</v>
      </c>
      <c r="E63" s="66">
        <f t="shared" si="1"/>
        <v>-2754.9825000000001</v>
      </c>
      <c r="F63" s="1" t="s">
        <v>118</v>
      </c>
      <c r="G63" s="2">
        <v>46023</v>
      </c>
      <c r="H63" s="1">
        <v>1170</v>
      </c>
      <c r="J63" s="4" t="s">
        <v>36</v>
      </c>
      <c r="K63" s="4" t="s">
        <v>47</v>
      </c>
      <c r="L63" s="69">
        <v>2754.9825000000001</v>
      </c>
      <c r="M63" s="23" t="s">
        <v>1</v>
      </c>
      <c r="N63" s="24" t="s">
        <v>142</v>
      </c>
      <c r="O63" s="25">
        <v>1</v>
      </c>
      <c r="P63" s="5"/>
      <c r="Q63" s="17"/>
    </row>
    <row r="64" spans="1:17" x14ac:dyDescent="0.25">
      <c r="A64" s="9" t="str">
        <f t="shared" si="2"/>
        <v>CUSTO DE DROPCOPY BRL - BANCO CITIBANK - JANEIRO 26</v>
      </c>
      <c r="B64" s="10">
        <v>46023</v>
      </c>
      <c r="C64" s="9">
        <v>817632</v>
      </c>
      <c r="D64" s="11" t="s">
        <v>97</v>
      </c>
      <c r="E64" s="57">
        <f t="shared" si="1"/>
        <v>-28.940792674773657</v>
      </c>
      <c r="F64" s="9" t="s">
        <v>49</v>
      </c>
      <c r="G64" s="10">
        <v>46023</v>
      </c>
      <c r="H64" s="9">
        <v>80961</v>
      </c>
      <c r="J64" s="12" t="s">
        <v>52</v>
      </c>
      <c r="K64" s="12" t="s">
        <v>53</v>
      </c>
      <c r="L64" s="53">
        <v>718.29</v>
      </c>
      <c r="M64" s="14" t="s">
        <v>1</v>
      </c>
      <c r="N64" s="15" t="s">
        <v>142</v>
      </c>
      <c r="O64" s="16">
        <v>4.0291237069670548E-2</v>
      </c>
      <c r="P64" s="13"/>
    </row>
    <row r="65" spans="1:16" x14ac:dyDescent="0.25">
      <c r="A65" s="9" t="str">
        <f t="shared" si="2"/>
        <v>CUSTO DE DROPCOPY BRL - BANCO CITIBANK - JANEIRO 26</v>
      </c>
      <c r="B65" s="10">
        <v>46023</v>
      </c>
      <c r="C65" s="9">
        <v>817632</v>
      </c>
      <c r="D65" s="11" t="s">
        <v>98</v>
      </c>
      <c r="E65" s="57">
        <f t="shared" si="1"/>
        <v>-35.528987365930078</v>
      </c>
      <c r="F65" s="9" t="s">
        <v>49</v>
      </c>
      <c r="G65" s="10">
        <v>46023</v>
      </c>
      <c r="H65" s="9">
        <v>80961</v>
      </c>
      <c r="J65" s="12" t="s">
        <v>52</v>
      </c>
      <c r="K65" s="12" t="s">
        <v>53</v>
      </c>
      <c r="L65" s="53">
        <v>718.29</v>
      </c>
      <c r="M65" s="14" t="s">
        <v>1</v>
      </c>
      <c r="N65" s="15" t="s">
        <v>142</v>
      </c>
      <c r="O65" s="16">
        <v>4.9463291102382158E-2</v>
      </c>
      <c r="P65" s="13"/>
    </row>
    <row r="66" spans="1:16" x14ac:dyDescent="0.25">
      <c r="A66" s="9" t="str">
        <f t="shared" si="2"/>
        <v>CUSTO DE DROPCOPY BRL - BANCO CITIBANK - JANEIRO 26</v>
      </c>
      <c r="B66" s="10">
        <v>46023</v>
      </c>
      <c r="C66" s="9">
        <v>817632</v>
      </c>
      <c r="D66" s="11" t="s">
        <v>100</v>
      </c>
      <c r="E66" s="57">
        <f t="shared" si="1"/>
        <v>-0.30047521943042976</v>
      </c>
      <c r="F66" s="9" t="s">
        <v>49</v>
      </c>
      <c r="G66" s="10">
        <v>46023</v>
      </c>
      <c r="H66" s="9">
        <v>80961</v>
      </c>
      <c r="J66" s="12" t="s">
        <v>52</v>
      </c>
      <c r="K66" s="12" t="s">
        <v>53</v>
      </c>
      <c r="L66" s="53">
        <v>718.29</v>
      </c>
      <c r="M66" s="14" t="s">
        <v>1</v>
      </c>
      <c r="N66" s="15" t="s">
        <v>142</v>
      </c>
      <c r="O66" s="16">
        <v>4.1832020413820289E-4</v>
      </c>
      <c r="P66" s="13"/>
    </row>
    <row r="67" spans="1:16" x14ac:dyDescent="0.25">
      <c r="A67" s="9" t="str">
        <f t="shared" si="2"/>
        <v>CUSTO DE DROPCOPY BRL - BANCO CITIBANK - JANEIRO 26</v>
      </c>
      <c r="B67" s="10">
        <v>46023</v>
      </c>
      <c r="C67" s="9">
        <v>817632</v>
      </c>
      <c r="D67" s="11" t="s">
        <v>11</v>
      </c>
      <c r="E67" s="57">
        <f t="shared" ref="E67:E121" si="5">-L67*O67</f>
        <v>-4.782977352741705</v>
      </c>
      <c r="F67" s="9" t="s">
        <v>49</v>
      </c>
      <c r="G67" s="10">
        <v>46023</v>
      </c>
      <c r="H67" s="9">
        <v>80961</v>
      </c>
      <c r="J67" s="12" t="s">
        <v>52</v>
      </c>
      <c r="K67" s="12" t="s">
        <v>53</v>
      </c>
      <c r="L67" s="53">
        <v>718.29</v>
      </c>
      <c r="M67" s="14" t="s">
        <v>1</v>
      </c>
      <c r="N67" s="15" t="s">
        <v>142</v>
      </c>
      <c r="O67" s="16">
        <v>6.6588388432829437E-3</v>
      </c>
      <c r="P67" s="13"/>
    </row>
    <row r="68" spans="1:16" x14ac:dyDescent="0.25">
      <c r="A68" s="9" t="str">
        <f t="shared" ref="A68:A69" si="6">CONCATENATE(J68,P68,M68,K68,M68,N68)</f>
        <v>CUSTO DE DROPCOPY BRL - BANCO CITIBANK - JANEIRO 26</v>
      </c>
      <c r="B68" s="10">
        <v>46023</v>
      </c>
      <c r="C68" s="9">
        <v>817632</v>
      </c>
      <c r="D68" s="11" t="s">
        <v>91</v>
      </c>
      <c r="E68" s="57">
        <f t="shared" ref="E68:E69" si="7">-L68*O68</f>
        <v>-632.75386744504794</v>
      </c>
      <c r="F68" s="9" t="s">
        <v>49</v>
      </c>
      <c r="G68" s="10">
        <v>46023</v>
      </c>
      <c r="H68" s="9">
        <v>80961</v>
      </c>
      <c r="J68" s="12" t="s">
        <v>52</v>
      </c>
      <c r="K68" s="12" t="s">
        <v>53</v>
      </c>
      <c r="L68" s="53">
        <v>718.29</v>
      </c>
      <c r="M68" s="14" t="s">
        <v>1</v>
      </c>
      <c r="N68" s="15" t="s">
        <v>142</v>
      </c>
      <c r="O68" s="16">
        <v>0.88091699375607058</v>
      </c>
      <c r="P68" s="13"/>
    </row>
    <row r="69" spans="1:16" x14ac:dyDescent="0.25">
      <c r="A69" s="9" t="str">
        <f t="shared" si="6"/>
        <v>CUSTO DE DROPCOPY BRL - BANCO CITIBANK - JANEIRO 26</v>
      </c>
      <c r="B69" s="10">
        <v>46023</v>
      </c>
      <c r="C69" s="9">
        <v>817632</v>
      </c>
      <c r="D69" s="11" t="s">
        <v>40</v>
      </c>
      <c r="E69" s="57">
        <f t="shared" si="7"/>
        <v>-5.5972285341437598</v>
      </c>
      <c r="F69" s="9" t="s">
        <v>49</v>
      </c>
      <c r="G69" s="10">
        <v>46023</v>
      </c>
      <c r="H69" s="9">
        <v>80961</v>
      </c>
      <c r="J69" s="12" t="s">
        <v>52</v>
      </c>
      <c r="K69" s="12" t="s">
        <v>53</v>
      </c>
      <c r="L69" s="53">
        <v>718.29</v>
      </c>
      <c r="M69" s="14" t="s">
        <v>1</v>
      </c>
      <c r="N69" s="15" t="s">
        <v>142</v>
      </c>
      <c r="O69" s="16">
        <v>7.7924355540850629E-3</v>
      </c>
      <c r="P69" s="13"/>
    </row>
    <row r="70" spans="1:16" x14ac:dyDescent="0.25">
      <c r="A70" s="9" t="str">
        <f t="shared" si="2"/>
        <v>CUSTO DE DROPCOPY BRL - BANCO CITIBANK - JANEIRO 26</v>
      </c>
      <c r="B70" s="10">
        <v>46023</v>
      </c>
      <c r="C70" s="9">
        <v>817632</v>
      </c>
      <c r="D70" s="11" t="s">
        <v>41</v>
      </c>
      <c r="E70" s="57">
        <f t="shared" si="5"/>
        <v>-10.385671407932422</v>
      </c>
      <c r="F70" s="9" t="s">
        <v>49</v>
      </c>
      <c r="G70" s="10">
        <v>46023</v>
      </c>
      <c r="H70" s="9">
        <v>80961</v>
      </c>
      <c r="J70" s="12" t="s">
        <v>52</v>
      </c>
      <c r="K70" s="12" t="s">
        <v>53</v>
      </c>
      <c r="L70" s="53">
        <v>718.29</v>
      </c>
      <c r="M70" s="14" t="s">
        <v>1</v>
      </c>
      <c r="N70" s="15" t="s">
        <v>142</v>
      </c>
      <c r="O70" s="16">
        <v>1.4458883470370495E-2</v>
      </c>
      <c r="P70" s="13"/>
    </row>
    <row r="71" spans="1:16" x14ac:dyDescent="0.25">
      <c r="A71" s="45" t="str">
        <f t="shared" si="2"/>
        <v>CUSTO DE DROPCOPY BRL - BANCO SANTANDER - JANEIRO 26</v>
      </c>
      <c r="B71" s="46">
        <v>46023</v>
      </c>
      <c r="C71" s="45">
        <v>817632</v>
      </c>
      <c r="D71" s="47" t="s">
        <v>44</v>
      </c>
      <c r="E71" s="56">
        <f t="shared" si="5"/>
        <v>-74.367533358242284</v>
      </c>
      <c r="F71" s="45" t="s">
        <v>49</v>
      </c>
      <c r="G71" s="46">
        <v>46023</v>
      </c>
      <c r="H71" s="45">
        <v>80015</v>
      </c>
      <c r="J71" s="48" t="s">
        <v>52</v>
      </c>
      <c r="K71" s="48" t="s">
        <v>54</v>
      </c>
      <c r="L71" s="49">
        <v>1436.58</v>
      </c>
      <c r="M71" s="50" t="s">
        <v>1</v>
      </c>
      <c r="N71" s="51" t="s">
        <v>142</v>
      </c>
      <c r="O71" s="52">
        <v>5.1767067172202232E-2</v>
      </c>
      <c r="P71" s="49"/>
    </row>
    <row r="72" spans="1:16" x14ac:dyDescent="0.25">
      <c r="A72" s="9" t="str">
        <f t="shared" si="2"/>
        <v>CUSTO DE DROPCOPY BRL - BANCO SANTANDER - JANEIRO 26</v>
      </c>
      <c r="B72" s="10">
        <v>46023</v>
      </c>
      <c r="C72" s="9">
        <v>817632</v>
      </c>
      <c r="D72" s="11" t="s">
        <v>102</v>
      </c>
      <c r="E72" s="57">
        <f t="shared" si="5"/>
        <v>-2.0432669319598888</v>
      </c>
      <c r="F72" s="9" t="s">
        <v>49</v>
      </c>
      <c r="G72" s="10">
        <v>46023</v>
      </c>
      <c r="H72" s="9">
        <v>80015</v>
      </c>
      <c r="J72" s="12" t="s">
        <v>52</v>
      </c>
      <c r="K72" s="12" t="s">
        <v>54</v>
      </c>
      <c r="L72" s="13">
        <v>1436.58</v>
      </c>
      <c r="M72" s="14" t="s">
        <v>1</v>
      </c>
      <c r="N72" s="15" t="s">
        <v>142</v>
      </c>
      <c r="O72" s="16">
        <v>1.4223133636552707E-3</v>
      </c>
      <c r="P72" s="13"/>
    </row>
    <row r="73" spans="1:16" x14ac:dyDescent="0.25">
      <c r="A73" s="9" t="str">
        <f t="shared" si="2"/>
        <v>CUSTO DE DROPCOPY BRL - BANCO SANTANDER - JANEIRO 26</v>
      </c>
      <c r="B73" s="10">
        <v>46023</v>
      </c>
      <c r="C73" s="9">
        <v>817632</v>
      </c>
      <c r="D73" s="11" t="s">
        <v>104</v>
      </c>
      <c r="E73" s="57">
        <f t="shared" si="5"/>
        <v>-126.5952010709954</v>
      </c>
      <c r="F73" s="9" t="s">
        <v>49</v>
      </c>
      <c r="G73" s="10">
        <v>46023</v>
      </c>
      <c r="H73" s="9">
        <v>80015</v>
      </c>
      <c r="J73" s="12" t="s">
        <v>52</v>
      </c>
      <c r="K73" s="12" t="s">
        <v>54</v>
      </c>
      <c r="L73" s="13">
        <v>1436.58</v>
      </c>
      <c r="M73" s="14" t="s">
        <v>1</v>
      </c>
      <c r="N73" s="15" t="s">
        <v>142</v>
      </c>
      <c r="O73" s="16">
        <v>8.8122625312196612E-2</v>
      </c>
      <c r="P73" s="13"/>
    </row>
    <row r="74" spans="1:16" x14ac:dyDescent="0.25">
      <c r="A74" s="9" t="str">
        <f t="shared" si="2"/>
        <v>CUSTO DE DROPCOPY BRL - BANCO SANTANDER - JANEIRO 26</v>
      </c>
      <c r="B74" s="10">
        <v>46023</v>
      </c>
      <c r="C74" s="9">
        <v>817632</v>
      </c>
      <c r="D74" s="11" t="s">
        <v>99</v>
      </c>
      <c r="E74" s="57">
        <f t="shared" si="5"/>
        <v>-61.78517692582583</v>
      </c>
      <c r="F74" s="9" t="s">
        <v>49</v>
      </c>
      <c r="G74" s="10">
        <v>46023</v>
      </c>
      <c r="H74" s="9">
        <v>80015</v>
      </c>
      <c r="J74" s="12" t="s">
        <v>52</v>
      </c>
      <c r="K74" s="12" t="s">
        <v>54</v>
      </c>
      <c r="L74" s="13">
        <v>1436.58</v>
      </c>
      <c r="M74" s="14" t="s">
        <v>1</v>
      </c>
      <c r="N74" s="15" t="s">
        <v>142</v>
      </c>
      <c r="O74" s="16">
        <v>4.3008518095633962E-2</v>
      </c>
      <c r="P74" s="13"/>
    </row>
    <row r="75" spans="1:16" x14ac:dyDescent="0.25">
      <c r="A75" s="9" t="str">
        <f t="shared" si="2"/>
        <v>CUSTO DE DROPCOPY BRL - BANCO SANTANDER - JANEIRO 26</v>
      </c>
      <c r="B75" s="10">
        <v>46023</v>
      </c>
      <c r="C75" s="9">
        <v>817632</v>
      </c>
      <c r="D75" s="11" t="s">
        <v>15</v>
      </c>
      <c r="E75" s="57">
        <f t="shared" si="5"/>
        <v>-130.50979045520231</v>
      </c>
      <c r="F75" s="9" t="s">
        <v>49</v>
      </c>
      <c r="G75" s="10">
        <v>46023</v>
      </c>
      <c r="H75" s="9">
        <v>80015</v>
      </c>
      <c r="J75" s="12" t="s">
        <v>52</v>
      </c>
      <c r="K75" s="12" t="s">
        <v>54</v>
      </c>
      <c r="L75" s="13">
        <v>1436.58</v>
      </c>
      <c r="M75" s="14" t="s">
        <v>1</v>
      </c>
      <c r="N75" s="15" t="s">
        <v>142</v>
      </c>
      <c r="O75" s="16">
        <v>9.0847561886704759E-2</v>
      </c>
      <c r="P75" s="13"/>
    </row>
    <row r="76" spans="1:16" x14ac:dyDescent="0.25">
      <c r="A76" s="9" t="str">
        <f t="shared" si="2"/>
        <v>CUSTO DE DROPCOPY BRL - BANCO SANTANDER - JANEIRO 26</v>
      </c>
      <c r="B76" s="10">
        <v>46023</v>
      </c>
      <c r="C76" s="9">
        <v>817632</v>
      </c>
      <c r="D76" s="11" t="s">
        <v>100</v>
      </c>
      <c r="E76" s="57">
        <f t="shared" si="5"/>
        <v>-8.5725745725696783</v>
      </c>
      <c r="F76" s="9" t="s">
        <v>49</v>
      </c>
      <c r="G76" s="10">
        <v>46023</v>
      </c>
      <c r="H76" s="9">
        <v>80015</v>
      </c>
      <c r="J76" s="12" t="s">
        <v>52</v>
      </c>
      <c r="K76" s="12" t="s">
        <v>54</v>
      </c>
      <c r="L76" s="13">
        <v>1436.58</v>
      </c>
      <c r="M76" s="14" t="s">
        <v>1</v>
      </c>
      <c r="N76" s="15" t="s">
        <v>142</v>
      </c>
      <c r="O76" s="16">
        <v>5.9673492409539871E-3</v>
      </c>
      <c r="P76" s="13"/>
    </row>
    <row r="77" spans="1:16" x14ac:dyDescent="0.25">
      <c r="A77" s="9" t="str">
        <f t="shared" si="2"/>
        <v>CUSTO DE DROPCOPY BRL - BANCO SANTANDER - JANEIRO 26</v>
      </c>
      <c r="B77" s="10">
        <v>46023</v>
      </c>
      <c r="C77" s="9">
        <v>817632</v>
      </c>
      <c r="D77" s="11" t="s">
        <v>11</v>
      </c>
      <c r="E77" s="57">
        <f t="shared" si="5"/>
        <v>-579.41688815980308</v>
      </c>
      <c r="F77" s="9" t="s">
        <v>49</v>
      </c>
      <c r="G77" s="10">
        <v>46023</v>
      </c>
      <c r="H77" s="9">
        <v>80015</v>
      </c>
      <c r="J77" s="12" t="s">
        <v>52</v>
      </c>
      <c r="K77" s="12" t="s">
        <v>54</v>
      </c>
      <c r="L77" s="13">
        <v>1436.58</v>
      </c>
      <c r="M77" s="14" t="s">
        <v>1</v>
      </c>
      <c r="N77" s="15" t="s">
        <v>142</v>
      </c>
      <c r="O77" s="16">
        <v>0.40333074952999698</v>
      </c>
      <c r="P77" s="13"/>
    </row>
    <row r="78" spans="1:16" x14ac:dyDescent="0.25">
      <c r="A78" s="9" t="str">
        <f t="shared" si="2"/>
        <v>CUSTO DE DROPCOPY BRL - BANCO SANTANDER - JANEIRO 26</v>
      </c>
      <c r="B78" s="10">
        <v>46023</v>
      </c>
      <c r="C78" s="9">
        <v>817632</v>
      </c>
      <c r="D78" s="11" t="s">
        <v>129</v>
      </c>
      <c r="E78" s="57">
        <f t="shared" si="5"/>
        <v>-39.504707978757608</v>
      </c>
      <c r="F78" s="9" t="s">
        <v>49</v>
      </c>
      <c r="G78" s="10">
        <v>46023</v>
      </c>
      <c r="H78" s="9">
        <v>80015</v>
      </c>
      <c r="J78" s="12" t="s">
        <v>52</v>
      </c>
      <c r="K78" s="12" t="s">
        <v>54</v>
      </c>
      <c r="L78" s="13">
        <v>1436.58</v>
      </c>
      <c r="M78" s="14" t="s">
        <v>1</v>
      </c>
      <c r="N78" s="15" t="s">
        <v>142</v>
      </c>
      <c r="O78" s="16">
        <v>2.7499135431899101E-2</v>
      </c>
      <c r="P78" s="13"/>
    </row>
    <row r="79" spans="1:16" x14ac:dyDescent="0.25">
      <c r="A79" s="9" t="str">
        <f t="shared" si="2"/>
        <v>CUSTO DE DROPCOPY BRL - BANCO SANTANDER - JANEIRO 26</v>
      </c>
      <c r="B79" s="10">
        <v>46023</v>
      </c>
      <c r="C79" s="9">
        <v>817632</v>
      </c>
      <c r="D79" s="11" t="s">
        <v>20</v>
      </c>
      <c r="E79" s="57">
        <f t="shared" si="5"/>
        <v>-12.241694767279656</v>
      </c>
      <c r="F79" s="9" t="s">
        <v>49</v>
      </c>
      <c r="G79" s="10">
        <v>46023</v>
      </c>
      <c r="H79" s="9">
        <v>80015</v>
      </c>
      <c r="J79" s="12" t="s">
        <v>52</v>
      </c>
      <c r="K79" s="12" t="s">
        <v>54</v>
      </c>
      <c r="L79" s="13">
        <v>1436.58</v>
      </c>
      <c r="M79" s="14" t="s">
        <v>1</v>
      </c>
      <c r="N79" s="15" t="s">
        <v>142</v>
      </c>
      <c r="O79" s="16">
        <v>8.5214152830191542E-3</v>
      </c>
      <c r="P79" s="13"/>
    </row>
    <row r="80" spans="1:16" x14ac:dyDescent="0.25">
      <c r="A80" s="9" t="str">
        <f t="shared" si="2"/>
        <v>CUSTO DE DROPCOPY BRL - BANCO SANTANDER - JANEIRO 26</v>
      </c>
      <c r="B80" s="10">
        <v>46023</v>
      </c>
      <c r="C80" s="9">
        <v>817632</v>
      </c>
      <c r="D80" s="11" t="s">
        <v>40</v>
      </c>
      <c r="E80" s="57">
        <f t="shared" si="5"/>
        <v>-281.59994341431178</v>
      </c>
      <c r="F80" s="9" t="s">
        <v>49</v>
      </c>
      <c r="G80" s="10">
        <v>46023</v>
      </c>
      <c r="H80" s="9">
        <v>80015</v>
      </c>
      <c r="J80" s="12" t="s">
        <v>52</v>
      </c>
      <c r="K80" s="12" t="s">
        <v>54</v>
      </c>
      <c r="L80" s="13">
        <v>1436.58</v>
      </c>
      <c r="M80" s="14" t="s">
        <v>1</v>
      </c>
      <c r="N80" s="15" t="s">
        <v>142</v>
      </c>
      <c r="O80" s="16">
        <v>0.19602106629238314</v>
      </c>
      <c r="P80" s="13"/>
    </row>
    <row r="81" spans="1:16" x14ac:dyDescent="0.25">
      <c r="A81" s="9" t="str">
        <f t="shared" si="2"/>
        <v>CUSTO DE DROPCOPY BRL - BANCO SANTANDER - JANEIRO 26</v>
      </c>
      <c r="B81" s="10">
        <v>46023</v>
      </c>
      <c r="C81" s="9">
        <v>817632</v>
      </c>
      <c r="D81" s="11" t="s">
        <v>168</v>
      </c>
      <c r="E81" s="57">
        <f t="shared" si="5"/>
        <v>-7.2645377972734657</v>
      </c>
      <c r="F81" s="9" t="s">
        <v>49</v>
      </c>
      <c r="G81" s="10">
        <v>46023</v>
      </c>
      <c r="H81" s="9">
        <v>80015</v>
      </c>
      <c r="J81" s="12" t="s">
        <v>52</v>
      </c>
      <c r="K81" s="12" t="s">
        <v>54</v>
      </c>
      <c r="L81" s="13">
        <v>1436.58</v>
      </c>
      <c r="M81" s="14" t="s">
        <v>1</v>
      </c>
      <c r="N81" s="15" t="s">
        <v>142</v>
      </c>
      <c r="O81" s="16">
        <v>5.0568278809905928E-3</v>
      </c>
      <c r="P81" s="13"/>
    </row>
    <row r="82" spans="1:16" x14ac:dyDescent="0.25">
      <c r="A82" s="9" t="str">
        <f t="shared" si="2"/>
        <v>CUSTO DE DROPCOPY BRL - BANCO SANTANDER - JANEIRO 26</v>
      </c>
      <c r="B82" s="10">
        <v>46023</v>
      </c>
      <c r="C82" s="9">
        <v>817632</v>
      </c>
      <c r="D82" s="11" t="s">
        <v>120</v>
      </c>
      <c r="E82" s="57">
        <f t="shared" si="5"/>
        <v>-21.635374324599557</v>
      </c>
      <c r="F82" s="9" t="s">
        <v>49</v>
      </c>
      <c r="G82" s="10">
        <v>46023</v>
      </c>
      <c r="H82" s="9">
        <v>80015</v>
      </c>
      <c r="J82" s="12" t="s">
        <v>52</v>
      </c>
      <c r="K82" s="12" t="s">
        <v>54</v>
      </c>
      <c r="L82" s="13">
        <v>1436.58</v>
      </c>
      <c r="M82" s="14" t="s">
        <v>1</v>
      </c>
      <c r="N82" s="15" t="s">
        <v>142</v>
      </c>
      <c r="O82" s="16">
        <v>1.5060333795959542E-2</v>
      </c>
      <c r="P82" s="13"/>
    </row>
    <row r="83" spans="1:16" x14ac:dyDescent="0.25">
      <c r="A83" s="9" t="str">
        <f t="shared" si="2"/>
        <v>CUSTO DE DROPCOPY BRL - BANCO SANTANDER - JANEIRO 26</v>
      </c>
      <c r="B83" s="10">
        <v>46023</v>
      </c>
      <c r="C83" s="9">
        <v>817632</v>
      </c>
      <c r="D83" s="11" t="s">
        <v>41</v>
      </c>
      <c r="E83" s="57">
        <f t="shared" si="5"/>
        <v>-21.635374324599557</v>
      </c>
      <c r="F83" s="9" t="s">
        <v>49</v>
      </c>
      <c r="G83" s="10">
        <v>46023</v>
      </c>
      <c r="H83" s="9">
        <v>80015</v>
      </c>
      <c r="J83" s="12" t="s">
        <v>52</v>
      </c>
      <c r="K83" s="12" t="s">
        <v>54</v>
      </c>
      <c r="L83" s="13">
        <v>1436.58</v>
      </c>
      <c r="M83" s="14" t="s">
        <v>1</v>
      </c>
      <c r="N83" s="15" t="s">
        <v>142</v>
      </c>
      <c r="O83" s="16">
        <v>1.5060333795959542E-2</v>
      </c>
      <c r="P83" s="13"/>
    </row>
    <row r="84" spans="1:16" x14ac:dyDescent="0.25">
      <c r="A84" s="9" t="str">
        <f t="shared" si="2"/>
        <v>CUSTO DE DROPCOPY BRL - BANCO SANTANDER - JANEIRO 26</v>
      </c>
      <c r="B84" s="10">
        <v>46023</v>
      </c>
      <c r="C84" s="9">
        <v>817632</v>
      </c>
      <c r="D84" s="11" t="s">
        <v>105</v>
      </c>
      <c r="E84" s="57">
        <f t="shared" si="5"/>
        <v>-69.407935918579682</v>
      </c>
      <c r="F84" s="9" t="s">
        <v>49</v>
      </c>
      <c r="G84" s="10">
        <v>46023</v>
      </c>
      <c r="H84" s="9">
        <v>80015</v>
      </c>
      <c r="J84" s="12" t="s">
        <v>52</v>
      </c>
      <c r="K84" s="12" t="s">
        <v>54</v>
      </c>
      <c r="L84" s="13">
        <v>1436.58</v>
      </c>
      <c r="M84" s="14" t="s">
        <v>1</v>
      </c>
      <c r="N84" s="15" t="s">
        <v>142</v>
      </c>
      <c r="O84" s="16">
        <v>4.8314702918444981E-2</v>
      </c>
      <c r="P84" s="13"/>
    </row>
    <row r="85" spans="1:16" x14ac:dyDescent="0.25">
      <c r="A85" s="45" t="str">
        <f t="shared" si="2"/>
        <v>CUSTO DE DROPCOPY BRL - GOLDMAN SACHS - JANEIRO 26</v>
      </c>
      <c r="B85" s="46">
        <v>46023</v>
      </c>
      <c r="C85" s="45">
        <v>817632</v>
      </c>
      <c r="D85" s="47" t="s">
        <v>2</v>
      </c>
      <c r="E85" s="56">
        <f t="shared" si="5"/>
        <v>-289.55419435447635</v>
      </c>
      <c r="F85" s="45" t="s">
        <v>49</v>
      </c>
      <c r="G85" s="46">
        <v>46023</v>
      </c>
      <c r="H85" s="45">
        <v>27645</v>
      </c>
      <c r="J85" s="48" t="s">
        <v>52</v>
      </c>
      <c r="K85" s="48" t="s">
        <v>55</v>
      </c>
      <c r="L85" s="49">
        <v>718.29</v>
      </c>
      <c r="M85" s="50" t="s">
        <v>1</v>
      </c>
      <c r="N85" s="51" t="s">
        <v>142</v>
      </c>
      <c r="O85" s="52">
        <v>0.40311600377908136</v>
      </c>
      <c r="P85" s="49"/>
    </row>
    <row r="86" spans="1:16" x14ac:dyDescent="0.25">
      <c r="A86" s="9" t="str">
        <f t="shared" si="2"/>
        <v>CUSTO DE DROPCOPY BRL - GOLDMAN SACHS - JANEIRO 26</v>
      </c>
      <c r="B86" s="10">
        <v>46023</v>
      </c>
      <c r="C86" s="9">
        <v>817632</v>
      </c>
      <c r="D86" s="11" t="s">
        <v>44</v>
      </c>
      <c r="E86" s="57">
        <f t="shared" si="5"/>
        <v>-88.508964946756834</v>
      </c>
      <c r="F86" s="9" t="s">
        <v>49</v>
      </c>
      <c r="G86" s="10">
        <v>46023</v>
      </c>
      <c r="H86" s="9">
        <v>27645</v>
      </c>
      <c r="J86" s="12" t="s">
        <v>52</v>
      </c>
      <c r="K86" s="12" t="s">
        <v>55</v>
      </c>
      <c r="L86" s="13">
        <v>718.29</v>
      </c>
      <c r="M86" s="14" t="s">
        <v>1</v>
      </c>
      <c r="N86" s="15" t="s">
        <v>142</v>
      </c>
      <c r="O86" s="16">
        <v>0.12322176968460766</v>
      </c>
      <c r="P86" s="13"/>
    </row>
    <row r="87" spans="1:16" x14ac:dyDescent="0.25">
      <c r="A87" s="9" t="str">
        <f t="shared" si="2"/>
        <v>CUSTO DE DROPCOPY BRL - GOLDMAN SACHS - JANEIRO 26</v>
      </c>
      <c r="B87" s="10">
        <v>46023</v>
      </c>
      <c r="C87" s="9">
        <v>817632</v>
      </c>
      <c r="D87" s="11" t="s">
        <v>103</v>
      </c>
      <c r="E87" s="57">
        <f t="shared" si="5"/>
        <v>-27.933135664791838</v>
      </c>
      <c r="F87" s="9" t="s">
        <v>49</v>
      </c>
      <c r="G87" s="10">
        <v>46023</v>
      </c>
      <c r="H87" s="9">
        <v>27645</v>
      </c>
      <c r="J87" s="12" t="s">
        <v>52</v>
      </c>
      <c r="K87" s="12" t="s">
        <v>55</v>
      </c>
      <c r="L87" s="13">
        <v>718.29</v>
      </c>
      <c r="M87" s="14" t="s">
        <v>1</v>
      </c>
      <c r="N87" s="15" t="s">
        <v>142</v>
      </c>
      <c r="O87" s="16">
        <v>3.8888381663105209E-2</v>
      </c>
      <c r="P87" s="13"/>
    </row>
    <row r="88" spans="1:16" x14ac:dyDescent="0.25">
      <c r="A88" s="9" t="str">
        <f t="shared" si="2"/>
        <v>CUSTO DE DROPCOPY BRL - GOLDMAN SACHS - JANEIRO 26</v>
      </c>
      <c r="B88" s="10">
        <v>46023</v>
      </c>
      <c r="C88" s="9">
        <v>817632</v>
      </c>
      <c r="D88" s="11" t="s">
        <v>99</v>
      </c>
      <c r="E88" s="57">
        <f t="shared" si="5"/>
        <v>-21.622180009101832</v>
      </c>
      <c r="F88" s="9" t="s">
        <v>49</v>
      </c>
      <c r="G88" s="10">
        <v>46023</v>
      </c>
      <c r="H88" s="9">
        <v>27645</v>
      </c>
      <c r="J88" s="12" t="s">
        <v>52</v>
      </c>
      <c r="K88" s="12" t="s">
        <v>55</v>
      </c>
      <c r="L88" s="13">
        <v>718.29</v>
      </c>
      <c r="M88" s="14" t="s">
        <v>1</v>
      </c>
      <c r="N88" s="15" t="s">
        <v>142</v>
      </c>
      <c r="O88" s="16">
        <v>3.0102298527199089E-2</v>
      </c>
      <c r="P88" s="13"/>
    </row>
    <row r="89" spans="1:16" x14ac:dyDescent="0.25">
      <c r="A89" s="9" t="str">
        <f t="shared" si="2"/>
        <v>CUSTO DE DROPCOPY BRL - GOLDMAN SACHS - JANEIRO 26</v>
      </c>
      <c r="B89" s="10">
        <v>46023</v>
      </c>
      <c r="C89" s="9">
        <v>817632</v>
      </c>
      <c r="D89" s="11" t="s">
        <v>15</v>
      </c>
      <c r="E89" s="57">
        <f t="shared" si="5"/>
        <v>-4.6357651951538807</v>
      </c>
      <c r="F89" s="9" t="s">
        <v>49</v>
      </c>
      <c r="G89" s="10">
        <v>46023</v>
      </c>
      <c r="H89" s="9">
        <v>27645</v>
      </c>
      <c r="J89" s="12" t="s">
        <v>52</v>
      </c>
      <c r="K89" s="12" t="s">
        <v>55</v>
      </c>
      <c r="L89" s="13">
        <v>718.29</v>
      </c>
      <c r="M89" s="14" t="s">
        <v>1</v>
      </c>
      <c r="N89" s="15" t="s">
        <v>142</v>
      </c>
      <c r="O89" s="16">
        <v>6.4538907616058707E-3</v>
      </c>
      <c r="P89" s="13"/>
    </row>
    <row r="90" spans="1:16" x14ac:dyDescent="0.25">
      <c r="A90" s="9" t="str">
        <f t="shared" ref="A90" si="8">CONCATENATE(J90,P90,M90,K90,M90,N90)</f>
        <v>CUSTO DE DROPCOPY BRL - GOLDMAN SACHS - JANEIRO 26</v>
      </c>
      <c r="B90" s="10">
        <v>46023</v>
      </c>
      <c r="C90" s="9">
        <v>817632</v>
      </c>
      <c r="D90" s="11" t="s">
        <v>11</v>
      </c>
      <c r="E90" s="57">
        <f t="shared" ref="E90" si="9">-L90*O90</f>
        <v>-230.41164707444349</v>
      </c>
      <c r="F90" s="9" t="s">
        <v>49</v>
      </c>
      <c r="G90" s="10">
        <v>46023</v>
      </c>
      <c r="H90" s="9">
        <v>27645</v>
      </c>
      <c r="J90" s="12" t="s">
        <v>52</v>
      </c>
      <c r="K90" s="12" t="s">
        <v>55</v>
      </c>
      <c r="L90" s="13">
        <v>718.29</v>
      </c>
      <c r="M90" s="14" t="s">
        <v>1</v>
      </c>
      <c r="N90" s="15" t="s">
        <v>142</v>
      </c>
      <c r="O90" s="16">
        <v>0.32077802429999513</v>
      </c>
      <c r="P90" s="13"/>
    </row>
    <row r="91" spans="1:16" x14ac:dyDescent="0.25">
      <c r="A91" s="9" t="str">
        <f t="shared" si="2"/>
        <v>CUSTO DE DROPCOPY BRL - GOLDMAN SACHS - JANEIRO 26</v>
      </c>
      <c r="B91" s="10">
        <v>46023</v>
      </c>
      <c r="C91" s="9">
        <v>817632</v>
      </c>
      <c r="D91" s="11" t="s">
        <v>129</v>
      </c>
      <c r="E91" s="57">
        <f t="shared" si="5"/>
        <v>-25.86981220561119</v>
      </c>
      <c r="F91" s="9" t="s">
        <v>49</v>
      </c>
      <c r="G91" s="10">
        <v>46023</v>
      </c>
      <c r="H91" s="9">
        <v>27645</v>
      </c>
      <c r="J91" s="12" t="s">
        <v>52</v>
      </c>
      <c r="K91" s="12" t="s">
        <v>55</v>
      </c>
      <c r="L91" s="13">
        <v>718.29</v>
      </c>
      <c r="M91" s="14" t="s">
        <v>1</v>
      </c>
      <c r="N91" s="15" t="s">
        <v>142</v>
      </c>
      <c r="O91" s="16">
        <v>3.6015832331803575E-2</v>
      </c>
      <c r="P91" s="13"/>
    </row>
    <row r="92" spans="1:16" x14ac:dyDescent="0.25">
      <c r="A92" s="9" t="str">
        <f t="shared" si="2"/>
        <v>CUSTO DE DROPCOPY BRL - GOLDMAN SACHS - JANEIRO 26</v>
      </c>
      <c r="B92" s="10">
        <v>46023</v>
      </c>
      <c r="C92" s="9">
        <v>817632</v>
      </c>
      <c r="D92" s="11" t="s">
        <v>107</v>
      </c>
      <c r="E92" s="57">
        <f t="shared" si="5"/>
        <v>-2.4341605256905487</v>
      </c>
      <c r="F92" s="9" t="s">
        <v>49</v>
      </c>
      <c r="G92" s="10">
        <v>46023</v>
      </c>
      <c r="H92" s="9">
        <v>27645</v>
      </c>
      <c r="J92" s="12" t="s">
        <v>52</v>
      </c>
      <c r="K92" s="12" t="s">
        <v>55</v>
      </c>
      <c r="L92" s="13">
        <v>718.29</v>
      </c>
      <c r="M92" s="14" t="s">
        <v>1</v>
      </c>
      <c r="N92" s="15" t="s">
        <v>142</v>
      </c>
      <c r="O92" s="16">
        <v>3.3888269719619499E-3</v>
      </c>
      <c r="P92" s="13"/>
    </row>
    <row r="93" spans="1:16" x14ac:dyDescent="0.25">
      <c r="A93" s="9" t="str">
        <f t="shared" si="2"/>
        <v>CUSTO DE DROPCOPY BRL - GOLDMAN SACHS - JANEIRO 26</v>
      </c>
      <c r="B93" s="10">
        <v>46023</v>
      </c>
      <c r="C93" s="9">
        <v>817632</v>
      </c>
      <c r="D93" s="11" t="s">
        <v>91</v>
      </c>
      <c r="E93" s="57">
        <f t="shared" si="5"/>
        <v>-4.5023741781096236</v>
      </c>
      <c r="F93" s="9" t="s">
        <v>49</v>
      </c>
      <c r="G93" s="10">
        <v>46023</v>
      </c>
      <c r="H93" s="9">
        <v>27645</v>
      </c>
      <c r="J93" s="12" t="s">
        <v>52</v>
      </c>
      <c r="K93" s="12" t="s">
        <v>55</v>
      </c>
      <c r="L93" s="13">
        <v>718.29</v>
      </c>
      <c r="M93" s="14" t="s">
        <v>1</v>
      </c>
      <c r="N93" s="15" t="s">
        <v>142</v>
      </c>
      <c r="O93" s="16">
        <v>6.2681844075646656E-3</v>
      </c>
      <c r="P93" s="13"/>
    </row>
    <row r="94" spans="1:16" x14ac:dyDescent="0.25">
      <c r="A94" s="9" t="str">
        <f t="shared" si="2"/>
        <v>CUSTO DE DROPCOPY BRL - GOLDMAN SACHS - JANEIRO 26</v>
      </c>
      <c r="B94" s="10">
        <v>46023</v>
      </c>
      <c r="C94" s="9">
        <v>817632</v>
      </c>
      <c r="D94" s="11" t="s">
        <v>101</v>
      </c>
      <c r="E94" s="57">
        <f t="shared" si="5"/>
        <v>-11.998612628511895</v>
      </c>
      <c r="F94" s="9" t="s">
        <v>49</v>
      </c>
      <c r="G94" s="10">
        <v>46023</v>
      </c>
      <c r="H94" s="9">
        <v>27645</v>
      </c>
      <c r="J94" s="12" t="s">
        <v>52</v>
      </c>
      <c r="K94" s="12" t="s">
        <v>55</v>
      </c>
      <c r="L94" s="13">
        <v>718.29</v>
      </c>
      <c r="M94" s="14" t="s">
        <v>1</v>
      </c>
      <c r="N94" s="15" t="s">
        <v>142</v>
      </c>
      <c r="O94" s="16">
        <v>1.6704412742084528E-2</v>
      </c>
      <c r="P94" s="13"/>
    </row>
    <row r="95" spans="1:16" x14ac:dyDescent="0.25">
      <c r="A95" s="9" t="str">
        <f t="shared" si="2"/>
        <v>CUSTO DE DROPCOPY BRL - GOLDMAN SACHS - JANEIRO 26</v>
      </c>
      <c r="B95" s="10">
        <v>46023</v>
      </c>
      <c r="C95" s="9">
        <v>817632</v>
      </c>
      <c r="D95" s="11" t="s">
        <v>120</v>
      </c>
      <c r="E95" s="57">
        <f t="shared" si="5"/>
        <v>-3.1426503421245333</v>
      </c>
      <c r="F95" s="9" t="s">
        <v>49</v>
      </c>
      <c r="G95" s="10">
        <v>46023</v>
      </c>
      <c r="H95" s="9">
        <v>27645</v>
      </c>
      <c r="J95" s="12" t="s">
        <v>52</v>
      </c>
      <c r="K95" s="12" t="s">
        <v>55</v>
      </c>
      <c r="L95" s="13">
        <v>718.29</v>
      </c>
      <c r="M95" s="14" t="s">
        <v>1</v>
      </c>
      <c r="N95" s="15" t="s">
        <v>142</v>
      </c>
      <c r="O95" s="16">
        <v>4.3751832019442473E-3</v>
      </c>
      <c r="P95" s="13"/>
    </row>
    <row r="96" spans="1:16" x14ac:dyDescent="0.25">
      <c r="A96" s="9" t="str">
        <f t="shared" si="2"/>
        <v>CUSTO DE DROPCOPY BRL - GOLDMAN SACHS - JANEIRO 26</v>
      </c>
      <c r="B96" s="10">
        <v>46023</v>
      </c>
      <c r="C96" s="9">
        <v>817632</v>
      </c>
      <c r="D96" s="11" t="s">
        <v>41</v>
      </c>
      <c r="E96" s="57">
        <f t="shared" si="5"/>
        <v>-7.6765028752281523</v>
      </c>
      <c r="F96" s="9" t="s">
        <v>49</v>
      </c>
      <c r="G96" s="10">
        <v>46023</v>
      </c>
      <c r="H96" s="9">
        <v>27645</v>
      </c>
      <c r="J96" s="12" t="s">
        <v>52</v>
      </c>
      <c r="K96" s="12" t="s">
        <v>55</v>
      </c>
      <c r="L96" s="13">
        <v>718.29</v>
      </c>
      <c r="M96" s="14" t="s">
        <v>1</v>
      </c>
      <c r="N96" s="15" t="s">
        <v>142</v>
      </c>
      <c r="O96" s="16">
        <v>1.0687191629046976E-2</v>
      </c>
      <c r="P96" s="13"/>
    </row>
    <row r="97" spans="1:16" x14ac:dyDescent="0.25">
      <c r="A97" s="45" t="str">
        <f t="shared" si="2"/>
        <v>CUSTO DE DROPCOPY BRL - BANCO BTG PACTUAL - JANEIRO 26</v>
      </c>
      <c r="B97" s="46">
        <v>46023</v>
      </c>
      <c r="C97" s="45">
        <v>817632</v>
      </c>
      <c r="D97" s="47" t="s">
        <v>106</v>
      </c>
      <c r="E97" s="56">
        <f t="shared" si="5"/>
        <v>-85.286009129962778</v>
      </c>
      <c r="F97" s="45" t="s">
        <v>49</v>
      </c>
      <c r="G97" s="46">
        <v>46023</v>
      </c>
      <c r="H97" s="45">
        <v>15501</v>
      </c>
      <c r="J97" s="48" t="s">
        <v>52</v>
      </c>
      <c r="K97" s="48" t="s">
        <v>56</v>
      </c>
      <c r="L97" s="49">
        <v>718.29</v>
      </c>
      <c r="M97" s="50" t="s">
        <v>1</v>
      </c>
      <c r="N97" s="51" t="s">
        <v>142</v>
      </c>
      <c r="O97" s="52">
        <v>0.11873478557401994</v>
      </c>
      <c r="P97" s="49"/>
    </row>
    <row r="98" spans="1:16" x14ac:dyDescent="0.25">
      <c r="A98" s="9" t="str">
        <f t="shared" si="2"/>
        <v>CUSTO DE DROPCOPY BRL - BANCO BTG PACTUAL - JANEIRO 26</v>
      </c>
      <c r="B98" s="10">
        <v>46023</v>
      </c>
      <c r="C98" s="9">
        <v>817632</v>
      </c>
      <c r="D98" s="11" t="s">
        <v>98</v>
      </c>
      <c r="E98" s="57">
        <f t="shared" si="5"/>
        <v>-173.31130245535383</v>
      </c>
      <c r="F98" s="9" t="s">
        <v>49</v>
      </c>
      <c r="G98" s="10">
        <v>46023</v>
      </c>
      <c r="H98" s="9">
        <v>15501</v>
      </c>
      <c r="J98" s="12" t="s">
        <v>52</v>
      </c>
      <c r="K98" s="12" t="s">
        <v>56</v>
      </c>
      <c r="L98" s="13">
        <v>718.29</v>
      </c>
      <c r="M98" s="14" t="s">
        <v>1</v>
      </c>
      <c r="N98" s="15" t="s">
        <v>142</v>
      </c>
      <c r="O98" s="16">
        <v>0.24128318987505581</v>
      </c>
      <c r="P98" s="13"/>
    </row>
    <row r="99" spans="1:16" x14ac:dyDescent="0.25">
      <c r="A99" s="9" t="str">
        <f t="shared" ref="A99:A121" si="10">CONCATENATE(J99,P99,M99,K99,M99,N99)</f>
        <v>CUSTO DE DROPCOPY BRL - BANCO BTG PACTUAL - JANEIRO 26</v>
      </c>
      <c r="B99" s="10">
        <v>46023</v>
      </c>
      <c r="C99" s="9">
        <v>817632</v>
      </c>
      <c r="D99" s="11" t="s">
        <v>103</v>
      </c>
      <c r="E99" s="57">
        <f t="shared" si="5"/>
        <v>-11.743401390054011</v>
      </c>
      <c r="F99" s="9" t="s">
        <v>49</v>
      </c>
      <c r="G99" s="10">
        <v>46023</v>
      </c>
      <c r="H99" s="9">
        <v>15501</v>
      </c>
      <c r="J99" s="12" t="s">
        <v>52</v>
      </c>
      <c r="K99" s="12" t="s">
        <v>56</v>
      </c>
      <c r="L99" s="13">
        <v>718.29</v>
      </c>
      <c r="M99" s="14" t="s">
        <v>1</v>
      </c>
      <c r="N99" s="15" t="s">
        <v>142</v>
      </c>
      <c r="O99" s="16">
        <v>1.6349108841907881E-2</v>
      </c>
      <c r="P99" s="13"/>
    </row>
    <row r="100" spans="1:16" x14ac:dyDescent="0.25">
      <c r="A100" s="9" t="str">
        <f t="shared" si="10"/>
        <v>CUSTO DE DROPCOPY BRL - BANCO BTG PACTUAL - JANEIRO 26</v>
      </c>
      <c r="B100" s="10">
        <v>46023</v>
      </c>
      <c r="C100" s="9">
        <v>817632</v>
      </c>
      <c r="D100" s="11" t="s">
        <v>15</v>
      </c>
      <c r="E100" s="57">
        <f t="shared" si="5"/>
        <v>-17.586826816490941</v>
      </c>
      <c r="F100" s="9" t="s">
        <v>49</v>
      </c>
      <c r="G100" s="10">
        <v>46023</v>
      </c>
      <c r="H100" s="9">
        <v>15501</v>
      </c>
      <c r="J100" s="12" t="s">
        <v>52</v>
      </c>
      <c r="K100" s="12" t="s">
        <v>56</v>
      </c>
      <c r="L100" s="13">
        <v>718.29</v>
      </c>
      <c r="M100" s="14" t="s">
        <v>1</v>
      </c>
      <c r="N100" s="15" t="s">
        <v>142</v>
      </c>
      <c r="O100" s="16">
        <v>2.4484298565330076E-2</v>
      </c>
      <c r="P100" s="13"/>
    </row>
    <row r="101" spans="1:16" x14ac:dyDescent="0.25">
      <c r="A101" s="9" t="str">
        <f t="shared" si="10"/>
        <v>CUSTO DE DROPCOPY BRL - BANCO BTG PACTUAL - JANEIRO 26</v>
      </c>
      <c r="B101" s="10">
        <v>46023</v>
      </c>
      <c r="C101" s="9">
        <v>817632</v>
      </c>
      <c r="D101" s="11" t="s">
        <v>100</v>
      </c>
      <c r="E101" s="57">
        <f t="shared" si="5"/>
        <v>-16.898402589111715</v>
      </c>
      <c r="F101" s="9" t="s">
        <v>49</v>
      </c>
      <c r="G101" s="10">
        <v>46023</v>
      </c>
      <c r="H101" s="9">
        <v>15501</v>
      </c>
      <c r="J101" s="12" t="s">
        <v>52</v>
      </c>
      <c r="K101" s="12" t="s">
        <v>56</v>
      </c>
      <c r="L101" s="13">
        <v>718.29</v>
      </c>
      <c r="M101" s="14" t="s">
        <v>1</v>
      </c>
      <c r="N101" s="15" t="s">
        <v>142</v>
      </c>
      <c r="O101" s="16">
        <v>2.3525877555182054E-2</v>
      </c>
      <c r="P101" s="13"/>
    </row>
    <row r="102" spans="1:16" x14ac:dyDescent="0.25">
      <c r="A102" s="9" t="str">
        <f t="shared" ref="A102" si="11">CONCATENATE(J102,P102,M102,K102,M102,N102)</f>
        <v>CUSTO DE DROPCOPY BRL - BANCO BTG PACTUAL - JANEIRO 26</v>
      </c>
      <c r="B102" s="10">
        <v>46023</v>
      </c>
      <c r="C102" s="9">
        <v>817632</v>
      </c>
      <c r="D102" s="11" t="s">
        <v>11</v>
      </c>
      <c r="E102" s="57">
        <f t="shared" ref="E102" si="12">-L102*O102</f>
        <v>-171.84225899054309</v>
      </c>
      <c r="F102" s="9" t="s">
        <v>49</v>
      </c>
      <c r="G102" s="10">
        <v>46023</v>
      </c>
      <c r="H102" s="9">
        <v>15501</v>
      </c>
      <c r="J102" s="12" t="s">
        <v>52</v>
      </c>
      <c r="K102" s="12" t="s">
        <v>56</v>
      </c>
      <c r="L102" s="13">
        <v>718.29</v>
      </c>
      <c r="M102" s="14" t="s">
        <v>1</v>
      </c>
      <c r="N102" s="15" t="s">
        <v>142</v>
      </c>
      <c r="O102" s="16">
        <v>0.23923799439020882</v>
      </c>
      <c r="P102" s="13"/>
    </row>
    <row r="103" spans="1:16" x14ac:dyDescent="0.25">
      <c r="A103" s="9" t="str">
        <f t="shared" si="10"/>
        <v>CUSTO DE DROPCOPY BRL - BANCO BTG PACTUAL - JANEIRO 26</v>
      </c>
      <c r="B103" s="10">
        <v>46023</v>
      </c>
      <c r="C103" s="9">
        <v>817632</v>
      </c>
      <c r="D103" s="11" t="s">
        <v>129</v>
      </c>
      <c r="E103" s="57">
        <f t="shared" si="5"/>
        <v>-2.9331868415660476</v>
      </c>
      <c r="F103" s="9" t="s">
        <v>49</v>
      </c>
      <c r="G103" s="10">
        <v>46023</v>
      </c>
      <c r="H103" s="9">
        <v>15501</v>
      </c>
      <c r="J103" s="12" t="s">
        <v>52</v>
      </c>
      <c r="K103" s="12" t="s">
        <v>56</v>
      </c>
      <c r="L103" s="13">
        <v>718.29</v>
      </c>
      <c r="M103" s="14" t="s">
        <v>1</v>
      </c>
      <c r="N103" s="15" t="s">
        <v>142</v>
      </c>
      <c r="O103" s="16">
        <v>4.0835690898746299E-3</v>
      </c>
      <c r="P103" s="13"/>
    </row>
    <row r="104" spans="1:16" x14ac:dyDescent="0.25">
      <c r="A104" s="9" t="str">
        <f t="shared" si="10"/>
        <v>CUSTO DE DROPCOPY BRL - BANCO BTG PACTUAL - JANEIRO 26</v>
      </c>
      <c r="B104" s="10">
        <v>46023</v>
      </c>
      <c r="C104" s="9">
        <v>817632</v>
      </c>
      <c r="D104" s="11" t="s">
        <v>122</v>
      </c>
      <c r="E104" s="57">
        <f t="shared" si="5"/>
        <v>-2.7476114109379481</v>
      </c>
      <c r="F104" s="9" t="s">
        <v>49</v>
      </c>
      <c r="G104" s="10">
        <v>46023</v>
      </c>
      <c r="H104" s="9">
        <v>15501</v>
      </c>
      <c r="J104" s="12" t="s">
        <v>52</v>
      </c>
      <c r="K104" s="12" t="s">
        <v>56</v>
      </c>
      <c r="L104" s="13">
        <v>718.29</v>
      </c>
      <c r="M104" s="14" t="s">
        <v>1</v>
      </c>
      <c r="N104" s="15" t="s">
        <v>142</v>
      </c>
      <c r="O104" s="16">
        <v>3.8252118377506972E-3</v>
      </c>
      <c r="P104" s="13"/>
    </row>
    <row r="105" spans="1:16" x14ac:dyDescent="0.25">
      <c r="A105" s="9" t="str">
        <f t="shared" si="10"/>
        <v>CUSTO DE DROPCOPY BRL - BANCO BTG PACTUAL - JANEIRO 26</v>
      </c>
      <c r="B105" s="10">
        <v>46023</v>
      </c>
      <c r="C105" s="9">
        <v>817632</v>
      </c>
      <c r="D105" s="11" t="s">
        <v>107</v>
      </c>
      <c r="E105" s="57">
        <f t="shared" si="5"/>
        <v>-13.302673961325903</v>
      </c>
      <c r="F105" s="9" t="s">
        <v>49</v>
      </c>
      <c r="G105" s="10">
        <v>46023</v>
      </c>
      <c r="H105" s="9">
        <v>15501</v>
      </c>
      <c r="J105" s="12" t="s">
        <v>52</v>
      </c>
      <c r="K105" s="12" t="s">
        <v>56</v>
      </c>
      <c r="L105" s="13">
        <v>718.29</v>
      </c>
      <c r="M105" s="14" t="s">
        <v>1</v>
      </c>
      <c r="N105" s="15" t="s">
        <v>142</v>
      </c>
      <c r="O105" s="16">
        <v>1.851992086946206E-2</v>
      </c>
      <c r="P105" s="13"/>
    </row>
    <row r="106" spans="1:16" x14ac:dyDescent="0.25">
      <c r="A106" s="9" t="str">
        <f t="shared" si="10"/>
        <v>CUSTO DE DROPCOPY BRL - BANCO BTG PACTUAL - JANEIRO 26</v>
      </c>
      <c r="B106" s="10">
        <v>46023</v>
      </c>
      <c r="C106" s="9">
        <v>817632</v>
      </c>
      <c r="D106" s="11" t="s">
        <v>101</v>
      </c>
      <c r="E106" s="57">
        <f t="shared" si="5"/>
        <v>-215.82746222594426</v>
      </c>
      <c r="F106" s="9" t="s">
        <v>49</v>
      </c>
      <c r="G106" s="10">
        <v>46023</v>
      </c>
      <c r="H106" s="9">
        <v>15501</v>
      </c>
      <c r="J106" s="12" t="s">
        <v>52</v>
      </c>
      <c r="K106" s="12" t="s">
        <v>56</v>
      </c>
      <c r="L106" s="13">
        <v>718.29</v>
      </c>
      <c r="M106" s="14" t="s">
        <v>1</v>
      </c>
      <c r="N106" s="15" t="s">
        <v>142</v>
      </c>
      <c r="O106" s="16">
        <v>0.30047398992878122</v>
      </c>
      <c r="P106" s="13"/>
    </row>
    <row r="107" spans="1:16" x14ac:dyDescent="0.25">
      <c r="A107" s="9" t="str">
        <f t="shared" si="10"/>
        <v>CUSTO DE DROPCOPY BRL - BANCO BTG PACTUAL - JANEIRO 26</v>
      </c>
      <c r="B107" s="10">
        <v>46023</v>
      </c>
      <c r="C107" s="9">
        <v>817632</v>
      </c>
      <c r="D107" s="11" t="s">
        <v>120</v>
      </c>
      <c r="E107" s="57">
        <f t="shared" si="5"/>
        <v>-3.4054320943546856</v>
      </c>
      <c r="F107" s="9" t="s">
        <v>49</v>
      </c>
      <c r="G107" s="10">
        <v>46023</v>
      </c>
      <c r="H107" s="9">
        <v>15501</v>
      </c>
      <c r="J107" s="12" t="s">
        <v>52</v>
      </c>
      <c r="K107" s="12" t="s">
        <v>56</v>
      </c>
      <c r="L107" s="13">
        <v>718.29</v>
      </c>
      <c r="M107" s="14" t="s">
        <v>1</v>
      </c>
      <c r="N107" s="15" t="s">
        <v>142</v>
      </c>
      <c r="O107" s="16">
        <v>4.7410267362133478E-3</v>
      </c>
      <c r="P107" s="13"/>
    </row>
    <row r="108" spans="1:16" x14ac:dyDescent="0.25">
      <c r="A108" s="9" t="str">
        <f t="shared" si="10"/>
        <v>CUSTO DE DROPCOPY BRL - BANCO BTG PACTUAL - JANEIRO 26</v>
      </c>
      <c r="B108" s="10">
        <v>46023</v>
      </c>
      <c r="C108" s="9">
        <v>817632</v>
      </c>
      <c r="D108" s="11" t="s">
        <v>41</v>
      </c>
      <c r="E108" s="57">
        <f t="shared" si="5"/>
        <v>-3.4054320943546856</v>
      </c>
      <c r="F108" s="9" t="s">
        <v>49</v>
      </c>
      <c r="G108" s="10">
        <v>46023</v>
      </c>
      <c r="H108" s="9">
        <v>15501</v>
      </c>
      <c r="J108" s="12" t="s">
        <v>52</v>
      </c>
      <c r="K108" s="12" t="s">
        <v>56</v>
      </c>
      <c r="L108" s="13">
        <v>718.29</v>
      </c>
      <c r="M108" s="14" t="s">
        <v>1</v>
      </c>
      <c r="N108" s="15" t="s">
        <v>142</v>
      </c>
      <c r="O108" s="16">
        <v>4.7410267362133478E-3</v>
      </c>
      <c r="P108" s="13"/>
    </row>
    <row r="109" spans="1:16" x14ac:dyDescent="0.25">
      <c r="A109" s="18" t="str">
        <f t="shared" si="10"/>
        <v>CUSTO DE DROPCOPY BRL - LAKESIDE TRADING LLC - JANEIRO 26</v>
      </c>
      <c r="B109" s="19">
        <v>46023</v>
      </c>
      <c r="C109" s="18">
        <v>817632</v>
      </c>
      <c r="D109" s="20" t="s">
        <v>40</v>
      </c>
      <c r="E109" s="55">
        <f t="shared" si="5"/>
        <v>-1292.94</v>
      </c>
      <c r="F109" s="18" t="s">
        <v>49</v>
      </c>
      <c r="G109" s="19">
        <v>46023</v>
      </c>
      <c r="H109" s="18">
        <v>81772</v>
      </c>
      <c r="J109" s="21" t="s">
        <v>52</v>
      </c>
      <c r="K109" s="21" t="s">
        <v>108</v>
      </c>
      <c r="L109" s="63">
        <v>1292.94</v>
      </c>
      <c r="M109" s="23" t="s">
        <v>1</v>
      </c>
      <c r="N109" s="24" t="s">
        <v>142</v>
      </c>
      <c r="O109" s="25">
        <v>1</v>
      </c>
      <c r="P109" s="22"/>
    </row>
    <row r="110" spans="1:16" x14ac:dyDescent="0.25">
      <c r="A110" s="18" t="str">
        <f t="shared" si="10"/>
        <v>CUSTO DE DROPCOPY BRL - LAKESIDE TRADING LLC - JANEIRO 26</v>
      </c>
      <c r="B110" s="19">
        <v>46023</v>
      </c>
      <c r="C110" s="18">
        <v>817632</v>
      </c>
      <c r="D110" s="20" t="s">
        <v>11</v>
      </c>
      <c r="E110" s="55">
        <f t="shared" si="5"/>
        <v>-430.98</v>
      </c>
      <c r="F110" s="18" t="s">
        <v>49</v>
      </c>
      <c r="G110" s="19">
        <v>46023</v>
      </c>
      <c r="H110" s="18">
        <v>81772</v>
      </c>
      <c r="J110" s="21" t="s">
        <v>52</v>
      </c>
      <c r="K110" s="21" t="s">
        <v>108</v>
      </c>
      <c r="L110" s="63">
        <v>430.98</v>
      </c>
      <c r="M110" s="23" t="s">
        <v>1</v>
      </c>
      <c r="N110" s="24" t="s">
        <v>142</v>
      </c>
      <c r="O110" s="25">
        <v>1</v>
      </c>
      <c r="P110" s="22"/>
    </row>
    <row r="111" spans="1:16" x14ac:dyDescent="0.25">
      <c r="A111" s="45" t="str">
        <f t="shared" si="10"/>
        <v>CUSTO DE DROPCOPY BRL - MORGAN STANLEY URUGUAY LTDA - CITIBANK - JANEIRO 26</v>
      </c>
      <c r="B111" s="46">
        <v>46023</v>
      </c>
      <c r="C111" s="45">
        <v>817632</v>
      </c>
      <c r="D111" s="47" t="s">
        <v>20</v>
      </c>
      <c r="E111" s="56">
        <f t="shared" si="5"/>
        <v>-430.97399999999993</v>
      </c>
      <c r="F111" s="45" t="s">
        <v>49</v>
      </c>
      <c r="G111" s="46">
        <v>46023</v>
      </c>
      <c r="H111" s="45">
        <v>80754</v>
      </c>
      <c r="J111" s="48" t="s">
        <v>52</v>
      </c>
      <c r="K111" s="48" t="s">
        <v>109</v>
      </c>
      <c r="L111" s="62">
        <v>430.97399999999993</v>
      </c>
      <c r="M111" s="50" t="s">
        <v>1</v>
      </c>
      <c r="N111" s="51" t="s">
        <v>142</v>
      </c>
      <c r="O111" s="52">
        <v>1</v>
      </c>
      <c r="P111" s="49"/>
    </row>
    <row r="112" spans="1:16" x14ac:dyDescent="0.25">
      <c r="A112" s="1" t="str">
        <f t="shared" si="10"/>
        <v>CUSTO DE DROPCOPY BRL - MORGAN STANLEY URUGUAY LTDA - CITIBANK - JANEIRO 26</v>
      </c>
      <c r="B112" s="2">
        <v>46023</v>
      </c>
      <c r="C112" s="1">
        <v>817632</v>
      </c>
      <c r="D112" s="3" t="s">
        <v>126</v>
      </c>
      <c r="E112" s="58">
        <f t="shared" si="5"/>
        <v>-287.31599999999997</v>
      </c>
      <c r="F112" s="1" t="s">
        <v>49</v>
      </c>
      <c r="G112" s="2">
        <v>46023</v>
      </c>
      <c r="H112" s="1">
        <v>80754</v>
      </c>
      <c r="J112" s="4" t="s">
        <v>52</v>
      </c>
      <c r="K112" s="4" t="s">
        <v>109</v>
      </c>
      <c r="L112" s="60">
        <v>287.31599999999997</v>
      </c>
      <c r="M112" s="6" t="s">
        <v>1</v>
      </c>
      <c r="N112" s="7" t="s">
        <v>142</v>
      </c>
      <c r="O112" s="8">
        <v>1</v>
      </c>
      <c r="P112" s="5"/>
    </row>
    <row r="113" spans="1:17" x14ac:dyDescent="0.25">
      <c r="A113" s="45" t="str">
        <f t="shared" si="10"/>
        <v>CUSTO DE DROPCOPY BRL - ITAU FACIL - JANEIRO 26</v>
      </c>
      <c r="B113" s="46">
        <v>46023</v>
      </c>
      <c r="C113" s="45">
        <v>817632</v>
      </c>
      <c r="D113" s="47" t="s">
        <v>110</v>
      </c>
      <c r="E113" s="56">
        <f t="shared" si="5"/>
        <v>-432.41499999999996</v>
      </c>
      <c r="F113" s="45" t="s">
        <v>49</v>
      </c>
      <c r="G113" s="46">
        <v>46023</v>
      </c>
      <c r="H113" s="45">
        <v>81200</v>
      </c>
      <c r="J113" s="48" t="s">
        <v>52</v>
      </c>
      <c r="K113" s="48" t="s">
        <v>127</v>
      </c>
      <c r="L113" s="62">
        <v>864.82999999999993</v>
      </c>
      <c r="M113" s="50" t="s">
        <v>1</v>
      </c>
      <c r="N113" s="51" t="s">
        <v>142</v>
      </c>
      <c r="O113" s="16">
        <v>0.5</v>
      </c>
      <c r="P113" s="49"/>
    </row>
    <row r="114" spans="1:17" x14ac:dyDescent="0.25">
      <c r="A114" s="1" t="str">
        <f t="shared" si="10"/>
        <v>CUSTO DE DROPCOPY BRL - ITAU FACIL - JANEIRO 26</v>
      </c>
      <c r="B114" s="2">
        <v>46023</v>
      </c>
      <c r="C114" s="1">
        <v>817632</v>
      </c>
      <c r="D114" s="3" t="s">
        <v>2</v>
      </c>
      <c r="E114" s="58">
        <f t="shared" si="5"/>
        <v>-432.41499999999996</v>
      </c>
      <c r="F114" s="1" t="s">
        <v>49</v>
      </c>
      <c r="G114" s="2">
        <v>46023</v>
      </c>
      <c r="H114" s="1">
        <v>81200</v>
      </c>
      <c r="J114" s="4" t="s">
        <v>52</v>
      </c>
      <c r="K114" s="4" t="s">
        <v>127</v>
      </c>
      <c r="L114" s="60">
        <v>864.82999999999993</v>
      </c>
      <c r="M114" s="6" t="s">
        <v>1</v>
      </c>
      <c r="N114" s="7" t="s">
        <v>142</v>
      </c>
      <c r="O114" s="8">
        <v>0.5</v>
      </c>
      <c r="P114" s="5"/>
    </row>
    <row r="115" spans="1:17" x14ac:dyDescent="0.25">
      <c r="A115" s="1" t="str">
        <f t="shared" si="10"/>
        <v>CUSTO DE DROPCOPY BRL - ITAU CV S/A - JANEIRO 26</v>
      </c>
      <c r="B115" s="2">
        <v>46023</v>
      </c>
      <c r="C115" s="1">
        <v>817632</v>
      </c>
      <c r="D115" s="3" t="s">
        <v>2</v>
      </c>
      <c r="E115" s="58">
        <f t="shared" si="5"/>
        <v>-1729.6599999999999</v>
      </c>
      <c r="F115" s="1" t="s">
        <v>49</v>
      </c>
      <c r="G115" s="2">
        <v>46023</v>
      </c>
      <c r="H115" s="1">
        <v>81200</v>
      </c>
      <c r="J115" s="4" t="s">
        <v>52</v>
      </c>
      <c r="K115" s="4" t="s">
        <v>111</v>
      </c>
      <c r="L115" s="60">
        <v>1729.6599999999999</v>
      </c>
      <c r="M115" s="6" t="s">
        <v>1</v>
      </c>
      <c r="N115" s="7" t="s">
        <v>142</v>
      </c>
      <c r="O115" s="8">
        <v>1</v>
      </c>
      <c r="P115" s="5"/>
    </row>
    <row r="116" spans="1:17" x14ac:dyDescent="0.25">
      <c r="A116" s="9" t="str">
        <f t="shared" si="10"/>
        <v>CUSTO DE DROPCOPY BRL - CREDIT SUISSE (BRASIL) - JANEIRO 26</v>
      </c>
      <c r="B116" s="10">
        <v>46023</v>
      </c>
      <c r="C116" s="9">
        <v>817632</v>
      </c>
      <c r="D116" s="11" t="s">
        <v>98</v>
      </c>
      <c r="E116" s="57">
        <f t="shared" si="5"/>
        <v>-45.517368421052623</v>
      </c>
      <c r="F116" s="9" t="s">
        <v>49</v>
      </c>
      <c r="G116" s="10">
        <v>46023</v>
      </c>
      <c r="H116" s="9">
        <v>79978</v>
      </c>
      <c r="J116" s="12" t="s">
        <v>52</v>
      </c>
      <c r="K116" s="12" t="s">
        <v>112</v>
      </c>
      <c r="L116" s="61">
        <v>45.517368421052623</v>
      </c>
      <c r="M116" s="14" t="s">
        <v>1</v>
      </c>
      <c r="N116" s="15" t="s">
        <v>142</v>
      </c>
      <c r="O116" s="16">
        <v>1</v>
      </c>
      <c r="P116" s="13"/>
    </row>
    <row r="117" spans="1:17" x14ac:dyDescent="0.25">
      <c r="A117" s="9" t="str">
        <f t="shared" si="10"/>
        <v>CUSTO DE DROPCOPY BRL - CREDIT SUISSE (BRASIL) - JANEIRO 26</v>
      </c>
      <c r="B117" s="10">
        <v>46023</v>
      </c>
      <c r="C117" s="9">
        <v>817632</v>
      </c>
      <c r="D117" s="11" t="s">
        <v>40</v>
      </c>
      <c r="E117" s="57">
        <f t="shared" si="5"/>
        <v>-728.27789473684231</v>
      </c>
      <c r="F117" s="9" t="s">
        <v>49</v>
      </c>
      <c r="G117" s="10">
        <v>46023</v>
      </c>
      <c r="H117" s="9">
        <v>79978</v>
      </c>
      <c r="J117" s="12" t="s">
        <v>52</v>
      </c>
      <c r="K117" s="12" t="s">
        <v>112</v>
      </c>
      <c r="L117" s="61">
        <v>728.27789473684231</v>
      </c>
      <c r="M117" s="14" t="s">
        <v>1</v>
      </c>
      <c r="N117" s="15" t="s">
        <v>142</v>
      </c>
      <c r="O117" s="16">
        <v>1</v>
      </c>
      <c r="P117" s="13"/>
    </row>
    <row r="118" spans="1:17" x14ac:dyDescent="0.25">
      <c r="A118" s="9" t="str">
        <f t="shared" si="10"/>
        <v>CUSTO DE DROPCOPY BRL - CREDIT SUISSE (BRASIL) - JANEIRO 26</v>
      </c>
      <c r="B118" s="10">
        <v>46023</v>
      </c>
      <c r="C118" s="9">
        <v>817632</v>
      </c>
      <c r="D118" s="11" t="s">
        <v>41</v>
      </c>
      <c r="E118" s="57">
        <f t="shared" si="5"/>
        <v>-91.034736842105247</v>
      </c>
      <c r="F118" s="9" t="s">
        <v>49</v>
      </c>
      <c r="G118" s="10">
        <v>46023</v>
      </c>
      <c r="H118" s="9">
        <v>79978</v>
      </c>
      <c r="J118" s="12" t="s">
        <v>52</v>
      </c>
      <c r="K118" s="12" t="s">
        <v>112</v>
      </c>
      <c r="L118" s="61">
        <v>91.034736842105247</v>
      </c>
      <c r="M118" s="14" t="s">
        <v>1</v>
      </c>
      <c r="N118" s="15" t="s">
        <v>142</v>
      </c>
      <c r="O118" s="16">
        <v>1</v>
      </c>
      <c r="P118" s="13"/>
    </row>
    <row r="119" spans="1:17" x14ac:dyDescent="0.25">
      <c r="A119" s="18" t="str">
        <f t="shared" si="10"/>
        <v>CUSTO DE DROPCOPY BRL - KAPITALO INVESTIMENTOS LTDA - JANEIRO 26</v>
      </c>
      <c r="B119" s="19">
        <v>46023</v>
      </c>
      <c r="C119" s="18">
        <v>817632</v>
      </c>
      <c r="D119" s="20" t="s">
        <v>2</v>
      </c>
      <c r="E119" s="55">
        <f t="shared" si="5"/>
        <v>-1729.6599999999999</v>
      </c>
      <c r="F119" s="18" t="s">
        <v>49</v>
      </c>
      <c r="G119" s="19">
        <v>46023</v>
      </c>
      <c r="H119" s="18">
        <v>80392</v>
      </c>
      <c r="J119" s="21" t="s">
        <v>52</v>
      </c>
      <c r="K119" s="21" t="s">
        <v>113</v>
      </c>
      <c r="L119" s="63">
        <v>1729.6599999999999</v>
      </c>
      <c r="M119" s="23" t="s">
        <v>1</v>
      </c>
      <c r="N119" s="24" t="s">
        <v>142</v>
      </c>
      <c r="O119" s="25">
        <v>1</v>
      </c>
      <c r="P119" s="22"/>
    </row>
    <row r="120" spans="1:17" x14ac:dyDescent="0.25">
      <c r="A120" s="18" t="str">
        <f t="shared" si="10"/>
        <v>CUSTO DE DROPCOPY BRL - VINLAND CAPITAL - JANEIRO 26</v>
      </c>
      <c r="B120" s="19">
        <v>46023</v>
      </c>
      <c r="C120" s="18">
        <v>817632</v>
      </c>
      <c r="D120" s="20" t="s">
        <v>95</v>
      </c>
      <c r="E120" s="55">
        <f t="shared" si="5"/>
        <v>-718.29</v>
      </c>
      <c r="F120" s="18" t="s">
        <v>49</v>
      </c>
      <c r="G120" s="19">
        <v>46023</v>
      </c>
      <c r="H120" s="18">
        <v>80359</v>
      </c>
      <c r="J120" s="21" t="s">
        <v>52</v>
      </c>
      <c r="K120" s="21" t="s">
        <v>121</v>
      </c>
      <c r="L120" s="63">
        <v>718.29</v>
      </c>
      <c r="M120" s="23" t="s">
        <v>1</v>
      </c>
      <c r="N120" s="24" t="s">
        <v>142</v>
      </c>
      <c r="O120" s="25">
        <v>1</v>
      </c>
      <c r="P120" s="22"/>
    </row>
    <row r="121" spans="1:17" x14ac:dyDescent="0.25">
      <c r="A121" s="18" t="str">
        <f t="shared" si="10"/>
        <v>CUSTO DE DROPCOPY BRL - AGUILA CAPITAL ADM - JANEIRO 26</v>
      </c>
      <c r="B121" s="19">
        <v>46023</v>
      </c>
      <c r="C121" s="18">
        <v>817632</v>
      </c>
      <c r="D121" s="20" t="s">
        <v>133</v>
      </c>
      <c r="E121" s="55">
        <f t="shared" si="5"/>
        <v>-146.54</v>
      </c>
      <c r="F121" s="18" t="s">
        <v>49</v>
      </c>
      <c r="G121" s="19">
        <v>46023</v>
      </c>
      <c r="H121" s="18">
        <v>12397</v>
      </c>
      <c r="J121" s="21" t="s">
        <v>52</v>
      </c>
      <c r="K121" s="21" t="s">
        <v>134</v>
      </c>
      <c r="L121" s="63">
        <v>146.54</v>
      </c>
      <c r="M121" s="6" t="s">
        <v>1</v>
      </c>
      <c r="N121" s="7" t="s">
        <v>142</v>
      </c>
      <c r="O121" s="25">
        <v>1</v>
      </c>
      <c r="P121" s="67"/>
      <c r="Q121" s="17"/>
    </row>
  </sheetData>
  <autoFilter ref="A1:P121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84F9-6A75-4C74-B522-A7CE912D2D74}">
  <sheetPr codeName="Sheet4"/>
  <dimension ref="A1:Q122"/>
  <sheetViews>
    <sheetView topLeftCell="A95" zoomScaleNormal="100" workbookViewId="0">
      <selection activeCell="G122" sqref="G122"/>
    </sheetView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10.1406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35" si="0">CONCATENATE(J2,P2,M2,K2,M2,Q2,M2,N2)</f>
        <v>CUSTO DE DROPCOPY USD - BANCO SANTANDER S.A (HISPANO) - ROGERIO ENDO -  FEVEREIRO 26</v>
      </c>
      <c r="B2" s="10">
        <v>46054</v>
      </c>
      <c r="C2" s="9">
        <v>817632</v>
      </c>
      <c r="D2" s="11" t="s">
        <v>40</v>
      </c>
      <c r="E2" s="57">
        <f>-L2*O2</f>
        <v>-467.21070200000003</v>
      </c>
      <c r="F2" s="9" t="s">
        <v>12</v>
      </c>
      <c r="G2" s="10">
        <v>46054</v>
      </c>
      <c r="H2" s="9">
        <v>80195</v>
      </c>
      <c r="J2" s="12" t="s">
        <v>36</v>
      </c>
      <c r="K2" s="12" t="s">
        <v>39</v>
      </c>
      <c r="L2" s="59">
        <v>467.21070200000003</v>
      </c>
      <c r="M2" s="14" t="s">
        <v>1</v>
      </c>
      <c r="N2" s="15" t="s">
        <v>156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 FEVEREIRO 26</v>
      </c>
      <c r="B3" s="10">
        <v>46054</v>
      </c>
      <c r="C3" s="9">
        <v>817632</v>
      </c>
      <c r="D3" s="11" t="s">
        <v>40</v>
      </c>
      <c r="E3" s="57">
        <f t="shared" ref="E3:E68" si="1">-L3*O3</f>
        <v>-467.21070200000003</v>
      </c>
      <c r="F3" s="9" t="s">
        <v>12</v>
      </c>
      <c r="G3" s="10">
        <v>46054</v>
      </c>
      <c r="H3" s="9">
        <v>80015</v>
      </c>
      <c r="J3" s="12" t="s">
        <v>36</v>
      </c>
      <c r="K3" s="12" t="s">
        <v>13</v>
      </c>
      <c r="L3" s="59">
        <v>467.21070200000003</v>
      </c>
      <c r="M3" s="14" t="s">
        <v>1</v>
      </c>
      <c r="N3" s="15" t="s">
        <v>156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(729) -  FEVEREIRO 26</v>
      </c>
      <c r="B4" s="10">
        <v>46054</v>
      </c>
      <c r="C4" s="9">
        <v>817632</v>
      </c>
      <c r="D4" s="11" t="s">
        <v>15</v>
      </c>
      <c r="E4" s="57">
        <f t="shared" si="1"/>
        <v>-467.21070200000003</v>
      </c>
      <c r="F4" s="9" t="s">
        <v>12</v>
      </c>
      <c r="G4" s="10">
        <v>46054</v>
      </c>
      <c r="H4" s="9">
        <v>14479</v>
      </c>
      <c r="J4" s="12" t="s">
        <v>36</v>
      </c>
      <c r="K4" s="12" t="s">
        <v>13</v>
      </c>
      <c r="L4" s="59">
        <v>467.21070200000003</v>
      </c>
      <c r="M4" s="14" t="s">
        <v>1</v>
      </c>
      <c r="N4" s="15" t="s">
        <v>156</v>
      </c>
      <c r="O4" s="16">
        <v>1</v>
      </c>
      <c r="P4" s="13"/>
      <c r="Q4" s="17" t="s">
        <v>50</v>
      </c>
    </row>
    <row r="5" spans="1:17" x14ac:dyDescent="0.25">
      <c r="A5" s="9" t="str">
        <f t="shared" si="0"/>
        <v>CUSTO DE DROPCOPY USD - BANCO SANTANDER S.A (HISPANO) - RODRIGO FERNANDEZ -  FEVEREIRO 26</v>
      </c>
      <c r="B5" s="10">
        <v>46054</v>
      </c>
      <c r="C5" s="9">
        <v>817632</v>
      </c>
      <c r="D5" s="11" t="s">
        <v>15</v>
      </c>
      <c r="E5" s="57">
        <f t="shared" si="1"/>
        <v>-467.21070200000003</v>
      </c>
      <c r="F5" s="9" t="s">
        <v>12</v>
      </c>
      <c r="G5" s="10">
        <v>46054</v>
      </c>
      <c r="H5" s="9">
        <v>80195</v>
      </c>
      <c r="J5" s="12" t="s">
        <v>36</v>
      </c>
      <c r="K5" s="12" t="s">
        <v>39</v>
      </c>
      <c r="L5" s="59">
        <v>467.21070200000003</v>
      </c>
      <c r="M5" s="14" t="s">
        <v>1</v>
      </c>
      <c r="N5" s="15" t="s">
        <v>156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(833) -  FEVEREIRO 26</v>
      </c>
      <c r="B6" s="10">
        <v>46054</v>
      </c>
      <c r="C6" s="9">
        <v>817632</v>
      </c>
      <c r="D6" s="11" t="s">
        <v>11</v>
      </c>
      <c r="E6" s="57">
        <f t="shared" si="1"/>
        <v>-467.21070200000003</v>
      </c>
      <c r="F6" s="9" t="s">
        <v>12</v>
      </c>
      <c r="G6" s="10">
        <v>46054</v>
      </c>
      <c r="H6" s="9">
        <v>14479</v>
      </c>
      <c r="J6" s="12" t="s">
        <v>36</v>
      </c>
      <c r="K6" s="12" t="s">
        <v>13</v>
      </c>
      <c r="L6" s="59">
        <v>467.21070200000003</v>
      </c>
      <c r="M6" s="14" t="s">
        <v>1</v>
      </c>
      <c r="N6" s="15" t="s">
        <v>156</v>
      </c>
      <c r="O6" s="16">
        <v>1</v>
      </c>
      <c r="P6" s="13"/>
      <c r="Q6" s="17" t="s">
        <v>89</v>
      </c>
    </row>
    <row r="7" spans="1:17" x14ac:dyDescent="0.25">
      <c r="A7" s="1" t="str">
        <f t="shared" si="0"/>
        <v>CUSTO DE DROPCOPY USD - BANCO SANTANDER (BRASIL) S/A - ALESSANDRO EZEQUIEL -  FEVEREIRO 26</v>
      </c>
      <c r="B7" s="2">
        <v>46054</v>
      </c>
      <c r="C7" s="1">
        <v>817632</v>
      </c>
      <c r="D7" s="3" t="s">
        <v>105</v>
      </c>
      <c r="E7" s="58">
        <f t="shared" si="1"/>
        <v>-467.21070200000003</v>
      </c>
      <c r="F7" s="1" t="s">
        <v>12</v>
      </c>
      <c r="G7" s="2">
        <v>46054</v>
      </c>
      <c r="H7" s="1">
        <v>14479</v>
      </c>
      <c r="J7" s="4" t="s">
        <v>36</v>
      </c>
      <c r="K7" s="4" t="s">
        <v>13</v>
      </c>
      <c r="L7" s="60">
        <v>467.21070200000003</v>
      </c>
      <c r="M7" s="6" t="s">
        <v>1</v>
      </c>
      <c r="N7" s="7" t="s">
        <v>156</v>
      </c>
      <c r="O7" s="8">
        <v>1</v>
      </c>
      <c r="P7" s="5"/>
      <c r="Q7" s="64" t="s">
        <v>125</v>
      </c>
    </row>
    <row r="8" spans="1:17" x14ac:dyDescent="0.25">
      <c r="A8" s="9" t="str">
        <f t="shared" si="0"/>
        <v>CUSTO DE DROPCOPY USD - HAITONG BANCO  - MATHEUS FERNANDES (632) -  FEVEREIRO 26</v>
      </c>
      <c r="B8" s="10">
        <v>46054</v>
      </c>
      <c r="C8" s="9">
        <v>817632</v>
      </c>
      <c r="D8" s="44" t="s">
        <v>41</v>
      </c>
      <c r="E8" s="57">
        <f t="shared" si="1"/>
        <v>-1401.632106</v>
      </c>
      <c r="F8" s="9" t="s">
        <v>12</v>
      </c>
      <c r="G8" s="10">
        <v>46054</v>
      </c>
      <c r="H8" s="9">
        <v>80041</v>
      </c>
      <c r="J8" s="12" t="s">
        <v>36</v>
      </c>
      <c r="K8" s="12" t="s">
        <v>119</v>
      </c>
      <c r="L8" s="61">
        <v>2803.264212</v>
      </c>
      <c r="M8" s="14" t="s">
        <v>1</v>
      </c>
      <c r="N8" s="15" t="s">
        <v>156</v>
      </c>
      <c r="O8" s="16">
        <v>0.5</v>
      </c>
      <c r="P8" s="13"/>
      <c r="Q8" s="17" t="s">
        <v>92</v>
      </c>
    </row>
    <row r="9" spans="1:17" x14ac:dyDescent="0.25">
      <c r="A9" s="9" t="str">
        <f t="shared" si="0"/>
        <v>CUSTO DE DROPCOPY USD - HAITONG BANCO  - MATHEUS FERNANDES (632) -  FEVEREIRO 26</v>
      </c>
      <c r="B9" s="2">
        <v>46054</v>
      </c>
      <c r="C9" s="1">
        <v>817632</v>
      </c>
      <c r="D9" s="3" t="s">
        <v>15</v>
      </c>
      <c r="E9" s="58">
        <f t="shared" si="1"/>
        <v>-1401.632106</v>
      </c>
      <c r="F9" s="1" t="s">
        <v>12</v>
      </c>
      <c r="G9" s="2">
        <v>46054</v>
      </c>
      <c r="H9" s="1">
        <v>80041</v>
      </c>
      <c r="J9" s="4" t="s">
        <v>36</v>
      </c>
      <c r="K9" s="4" t="s">
        <v>119</v>
      </c>
      <c r="L9" s="60">
        <v>2803.264212</v>
      </c>
      <c r="M9" s="6" t="s">
        <v>1</v>
      </c>
      <c r="N9" s="7" t="s">
        <v>156</v>
      </c>
      <c r="O9" s="8">
        <v>0.5</v>
      </c>
      <c r="P9" s="5"/>
      <c r="Q9" s="64" t="s">
        <v>92</v>
      </c>
    </row>
    <row r="10" spans="1:17" x14ac:dyDescent="0.25">
      <c r="A10" s="18" t="str">
        <f t="shared" si="0"/>
        <v>CUSTO DE DROPCOPY USD - ITAU UNIBANCO S/A - EDUARDO MORGAO -  FEVEREIRO 26</v>
      </c>
      <c r="B10" s="2">
        <v>46054</v>
      </c>
      <c r="C10" s="1">
        <v>817632</v>
      </c>
      <c r="D10" s="3" t="s">
        <v>2</v>
      </c>
      <c r="E10" s="58">
        <f t="shared" si="1"/>
        <v>-2803.264212</v>
      </c>
      <c r="F10" s="1" t="s">
        <v>12</v>
      </c>
      <c r="G10" s="2">
        <v>46054</v>
      </c>
      <c r="H10" s="1">
        <v>79806</v>
      </c>
      <c r="J10" s="4" t="s">
        <v>36</v>
      </c>
      <c r="K10" s="4" t="s">
        <v>42</v>
      </c>
      <c r="L10" s="60">
        <v>2803.264212</v>
      </c>
      <c r="M10" s="6" t="s">
        <v>1</v>
      </c>
      <c r="N10" s="24" t="s">
        <v>156</v>
      </c>
      <c r="O10" s="8">
        <v>1</v>
      </c>
      <c r="P10" s="5"/>
      <c r="Q10" s="65" t="s">
        <v>8</v>
      </c>
    </row>
    <row r="11" spans="1:17" x14ac:dyDescent="0.25">
      <c r="A11" s="9" t="str">
        <f t="shared" si="0"/>
        <v>CUSTO DE DROPCOPY USD - BRAZA BANK S/A BANCO DE CAMBIO - GUSTAVO BEVILACQUA -  FEVEREIRO 26</v>
      </c>
      <c r="B11" s="10">
        <v>46054</v>
      </c>
      <c r="C11" s="9">
        <v>817632</v>
      </c>
      <c r="D11" s="11" t="s">
        <v>20</v>
      </c>
      <c r="E11" s="57">
        <f t="shared" si="1"/>
        <v>-934.42140399999994</v>
      </c>
      <c r="F11" s="9" t="s">
        <v>12</v>
      </c>
      <c r="G11" s="10">
        <v>46054</v>
      </c>
      <c r="H11" s="9">
        <v>80213</v>
      </c>
      <c r="J11" s="12" t="s">
        <v>36</v>
      </c>
      <c r="K11" s="12" t="s">
        <v>51</v>
      </c>
      <c r="L11" s="61">
        <v>934.42140399999994</v>
      </c>
      <c r="M11" s="14" t="s">
        <v>1</v>
      </c>
      <c r="N11" s="15" t="s">
        <v>156</v>
      </c>
      <c r="O11" s="16">
        <v>1</v>
      </c>
      <c r="P11" s="13"/>
      <c r="Q11" s="17" t="s">
        <v>131</v>
      </c>
    </row>
    <row r="12" spans="1:17" x14ac:dyDescent="0.25">
      <c r="A12" s="9" t="str">
        <f t="shared" si="0"/>
        <v>CUSTO DE DROPCOPY USD - BRAZA BANK S/A BANCO DE CAMBIO - BRUNO PEROTTONI -  FEVEREIRO 26</v>
      </c>
      <c r="B12" s="10">
        <v>46054</v>
      </c>
      <c r="C12" s="9">
        <v>817632</v>
      </c>
      <c r="D12" s="11" t="s">
        <v>20</v>
      </c>
      <c r="E12" s="57">
        <f t="shared" si="1"/>
        <v>-934.42140399999994</v>
      </c>
      <c r="F12" s="9" t="s">
        <v>12</v>
      </c>
      <c r="G12" s="10">
        <v>46054</v>
      </c>
      <c r="H12" s="9">
        <v>80213</v>
      </c>
      <c r="J12" s="12" t="s">
        <v>36</v>
      </c>
      <c r="K12" s="12" t="s">
        <v>51</v>
      </c>
      <c r="L12" s="61">
        <v>934.42140399999994</v>
      </c>
      <c r="M12" s="14" t="s">
        <v>1</v>
      </c>
      <c r="N12" s="15" t="s">
        <v>156</v>
      </c>
      <c r="O12" s="16">
        <v>1</v>
      </c>
      <c r="P12" s="13"/>
      <c r="Q12" s="17" t="s">
        <v>21</v>
      </c>
    </row>
    <row r="13" spans="1:17" x14ac:dyDescent="0.25">
      <c r="A13" s="1" t="str">
        <f t="shared" si="0"/>
        <v>CUSTO DE DROPCOPY USD - BRAZA BANK S/A BANCO DE CAMBIO - GABRIEL RIBEIRO -  FEVEREIRO 26</v>
      </c>
      <c r="B13" s="2">
        <v>46054</v>
      </c>
      <c r="C13" s="1">
        <v>817632</v>
      </c>
      <c r="D13" s="3" t="s">
        <v>20</v>
      </c>
      <c r="E13" s="58">
        <f t="shared" si="1"/>
        <v>-934.42140399999994</v>
      </c>
      <c r="F13" s="1" t="s">
        <v>12</v>
      </c>
      <c r="G13" s="2">
        <v>46054</v>
      </c>
      <c r="H13" s="1">
        <v>80213</v>
      </c>
      <c r="J13" s="4" t="s">
        <v>36</v>
      </c>
      <c r="K13" s="4" t="s">
        <v>51</v>
      </c>
      <c r="L13" s="60">
        <v>934.42140399999994</v>
      </c>
      <c r="M13" s="6" t="s">
        <v>1</v>
      </c>
      <c r="N13" s="7" t="s">
        <v>156</v>
      </c>
      <c r="O13" s="8">
        <v>1</v>
      </c>
      <c r="P13" s="5"/>
      <c r="Q13" s="64" t="s">
        <v>22</v>
      </c>
    </row>
    <row r="14" spans="1:17" x14ac:dyDescent="0.25">
      <c r="A14" s="1" t="str">
        <f t="shared" si="0"/>
        <v>CUSTO DE DROPCOPY USD - BANCO BRADESCO S/A - CAOE MARTINS -  FEVEREIRO 26</v>
      </c>
      <c r="B14" s="2">
        <v>46054</v>
      </c>
      <c r="C14" s="1">
        <v>817632</v>
      </c>
      <c r="D14" s="3" t="s">
        <v>2</v>
      </c>
      <c r="E14" s="58">
        <f t="shared" si="1"/>
        <v>-1401.632106</v>
      </c>
      <c r="F14" s="1" t="s">
        <v>12</v>
      </c>
      <c r="G14" s="2">
        <v>46054</v>
      </c>
      <c r="H14" s="1">
        <v>81502</v>
      </c>
      <c r="J14" s="4" t="s">
        <v>36</v>
      </c>
      <c r="K14" s="4" t="s">
        <v>3</v>
      </c>
      <c r="L14" s="60">
        <v>1401.632106</v>
      </c>
      <c r="M14" s="6" t="s">
        <v>1</v>
      </c>
      <c r="N14" s="7" t="s">
        <v>156</v>
      </c>
      <c r="O14" s="8">
        <v>1</v>
      </c>
      <c r="P14" s="5"/>
      <c r="Q14" s="64" t="s">
        <v>128</v>
      </c>
    </row>
    <row r="15" spans="1:17" x14ac:dyDescent="0.25">
      <c r="A15" s="1" t="str">
        <f t="shared" si="0"/>
        <v>CUSTO DE DROPCOPY USD - BANCO BRADESCO S/A - JOAO VITOR CAIRES ALVES -  FEVEREIRO 26</v>
      </c>
      <c r="B15" s="2">
        <v>46054</v>
      </c>
      <c r="C15" s="1">
        <v>817632</v>
      </c>
      <c r="D15" s="3" t="s">
        <v>2</v>
      </c>
      <c r="E15" s="58">
        <f t="shared" si="1"/>
        <v>-1401.632106</v>
      </c>
      <c r="F15" s="1" t="s">
        <v>12</v>
      </c>
      <c r="G15" s="2">
        <v>46054</v>
      </c>
      <c r="H15" s="1">
        <v>81502</v>
      </c>
      <c r="J15" s="4" t="s">
        <v>36</v>
      </c>
      <c r="K15" s="4" t="s">
        <v>3</v>
      </c>
      <c r="L15" s="60">
        <v>1401.632106</v>
      </c>
      <c r="M15" s="6" t="s">
        <v>1</v>
      </c>
      <c r="N15" s="7" t="s">
        <v>156</v>
      </c>
      <c r="O15" s="8">
        <v>1</v>
      </c>
      <c r="P15" s="5"/>
      <c r="Q15" s="64" t="s">
        <v>5</v>
      </c>
    </row>
    <row r="16" spans="1:17" x14ac:dyDescent="0.25">
      <c r="A16" s="1" t="str">
        <f t="shared" si="0"/>
        <v>CUSTO DE DROPCOPY USD - BANCO BRADESCO S/A - ALESSANDRO DRAGO -  FEVEREIRO 26</v>
      </c>
      <c r="B16" s="2">
        <v>46054</v>
      </c>
      <c r="C16" s="1">
        <v>817632</v>
      </c>
      <c r="D16" s="3" t="s">
        <v>2</v>
      </c>
      <c r="E16" s="58">
        <f t="shared" si="1"/>
        <v>-934.42140399999994</v>
      </c>
      <c r="F16" s="1" t="s">
        <v>12</v>
      </c>
      <c r="G16" s="2">
        <v>46054</v>
      </c>
      <c r="H16" s="1">
        <v>81502</v>
      </c>
      <c r="J16" s="4" t="s">
        <v>36</v>
      </c>
      <c r="K16" s="4" t="s">
        <v>3</v>
      </c>
      <c r="L16" s="60">
        <v>934.42140399999994</v>
      </c>
      <c r="M16" s="6" t="s">
        <v>1</v>
      </c>
      <c r="N16" s="7" t="s">
        <v>156</v>
      </c>
      <c r="O16" s="8">
        <v>1</v>
      </c>
      <c r="P16" s="5"/>
      <c r="Q16" s="64" t="s">
        <v>137</v>
      </c>
    </row>
    <row r="17" spans="1:17" x14ac:dyDescent="0.25">
      <c r="A17" s="1" t="str">
        <f t="shared" si="0"/>
        <v>CUSTO DE DROPCOPY USD - BANCO BRADESCO S/A - LUCAS HORI -  FEVEREIRO 26</v>
      </c>
      <c r="B17" s="2">
        <v>46054</v>
      </c>
      <c r="C17" s="1">
        <v>817632</v>
      </c>
      <c r="D17" s="3" t="s">
        <v>2</v>
      </c>
      <c r="E17" s="58">
        <f t="shared" si="1"/>
        <v>-934.42140399999994</v>
      </c>
      <c r="F17" s="1" t="s">
        <v>12</v>
      </c>
      <c r="G17" s="2">
        <v>46054</v>
      </c>
      <c r="H17" s="1">
        <v>81502</v>
      </c>
      <c r="J17" s="4" t="s">
        <v>36</v>
      </c>
      <c r="K17" s="4" t="s">
        <v>3</v>
      </c>
      <c r="L17" s="60">
        <v>934.42140399999994</v>
      </c>
      <c r="M17" s="6" t="s">
        <v>1</v>
      </c>
      <c r="N17" s="7" t="s">
        <v>156</v>
      </c>
      <c r="O17" s="8">
        <v>1</v>
      </c>
      <c r="P17" s="5"/>
      <c r="Q17" s="64" t="s">
        <v>138</v>
      </c>
    </row>
    <row r="18" spans="1:17" x14ac:dyDescent="0.25">
      <c r="A18" s="1" t="str">
        <f t="shared" si="0"/>
        <v>CUSTO DE DROPCOPY USD - BANCO BRADESCO S/A - GLAYSON PATRICIO -  FEVEREIRO 26</v>
      </c>
      <c r="B18" s="2">
        <v>46054</v>
      </c>
      <c r="C18" s="1">
        <v>817632</v>
      </c>
      <c r="D18" s="3" t="s">
        <v>107</v>
      </c>
      <c r="E18" s="58">
        <f t="shared" si="1"/>
        <v>-934.42140399999994</v>
      </c>
      <c r="F18" s="1" t="s">
        <v>12</v>
      </c>
      <c r="G18" s="2">
        <v>46054</v>
      </c>
      <c r="H18" s="1">
        <v>81502</v>
      </c>
      <c r="J18" s="4" t="s">
        <v>36</v>
      </c>
      <c r="K18" s="4" t="s">
        <v>3</v>
      </c>
      <c r="L18" s="60">
        <v>934.42140399999994</v>
      </c>
      <c r="M18" s="6" t="s">
        <v>1</v>
      </c>
      <c r="N18" s="7" t="s">
        <v>156</v>
      </c>
      <c r="O18" s="8">
        <v>1</v>
      </c>
      <c r="P18" s="5"/>
      <c r="Q18" s="64" t="s">
        <v>140</v>
      </c>
    </row>
    <row r="19" spans="1:17" x14ac:dyDescent="0.25">
      <c r="A19" s="9" t="str">
        <f t="shared" si="0"/>
        <v>CUSTO DE DROPCOPY USD - BANCO BRADESCO S/A - GABRIEL BORINI -  FEVEREIRO 26</v>
      </c>
      <c r="B19" s="10">
        <v>46054</v>
      </c>
      <c r="C19" s="9">
        <v>817632</v>
      </c>
      <c r="D19" s="11" t="s">
        <v>2</v>
      </c>
      <c r="E19" s="57">
        <f>-L19*O19</f>
        <v>-80.593408387500006</v>
      </c>
      <c r="F19" s="9" t="s">
        <v>0</v>
      </c>
      <c r="G19" s="10">
        <v>46054</v>
      </c>
      <c r="H19" s="9">
        <v>81503</v>
      </c>
      <c r="J19" s="12" t="s">
        <v>36</v>
      </c>
      <c r="K19" s="12" t="s">
        <v>3</v>
      </c>
      <c r="L19" s="61">
        <v>161.18681677500001</v>
      </c>
      <c r="M19" s="14" t="s">
        <v>1</v>
      </c>
      <c r="N19" s="15" t="s">
        <v>156</v>
      </c>
      <c r="O19" s="16">
        <v>0.5</v>
      </c>
      <c r="P19" s="13"/>
      <c r="Q19" s="17" t="s">
        <v>4</v>
      </c>
    </row>
    <row r="20" spans="1:17" x14ac:dyDescent="0.25">
      <c r="A20" s="9" t="str">
        <f t="shared" si="0"/>
        <v>CUSTO DE DROPCOPY USD - BANCO BRADESCO S/A - GABRIEL BORINI -  FEVEREIRO 26</v>
      </c>
      <c r="B20" s="10">
        <v>46054</v>
      </c>
      <c r="C20" s="9">
        <v>817632</v>
      </c>
      <c r="D20" s="11" t="s">
        <v>91</v>
      </c>
      <c r="E20" s="57">
        <f>-L20*O20</f>
        <v>-80.593408387500006</v>
      </c>
      <c r="F20" s="9" t="s">
        <v>0</v>
      </c>
      <c r="G20" s="10">
        <v>46054</v>
      </c>
      <c r="H20" s="9">
        <v>81503</v>
      </c>
      <c r="J20" s="12" t="s">
        <v>36</v>
      </c>
      <c r="K20" s="12" t="s">
        <v>3</v>
      </c>
      <c r="L20" s="61">
        <v>161.18681677500001</v>
      </c>
      <c r="M20" s="14" t="s">
        <v>1</v>
      </c>
      <c r="N20" s="15" t="s">
        <v>156</v>
      </c>
      <c r="O20" s="16">
        <v>0.5</v>
      </c>
      <c r="P20" s="13"/>
      <c r="Q20" s="17" t="s">
        <v>4</v>
      </c>
    </row>
    <row r="21" spans="1:17" x14ac:dyDescent="0.25">
      <c r="A21" s="9" t="str">
        <f t="shared" si="0"/>
        <v>CUSTO DE DROPCOPY USD - BANCO BRADESCO S/A - JOAO VITOR CAIRES ALVES -  FEVEREIRO 26</v>
      </c>
      <c r="B21" s="10">
        <v>46054</v>
      </c>
      <c r="C21" s="9">
        <v>817632</v>
      </c>
      <c r="D21" s="11" t="s">
        <v>2</v>
      </c>
      <c r="E21" s="57">
        <f>-L21*O21</f>
        <v>-80.593408387500006</v>
      </c>
      <c r="F21" s="9" t="s">
        <v>0</v>
      </c>
      <c r="G21" s="10">
        <v>46054</v>
      </c>
      <c r="H21" s="9">
        <v>81503</v>
      </c>
      <c r="J21" s="12" t="s">
        <v>36</v>
      </c>
      <c r="K21" s="12" t="s">
        <v>3</v>
      </c>
      <c r="L21" s="61">
        <v>161.18681677500001</v>
      </c>
      <c r="M21" s="14" t="s">
        <v>1</v>
      </c>
      <c r="N21" s="15" t="s">
        <v>156</v>
      </c>
      <c r="O21" s="16">
        <v>0.5</v>
      </c>
      <c r="P21" s="13"/>
      <c r="Q21" s="17" t="s">
        <v>5</v>
      </c>
    </row>
    <row r="22" spans="1:17" x14ac:dyDescent="0.25">
      <c r="A22" s="9" t="str">
        <f t="shared" si="0"/>
        <v>CUSTO DE DROPCOPY USD - BANCO BRADESCO S/A - JOAO VITOR CAIRES ALVES -  FEVEREIRO 26</v>
      </c>
      <c r="B22" s="10">
        <v>46054</v>
      </c>
      <c r="C22" s="9">
        <v>817632</v>
      </c>
      <c r="D22" s="11" t="s">
        <v>91</v>
      </c>
      <c r="E22" s="57">
        <f t="shared" si="1"/>
        <v>-80.593408387500006</v>
      </c>
      <c r="F22" s="9" t="s">
        <v>0</v>
      </c>
      <c r="G22" s="10">
        <v>46054</v>
      </c>
      <c r="H22" s="9">
        <v>81503</v>
      </c>
      <c r="J22" s="12" t="s">
        <v>36</v>
      </c>
      <c r="K22" s="12" t="s">
        <v>3</v>
      </c>
      <c r="L22" s="61">
        <v>161.18681677500001</v>
      </c>
      <c r="M22" s="14" t="s">
        <v>1</v>
      </c>
      <c r="N22" s="15" t="s">
        <v>156</v>
      </c>
      <c r="O22" s="16">
        <v>0.5</v>
      </c>
      <c r="P22" s="13"/>
      <c r="Q22" s="17" t="s">
        <v>5</v>
      </c>
    </row>
    <row r="23" spans="1:17" x14ac:dyDescent="0.25">
      <c r="A23" s="9" t="str">
        <f t="shared" si="0"/>
        <v>CUSTO DE DROPCOPY USD - BANCO BRADESCO S/A - MARCELO CAIRES -  FEVEREIRO 26</v>
      </c>
      <c r="B23" s="10">
        <v>46054</v>
      </c>
      <c r="C23" s="9">
        <v>817632</v>
      </c>
      <c r="D23" s="11" t="s">
        <v>2</v>
      </c>
      <c r="E23" s="57">
        <f t="shared" si="1"/>
        <v>-80.593408387500006</v>
      </c>
      <c r="F23" s="9" t="s">
        <v>0</v>
      </c>
      <c r="G23" s="10">
        <v>46054</v>
      </c>
      <c r="H23" s="9">
        <v>81503</v>
      </c>
      <c r="J23" s="12" t="s">
        <v>36</v>
      </c>
      <c r="K23" s="12" t="s">
        <v>3</v>
      </c>
      <c r="L23" s="61">
        <v>161.18681677500001</v>
      </c>
      <c r="M23" s="14" t="s">
        <v>1</v>
      </c>
      <c r="N23" s="15" t="s">
        <v>156</v>
      </c>
      <c r="O23" s="16">
        <v>0.5</v>
      </c>
      <c r="P23" s="13"/>
      <c r="Q23" s="17" t="s">
        <v>6</v>
      </c>
    </row>
    <row r="24" spans="1:17" x14ac:dyDescent="0.25">
      <c r="A24" s="9" t="str">
        <f t="shared" si="0"/>
        <v>CUSTO DE DROPCOPY USD - BANCO BRADESCO S/A - MARCELO CAIRES -  FEVEREIRO 26</v>
      </c>
      <c r="B24" s="10">
        <v>46054</v>
      </c>
      <c r="C24" s="9">
        <v>817632</v>
      </c>
      <c r="D24" s="11" t="s">
        <v>91</v>
      </c>
      <c r="E24" s="57">
        <f t="shared" si="1"/>
        <v>-80.593408387500006</v>
      </c>
      <c r="F24" s="9" t="s">
        <v>0</v>
      </c>
      <c r="G24" s="10">
        <v>46054</v>
      </c>
      <c r="H24" s="9">
        <v>81503</v>
      </c>
      <c r="J24" s="12" t="s">
        <v>36</v>
      </c>
      <c r="K24" s="12" t="s">
        <v>3</v>
      </c>
      <c r="L24" s="61">
        <v>161.18681677500001</v>
      </c>
      <c r="M24" s="14" t="s">
        <v>1</v>
      </c>
      <c r="N24" s="15" t="s">
        <v>156</v>
      </c>
      <c r="O24" s="16">
        <v>0.5</v>
      </c>
      <c r="P24" s="13"/>
      <c r="Q24" s="17" t="s">
        <v>6</v>
      </c>
    </row>
    <row r="25" spans="1:17" x14ac:dyDescent="0.25">
      <c r="A25" s="9" t="str">
        <f t="shared" si="0"/>
        <v>CUSTO DE DROPCOPY USD - BANCO BRADESCO S/A - RONALDO SASAKI -  FEVEREIRO 26</v>
      </c>
      <c r="B25" s="10">
        <v>46054</v>
      </c>
      <c r="C25" s="9">
        <v>817632</v>
      </c>
      <c r="D25" s="11" t="s">
        <v>2</v>
      </c>
      <c r="E25" s="57">
        <f t="shared" si="1"/>
        <v>-80.593408387500006</v>
      </c>
      <c r="F25" s="9" t="s">
        <v>0</v>
      </c>
      <c r="G25" s="10">
        <v>46054</v>
      </c>
      <c r="H25" s="9">
        <v>81503</v>
      </c>
      <c r="J25" s="12" t="s">
        <v>36</v>
      </c>
      <c r="K25" s="12" t="s">
        <v>3</v>
      </c>
      <c r="L25" s="61">
        <v>161.18681677500001</v>
      </c>
      <c r="M25" s="14" t="s">
        <v>1</v>
      </c>
      <c r="N25" s="15" t="s">
        <v>156</v>
      </c>
      <c r="O25" s="16">
        <v>0.5</v>
      </c>
      <c r="P25" s="13"/>
      <c r="Q25" s="17" t="s">
        <v>7</v>
      </c>
    </row>
    <row r="26" spans="1:17" x14ac:dyDescent="0.25">
      <c r="A26" s="1" t="str">
        <f t="shared" si="0"/>
        <v>CUSTO DE DROPCOPY USD - BANCO BRADESCO S/A - RONALDO SASAKI -  FEVEREIRO 26</v>
      </c>
      <c r="B26" s="2">
        <v>46054</v>
      </c>
      <c r="C26" s="1">
        <v>817632</v>
      </c>
      <c r="D26" s="3" t="s">
        <v>91</v>
      </c>
      <c r="E26" s="58">
        <f t="shared" si="1"/>
        <v>-80.593408387500006</v>
      </c>
      <c r="F26" s="1" t="s">
        <v>0</v>
      </c>
      <c r="G26" s="2">
        <v>46054</v>
      </c>
      <c r="H26" s="1">
        <v>81503</v>
      </c>
      <c r="J26" s="4" t="s">
        <v>36</v>
      </c>
      <c r="K26" s="4" t="s">
        <v>3</v>
      </c>
      <c r="L26" s="60">
        <v>161.18681677500001</v>
      </c>
      <c r="M26" s="6" t="s">
        <v>1</v>
      </c>
      <c r="N26" s="7" t="s">
        <v>156</v>
      </c>
      <c r="O26" s="8">
        <v>0.5</v>
      </c>
      <c r="P26" s="5"/>
      <c r="Q26" s="64" t="s">
        <v>7</v>
      </c>
    </row>
    <row r="27" spans="1:17" x14ac:dyDescent="0.25">
      <c r="A27" s="9" t="str">
        <f t="shared" si="0"/>
        <v>CUSTO DE DROPCOPY USD - SPX EQUITIES GESTAO DE RECURSOS LTDA - LUCAS ROSSI -  FEVEREIRO 26</v>
      </c>
      <c r="B27" s="10">
        <v>46054</v>
      </c>
      <c r="C27" s="9">
        <v>817632</v>
      </c>
      <c r="D27" s="11" t="s">
        <v>2</v>
      </c>
      <c r="E27" s="57">
        <f t="shared" si="1"/>
        <v>-77.369672051999999</v>
      </c>
      <c r="F27" s="9" t="s">
        <v>0</v>
      </c>
      <c r="G27" s="10">
        <v>46054</v>
      </c>
      <c r="H27" s="9">
        <v>79931</v>
      </c>
      <c r="J27" s="12" t="s">
        <v>36</v>
      </c>
      <c r="K27" s="12" t="s">
        <v>9</v>
      </c>
      <c r="L27" s="61">
        <v>128.94945342</v>
      </c>
      <c r="M27" s="14" t="s">
        <v>1</v>
      </c>
      <c r="N27" s="15" t="s">
        <v>156</v>
      </c>
      <c r="O27" s="16">
        <v>0.6</v>
      </c>
      <c r="P27" s="13"/>
      <c r="Q27" s="17" t="s">
        <v>10</v>
      </c>
    </row>
    <row r="28" spans="1:17" x14ac:dyDescent="0.25">
      <c r="A28" s="1" t="str">
        <f t="shared" si="0"/>
        <v>CUSTO DE DROPCOPY USD - SPX EQUITIES GESTAO DE RECURSOS LTDA - LUCAS ROSSI -  FEVEREIRO 26</v>
      </c>
      <c r="B28" s="2">
        <v>46054</v>
      </c>
      <c r="C28" s="1">
        <v>817632</v>
      </c>
      <c r="D28" s="3" t="s">
        <v>91</v>
      </c>
      <c r="E28" s="58">
        <f t="shared" si="1"/>
        <v>-51.579781367999999</v>
      </c>
      <c r="F28" s="1" t="s">
        <v>0</v>
      </c>
      <c r="G28" s="2">
        <v>46054</v>
      </c>
      <c r="H28" s="1">
        <v>79931</v>
      </c>
      <c r="I28" s="34"/>
      <c r="J28" s="4" t="s">
        <v>36</v>
      </c>
      <c r="K28" s="4" t="s">
        <v>9</v>
      </c>
      <c r="L28" s="60">
        <v>128.94945342</v>
      </c>
      <c r="M28" s="6" t="s">
        <v>1</v>
      </c>
      <c r="N28" s="7" t="s">
        <v>156</v>
      </c>
      <c r="O28" s="8">
        <v>0.4</v>
      </c>
      <c r="P28" s="5"/>
      <c r="Q28" s="64" t="s">
        <v>10</v>
      </c>
    </row>
    <row r="29" spans="1:17" x14ac:dyDescent="0.25">
      <c r="A29" s="9" t="str">
        <f t="shared" si="0"/>
        <v>CUSTO DE DROPCOPY USD - SPX EQUITIES GESTAO DE RECURSOS LTDA - THIAGO SANTOS -  FEVEREIRO 26</v>
      </c>
      <c r="B29" s="10">
        <v>46054</v>
      </c>
      <c r="C29" s="9">
        <v>817632</v>
      </c>
      <c r="D29" s="11" t="s">
        <v>2</v>
      </c>
      <c r="E29" s="57">
        <f t="shared" si="1"/>
        <v>-154.739344104</v>
      </c>
      <c r="F29" s="9" t="s">
        <v>0</v>
      </c>
      <c r="G29" s="10">
        <v>46054</v>
      </c>
      <c r="H29" s="9">
        <v>81564</v>
      </c>
      <c r="J29" s="12" t="s">
        <v>36</v>
      </c>
      <c r="K29" s="12" t="s">
        <v>9</v>
      </c>
      <c r="L29" s="61">
        <v>257.89890684</v>
      </c>
      <c r="M29" s="14" t="s">
        <v>1</v>
      </c>
      <c r="N29" s="15" t="s">
        <v>156</v>
      </c>
      <c r="O29" s="16">
        <v>0.6</v>
      </c>
      <c r="P29" s="13"/>
      <c r="Q29" s="17" t="s">
        <v>90</v>
      </c>
    </row>
    <row r="30" spans="1:17" x14ac:dyDescent="0.25">
      <c r="A30" s="1" t="str">
        <f t="shared" si="0"/>
        <v>CUSTO DE DROPCOPY USD - SPX EQUITIES GESTAO DE RECURSOS LTDA - THIAGO SANTOS -  FEVEREIRO 26</v>
      </c>
      <c r="B30" s="2">
        <v>46054</v>
      </c>
      <c r="C30" s="1">
        <v>817632</v>
      </c>
      <c r="D30" s="3" t="s">
        <v>91</v>
      </c>
      <c r="E30" s="58">
        <f t="shared" si="1"/>
        <v>-103.159562736</v>
      </c>
      <c r="F30" s="1" t="s">
        <v>0</v>
      </c>
      <c r="G30" s="2">
        <v>46054</v>
      </c>
      <c r="H30" s="1">
        <v>81564</v>
      </c>
      <c r="I30" s="34"/>
      <c r="J30" s="4" t="s">
        <v>36</v>
      </c>
      <c r="K30" s="4" t="s">
        <v>9</v>
      </c>
      <c r="L30" s="60">
        <v>257.89890684</v>
      </c>
      <c r="M30" s="6" t="s">
        <v>1</v>
      </c>
      <c r="N30" s="7" t="s">
        <v>156</v>
      </c>
      <c r="O30" s="8">
        <v>0.4</v>
      </c>
      <c r="P30" s="5"/>
      <c r="Q30" s="64" t="s">
        <v>90</v>
      </c>
    </row>
    <row r="31" spans="1:17" x14ac:dyDescent="0.25">
      <c r="A31" s="9" t="str">
        <f t="shared" si="0"/>
        <v>CUSTO DE DROPCOPY USD - SPX EQUITIES GESTAO DE RECURSOS LTDA - GABRIEL FERREIRA -  FEVEREIRO 26</v>
      </c>
      <c r="B31" s="10">
        <v>46054</v>
      </c>
      <c r="C31" s="9">
        <v>817632</v>
      </c>
      <c r="D31" s="11" t="s">
        <v>2</v>
      </c>
      <c r="E31" s="57">
        <f t="shared" si="1"/>
        <v>-77.369672051999999</v>
      </c>
      <c r="F31" s="9" t="s">
        <v>0</v>
      </c>
      <c r="G31" s="10">
        <v>46054</v>
      </c>
      <c r="H31" s="9">
        <v>81564</v>
      </c>
      <c r="J31" s="12" t="s">
        <v>36</v>
      </c>
      <c r="K31" s="12" t="s">
        <v>9</v>
      </c>
      <c r="L31" s="61">
        <v>128.94945342</v>
      </c>
      <c r="M31" s="14" t="s">
        <v>1</v>
      </c>
      <c r="N31" s="15" t="s">
        <v>156</v>
      </c>
      <c r="O31" s="16">
        <v>0.6</v>
      </c>
      <c r="P31" s="13"/>
      <c r="Q31" s="17" t="s">
        <v>123</v>
      </c>
    </row>
    <row r="32" spans="1:17" x14ac:dyDescent="0.25">
      <c r="A32" s="1" t="str">
        <f t="shared" si="0"/>
        <v>CUSTO DE DROPCOPY USD - SPX EQUITIES GESTAO DE RECURSOS LTDA - GABRIEL FERREIRA -  FEVEREIRO 26</v>
      </c>
      <c r="B32" s="2">
        <v>46054</v>
      </c>
      <c r="C32" s="1">
        <v>817632</v>
      </c>
      <c r="D32" s="3" t="s">
        <v>91</v>
      </c>
      <c r="E32" s="58">
        <f t="shared" si="1"/>
        <v>-51.579781367999999</v>
      </c>
      <c r="F32" s="1" t="s">
        <v>0</v>
      </c>
      <c r="G32" s="2">
        <v>46054</v>
      </c>
      <c r="H32" s="1">
        <v>81564</v>
      </c>
      <c r="I32" s="34"/>
      <c r="J32" s="4" t="s">
        <v>36</v>
      </c>
      <c r="K32" s="4" t="s">
        <v>9</v>
      </c>
      <c r="L32" s="60">
        <v>128.94945342</v>
      </c>
      <c r="M32" s="6" t="s">
        <v>1</v>
      </c>
      <c r="N32" s="7" t="s">
        <v>156</v>
      </c>
      <c r="O32" s="8">
        <v>0.4</v>
      </c>
      <c r="P32" s="5"/>
      <c r="Q32" s="64" t="s">
        <v>123</v>
      </c>
    </row>
    <row r="33" spans="1:17" x14ac:dyDescent="0.25">
      <c r="A33" s="9" t="str">
        <f t="shared" si="0"/>
        <v>CUSTO DE DROPCOPY USD - SPX EQUITIES GESTAO DE RECURSOS LTDA - MURILO ORTIZ -  FEVEREIRO 26</v>
      </c>
      <c r="B33" s="10">
        <v>46054</v>
      </c>
      <c r="C33" s="9">
        <v>817632</v>
      </c>
      <c r="D33" s="11" t="s">
        <v>2</v>
      </c>
      <c r="E33" s="57">
        <f t="shared" si="1"/>
        <v>-77.369672051999999</v>
      </c>
      <c r="F33" s="9" t="s">
        <v>0</v>
      </c>
      <c r="G33" s="10">
        <v>46054</v>
      </c>
      <c r="H33" s="9">
        <v>81564</v>
      </c>
      <c r="J33" s="12" t="s">
        <v>36</v>
      </c>
      <c r="K33" s="12" t="s">
        <v>9</v>
      </c>
      <c r="L33" s="61">
        <v>128.94945342</v>
      </c>
      <c r="M33" s="14" t="s">
        <v>1</v>
      </c>
      <c r="N33" s="15" t="s">
        <v>156</v>
      </c>
      <c r="O33" s="16">
        <v>0.6</v>
      </c>
      <c r="P33" s="13"/>
      <c r="Q33" s="17" t="s">
        <v>124</v>
      </c>
    </row>
    <row r="34" spans="1:17" x14ac:dyDescent="0.25">
      <c r="A34" s="1" t="str">
        <f t="shared" si="0"/>
        <v>CUSTO DE DROPCOPY USD - SPX EQUITIES GESTAO DE RECURSOS LTDA - MURILO ORTIZ -  FEVEREIRO 26</v>
      </c>
      <c r="B34" s="2">
        <v>46054</v>
      </c>
      <c r="C34" s="1">
        <v>817632</v>
      </c>
      <c r="D34" s="3" t="s">
        <v>91</v>
      </c>
      <c r="E34" s="58">
        <f t="shared" si="1"/>
        <v>-51.579781367999999</v>
      </c>
      <c r="F34" s="1" t="s">
        <v>0</v>
      </c>
      <c r="G34" s="2">
        <v>46054</v>
      </c>
      <c r="H34" s="1">
        <v>81564</v>
      </c>
      <c r="I34" s="34"/>
      <c r="J34" s="4" t="s">
        <v>36</v>
      </c>
      <c r="K34" s="4" t="s">
        <v>9</v>
      </c>
      <c r="L34" s="60">
        <v>128.94945342</v>
      </c>
      <c r="M34" s="6" t="s">
        <v>1</v>
      </c>
      <c r="N34" s="7" t="s">
        <v>156</v>
      </c>
      <c r="O34" s="8">
        <v>0.4</v>
      </c>
      <c r="P34" s="5"/>
      <c r="Q34" s="64" t="s">
        <v>124</v>
      </c>
    </row>
    <row r="35" spans="1:17" x14ac:dyDescent="0.25">
      <c r="A35" s="1" t="str">
        <f t="shared" si="0"/>
        <v>CUSTO DE DROPCOPY USD - KAPITALO INVESTIMENTO LTDA - RAFAEL POPPE -  FEVEREIRO 26</v>
      </c>
      <c r="B35" s="2">
        <v>46054</v>
      </c>
      <c r="C35" s="1">
        <v>817632</v>
      </c>
      <c r="D35" s="3" t="s">
        <v>2</v>
      </c>
      <c r="E35" s="58">
        <f t="shared" si="1"/>
        <v>-644.74726709999993</v>
      </c>
      <c r="F35" s="1" t="s">
        <v>0</v>
      </c>
      <c r="G35" s="2">
        <v>46054</v>
      </c>
      <c r="H35" s="1">
        <v>81778</v>
      </c>
      <c r="J35" s="4" t="s">
        <v>36</v>
      </c>
      <c r="K35" s="4" t="s">
        <v>37</v>
      </c>
      <c r="L35" s="60">
        <v>644.74726709999993</v>
      </c>
      <c r="M35" s="6" t="s">
        <v>1</v>
      </c>
      <c r="N35" s="7" t="s">
        <v>156</v>
      </c>
      <c r="O35" s="8">
        <v>1</v>
      </c>
      <c r="P35" s="5"/>
      <c r="Q35" s="64" t="s">
        <v>38</v>
      </c>
    </row>
    <row r="36" spans="1:17" x14ac:dyDescent="0.25">
      <c r="A36" s="9" t="str">
        <f t="shared" ref="A36:A100" si="2">CONCATENATE(J36,P36,M36,K36,M36,N36)</f>
        <v>CUSTO DE DROPCOPY USD - BGC LIQUIDEZ -  FEVEREIRO 26</v>
      </c>
      <c r="B36" s="10">
        <v>46054</v>
      </c>
      <c r="C36" s="9">
        <v>817632</v>
      </c>
      <c r="D36" s="11" t="s">
        <v>2</v>
      </c>
      <c r="E36" s="57">
        <f t="shared" si="1"/>
        <v>-3522.2579999999998</v>
      </c>
      <c r="F36" s="9" t="s">
        <v>48</v>
      </c>
      <c r="G36" s="10">
        <v>46054</v>
      </c>
      <c r="H36" s="9">
        <v>1170</v>
      </c>
      <c r="J36" s="12" t="s">
        <v>36</v>
      </c>
      <c r="K36" s="12" t="s">
        <v>47</v>
      </c>
      <c r="L36" s="61">
        <v>3522.2579999999998</v>
      </c>
      <c r="M36" s="14" t="s">
        <v>1</v>
      </c>
      <c r="N36" s="15" t="s">
        <v>156</v>
      </c>
      <c r="O36" s="16">
        <v>1</v>
      </c>
      <c r="P36" s="13"/>
      <c r="Q36" s="17"/>
    </row>
    <row r="37" spans="1:17" x14ac:dyDescent="0.25">
      <c r="A37" s="9" t="str">
        <f t="shared" si="2"/>
        <v>CUSTO DE DROPCOPY USD - BGC LIQUIDEZ -  FEVEREIRO 26</v>
      </c>
      <c r="B37" s="10">
        <v>46054</v>
      </c>
      <c r="C37" s="9">
        <v>817632</v>
      </c>
      <c r="D37" s="11" t="s">
        <v>91</v>
      </c>
      <c r="E37" s="57">
        <f t="shared" si="1"/>
        <v>-1174.086</v>
      </c>
      <c r="F37" s="9" t="s">
        <v>48</v>
      </c>
      <c r="G37" s="10">
        <v>46054</v>
      </c>
      <c r="H37" s="9">
        <v>1170</v>
      </c>
      <c r="J37" s="12" t="s">
        <v>36</v>
      </c>
      <c r="K37" s="12" t="s">
        <v>47</v>
      </c>
      <c r="L37" s="61">
        <v>1174.086</v>
      </c>
      <c r="M37" s="14" t="s">
        <v>1</v>
      </c>
      <c r="N37" s="15" t="s">
        <v>156</v>
      </c>
      <c r="O37" s="16">
        <v>1</v>
      </c>
      <c r="P37" s="13"/>
      <c r="Q37" s="17"/>
    </row>
    <row r="38" spans="1:17" x14ac:dyDescent="0.25">
      <c r="A38" s="1" t="str">
        <f t="shared" si="2"/>
        <v>CUSTO DE DROPCOPY USD - BGC LIQUIDEZ -  FEVEREIRO 26</v>
      </c>
      <c r="B38" s="2">
        <v>46054</v>
      </c>
      <c r="C38" s="1">
        <v>817632</v>
      </c>
      <c r="D38" s="3" t="s">
        <v>93</v>
      </c>
      <c r="E38" s="58">
        <f t="shared" si="1"/>
        <v>-1174.086</v>
      </c>
      <c r="F38" s="3" t="s">
        <v>48</v>
      </c>
      <c r="G38" s="2">
        <v>46054</v>
      </c>
      <c r="H38" s="1">
        <v>1170</v>
      </c>
      <c r="J38" s="4" t="s">
        <v>36</v>
      </c>
      <c r="K38" s="4" t="s">
        <v>47</v>
      </c>
      <c r="L38" s="60">
        <v>1174.086</v>
      </c>
      <c r="M38" s="6" t="s">
        <v>1</v>
      </c>
      <c r="N38" s="7" t="s">
        <v>156</v>
      </c>
      <c r="O38" s="8">
        <v>1</v>
      </c>
      <c r="P38" s="5"/>
      <c r="Q38" s="17"/>
    </row>
    <row r="39" spans="1:17" x14ac:dyDescent="0.25">
      <c r="A39" s="9" t="str">
        <f t="shared" si="2"/>
        <v>CUSTO DE DROPCOPY USD - BGC LIQUIDEZ -  FEVEREIRO 26</v>
      </c>
      <c r="B39" s="10">
        <v>46054</v>
      </c>
      <c r="C39" s="9">
        <v>817632</v>
      </c>
      <c r="D39" s="11" t="s">
        <v>40</v>
      </c>
      <c r="E39" s="57">
        <f t="shared" si="1"/>
        <v>-162.20925</v>
      </c>
      <c r="F39" s="9" t="s">
        <v>94</v>
      </c>
      <c r="G39" s="10">
        <v>46054</v>
      </c>
      <c r="H39" s="9">
        <v>1170</v>
      </c>
      <c r="J39" s="12" t="s">
        <v>36</v>
      </c>
      <c r="K39" s="12" t="s">
        <v>47</v>
      </c>
      <c r="L39" s="61">
        <v>162.20925</v>
      </c>
      <c r="M39" s="14" t="s">
        <v>1</v>
      </c>
      <c r="N39" s="15" t="s">
        <v>156</v>
      </c>
      <c r="O39" s="16">
        <v>1</v>
      </c>
      <c r="P39" s="13"/>
      <c r="Q39" s="17"/>
    </row>
    <row r="40" spans="1:17" x14ac:dyDescent="0.25">
      <c r="A40" s="9" t="str">
        <f t="shared" si="2"/>
        <v>CUSTO DE DROPCOPY USD - BGC LIQUIDEZ -  FEVEREIRO 26</v>
      </c>
      <c r="B40" s="10">
        <v>46054</v>
      </c>
      <c r="C40" s="9">
        <v>817632</v>
      </c>
      <c r="D40" s="11" t="s">
        <v>95</v>
      </c>
      <c r="E40" s="57">
        <f t="shared" si="1"/>
        <v>-162.20925</v>
      </c>
      <c r="F40" s="9" t="s">
        <v>94</v>
      </c>
      <c r="G40" s="10">
        <v>46054</v>
      </c>
      <c r="H40" s="9">
        <v>1170</v>
      </c>
      <c r="J40" s="12" t="s">
        <v>36</v>
      </c>
      <c r="K40" s="12" t="s">
        <v>47</v>
      </c>
      <c r="L40" s="61">
        <v>162.20925</v>
      </c>
      <c r="M40" s="14" t="s">
        <v>1</v>
      </c>
      <c r="N40" s="15" t="s">
        <v>156</v>
      </c>
      <c r="O40" s="16">
        <v>1</v>
      </c>
      <c r="P40" s="13"/>
      <c r="Q40" s="17"/>
    </row>
    <row r="41" spans="1:17" x14ac:dyDescent="0.25">
      <c r="A41" s="9" t="str">
        <f t="shared" si="2"/>
        <v>CUSTO DE DROPCOPY USD - BGC LIQUIDEZ -  FEVEREIRO 26</v>
      </c>
      <c r="B41" s="10">
        <v>46054</v>
      </c>
      <c r="C41" s="9">
        <v>817632</v>
      </c>
      <c r="D41" s="11" t="s">
        <v>2</v>
      </c>
      <c r="E41" s="57">
        <f t="shared" si="1"/>
        <v>-486.62774999999999</v>
      </c>
      <c r="F41" s="9" t="s">
        <v>94</v>
      </c>
      <c r="G41" s="10">
        <v>46054</v>
      </c>
      <c r="H41" s="9">
        <v>1170</v>
      </c>
      <c r="J41" s="12" t="s">
        <v>36</v>
      </c>
      <c r="K41" s="12" t="s">
        <v>47</v>
      </c>
      <c r="L41" s="61">
        <v>486.62774999999999</v>
      </c>
      <c r="M41" s="14" t="s">
        <v>1</v>
      </c>
      <c r="N41" s="15" t="s">
        <v>156</v>
      </c>
      <c r="O41" s="16">
        <v>1</v>
      </c>
      <c r="P41" s="13"/>
      <c r="Q41" s="17"/>
    </row>
    <row r="42" spans="1:17" x14ac:dyDescent="0.25">
      <c r="A42" s="9" t="str">
        <f t="shared" si="2"/>
        <v>CUSTO DE DROPCOPY USD - BGC LIQUIDEZ -  FEVEREIRO 26</v>
      </c>
      <c r="B42" s="10">
        <v>46054</v>
      </c>
      <c r="C42" s="9">
        <v>817632</v>
      </c>
      <c r="D42" s="11" t="s">
        <v>93</v>
      </c>
      <c r="E42" s="57">
        <f t="shared" si="1"/>
        <v>-162.20925</v>
      </c>
      <c r="F42" s="9" t="s">
        <v>94</v>
      </c>
      <c r="G42" s="10">
        <v>46054</v>
      </c>
      <c r="H42" s="9">
        <v>1170</v>
      </c>
      <c r="J42" s="12" t="s">
        <v>36</v>
      </c>
      <c r="K42" s="12" t="s">
        <v>47</v>
      </c>
      <c r="L42" s="61">
        <v>162.20925</v>
      </c>
      <c r="M42" s="14" t="s">
        <v>1</v>
      </c>
      <c r="N42" s="15" t="s">
        <v>156</v>
      </c>
      <c r="O42" s="16">
        <v>1</v>
      </c>
      <c r="P42" s="13"/>
      <c r="Q42" s="17"/>
    </row>
    <row r="43" spans="1:17" x14ac:dyDescent="0.25">
      <c r="A43" s="1" t="str">
        <f t="shared" si="2"/>
        <v>CUSTO DE DROPCOPY USD - BGC LIQUIDEZ -  FEVEREIRO 26</v>
      </c>
      <c r="B43" s="2">
        <v>46054</v>
      </c>
      <c r="C43" s="1">
        <v>817632</v>
      </c>
      <c r="D43" s="3" t="s">
        <v>91</v>
      </c>
      <c r="E43" s="58">
        <f t="shared" si="1"/>
        <v>-162.20925</v>
      </c>
      <c r="F43" s="1" t="s">
        <v>94</v>
      </c>
      <c r="G43" s="2">
        <v>46054</v>
      </c>
      <c r="H43" s="1">
        <v>1170</v>
      </c>
      <c r="J43" s="4" t="s">
        <v>36</v>
      </c>
      <c r="K43" s="4" t="s">
        <v>47</v>
      </c>
      <c r="L43" s="60">
        <v>162.20925</v>
      </c>
      <c r="M43" s="6" t="s">
        <v>1</v>
      </c>
      <c r="N43" s="7" t="s">
        <v>156</v>
      </c>
      <c r="O43" s="8">
        <v>1</v>
      </c>
      <c r="P43" s="5"/>
      <c r="Q43" s="17"/>
    </row>
    <row r="44" spans="1:17" x14ac:dyDescent="0.25">
      <c r="A44" s="9" t="str">
        <f t="shared" si="2"/>
        <v>CUSTO DE DROPCOPY USD - BGC LIQUIDEZ -  FEVEREIRO 26</v>
      </c>
      <c r="B44" s="10">
        <v>46054</v>
      </c>
      <c r="C44" s="9">
        <v>817632</v>
      </c>
      <c r="D44" s="11" t="s">
        <v>95</v>
      </c>
      <c r="E44" s="57">
        <f t="shared" si="1"/>
        <v>-66.9435</v>
      </c>
      <c r="F44" s="9" t="s">
        <v>96</v>
      </c>
      <c r="G44" s="10">
        <v>46054</v>
      </c>
      <c r="H44" s="9">
        <v>1170</v>
      </c>
      <c r="J44" s="12" t="s">
        <v>36</v>
      </c>
      <c r="K44" s="12" t="s">
        <v>47</v>
      </c>
      <c r="L44" s="61">
        <v>66.9435</v>
      </c>
      <c r="M44" s="14" t="s">
        <v>1</v>
      </c>
      <c r="N44" s="15" t="s">
        <v>156</v>
      </c>
      <c r="O44" s="16">
        <v>1</v>
      </c>
      <c r="P44" s="13"/>
      <c r="Q44" s="17"/>
    </row>
    <row r="45" spans="1:17" x14ac:dyDescent="0.25">
      <c r="A45" s="1" t="str">
        <f t="shared" si="2"/>
        <v>CUSTO DE DROPCOPY USD - BGC LIQUIDEZ -  FEVEREIRO 26</v>
      </c>
      <c r="B45" s="2">
        <v>46054</v>
      </c>
      <c r="C45" s="1">
        <v>817632</v>
      </c>
      <c r="D45" s="3" t="s">
        <v>40</v>
      </c>
      <c r="E45" s="58">
        <f t="shared" si="1"/>
        <v>-66.9435</v>
      </c>
      <c r="F45" s="1" t="s">
        <v>96</v>
      </c>
      <c r="G45" s="2">
        <v>46054</v>
      </c>
      <c r="H45" s="1">
        <v>1170</v>
      </c>
      <c r="J45" s="4" t="s">
        <v>36</v>
      </c>
      <c r="K45" s="4" t="s">
        <v>47</v>
      </c>
      <c r="L45" s="60">
        <v>66.9435</v>
      </c>
      <c r="M45" s="6" t="s">
        <v>1</v>
      </c>
      <c r="N45" s="7" t="s">
        <v>156</v>
      </c>
      <c r="O45" s="8">
        <v>1</v>
      </c>
      <c r="P45" s="5"/>
      <c r="Q45" s="17"/>
    </row>
    <row r="46" spans="1:17" x14ac:dyDescent="0.25">
      <c r="A46" s="18" t="str">
        <f t="shared" si="2"/>
        <v>CUSTO DE DROPCOPY BRL - AGUILA CAPITAL ADM -  FEVEREIRO 26</v>
      </c>
      <c r="B46" s="10">
        <v>46054</v>
      </c>
      <c r="C46" s="9">
        <v>817632</v>
      </c>
      <c r="D46" s="11" t="s">
        <v>133</v>
      </c>
      <c r="E46" s="57">
        <f t="shared" si="1"/>
        <v>-2816</v>
      </c>
      <c r="F46" s="9" t="s">
        <v>132</v>
      </c>
      <c r="G46" s="10">
        <v>46054</v>
      </c>
      <c r="H46" s="9">
        <v>12397</v>
      </c>
      <c r="J46" s="12" t="s">
        <v>52</v>
      </c>
      <c r="K46" s="12" t="s">
        <v>134</v>
      </c>
      <c r="L46" s="63">
        <v>2816</v>
      </c>
      <c r="M46" s="14" t="s">
        <v>1</v>
      </c>
      <c r="N46" s="15" t="s">
        <v>156</v>
      </c>
      <c r="O46" s="16">
        <v>1</v>
      </c>
      <c r="P46" s="68"/>
      <c r="Q46" s="17" t="s">
        <v>136</v>
      </c>
    </row>
    <row r="47" spans="1:17" x14ac:dyDescent="0.25">
      <c r="A47" s="9" t="str">
        <f t="shared" ref="A47:A49" si="3">CONCATENATE(J47,P47,M47,K47,M47,Q47,M47,N47)</f>
        <v>CUSTO DE DROPCOPY USD - BANCO DO BRASIL S/A - 10349918 -  FEVEREIRO 26</v>
      </c>
      <c r="B47" s="46">
        <v>46054</v>
      </c>
      <c r="C47" s="45">
        <v>817632</v>
      </c>
      <c r="D47" s="47" t="s">
        <v>139</v>
      </c>
      <c r="E47" s="56">
        <f t="shared" ref="E47:E49" si="4">-L47*O47</f>
        <v>-718.66666666666663</v>
      </c>
      <c r="F47" s="45" t="s">
        <v>132</v>
      </c>
      <c r="G47" s="46">
        <v>46054</v>
      </c>
      <c r="H47" s="45">
        <v>18857</v>
      </c>
      <c r="J47" s="48" t="s">
        <v>36</v>
      </c>
      <c r="K47" s="48" t="s">
        <v>159</v>
      </c>
      <c r="L47" s="61">
        <v>718.66666666666663</v>
      </c>
      <c r="M47" s="50" t="s">
        <v>1</v>
      </c>
      <c r="N47" s="51" t="s">
        <v>156</v>
      </c>
      <c r="O47" s="52">
        <v>1</v>
      </c>
      <c r="P47" s="49"/>
      <c r="Q47" s="17">
        <v>10349918</v>
      </c>
    </row>
    <row r="48" spans="1:17" x14ac:dyDescent="0.25">
      <c r="A48" s="9" t="str">
        <f t="shared" si="3"/>
        <v>CUSTO DE DROPCOPY USD - BANCO DO BRASIL S/A - 28861711 -  FEVEREIRO 26</v>
      </c>
      <c r="B48" s="10">
        <v>46054</v>
      </c>
      <c r="C48" s="9">
        <v>817632</v>
      </c>
      <c r="D48" s="11" t="s">
        <v>139</v>
      </c>
      <c r="E48" s="57">
        <f t="shared" si="4"/>
        <v>-718.66666666666663</v>
      </c>
      <c r="F48" s="9" t="s">
        <v>132</v>
      </c>
      <c r="G48" s="10">
        <v>46054</v>
      </c>
      <c r="H48" s="9">
        <v>18857</v>
      </c>
      <c r="J48" s="12" t="s">
        <v>36</v>
      </c>
      <c r="K48" s="12" t="s">
        <v>159</v>
      </c>
      <c r="L48" s="61">
        <v>718.66666666666663</v>
      </c>
      <c r="M48" s="14" t="s">
        <v>1</v>
      </c>
      <c r="N48" s="15" t="s">
        <v>156</v>
      </c>
      <c r="O48" s="16">
        <v>1</v>
      </c>
      <c r="P48" s="13"/>
      <c r="Q48" s="17">
        <v>28861711</v>
      </c>
    </row>
    <row r="49" spans="1:17" x14ac:dyDescent="0.25">
      <c r="A49" s="9" t="str">
        <f t="shared" si="3"/>
        <v>CUSTO DE DROPCOPY USD - BANCO DO BRASIL S/A - 13107976 -  FEVEREIRO 26</v>
      </c>
      <c r="B49" s="2">
        <v>46054</v>
      </c>
      <c r="C49" s="1">
        <v>817632</v>
      </c>
      <c r="D49" s="3" t="s">
        <v>139</v>
      </c>
      <c r="E49" s="58">
        <f t="shared" si="4"/>
        <v>-718.66666666666663</v>
      </c>
      <c r="F49" s="1" t="s">
        <v>132</v>
      </c>
      <c r="G49" s="2">
        <v>46054</v>
      </c>
      <c r="H49" s="1">
        <v>18857</v>
      </c>
      <c r="J49" s="4" t="s">
        <v>36</v>
      </c>
      <c r="K49" s="4" t="s">
        <v>159</v>
      </c>
      <c r="L49" s="60">
        <v>718.66666666666663</v>
      </c>
      <c r="M49" s="6" t="s">
        <v>1</v>
      </c>
      <c r="N49" s="7" t="s">
        <v>156</v>
      </c>
      <c r="O49" s="8">
        <v>1</v>
      </c>
      <c r="P49" s="5"/>
      <c r="Q49" s="17">
        <v>13107976</v>
      </c>
    </row>
    <row r="50" spans="1:17" x14ac:dyDescent="0.25">
      <c r="A50" s="18" t="str">
        <f t="shared" si="2"/>
        <v>CUSTO DE DROPCOPY BRL - VINLAND CAPITAL -  FEVEREIRO 26</v>
      </c>
      <c r="B50" s="19">
        <v>46054</v>
      </c>
      <c r="C50" s="18">
        <v>817632</v>
      </c>
      <c r="D50" s="20" t="s">
        <v>95</v>
      </c>
      <c r="E50" s="55">
        <f t="shared" si="1"/>
        <v>-318.0443874685165</v>
      </c>
      <c r="F50" s="18" t="s">
        <v>46</v>
      </c>
      <c r="G50" s="19">
        <v>46054</v>
      </c>
      <c r="H50" s="18">
        <v>80359</v>
      </c>
      <c r="J50" s="21" t="s">
        <v>52</v>
      </c>
      <c r="K50" s="21" t="s">
        <v>121</v>
      </c>
      <c r="L50" s="63">
        <v>318.0443874685165</v>
      </c>
      <c r="M50" s="23" t="s">
        <v>1</v>
      </c>
      <c r="N50" s="24" t="s">
        <v>156</v>
      </c>
      <c r="O50" s="25">
        <v>1</v>
      </c>
      <c r="P50" s="22"/>
      <c r="Q50" s="17"/>
    </row>
    <row r="51" spans="1:17" x14ac:dyDescent="0.25">
      <c r="A51" s="9" t="str">
        <f t="shared" si="2"/>
        <v>CUSTO DE DROPCOPY BRL - RPS CAPITAL ADMINISTRADORA -  FEVEREIRO 26</v>
      </c>
      <c r="B51" s="10">
        <v>46054</v>
      </c>
      <c r="C51" s="9">
        <v>817632</v>
      </c>
      <c r="D51" s="11" t="s">
        <v>91</v>
      </c>
      <c r="E51" s="57">
        <f t="shared" si="1"/>
        <v>-318.0443874685165</v>
      </c>
      <c r="F51" s="9" t="s">
        <v>46</v>
      </c>
      <c r="G51" s="10">
        <v>46054</v>
      </c>
      <c r="H51" s="9">
        <v>12339</v>
      </c>
      <c r="J51" s="12" t="s">
        <v>52</v>
      </c>
      <c r="K51" s="12" t="s">
        <v>114</v>
      </c>
      <c r="L51" s="61">
        <v>318.0443874685165</v>
      </c>
      <c r="M51" s="14" t="s">
        <v>1</v>
      </c>
      <c r="N51" s="15" t="s">
        <v>156</v>
      </c>
      <c r="O51" s="16">
        <v>1</v>
      </c>
      <c r="P51" s="13"/>
      <c r="Q51" s="17"/>
    </row>
    <row r="52" spans="1:17" x14ac:dyDescent="0.25">
      <c r="A52" s="45" t="str">
        <f t="shared" si="2"/>
        <v>CUSTO DE DROPCOPY BRL - BANCO BRADESCO S/A -  FEVEREIRO 26</v>
      </c>
      <c r="B52" s="46">
        <v>46054</v>
      </c>
      <c r="C52" s="45">
        <v>817632</v>
      </c>
      <c r="D52" s="47" t="s">
        <v>2</v>
      </c>
      <c r="E52" s="56">
        <f t="shared" si="1"/>
        <v>-238.53329060138736</v>
      </c>
      <c r="F52" s="45" t="s">
        <v>46</v>
      </c>
      <c r="G52" s="46">
        <v>46054</v>
      </c>
      <c r="H52" s="45">
        <v>81503</v>
      </c>
      <c r="J52" s="48" t="s">
        <v>52</v>
      </c>
      <c r="K52" s="48" t="s">
        <v>3</v>
      </c>
      <c r="L52" s="62">
        <v>318.0443874685165</v>
      </c>
      <c r="M52" s="50" t="s">
        <v>1</v>
      </c>
      <c r="N52" s="51" t="s">
        <v>156</v>
      </c>
      <c r="O52" s="52">
        <v>0.75</v>
      </c>
      <c r="P52" s="49"/>
      <c r="Q52" s="17"/>
    </row>
    <row r="53" spans="1:17" x14ac:dyDescent="0.25">
      <c r="A53" s="1" t="str">
        <f t="shared" si="2"/>
        <v>CUSTO DE DROPCOPY BRL - BANCO BRADESCO S/A -  FEVEREIRO 26</v>
      </c>
      <c r="B53" s="2">
        <v>46054</v>
      </c>
      <c r="C53" s="1">
        <v>817632</v>
      </c>
      <c r="D53" s="3" t="s">
        <v>91</v>
      </c>
      <c r="E53" s="58">
        <f t="shared" si="1"/>
        <v>-79.511096867129126</v>
      </c>
      <c r="F53" s="1" t="s">
        <v>46</v>
      </c>
      <c r="G53" s="2">
        <v>46054</v>
      </c>
      <c r="H53" s="1">
        <v>81503</v>
      </c>
      <c r="J53" s="4" t="s">
        <v>52</v>
      </c>
      <c r="K53" s="4" t="s">
        <v>3</v>
      </c>
      <c r="L53" s="60">
        <v>318.0443874685165</v>
      </c>
      <c r="M53" s="6" t="s">
        <v>1</v>
      </c>
      <c r="N53" s="7" t="s">
        <v>156</v>
      </c>
      <c r="O53" s="8">
        <v>0.25</v>
      </c>
      <c r="P53" s="5"/>
      <c r="Q53" s="17"/>
    </row>
    <row r="54" spans="1:17" x14ac:dyDescent="0.25">
      <c r="A54" s="9" t="str">
        <f t="shared" si="2"/>
        <v>CUSTO DE DROPCOPY BRL - KAPITALO INVESTIMENTOS LTDA -  FEVEREIRO 26</v>
      </c>
      <c r="B54" s="10">
        <v>46054</v>
      </c>
      <c r="C54" s="9">
        <v>817632</v>
      </c>
      <c r="D54" s="11" t="s">
        <v>2</v>
      </c>
      <c r="E54" s="57">
        <f t="shared" si="1"/>
        <v>-318.0443874685165</v>
      </c>
      <c r="F54" s="9" t="s">
        <v>46</v>
      </c>
      <c r="G54" s="10">
        <v>46054</v>
      </c>
      <c r="H54" s="9">
        <v>12413</v>
      </c>
      <c r="J54" s="12" t="s">
        <v>52</v>
      </c>
      <c r="K54" s="12" t="s">
        <v>113</v>
      </c>
      <c r="L54" s="61">
        <v>318.0443874685165</v>
      </c>
      <c r="M54" s="14" t="s">
        <v>1</v>
      </c>
      <c r="N54" s="15" t="s">
        <v>156</v>
      </c>
      <c r="O54" s="16">
        <v>1</v>
      </c>
      <c r="P54" s="13"/>
      <c r="Q54" s="17"/>
    </row>
    <row r="55" spans="1:17" x14ac:dyDescent="0.25">
      <c r="A55" s="18" t="str">
        <f t="shared" si="2"/>
        <v>CUSTO DE DROPCOPY BRL - FITPART -  FEVEREIRO 26</v>
      </c>
      <c r="B55" s="19">
        <v>46054</v>
      </c>
      <c r="C55" s="18">
        <v>817632</v>
      </c>
      <c r="D55" s="20" t="s">
        <v>2</v>
      </c>
      <c r="E55" s="55">
        <f t="shared" si="1"/>
        <v>-318.0443874685165</v>
      </c>
      <c r="F55" s="18" t="s">
        <v>46</v>
      </c>
      <c r="G55" s="19">
        <v>46054</v>
      </c>
      <c r="H55" s="18">
        <v>1170</v>
      </c>
      <c r="J55" s="21" t="s">
        <v>52</v>
      </c>
      <c r="K55" s="21" t="s">
        <v>88</v>
      </c>
      <c r="L55" s="63">
        <v>318.0443874685165</v>
      </c>
      <c r="M55" s="23" t="s">
        <v>1</v>
      </c>
      <c r="N55" s="24" t="s">
        <v>156</v>
      </c>
      <c r="O55" s="25">
        <v>1</v>
      </c>
      <c r="P55" s="22"/>
      <c r="Q55" s="17"/>
    </row>
    <row r="56" spans="1:17" x14ac:dyDescent="0.25">
      <c r="A56" s="9" t="str">
        <f t="shared" si="2"/>
        <v>CUSTO DE DROPCOPY BRL - SPX EQUITIES GESTAO DE RECURSOS LTDA -  FEVEREIRO 26</v>
      </c>
      <c r="B56" s="10">
        <v>46054</v>
      </c>
      <c r="C56" s="9">
        <v>817632</v>
      </c>
      <c r="D56" s="11" t="s">
        <v>2</v>
      </c>
      <c r="E56" s="57">
        <f t="shared" si="1"/>
        <v>-190.8266324811099</v>
      </c>
      <c r="F56" s="9" t="s">
        <v>46</v>
      </c>
      <c r="G56" s="10">
        <v>46054</v>
      </c>
      <c r="H56" s="9">
        <v>79931</v>
      </c>
      <c r="J56" s="12" t="s">
        <v>52</v>
      </c>
      <c r="K56" s="12" t="s">
        <v>9</v>
      </c>
      <c r="L56" s="61">
        <v>318.0443874685165</v>
      </c>
      <c r="M56" s="14" t="s">
        <v>1</v>
      </c>
      <c r="N56" s="15" t="s">
        <v>156</v>
      </c>
      <c r="O56" s="16">
        <v>0.6</v>
      </c>
      <c r="P56" s="13"/>
      <c r="Q56" s="17"/>
    </row>
    <row r="57" spans="1:17" x14ac:dyDescent="0.25">
      <c r="A57" s="9" t="str">
        <f t="shared" si="2"/>
        <v>CUSTO DE DROPCOPY BRL - SPX EQUITIES GESTAO DE RECURSOS LTDA -  FEVEREIRO 26</v>
      </c>
      <c r="B57" s="10">
        <v>46054</v>
      </c>
      <c r="C57" s="9">
        <v>817632</v>
      </c>
      <c r="D57" s="11" t="s">
        <v>91</v>
      </c>
      <c r="E57" s="57">
        <f t="shared" si="1"/>
        <v>-127.21775498740661</v>
      </c>
      <c r="F57" s="9" t="s">
        <v>46</v>
      </c>
      <c r="G57" s="10">
        <v>46054</v>
      </c>
      <c r="H57" s="9">
        <v>79931</v>
      </c>
      <c r="J57" s="12" t="s">
        <v>52</v>
      </c>
      <c r="K57" s="12" t="s">
        <v>9</v>
      </c>
      <c r="L57" s="61">
        <v>318.0443874685165</v>
      </c>
      <c r="M57" s="14" t="s">
        <v>1</v>
      </c>
      <c r="N57" s="15" t="s">
        <v>156</v>
      </c>
      <c r="O57" s="16">
        <v>0.4</v>
      </c>
      <c r="P57" s="13"/>
      <c r="Q57" s="17"/>
    </row>
    <row r="58" spans="1:17" x14ac:dyDescent="0.25">
      <c r="A58" s="45" t="str">
        <f t="shared" si="2"/>
        <v>CUSTO DE DROPCOPY BRL - ITAU BBA -  FEVEREIRO 26</v>
      </c>
      <c r="B58" s="46">
        <v>46054</v>
      </c>
      <c r="C58" s="45">
        <v>817632</v>
      </c>
      <c r="D58" s="47" t="s">
        <v>2</v>
      </c>
      <c r="E58" s="56">
        <f t="shared" si="1"/>
        <v>-318.0443874685165</v>
      </c>
      <c r="F58" s="45" t="s">
        <v>46</v>
      </c>
      <c r="G58" s="46">
        <v>46054</v>
      </c>
      <c r="H58" s="45">
        <v>80922</v>
      </c>
      <c r="J58" s="48" t="s">
        <v>52</v>
      </c>
      <c r="K58" s="48" t="s">
        <v>57</v>
      </c>
      <c r="L58" s="63">
        <v>318.0443874685165</v>
      </c>
      <c r="M58" s="50" t="s">
        <v>1</v>
      </c>
      <c r="N58" s="51" t="s">
        <v>156</v>
      </c>
      <c r="O58" s="52">
        <v>1</v>
      </c>
      <c r="P58" s="49"/>
      <c r="Q58" s="17"/>
    </row>
    <row r="59" spans="1:17" x14ac:dyDescent="0.25">
      <c r="A59" s="45" t="str">
        <f t="shared" si="2"/>
        <v>CUSTO DE DROPCOPY USD - BGC LIQUIDEZ -  FEVEREIRO 26</v>
      </c>
      <c r="B59" s="46">
        <v>46054</v>
      </c>
      <c r="C59" s="45">
        <v>817632</v>
      </c>
      <c r="D59" s="47" t="s">
        <v>2</v>
      </c>
      <c r="E59" s="56">
        <v>-1844.5423174999999</v>
      </c>
      <c r="F59" s="45" t="s">
        <v>45</v>
      </c>
      <c r="G59" s="46">
        <v>46054</v>
      </c>
      <c r="H59" s="45">
        <v>1170</v>
      </c>
      <c r="J59" s="48" t="s">
        <v>36</v>
      </c>
      <c r="K59" s="48" t="s">
        <v>47</v>
      </c>
      <c r="L59" s="61">
        <v>-28.64838499999998</v>
      </c>
      <c r="M59" s="50" t="s">
        <v>1</v>
      </c>
      <c r="N59" s="51" t="s">
        <v>156</v>
      </c>
      <c r="O59" s="52">
        <v>1</v>
      </c>
      <c r="P59" s="49"/>
      <c r="Q59" s="17"/>
    </row>
    <row r="60" spans="1:17" x14ac:dyDescent="0.25">
      <c r="A60" s="9" t="str">
        <f t="shared" si="2"/>
        <v>CUSTO DE DROPCOPY USD - BGC LIQUIDEZ -  FEVEREIRO 26</v>
      </c>
      <c r="B60" s="10">
        <v>46054</v>
      </c>
      <c r="C60" s="9">
        <v>817632</v>
      </c>
      <c r="D60" s="11" t="s">
        <v>141</v>
      </c>
      <c r="E60" s="57">
        <v>-1844.5423174999999</v>
      </c>
      <c r="F60" s="9" t="s">
        <v>45</v>
      </c>
      <c r="G60" s="10">
        <v>46054</v>
      </c>
      <c r="H60" s="9">
        <v>1170</v>
      </c>
      <c r="J60" s="12" t="s">
        <v>36</v>
      </c>
      <c r="K60" s="12" t="s">
        <v>47</v>
      </c>
      <c r="L60" s="61">
        <v>-28.64838499999998</v>
      </c>
      <c r="M60" s="14" t="s">
        <v>1</v>
      </c>
      <c r="N60" s="15" t="s">
        <v>156</v>
      </c>
      <c r="O60" s="16">
        <v>1</v>
      </c>
      <c r="P60" s="13"/>
      <c r="Q60" s="17"/>
    </row>
    <row r="61" spans="1:17" x14ac:dyDescent="0.25">
      <c r="A61" s="1" t="str">
        <f t="shared" si="2"/>
        <v>CUSTO DE DROPCOPY USD - BGC LIQUIDEZ -  FEVEREIRO 26</v>
      </c>
      <c r="B61" s="2">
        <v>46054</v>
      </c>
      <c r="C61" s="1">
        <v>817632</v>
      </c>
      <c r="D61" s="3" t="s">
        <v>95</v>
      </c>
      <c r="E61" s="58">
        <v>-1844.5423174999999</v>
      </c>
      <c r="F61" s="1" t="s">
        <v>45</v>
      </c>
      <c r="G61" s="2">
        <v>46054</v>
      </c>
      <c r="H61" s="1">
        <v>1170</v>
      </c>
      <c r="J61" s="4" t="s">
        <v>36</v>
      </c>
      <c r="K61" s="4" t="s">
        <v>47</v>
      </c>
      <c r="L61" s="60">
        <v>-28.64838499999998</v>
      </c>
      <c r="M61" s="6" t="s">
        <v>1</v>
      </c>
      <c r="N61" s="7" t="s">
        <v>156</v>
      </c>
      <c r="O61" s="8">
        <v>1</v>
      </c>
      <c r="P61" s="5"/>
      <c r="Q61" s="17"/>
    </row>
    <row r="62" spans="1:17" x14ac:dyDescent="0.25">
      <c r="A62" s="1" t="str">
        <f t="shared" si="2"/>
        <v>CUSTO DE DROPCOPY USD - SCHONFELD -  FEVEREIRO 26</v>
      </c>
      <c r="B62" s="2">
        <v>46054</v>
      </c>
      <c r="C62" s="1">
        <v>817632</v>
      </c>
      <c r="D62" s="3" t="s">
        <v>95</v>
      </c>
      <c r="E62" s="58">
        <f t="shared" si="1"/>
        <v>-1287.375</v>
      </c>
      <c r="F62" s="1" t="s">
        <v>115</v>
      </c>
      <c r="G62" s="2">
        <v>46054</v>
      </c>
      <c r="H62" s="1">
        <v>83063</v>
      </c>
      <c r="J62" s="4" t="s">
        <v>36</v>
      </c>
      <c r="K62" s="4" t="s">
        <v>143</v>
      </c>
      <c r="L62" s="60">
        <v>1287.375</v>
      </c>
      <c r="M62" s="6" t="s">
        <v>1</v>
      </c>
      <c r="N62" s="7" t="s">
        <v>156</v>
      </c>
      <c r="O62" s="8">
        <v>1</v>
      </c>
      <c r="P62" s="54"/>
      <c r="Q62" s="17"/>
    </row>
    <row r="63" spans="1:17" x14ac:dyDescent="0.25">
      <c r="A63" s="1" t="str">
        <f t="shared" si="2"/>
        <v>CUSTO DE DROPCOPY USD - VINLAND CAPITAL MANAGEMENT -  FEVEREIRO 26</v>
      </c>
      <c r="B63" s="2">
        <v>46054</v>
      </c>
      <c r="C63" s="1">
        <v>817632</v>
      </c>
      <c r="D63" s="3" t="s">
        <v>95</v>
      </c>
      <c r="E63" s="58">
        <f t="shared" si="1"/>
        <v>-2626.2449999999999</v>
      </c>
      <c r="F63" s="1" t="s">
        <v>115</v>
      </c>
      <c r="G63" s="2">
        <v>46054</v>
      </c>
      <c r="H63" s="1">
        <v>80359</v>
      </c>
      <c r="J63" s="4" t="s">
        <v>36</v>
      </c>
      <c r="K63" s="4" t="s">
        <v>116</v>
      </c>
      <c r="L63" s="60">
        <v>2626.2449999999999</v>
      </c>
      <c r="M63" s="6" t="s">
        <v>1</v>
      </c>
      <c r="N63" s="7" t="s">
        <v>156</v>
      </c>
      <c r="O63" s="8">
        <v>1</v>
      </c>
      <c r="P63" s="54"/>
      <c r="Q63" s="17"/>
    </row>
    <row r="64" spans="1:17" x14ac:dyDescent="0.25">
      <c r="A64" s="1" t="str">
        <f t="shared" si="2"/>
        <v>CUSTO DE DROPCOPY USD - BGC LIQUIDEZ -  FEVEREIRO 26</v>
      </c>
      <c r="B64" s="2">
        <v>46054</v>
      </c>
      <c r="C64" s="1">
        <v>817632</v>
      </c>
      <c r="D64" s="3" t="s">
        <v>2</v>
      </c>
      <c r="E64" s="58">
        <f t="shared" si="1"/>
        <v>-11328.9</v>
      </c>
      <c r="F64" s="1" t="s">
        <v>117</v>
      </c>
      <c r="G64" s="2">
        <v>46054</v>
      </c>
      <c r="H64" s="1">
        <v>1170</v>
      </c>
      <c r="J64" s="4" t="s">
        <v>36</v>
      </c>
      <c r="K64" s="4" t="s">
        <v>47</v>
      </c>
      <c r="L64" s="60">
        <v>11328.9</v>
      </c>
      <c r="M64" s="6" t="s">
        <v>1</v>
      </c>
      <c r="N64" s="7" t="s">
        <v>156</v>
      </c>
      <c r="O64" s="8">
        <v>1</v>
      </c>
      <c r="P64" s="5"/>
      <c r="Q64" s="17"/>
    </row>
    <row r="65" spans="1:17" x14ac:dyDescent="0.25">
      <c r="A65" s="1" t="str">
        <f t="shared" si="2"/>
        <v>CUSTO DE DROPCOPY USD - BGC LIQUIDEZ -  FEVEREIRO 26</v>
      </c>
      <c r="B65" s="2">
        <v>46054</v>
      </c>
      <c r="C65" s="1">
        <v>817632</v>
      </c>
      <c r="D65" s="3" t="s">
        <v>95</v>
      </c>
      <c r="E65" s="66">
        <f t="shared" si="1"/>
        <v>-2754.9825000000001</v>
      </c>
      <c r="F65" s="1" t="s">
        <v>118</v>
      </c>
      <c r="G65" s="2">
        <v>46054</v>
      </c>
      <c r="H65" s="1">
        <v>1170</v>
      </c>
      <c r="J65" s="4" t="s">
        <v>36</v>
      </c>
      <c r="K65" s="4" t="s">
        <v>47</v>
      </c>
      <c r="L65" s="69">
        <v>2754.9825000000001</v>
      </c>
      <c r="M65" s="23" t="s">
        <v>1</v>
      </c>
      <c r="N65" s="24" t="s">
        <v>156</v>
      </c>
      <c r="O65" s="25">
        <v>1</v>
      </c>
      <c r="P65" s="5"/>
      <c r="Q65" s="17"/>
    </row>
    <row r="66" spans="1:17" x14ac:dyDescent="0.25">
      <c r="A66" s="9" t="str">
        <f t="shared" si="2"/>
        <v>CUSTO DE DROPCOPY BRL - BANCO CITIBANK -  FEVEREIRO 26</v>
      </c>
      <c r="B66" s="10">
        <v>46054</v>
      </c>
      <c r="C66" s="9">
        <v>817632</v>
      </c>
      <c r="D66" s="11" t="s">
        <v>97</v>
      </c>
      <c r="E66" s="57">
        <f t="shared" si="1"/>
        <v>-28.940792674773657</v>
      </c>
      <c r="F66" s="9" t="s">
        <v>49</v>
      </c>
      <c r="G66" s="10">
        <v>46054</v>
      </c>
      <c r="H66" s="9">
        <v>80961</v>
      </c>
      <c r="J66" s="12" t="s">
        <v>52</v>
      </c>
      <c r="K66" s="12" t="s">
        <v>53</v>
      </c>
      <c r="L66" s="53">
        <v>718.29</v>
      </c>
      <c r="M66" s="14" t="s">
        <v>1</v>
      </c>
      <c r="N66" s="15" t="s">
        <v>156</v>
      </c>
      <c r="O66" s="16">
        <v>4.0291237069670548E-2</v>
      </c>
      <c r="P66" s="13"/>
    </row>
    <row r="67" spans="1:17" x14ac:dyDescent="0.25">
      <c r="A67" s="9" t="str">
        <f t="shared" si="2"/>
        <v>CUSTO DE DROPCOPY BRL - BANCO CITIBANK -  FEVEREIRO 26</v>
      </c>
      <c r="B67" s="10">
        <v>46054</v>
      </c>
      <c r="C67" s="9">
        <v>817632</v>
      </c>
      <c r="D67" s="11" t="s">
        <v>98</v>
      </c>
      <c r="E67" s="57">
        <f t="shared" si="1"/>
        <v>-35.528987365930078</v>
      </c>
      <c r="F67" s="9" t="s">
        <v>49</v>
      </c>
      <c r="G67" s="10">
        <v>46054</v>
      </c>
      <c r="H67" s="9">
        <v>80961</v>
      </c>
      <c r="J67" s="12" t="s">
        <v>52</v>
      </c>
      <c r="K67" s="12" t="s">
        <v>53</v>
      </c>
      <c r="L67" s="53">
        <v>718.29</v>
      </c>
      <c r="M67" s="14" t="s">
        <v>1</v>
      </c>
      <c r="N67" s="15" t="s">
        <v>156</v>
      </c>
      <c r="O67" s="16">
        <v>4.9463291102382158E-2</v>
      </c>
      <c r="P67" s="13"/>
    </row>
    <row r="68" spans="1:17" x14ac:dyDescent="0.25">
      <c r="A68" s="9" t="str">
        <f t="shared" si="2"/>
        <v>CUSTO DE DROPCOPY BRL - BANCO CITIBANK -  FEVEREIRO 26</v>
      </c>
      <c r="B68" s="10">
        <v>46054</v>
      </c>
      <c r="C68" s="9">
        <v>817632</v>
      </c>
      <c r="D68" s="11" t="s">
        <v>100</v>
      </c>
      <c r="E68" s="57">
        <f t="shared" si="1"/>
        <v>-0.30047521943042976</v>
      </c>
      <c r="F68" s="9" t="s">
        <v>49</v>
      </c>
      <c r="G68" s="10">
        <v>46054</v>
      </c>
      <c r="H68" s="9">
        <v>80961</v>
      </c>
      <c r="J68" s="12" t="s">
        <v>52</v>
      </c>
      <c r="K68" s="12" t="s">
        <v>53</v>
      </c>
      <c r="L68" s="53">
        <v>718.29</v>
      </c>
      <c r="M68" s="14" t="s">
        <v>1</v>
      </c>
      <c r="N68" s="15" t="s">
        <v>156</v>
      </c>
      <c r="O68" s="16">
        <v>4.1832020413820289E-4</v>
      </c>
      <c r="P68" s="13"/>
    </row>
    <row r="69" spans="1:17" x14ac:dyDescent="0.25">
      <c r="A69" s="9" t="str">
        <f t="shared" si="2"/>
        <v>CUSTO DE DROPCOPY BRL - BANCO CITIBANK -  FEVEREIRO 26</v>
      </c>
      <c r="B69" s="10">
        <v>46054</v>
      </c>
      <c r="C69" s="9">
        <v>817632</v>
      </c>
      <c r="D69" s="11" t="s">
        <v>11</v>
      </c>
      <c r="E69" s="57">
        <f t="shared" ref="E69:E122" si="5">-L69*O69</f>
        <v>-4.782977352741705</v>
      </c>
      <c r="F69" s="9" t="s">
        <v>49</v>
      </c>
      <c r="G69" s="10">
        <v>46054</v>
      </c>
      <c r="H69" s="9">
        <v>80961</v>
      </c>
      <c r="J69" s="12" t="s">
        <v>52</v>
      </c>
      <c r="K69" s="12" t="s">
        <v>53</v>
      </c>
      <c r="L69" s="53">
        <v>718.29</v>
      </c>
      <c r="M69" s="14" t="s">
        <v>1</v>
      </c>
      <c r="N69" s="15" t="s">
        <v>156</v>
      </c>
      <c r="O69" s="16">
        <v>6.6588388432829437E-3</v>
      </c>
      <c r="P69" s="13"/>
    </row>
    <row r="70" spans="1:17" x14ac:dyDescent="0.25">
      <c r="A70" s="9" t="str">
        <f t="shared" si="2"/>
        <v>CUSTO DE DROPCOPY BRL - BANCO CITIBANK -  FEVEREIRO 26</v>
      </c>
      <c r="B70" s="10">
        <v>46054</v>
      </c>
      <c r="C70" s="9">
        <v>817632</v>
      </c>
      <c r="D70" s="11" t="s">
        <v>91</v>
      </c>
      <c r="E70" s="57">
        <f t="shared" si="5"/>
        <v>-632.75386744504794</v>
      </c>
      <c r="F70" s="9" t="s">
        <v>49</v>
      </c>
      <c r="G70" s="10">
        <v>46054</v>
      </c>
      <c r="H70" s="9">
        <v>80961</v>
      </c>
      <c r="J70" s="12" t="s">
        <v>52</v>
      </c>
      <c r="K70" s="12" t="s">
        <v>53</v>
      </c>
      <c r="L70" s="53">
        <v>718.29</v>
      </c>
      <c r="M70" s="14" t="s">
        <v>1</v>
      </c>
      <c r="N70" s="15" t="s">
        <v>156</v>
      </c>
      <c r="O70" s="16">
        <v>0.88091699375607058</v>
      </c>
      <c r="P70" s="13"/>
    </row>
    <row r="71" spans="1:17" x14ac:dyDescent="0.25">
      <c r="A71" s="9" t="str">
        <f t="shared" si="2"/>
        <v>CUSTO DE DROPCOPY BRL - BANCO CITIBANK -  FEVEREIRO 26</v>
      </c>
      <c r="B71" s="10">
        <v>46054</v>
      </c>
      <c r="C71" s="9">
        <v>817632</v>
      </c>
      <c r="D71" s="11" t="s">
        <v>40</v>
      </c>
      <c r="E71" s="57">
        <f t="shared" si="5"/>
        <v>-5.5972285341437598</v>
      </c>
      <c r="F71" s="9" t="s">
        <v>49</v>
      </c>
      <c r="G71" s="10">
        <v>46054</v>
      </c>
      <c r="H71" s="9">
        <v>80961</v>
      </c>
      <c r="J71" s="12" t="s">
        <v>52</v>
      </c>
      <c r="K71" s="12" t="s">
        <v>53</v>
      </c>
      <c r="L71" s="53">
        <v>718.29</v>
      </c>
      <c r="M71" s="14" t="s">
        <v>1</v>
      </c>
      <c r="N71" s="15" t="s">
        <v>156</v>
      </c>
      <c r="O71" s="16">
        <v>7.7924355540850629E-3</v>
      </c>
      <c r="P71" s="13"/>
    </row>
    <row r="72" spans="1:17" x14ac:dyDescent="0.25">
      <c r="A72" s="9" t="str">
        <f t="shared" si="2"/>
        <v>CUSTO DE DROPCOPY BRL - BANCO CITIBANK -  FEVEREIRO 26</v>
      </c>
      <c r="B72" s="10">
        <v>46054</v>
      </c>
      <c r="C72" s="9">
        <v>817632</v>
      </c>
      <c r="D72" s="11" t="s">
        <v>41</v>
      </c>
      <c r="E72" s="57">
        <f t="shared" si="5"/>
        <v>-10.385671407932422</v>
      </c>
      <c r="F72" s="9" t="s">
        <v>49</v>
      </c>
      <c r="G72" s="10">
        <v>46054</v>
      </c>
      <c r="H72" s="9">
        <v>80961</v>
      </c>
      <c r="J72" s="12" t="s">
        <v>52</v>
      </c>
      <c r="K72" s="12" t="s">
        <v>53</v>
      </c>
      <c r="L72" s="53">
        <v>718.29</v>
      </c>
      <c r="M72" s="14" t="s">
        <v>1</v>
      </c>
      <c r="N72" s="15" t="s">
        <v>156</v>
      </c>
      <c r="O72" s="16">
        <v>1.4458883470370495E-2</v>
      </c>
      <c r="P72" s="13"/>
    </row>
    <row r="73" spans="1:17" x14ac:dyDescent="0.25">
      <c r="A73" s="45" t="str">
        <f t="shared" si="2"/>
        <v>CUSTO DE DROPCOPY BRL - BANCO SANTANDER -  FEVEREIRO 26</v>
      </c>
      <c r="B73" s="46">
        <v>46054</v>
      </c>
      <c r="C73" s="45">
        <v>817632</v>
      </c>
      <c r="D73" s="47" t="s">
        <v>44</v>
      </c>
      <c r="E73" s="56">
        <f t="shared" si="5"/>
        <v>-20.146096291225774</v>
      </c>
      <c r="F73" s="45" t="s">
        <v>49</v>
      </c>
      <c r="G73" s="46">
        <v>46054</v>
      </c>
      <c r="H73" s="45">
        <v>80015</v>
      </c>
      <c r="J73" s="48" t="s">
        <v>52</v>
      </c>
      <c r="K73" s="48" t="s">
        <v>54</v>
      </c>
      <c r="L73" s="49">
        <v>1436.58</v>
      </c>
      <c r="M73" s="50" t="s">
        <v>1</v>
      </c>
      <c r="N73" s="51" t="s">
        <v>156</v>
      </c>
      <c r="O73" s="52">
        <v>1.4023650817375834E-2</v>
      </c>
      <c r="P73" s="49"/>
    </row>
    <row r="74" spans="1:17" x14ac:dyDescent="0.25">
      <c r="A74" s="9" t="str">
        <f t="shared" si="2"/>
        <v>CUSTO DE DROPCOPY BRL - BANCO SANTANDER -  FEVEREIRO 26</v>
      </c>
      <c r="B74" s="10">
        <v>46054</v>
      </c>
      <c r="C74" s="9">
        <v>817632</v>
      </c>
      <c r="D74" s="11" t="s">
        <v>102</v>
      </c>
      <c r="E74" s="57">
        <f t="shared" si="5"/>
        <v>-5.9662499067187769</v>
      </c>
      <c r="F74" s="9" t="s">
        <v>49</v>
      </c>
      <c r="G74" s="10">
        <v>46054</v>
      </c>
      <c r="H74" s="9">
        <v>80015</v>
      </c>
      <c r="J74" s="12" t="s">
        <v>52</v>
      </c>
      <c r="K74" s="12" t="s">
        <v>54</v>
      </c>
      <c r="L74" s="13">
        <v>1436.58</v>
      </c>
      <c r="M74" s="14" t="s">
        <v>1</v>
      </c>
      <c r="N74" s="15" t="s">
        <v>156</v>
      </c>
      <c r="O74" s="16">
        <v>4.1530926970435181E-3</v>
      </c>
      <c r="P74" s="13"/>
    </row>
    <row r="75" spans="1:17" x14ac:dyDescent="0.25">
      <c r="A75" s="9" t="str">
        <f t="shared" si="2"/>
        <v>CUSTO DE DROPCOPY BRL - BANCO SANTANDER -  FEVEREIRO 26</v>
      </c>
      <c r="B75" s="10">
        <v>46054</v>
      </c>
      <c r="C75" s="9">
        <v>817632</v>
      </c>
      <c r="D75" s="11" t="s">
        <v>104</v>
      </c>
      <c r="E75" s="57">
        <f t="shared" si="5"/>
        <v>-171.10202360763091</v>
      </c>
      <c r="F75" s="9" t="s">
        <v>49</v>
      </c>
      <c r="G75" s="10">
        <v>46054</v>
      </c>
      <c r="H75" s="9">
        <v>80015</v>
      </c>
      <c r="J75" s="12" t="s">
        <v>52</v>
      </c>
      <c r="K75" s="12" t="s">
        <v>54</v>
      </c>
      <c r="L75" s="13">
        <v>1436.58</v>
      </c>
      <c r="M75" s="14" t="s">
        <v>1</v>
      </c>
      <c r="N75" s="15" t="s">
        <v>156</v>
      </c>
      <c r="O75" s="16">
        <v>0.11910372106505097</v>
      </c>
      <c r="P75" s="13"/>
    </row>
    <row r="76" spans="1:17" x14ac:dyDescent="0.25">
      <c r="A76" s="9" t="str">
        <f t="shared" si="2"/>
        <v>CUSTO DE DROPCOPY BRL - BANCO SANTANDER -  FEVEREIRO 26</v>
      </c>
      <c r="B76" s="10">
        <v>46054</v>
      </c>
      <c r="C76" s="9">
        <v>817632</v>
      </c>
      <c r="D76" s="11" t="s">
        <v>99</v>
      </c>
      <c r="E76" s="57">
        <f t="shared" si="5"/>
        <v>-32.694131604217866</v>
      </c>
      <c r="F76" s="9" t="s">
        <v>49</v>
      </c>
      <c r="G76" s="10">
        <v>46054</v>
      </c>
      <c r="H76" s="9">
        <v>80015</v>
      </c>
      <c r="J76" s="12" t="s">
        <v>52</v>
      </c>
      <c r="K76" s="12" t="s">
        <v>54</v>
      </c>
      <c r="L76" s="13">
        <v>1436.58</v>
      </c>
      <c r="M76" s="14" t="s">
        <v>1</v>
      </c>
      <c r="N76" s="15" t="s">
        <v>156</v>
      </c>
      <c r="O76" s="16">
        <v>2.2758309042460474E-2</v>
      </c>
      <c r="P76" s="13"/>
    </row>
    <row r="77" spans="1:17" x14ac:dyDescent="0.25">
      <c r="A77" s="9" t="str">
        <f t="shared" si="2"/>
        <v>CUSTO DE DROPCOPY BRL - BANCO SANTANDER -  FEVEREIRO 26</v>
      </c>
      <c r="B77" s="10">
        <v>46054</v>
      </c>
      <c r="C77" s="9">
        <v>817632</v>
      </c>
      <c r="D77" s="11" t="s">
        <v>15</v>
      </c>
      <c r="E77" s="57">
        <f t="shared" si="5"/>
        <v>-56.379340584865503</v>
      </c>
      <c r="F77" s="9" t="s">
        <v>49</v>
      </c>
      <c r="G77" s="10">
        <v>46054</v>
      </c>
      <c r="H77" s="9">
        <v>80015</v>
      </c>
      <c r="J77" s="12" t="s">
        <v>52</v>
      </c>
      <c r="K77" s="12" t="s">
        <v>54</v>
      </c>
      <c r="L77" s="13">
        <v>1436.58</v>
      </c>
      <c r="M77" s="14" t="s">
        <v>1</v>
      </c>
      <c r="N77" s="15" t="s">
        <v>156</v>
      </c>
      <c r="O77" s="16">
        <v>3.9245527979552483E-2</v>
      </c>
      <c r="P77" s="13"/>
    </row>
    <row r="78" spans="1:17" x14ac:dyDescent="0.25">
      <c r="A78" s="9" t="str">
        <f t="shared" si="2"/>
        <v>CUSTO DE DROPCOPY BRL - BANCO SANTANDER -  FEVEREIRO 26</v>
      </c>
      <c r="B78" s="10">
        <v>46054</v>
      </c>
      <c r="C78" s="9">
        <v>817632</v>
      </c>
      <c r="D78" s="11" t="s">
        <v>100</v>
      </c>
      <c r="E78" s="57">
        <f t="shared" si="5"/>
        <v>-1.0242549096852631</v>
      </c>
      <c r="F78" s="9" t="s">
        <v>49</v>
      </c>
      <c r="G78" s="10">
        <v>46054</v>
      </c>
      <c r="H78" s="9">
        <v>80015</v>
      </c>
      <c r="J78" s="12" t="s">
        <v>52</v>
      </c>
      <c r="K78" s="12" t="s">
        <v>54</v>
      </c>
      <c r="L78" s="13">
        <v>1436.58</v>
      </c>
      <c r="M78" s="14" t="s">
        <v>1</v>
      </c>
      <c r="N78" s="15" t="s">
        <v>156</v>
      </c>
      <c r="O78" s="16">
        <v>7.1298146269978919E-4</v>
      </c>
      <c r="P78" s="13"/>
    </row>
    <row r="79" spans="1:17" x14ac:dyDescent="0.25">
      <c r="A79" s="9" t="str">
        <f t="shared" ref="A79" si="6">CONCATENATE(J79,P79,M79,K79,M79,N79)</f>
        <v>CUSTO DE DROPCOPY BRL - BANCO SANTANDER -  FEVEREIRO 26</v>
      </c>
      <c r="B79" s="10">
        <v>46054</v>
      </c>
      <c r="C79" s="9">
        <v>817632</v>
      </c>
      <c r="D79" s="11" t="s">
        <v>11</v>
      </c>
      <c r="E79" s="57">
        <f t="shared" ref="E79" si="7">-L79*O79</f>
        <v>-289.05944670001423</v>
      </c>
      <c r="F79" s="9" t="s">
        <v>49</v>
      </c>
      <c r="G79" s="10">
        <v>46054</v>
      </c>
      <c r="H79" s="9">
        <v>80015</v>
      </c>
      <c r="J79" s="12" t="s">
        <v>52</v>
      </c>
      <c r="K79" s="12" t="s">
        <v>54</v>
      </c>
      <c r="L79" s="13">
        <v>1436.58</v>
      </c>
      <c r="M79" s="14" t="s">
        <v>1</v>
      </c>
      <c r="N79" s="15" t="s">
        <v>156</v>
      </c>
      <c r="O79" s="16">
        <v>0.20121360919685241</v>
      </c>
      <c r="P79" s="13"/>
    </row>
    <row r="80" spans="1:17" x14ac:dyDescent="0.25">
      <c r="A80" s="9" t="str">
        <f t="shared" ref="A80" si="8">CONCATENATE(J80,P80,M80,K80,M80,N80)</f>
        <v>CUSTO DE DROPCOPY BRL - BANCO SANTANDER -  FEVEREIRO 26</v>
      </c>
      <c r="B80" s="10">
        <v>46054</v>
      </c>
      <c r="C80" s="9">
        <v>817632</v>
      </c>
      <c r="D80" s="11" t="s">
        <v>129</v>
      </c>
      <c r="E80" s="57">
        <f t="shared" ref="E80" si="9">-L80*O80</f>
        <v>-155.37230821326497</v>
      </c>
      <c r="F80" s="9" t="s">
        <v>49</v>
      </c>
      <c r="G80" s="10">
        <v>46054</v>
      </c>
      <c r="H80" s="9">
        <v>80015</v>
      </c>
      <c r="J80" s="12" t="s">
        <v>52</v>
      </c>
      <c r="K80" s="12" t="s">
        <v>54</v>
      </c>
      <c r="L80" s="13">
        <v>1436.58</v>
      </c>
      <c r="M80" s="14" t="s">
        <v>1</v>
      </c>
      <c r="N80" s="15" t="s">
        <v>156</v>
      </c>
      <c r="O80" s="16">
        <v>0.10815430272819125</v>
      </c>
      <c r="P80" s="13"/>
    </row>
    <row r="81" spans="1:16" x14ac:dyDescent="0.25">
      <c r="A81" s="9" t="str">
        <f t="shared" si="2"/>
        <v>CUSTO DE DROPCOPY BRL - BANCO SANTANDER -  FEVEREIRO 26</v>
      </c>
      <c r="B81" s="10">
        <v>46054</v>
      </c>
      <c r="C81" s="9">
        <v>817632</v>
      </c>
      <c r="D81" s="11" t="s">
        <v>107</v>
      </c>
      <c r="E81" s="57">
        <f t="shared" si="5"/>
        <v>-0.84789590020484162</v>
      </c>
      <c r="F81" s="9" t="s">
        <v>49</v>
      </c>
      <c r="G81" s="10">
        <v>46054</v>
      </c>
      <c r="H81" s="9">
        <v>80015</v>
      </c>
      <c r="J81" s="12" t="s">
        <v>52</v>
      </c>
      <c r="K81" s="12" t="s">
        <v>54</v>
      </c>
      <c r="L81" s="13">
        <v>1436.58</v>
      </c>
      <c r="M81" s="14" t="s">
        <v>1</v>
      </c>
      <c r="N81" s="15" t="s">
        <v>156</v>
      </c>
      <c r="O81" s="16">
        <v>5.9021836598368465E-4</v>
      </c>
      <c r="P81" s="13"/>
    </row>
    <row r="82" spans="1:16" x14ac:dyDescent="0.25">
      <c r="A82" s="9" t="str">
        <f t="shared" si="2"/>
        <v>CUSTO DE DROPCOPY BRL - BANCO SANTANDER -  FEVEREIRO 26</v>
      </c>
      <c r="B82" s="10">
        <v>46054</v>
      </c>
      <c r="C82" s="9">
        <v>817632</v>
      </c>
      <c r="D82" s="11" t="s">
        <v>20</v>
      </c>
      <c r="E82" s="57">
        <f t="shared" si="5"/>
        <v>-29.376969669630032</v>
      </c>
      <c r="F82" s="9" t="s">
        <v>49</v>
      </c>
      <c r="G82" s="10">
        <v>46054</v>
      </c>
      <c r="H82" s="9">
        <v>80015</v>
      </c>
      <c r="J82" s="12" t="s">
        <v>52</v>
      </c>
      <c r="K82" s="12" t="s">
        <v>54</v>
      </c>
      <c r="L82" s="13">
        <v>1436.58</v>
      </c>
      <c r="M82" s="14" t="s">
        <v>1</v>
      </c>
      <c r="N82" s="15" t="s">
        <v>156</v>
      </c>
      <c r="O82" s="16">
        <v>2.0449240327465253E-2</v>
      </c>
      <c r="P82" s="13"/>
    </row>
    <row r="83" spans="1:16" x14ac:dyDescent="0.25">
      <c r="A83" s="9" t="str">
        <f t="shared" si="2"/>
        <v>CUSTO DE DROPCOPY BRL - BANCO SANTANDER -  FEVEREIRO 26</v>
      </c>
      <c r="B83" s="10">
        <v>46054</v>
      </c>
      <c r="C83" s="9">
        <v>817632</v>
      </c>
      <c r="D83" s="11" t="s">
        <v>40</v>
      </c>
      <c r="E83" s="57">
        <f t="shared" si="5"/>
        <v>-377.60895280900331</v>
      </c>
      <c r="F83" s="9" t="s">
        <v>49</v>
      </c>
      <c r="G83" s="10">
        <v>46054</v>
      </c>
      <c r="H83" s="9">
        <v>80015</v>
      </c>
      <c r="J83" s="12" t="s">
        <v>52</v>
      </c>
      <c r="K83" s="12" t="s">
        <v>54</v>
      </c>
      <c r="L83" s="13">
        <v>1436.58</v>
      </c>
      <c r="M83" s="14" t="s">
        <v>1</v>
      </c>
      <c r="N83" s="15" t="s">
        <v>156</v>
      </c>
      <c r="O83" s="16">
        <v>0.26285271464798571</v>
      </c>
      <c r="P83" s="13"/>
    </row>
    <row r="84" spans="1:16" x14ac:dyDescent="0.25">
      <c r="A84" s="9" t="str">
        <f t="shared" si="2"/>
        <v>CUSTO DE DROPCOPY BRL - BANCO SANTANDER -  FEVEREIRO 26</v>
      </c>
      <c r="B84" s="10">
        <v>46054</v>
      </c>
      <c r="C84" s="9">
        <v>817632</v>
      </c>
      <c r="D84" s="11" t="s">
        <v>168</v>
      </c>
      <c r="E84" s="57">
        <f t="shared" si="5"/>
        <v>-109.19179204062101</v>
      </c>
      <c r="F84" s="9" t="s">
        <v>49</v>
      </c>
      <c r="G84" s="10">
        <v>46054</v>
      </c>
      <c r="H84" s="9">
        <v>80015</v>
      </c>
      <c r="J84" s="12" t="s">
        <v>52</v>
      </c>
      <c r="K84" s="12" t="s">
        <v>54</v>
      </c>
      <c r="L84" s="13">
        <v>1436.58</v>
      </c>
      <c r="M84" s="14" t="s">
        <v>1</v>
      </c>
      <c r="N84" s="15" t="s">
        <v>156</v>
      </c>
      <c r="O84" s="16">
        <v>7.6008152724262493E-2</v>
      </c>
      <c r="P84" s="13"/>
    </row>
    <row r="85" spans="1:16" x14ac:dyDescent="0.25">
      <c r="A85" s="9" t="str">
        <f t="shared" si="2"/>
        <v>CUSTO DE DROPCOPY BRL - BANCO SANTANDER -  FEVEREIRO 26</v>
      </c>
      <c r="B85" s="10">
        <v>46054</v>
      </c>
      <c r="C85" s="9">
        <v>817632</v>
      </c>
      <c r="D85" s="11" t="s">
        <v>120</v>
      </c>
      <c r="E85" s="57">
        <f t="shared" si="5"/>
        <v>-47.624025304358142</v>
      </c>
      <c r="F85" s="9" t="s">
        <v>49</v>
      </c>
      <c r="G85" s="10">
        <v>46054</v>
      </c>
      <c r="H85" s="9">
        <v>80015</v>
      </c>
      <c r="J85" s="12" t="s">
        <v>52</v>
      </c>
      <c r="K85" s="12" t="s">
        <v>54</v>
      </c>
      <c r="L85" s="13">
        <v>1436.58</v>
      </c>
      <c r="M85" s="14" t="s">
        <v>1</v>
      </c>
      <c r="N85" s="15" t="s">
        <v>156</v>
      </c>
      <c r="O85" s="16">
        <v>3.3150973356414641E-2</v>
      </c>
      <c r="P85" s="13"/>
    </row>
    <row r="86" spans="1:16" x14ac:dyDescent="0.25">
      <c r="A86" s="9" t="str">
        <f t="shared" si="2"/>
        <v>CUSTO DE DROPCOPY BRL - BANCO SANTANDER -  FEVEREIRO 26</v>
      </c>
      <c r="B86" s="10">
        <v>46054</v>
      </c>
      <c r="C86" s="9">
        <v>817632</v>
      </c>
      <c r="D86" s="11" t="s">
        <v>41</v>
      </c>
      <c r="E86" s="57">
        <f t="shared" si="5"/>
        <v>-47.624025304358142</v>
      </c>
      <c r="F86" s="9" t="s">
        <v>49</v>
      </c>
      <c r="G86" s="10">
        <v>46054</v>
      </c>
      <c r="H86" s="9">
        <v>80015</v>
      </c>
      <c r="J86" s="12" t="s">
        <v>52</v>
      </c>
      <c r="K86" s="12" t="s">
        <v>54</v>
      </c>
      <c r="L86" s="13">
        <v>1436.58</v>
      </c>
      <c r="M86" s="14" t="s">
        <v>1</v>
      </c>
      <c r="N86" s="15" t="s">
        <v>156</v>
      </c>
      <c r="O86" s="16">
        <v>3.3150973356414641E-2</v>
      </c>
      <c r="P86" s="13"/>
    </row>
    <row r="87" spans="1:16" x14ac:dyDescent="0.25">
      <c r="A87" s="9" t="str">
        <f t="shared" si="2"/>
        <v>CUSTO DE DROPCOPY BRL - BANCO SANTANDER -  FEVEREIRO 26</v>
      </c>
      <c r="B87" s="10">
        <v>46054</v>
      </c>
      <c r="C87" s="9">
        <v>817632</v>
      </c>
      <c r="D87" s="11" t="s">
        <v>105</v>
      </c>
      <c r="E87" s="57">
        <f t="shared" si="5"/>
        <v>-82.77780601566181</v>
      </c>
      <c r="F87" s="9" t="s">
        <v>49</v>
      </c>
      <c r="G87" s="10">
        <v>46054</v>
      </c>
      <c r="H87" s="9">
        <v>80015</v>
      </c>
      <c r="J87" s="12" t="s">
        <v>52</v>
      </c>
      <c r="K87" s="12" t="s">
        <v>54</v>
      </c>
      <c r="L87" s="13">
        <v>1436.58</v>
      </c>
      <c r="M87" s="14" t="s">
        <v>1</v>
      </c>
      <c r="N87" s="15" t="s">
        <v>156</v>
      </c>
      <c r="O87" s="16">
        <v>5.7621438427140716E-2</v>
      </c>
      <c r="P87" s="13"/>
    </row>
    <row r="88" spans="1:16" x14ac:dyDescent="0.25">
      <c r="A88" s="9" t="str">
        <f t="shared" si="2"/>
        <v>CUSTO DE DROPCOPY BRL - BANCO SANTANDER -  FEVEREIRO 26</v>
      </c>
      <c r="B88" s="10">
        <v>46054</v>
      </c>
      <c r="C88" s="9">
        <v>817632</v>
      </c>
      <c r="D88" s="11" t="s">
        <v>169</v>
      </c>
      <c r="E88" s="57">
        <f t="shared" si="5"/>
        <v>-9.784681138539284</v>
      </c>
      <c r="F88" s="9" t="s">
        <v>49</v>
      </c>
      <c r="G88" s="10">
        <v>46054</v>
      </c>
      <c r="H88" s="9">
        <v>80015</v>
      </c>
      <c r="J88" s="12" t="s">
        <v>52</v>
      </c>
      <c r="K88" s="12" t="s">
        <v>54</v>
      </c>
      <c r="L88" s="13">
        <v>1436.58</v>
      </c>
      <c r="M88" s="14" t="s">
        <v>1</v>
      </c>
      <c r="N88" s="15" t="s">
        <v>156</v>
      </c>
      <c r="O88" s="16">
        <v>6.8110938051060745E-3</v>
      </c>
      <c r="P88" s="13"/>
    </row>
    <row r="89" spans="1:16" x14ac:dyDescent="0.25">
      <c r="A89" s="45" t="str">
        <f t="shared" si="2"/>
        <v>CUSTO DE DROPCOPY BRL - GOLDMAN SACHS -  FEVEREIRO 26</v>
      </c>
      <c r="B89" s="46">
        <v>46054</v>
      </c>
      <c r="C89" s="45">
        <v>817632</v>
      </c>
      <c r="D89" s="47" t="s">
        <v>2</v>
      </c>
      <c r="E89" s="56">
        <f t="shared" si="5"/>
        <v>-361.92840722802748</v>
      </c>
      <c r="F89" s="45" t="s">
        <v>49</v>
      </c>
      <c r="G89" s="46">
        <v>46054</v>
      </c>
      <c r="H89" s="45">
        <v>27645</v>
      </c>
      <c r="J89" s="48" t="s">
        <v>52</v>
      </c>
      <c r="K89" s="48" t="s">
        <v>55</v>
      </c>
      <c r="L89" s="49">
        <v>718.29</v>
      </c>
      <c r="M89" s="50" t="s">
        <v>1</v>
      </c>
      <c r="N89" s="51" t="s">
        <v>156</v>
      </c>
      <c r="O89" s="52">
        <v>0.50387504660795435</v>
      </c>
      <c r="P89" s="49"/>
    </row>
    <row r="90" spans="1:16" x14ac:dyDescent="0.25">
      <c r="A90" s="9" t="str">
        <f t="shared" si="2"/>
        <v>CUSTO DE DROPCOPY BRL - GOLDMAN SACHS -  FEVEREIRO 26</v>
      </c>
      <c r="B90" s="10">
        <v>46054</v>
      </c>
      <c r="C90" s="9">
        <v>817632</v>
      </c>
      <c r="D90" s="11" t="s">
        <v>44</v>
      </c>
      <c r="E90" s="57">
        <f t="shared" si="5"/>
        <v>-71.486083154945646</v>
      </c>
      <c r="F90" s="9" t="s">
        <v>49</v>
      </c>
      <c r="G90" s="10">
        <v>46054</v>
      </c>
      <c r="H90" s="9">
        <v>27645</v>
      </c>
      <c r="J90" s="12" t="s">
        <v>52</v>
      </c>
      <c r="K90" s="12" t="s">
        <v>55</v>
      </c>
      <c r="L90" s="13">
        <v>718.29</v>
      </c>
      <c r="M90" s="14" t="s">
        <v>1</v>
      </c>
      <c r="N90" s="15" t="s">
        <v>156</v>
      </c>
      <c r="O90" s="16">
        <v>9.9522592761900688E-2</v>
      </c>
      <c r="P90" s="13"/>
    </row>
    <row r="91" spans="1:16" x14ac:dyDescent="0.25">
      <c r="A91" s="9" t="str">
        <f t="shared" si="2"/>
        <v>CUSTO DE DROPCOPY BRL - GOLDMAN SACHS -  FEVEREIRO 26</v>
      </c>
      <c r="B91" s="10">
        <v>46054</v>
      </c>
      <c r="C91" s="9">
        <v>817632</v>
      </c>
      <c r="D91" s="11" t="s">
        <v>103</v>
      </c>
      <c r="E91" s="57">
        <f t="shared" si="5"/>
        <v>-28.869089956558717</v>
      </c>
      <c r="F91" s="9" t="s">
        <v>49</v>
      </c>
      <c r="G91" s="10">
        <v>46054</v>
      </c>
      <c r="H91" s="9">
        <v>27645</v>
      </c>
      <c r="J91" s="12" t="s">
        <v>52</v>
      </c>
      <c r="K91" s="12" t="s">
        <v>55</v>
      </c>
      <c r="L91" s="13">
        <v>718.29</v>
      </c>
      <c r="M91" s="14" t="s">
        <v>1</v>
      </c>
      <c r="N91" s="15" t="s">
        <v>156</v>
      </c>
      <c r="O91" s="16">
        <v>4.019141287858486E-2</v>
      </c>
      <c r="P91" s="13"/>
    </row>
    <row r="92" spans="1:16" x14ac:dyDescent="0.25">
      <c r="A92" s="9" t="str">
        <f t="shared" si="2"/>
        <v>CUSTO DE DROPCOPY BRL - GOLDMAN SACHS -  FEVEREIRO 26</v>
      </c>
      <c r="B92" s="10">
        <v>46054</v>
      </c>
      <c r="C92" s="9">
        <v>817632</v>
      </c>
      <c r="D92" s="11" t="s">
        <v>99</v>
      </c>
      <c r="E92" s="57">
        <f t="shared" si="5"/>
        <v>-17.768756294322522</v>
      </c>
      <c r="F92" s="9" t="s">
        <v>49</v>
      </c>
      <c r="G92" s="10">
        <v>46054</v>
      </c>
      <c r="H92" s="9">
        <v>27645</v>
      </c>
      <c r="J92" s="12" t="s">
        <v>52</v>
      </c>
      <c r="K92" s="12" t="s">
        <v>55</v>
      </c>
      <c r="L92" s="13">
        <v>718.29</v>
      </c>
      <c r="M92" s="14" t="s">
        <v>1</v>
      </c>
      <c r="N92" s="15" t="s">
        <v>156</v>
      </c>
      <c r="O92" s="16">
        <v>2.473757993891398E-2</v>
      </c>
      <c r="P92" s="13"/>
    </row>
    <row r="93" spans="1:16" x14ac:dyDescent="0.25">
      <c r="A93" s="9" t="str">
        <f t="shared" si="2"/>
        <v>CUSTO DE DROPCOPY BRL - GOLDMAN SACHS -  FEVEREIRO 26</v>
      </c>
      <c r="B93" s="10">
        <v>46054</v>
      </c>
      <c r="C93" s="9">
        <v>817632</v>
      </c>
      <c r="D93" s="11" t="s">
        <v>11</v>
      </c>
      <c r="E93" s="57">
        <f t="shared" si="5"/>
        <v>-129.94577491588069</v>
      </c>
      <c r="F93" s="9" t="s">
        <v>49</v>
      </c>
      <c r="G93" s="10">
        <v>46054</v>
      </c>
      <c r="H93" s="9">
        <v>27645</v>
      </c>
      <c r="J93" s="12" t="s">
        <v>52</v>
      </c>
      <c r="K93" s="12" t="s">
        <v>55</v>
      </c>
      <c r="L93" s="13">
        <v>718.29</v>
      </c>
      <c r="M93" s="14" t="s">
        <v>1</v>
      </c>
      <c r="N93" s="15" t="s">
        <v>156</v>
      </c>
      <c r="O93" s="16">
        <v>0.1809099039606297</v>
      </c>
      <c r="P93" s="13"/>
    </row>
    <row r="94" spans="1:16" x14ac:dyDescent="0.25">
      <c r="A94" s="9" t="str">
        <f t="shared" si="2"/>
        <v>CUSTO DE DROPCOPY BRL - GOLDMAN SACHS -  FEVEREIRO 26</v>
      </c>
      <c r="B94" s="10">
        <v>46054</v>
      </c>
      <c r="C94" s="9">
        <v>817632</v>
      </c>
      <c r="D94" s="11" t="s">
        <v>129</v>
      </c>
      <c r="E94" s="57">
        <f t="shared" si="5"/>
        <v>-95.410035761307824</v>
      </c>
      <c r="F94" s="9" t="s">
        <v>49</v>
      </c>
      <c r="G94" s="10">
        <v>46054</v>
      </c>
      <c r="H94" s="9">
        <v>27645</v>
      </c>
      <c r="J94" s="12" t="s">
        <v>52</v>
      </c>
      <c r="K94" s="12" t="s">
        <v>55</v>
      </c>
      <c r="L94" s="13">
        <v>718.29</v>
      </c>
      <c r="M94" s="14" t="s">
        <v>1</v>
      </c>
      <c r="N94" s="15" t="s">
        <v>156</v>
      </c>
      <c r="O94" s="16">
        <v>0.13282940840232751</v>
      </c>
      <c r="P94" s="13"/>
    </row>
    <row r="95" spans="1:16" x14ac:dyDescent="0.25">
      <c r="A95" s="9" t="str">
        <f t="shared" si="2"/>
        <v>CUSTO DE DROPCOPY BRL - GOLDMAN SACHS -  FEVEREIRO 26</v>
      </c>
      <c r="B95" s="10">
        <v>46054</v>
      </c>
      <c r="C95" s="9">
        <v>817632</v>
      </c>
      <c r="D95" s="11" t="s">
        <v>91</v>
      </c>
      <c r="E95" s="57">
        <f t="shared" si="5"/>
        <v>-1.0625108048670533</v>
      </c>
      <c r="F95" s="9" t="s">
        <v>49</v>
      </c>
      <c r="G95" s="10">
        <v>46054</v>
      </c>
      <c r="H95" s="9">
        <v>27645</v>
      </c>
      <c r="J95" s="12" t="s">
        <v>52</v>
      </c>
      <c r="K95" s="12" t="s">
        <v>55</v>
      </c>
      <c r="L95" s="13">
        <v>718.29</v>
      </c>
      <c r="M95" s="14" t="s">
        <v>1</v>
      </c>
      <c r="N95" s="15" t="s">
        <v>156</v>
      </c>
      <c r="O95" s="16">
        <v>1.4792226048908567E-3</v>
      </c>
      <c r="P95" s="13"/>
    </row>
    <row r="96" spans="1:16" x14ac:dyDescent="0.25">
      <c r="A96" s="9" t="str">
        <f t="shared" si="2"/>
        <v>CUSTO DE DROPCOPY BRL - GOLDMAN SACHS -  FEVEREIRO 26</v>
      </c>
      <c r="B96" s="10">
        <v>46054</v>
      </c>
      <c r="C96" s="9">
        <v>817632</v>
      </c>
      <c r="D96" s="11" t="s">
        <v>101</v>
      </c>
      <c r="E96" s="57">
        <f t="shared" si="5"/>
        <v>-0.26392213259534469</v>
      </c>
      <c r="F96" s="9" t="s">
        <v>49</v>
      </c>
      <c r="G96" s="10">
        <v>46054</v>
      </c>
      <c r="H96" s="9">
        <v>27645</v>
      </c>
      <c r="J96" s="12" t="s">
        <v>52</v>
      </c>
      <c r="K96" s="12" t="s">
        <v>55</v>
      </c>
      <c r="L96" s="13">
        <v>718.29</v>
      </c>
      <c r="M96" s="14" t="s">
        <v>1</v>
      </c>
      <c r="N96" s="15" t="s">
        <v>156</v>
      </c>
      <c r="O96" s="16">
        <v>3.674311665140051E-4</v>
      </c>
      <c r="P96" s="13"/>
    </row>
    <row r="97" spans="1:16" x14ac:dyDescent="0.25">
      <c r="A97" s="9" t="str">
        <f t="shared" si="2"/>
        <v>CUSTO DE DROPCOPY BRL - GOLDMAN SACHS -  FEVEREIRO 26</v>
      </c>
      <c r="B97" s="10">
        <v>46054</v>
      </c>
      <c r="C97" s="9">
        <v>817632</v>
      </c>
      <c r="D97" s="11" t="s">
        <v>120</v>
      </c>
      <c r="E97" s="57">
        <f t="shared" si="5"/>
        <v>-3.1338511033989271</v>
      </c>
      <c r="F97" s="9" t="s">
        <v>49</v>
      </c>
      <c r="G97" s="10">
        <v>46054</v>
      </c>
      <c r="H97" s="9">
        <v>27645</v>
      </c>
      <c r="J97" s="12" t="s">
        <v>52</v>
      </c>
      <c r="K97" s="12" t="s">
        <v>55</v>
      </c>
      <c r="L97" s="13">
        <v>718.29</v>
      </c>
      <c r="M97" s="14" t="s">
        <v>1</v>
      </c>
      <c r="N97" s="15" t="s">
        <v>156</v>
      </c>
      <c r="O97" s="16">
        <v>4.362932942681824E-3</v>
      </c>
      <c r="P97" s="13"/>
    </row>
    <row r="98" spans="1:16" x14ac:dyDescent="0.25">
      <c r="A98" s="9" t="str">
        <f t="shared" si="2"/>
        <v>CUSTO DE DROPCOPY BRL - GOLDMAN SACHS -  FEVEREIRO 26</v>
      </c>
      <c r="B98" s="10">
        <v>46054</v>
      </c>
      <c r="C98" s="9">
        <v>817632</v>
      </c>
      <c r="D98" s="11" t="s">
        <v>41</v>
      </c>
      <c r="E98" s="57">
        <f t="shared" si="5"/>
        <v>-8.4215686480956915</v>
      </c>
      <c r="F98" s="9" t="s">
        <v>49</v>
      </c>
      <c r="G98" s="10">
        <v>46054</v>
      </c>
      <c r="H98" s="9">
        <v>27645</v>
      </c>
      <c r="J98" s="12" t="s">
        <v>52</v>
      </c>
      <c r="K98" s="12" t="s">
        <v>55</v>
      </c>
      <c r="L98" s="13">
        <v>718.29</v>
      </c>
      <c r="M98" s="14" t="s">
        <v>1</v>
      </c>
      <c r="N98" s="15" t="s">
        <v>156</v>
      </c>
      <c r="O98" s="16">
        <v>1.1724468735602183E-2</v>
      </c>
      <c r="P98" s="13"/>
    </row>
    <row r="99" spans="1:16" x14ac:dyDescent="0.25">
      <c r="A99" s="45" t="str">
        <f t="shared" si="2"/>
        <v>CUSTO DE DROPCOPY BRL - BANCO BTG PACTUAL -  FEVEREIRO 26</v>
      </c>
      <c r="B99" s="46">
        <v>46054</v>
      </c>
      <c r="C99" s="45">
        <v>817632</v>
      </c>
      <c r="D99" s="47" t="s">
        <v>106</v>
      </c>
      <c r="E99" s="56">
        <f t="shared" si="5"/>
        <v>-2.855563924239981E-4</v>
      </c>
      <c r="F99" s="45" t="s">
        <v>49</v>
      </c>
      <c r="G99" s="46">
        <v>46054</v>
      </c>
      <c r="H99" s="45">
        <v>15501</v>
      </c>
      <c r="J99" s="48" t="s">
        <v>52</v>
      </c>
      <c r="K99" s="48" t="s">
        <v>56</v>
      </c>
      <c r="L99" s="49">
        <v>718.29</v>
      </c>
      <c r="M99" s="50" t="s">
        <v>1</v>
      </c>
      <c r="N99" s="51" t="s">
        <v>156</v>
      </c>
      <c r="O99" s="52">
        <v>3.9755028250984716E-7</v>
      </c>
      <c r="P99" s="49"/>
    </row>
    <row r="100" spans="1:16" x14ac:dyDescent="0.25">
      <c r="A100" s="9" t="str">
        <f t="shared" si="2"/>
        <v>CUSTO DE DROPCOPY BRL - BANCO BTG PACTUAL -  FEVEREIRO 26</v>
      </c>
      <c r="B100" s="10">
        <v>46054</v>
      </c>
      <c r="C100" s="9">
        <v>817632</v>
      </c>
      <c r="D100" s="11" t="s">
        <v>2</v>
      </c>
      <c r="E100" s="57">
        <f t="shared" si="5"/>
        <v>-4.6002485827705124</v>
      </c>
      <c r="F100" s="9" t="s">
        <v>49</v>
      </c>
      <c r="G100" s="10">
        <v>46054</v>
      </c>
      <c r="H100" s="9">
        <v>15501</v>
      </c>
      <c r="J100" s="12" t="s">
        <v>52</v>
      </c>
      <c r="K100" s="12" t="s">
        <v>56</v>
      </c>
      <c r="L100" s="13">
        <v>718.29</v>
      </c>
      <c r="M100" s="14" t="s">
        <v>1</v>
      </c>
      <c r="N100" s="15" t="s">
        <v>156</v>
      </c>
      <c r="O100" s="16">
        <v>6.4044446988967031E-3</v>
      </c>
      <c r="P100" s="13"/>
    </row>
    <row r="101" spans="1:16" x14ac:dyDescent="0.25">
      <c r="A101" s="9" t="str">
        <f t="shared" ref="A101:A122" si="10">CONCATENATE(J101,P101,M101,K101,M101,N101)</f>
        <v>CUSTO DE DROPCOPY BRL - BANCO BTG PACTUAL -  FEVEREIRO 26</v>
      </c>
      <c r="B101" s="10">
        <v>46054</v>
      </c>
      <c r="C101" s="9">
        <v>817632</v>
      </c>
      <c r="D101" s="11" t="s">
        <v>98</v>
      </c>
      <c r="E101" s="57">
        <f t="shared" si="5"/>
        <v>-142.48073082002733</v>
      </c>
      <c r="F101" s="9" t="s">
        <v>49</v>
      </c>
      <c r="G101" s="10">
        <v>46054</v>
      </c>
      <c r="H101" s="9">
        <v>15501</v>
      </c>
      <c r="J101" s="12" t="s">
        <v>52</v>
      </c>
      <c r="K101" s="12" t="s">
        <v>56</v>
      </c>
      <c r="L101" s="13">
        <v>718.29</v>
      </c>
      <c r="M101" s="14" t="s">
        <v>1</v>
      </c>
      <c r="N101" s="15" t="s">
        <v>156</v>
      </c>
      <c r="O101" s="16">
        <v>0.1983610113185863</v>
      </c>
      <c r="P101" s="13"/>
    </row>
    <row r="102" spans="1:16" x14ac:dyDescent="0.25">
      <c r="A102" s="9" t="str">
        <f t="shared" si="10"/>
        <v>CUSTO DE DROPCOPY BRL - BANCO BTG PACTUAL -  FEVEREIRO 26</v>
      </c>
      <c r="B102" s="10">
        <v>46054</v>
      </c>
      <c r="C102" s="9">
        <v>817632</v>
      </c>
      <c r="D102" s="11" t="s">
        <v>103</v>
      </c>
      <c r="E102" s="57">
        <f t="shared" si="5"/>
        <v>-5.7914665435212509</v>
      </c>
      <c r="F102" s="9" t="s">
        <v>49</v>
      </c>
      <c r="G102" s="10">
        <v>46054</v>
      </c>
      <c r="H102" s="9">
        <v>15501</v>
      </c>
      <c r="J102" s="12" t="s">
        <v>52</v>
      </c>
      <c r="K102" s="12" t="s">
        <v>56</v>
      </c>
      <c r="L102" s="13">
        <v>718.29</v>
      </c>
      <c r="M102" s="14" t="s">
        <v>1</v>
      </c>
      <c r="N102" s="15" t="s">
        <v>156</v>
      </c>
      <c r="O102" s="16">
        <v>8.062852808087613E-3</v>
      </c>
      <c r="P102" s="13"/>
    </row>
    <row r="103" spans="1:16" x14ac:dyDescent="0.25">
      <c r="A103" s="9" t="str">
        <f t="shared" si="10"/>
        <v>CUSTO DE DROPCOPY BRL - BANCO BTG PACTUAL -  FEVEREIRO 26</v>
      </c>
      <c r="B103" s="10">
        <v>46054</v>
      </c>
      <c r="C103" s="9">
        <v>817632</v>
      </c>
      <c r="D103" s="11" t="s">
        <v>166</v>
      </c>
      <c r="E103" s="57">
        <f t="shared" si="5"/>
        <v>-9.3298185167600423</v>
      </c>
      <c r="F103" s="9" t="s">
        <v>49</v>
      </c>
      <c r="G103" s="10">
        <v>46054</v>
      </c>
      <c r="H103" s="9">
        <v>15501</v>
      </c>
      <c r="J103" s="12" t="s">
        <v>52</v>
      </c>
      <c r="K103" s="12" t="s">
        <v>56</v>
      </c>
      <c r="L103" s="13">
        <v>718.29</v>
      </c>
      <c r="M103" s="14" t="s">
        <v>1</v>
      </c>
      <c r="N103" s="15" t="s">
        <v>156</v>
      </c>
      <c r="O103" s="16">
        <v>1.2988929981985052E-2</v>
      </c>
      <c r="P103" s="13"/>
    </row>
    <row r="104" spans="1:16" x14ac:dyDescent="0.25">
      <c r="A104" s="9" t="str">
        <f t="shared" si="10"/>
        <v>CUSTO DE DROPCOPY BRL - BANCO BTG PACTUAL -  FEVEREIRO 26</v>
      </c>
      <c r="B104" s="10">
        <v>46054</v>
      </c>
      <c r="C104" s="9">
        <v>817632</v>
      </c>
      <c r="D104" s="11" t="s">
        <v>100</v>
      </c>
      <c r="E104" s="57">
        <f t="shared" si="5"/>
        <v>-12.459996831659776</v>
      </c>
      <c r="F104" s="9" t="s">
        <v>49</v>
      </c>
      <c r="G104" s="10">
        <v>46054</v>
      </c>
      <c r="H104" s="9">
        <v>15501</v>
      </c>
      <c r="J104" s="12" t="s">
        <v>52</v>
      </c>
      <c r="K104" s="12" t="s">
        <v>56</v>
      </c>
      <c r="L104" s="13">
        <v>718.29</v>
      </c>
      <c r="M104" s="14" t="s">
        <v>1</v>
      </c>
      <c r="N104" s="15" t="s">
        <v>156</v>
      </c>
      <c r="O104" s="16">
        <v>1.7346749685586291E-2</v>
      </c>
      <c r="P104" s="13"/>
    </row>
    <row r="105" spans="1:16" x14ac:dyDescent="0.25">
      <c r="A105" s="9" t="str">
        <f t="shared" si="10"/>
        <v>CUSTO DE DROPCOPY BRL - BANCO BTG PACTUAL -  FEVEREIRO 26</v>
      </c>
      <c r="B105" s="10">
        <v>46054</v>
      </c>
      <c r="C105" s="9">
        <v>817632</v>
      </c>
      <c r="D105" s="11" t="s">
        <v>11</v>
      </c>
      <c r="E105" s="57">
        <f t="shared" si="5"/>
        <v>-63.553317124319832</v>
      </c>
      <c r="F105" s="9" t="s">
        <v>49</v>
      </c>
      <c r="G105" s="10">
        <v>46054</v>
      </c>
      <c r="H105" s="9">
        <v>15501</v>
      </c>
      <c r="J105" s="12" t="s">
        <v>52</v>
      </c>
      <c r="K105" s="12" t="s">
        <v>56</v>
      </c>
      <c r="L105" s="13">
        <v>718.29</v>
      </c>
      <c r="M105" s="14" t="s">
        <v>1</v>
      </c>
      <c r="N105" s="15" t="s">
        <v>156</v>
      </c>
      <c r="O105" s="16">
        <v>8.8478632758801926E-2</v>
      </c>
      <c r="P105" s="13"/>
    </row>
    <row r="106" spans="1:16" x14ac:dyDescent="0.25">
      <c r="A106" s="9" t="str">
        <f t="shared" si="10"/>
        <v>CUSTO DE DROPCOPY BRL - BANCO BTG PACTUAL -  FEVEREIRO 26</v>
      </c>
      <c r="B106" s="10">
        <v>46054</v>
      </c>
      <c r="C106" s="9">
        <v>817632</v>
      </c>
      <c r="D106" s="11" t="s">
        <v>129</v>
      </c>
      <c r="E106" s="57">
        <f t="shared" si="5"/>
        <v>-8.5371431760220702</v>
      </c>
      <c r="F106" s="9" t="s">
        <v>49</v>
      </c>
      <c r="G106" s="10">
        <v>46054</v>
      </c>
      <c r="H106" s="9">
        <v>15501</v>
      </c>
      <c r="J106" s="12" t="s">
        <v>52</v>
      </c>
      <c r="K106" s="12" t="s">
        <v>56</v>
      </c>
      <c r="L106" s="13">
        <v>718.29</v>
      </c>
      <c r="M106" s="14" t="s">
        <v>1</v>
      </c>
      <c r="N106" s="15" t="s">
        <v>156</v>
      </c>
      <c r="O106" s="16">
        <v>1.188537105628934E-2</v>
      </c>
      <c r="P106" s="13"/>
    </row>
    <row r="107" spans="1:16" x14ac:dyDescent="0.25">
      <c r="A107" s="9" t="str">
        <f t="shared" si="10"/>
        <v>CUSTO DE DROPCOPY BRL - BANCO BTG PACTUAL -  FEVEREIRO 26</v>
      </c>
      <c r="B107" s="10">
        <v>46054</v>
      </c>
      <c r="C107" s="9">
        <v>817632</v>
      </c>
      <c r="D107" s="11" t="s">
        <v>122</v>
      </c>
      <c r="E107" s="57">
        <f t="shared" si="5"/>
        <v>-16.061154986436826</v>
      </c>
      <c r="F107" s="9" t="s">
        <v>49</v>
      </c>
      <c r="G107" s="10">
        <v>46054</v>
      </c>
      <c r="H107" s="9">
        <v>15501</v>
      </c>
      <c r="J107" s="12" t="s">
        <v>52</v>
      </c>
      <c r="K107" s="12" t="s">
        <v>56</v>
      </c>
      <c r="L107" s="13">
        <v>718.29</v>
      </c>
      <c r="M107" s="14" t="s">
        <v>1</v>
      </c>
      <c r="N107" s="15" t="s">
        <v>156</v>
      </c>
      <c r="O107" s="16">
        <v>2.2360265333551666E-2</v>
      </c>
      <c r="P107" s="13"/>
    </row>
    <row r="108" spans="1:16" x14ac:dyDescent="0.25">
      <c r="A108" s="9" t="str">
        <f t="shared" si="10"/>
        <v>CUSTO DE DROPCOPY BRL - BANCO BTG PACTUAL -  FEVEREIRO 26</v>
      </c>
      <c r="B108" s="10">
        <v>46054</v>
      </c>
      <c r="C108" s="9">
        <v>817632</v>
      </c>
      <c r="D108" s="11" t="s">
        <v>107</v>
      </c>
      <c r="E108" s="57">
        <f t="shared" si="5"/>
        <v>-60.967545581658449</v>
      </c>
      <c r="F108" s="9" t="s">
        <v>49</v>
      </c>
      <c r="G108" s="10">
        <v>46054</v>
      </c>
      <c r="H108" s="9">
        <v>15501</v>
      </c>
      <c r="J108" s="12" t="s">
        <v>52</v>
      </c>
      <c r="K108" s="12" t="s">
        <v>56</v>
      </c>
      <c r="L108" s="13">
        <v>718.29</v>
      </c>
      <c r="M108" s="14" t="s">
        <v>1</v>
      </c>
      <c r="N108" s="15" t="s">
        <v>156</v>
      </c>
      <c r="O108" s="16">
        <v>8.4878733633572026E-2</v>
      </c>
      <c r="P108" s="13"/>
    </row>
    <row r="109" spans="1:16" x14ac:dyDescent="0.25">
      <c r="A109" s="9" t="str">
        <f t="shared" si="10"/>
        <v>CUSTO DE DROPCOPY BRL - BANCO BTG PACTUAL -  FEVEREIRO 26</v>
      </c>
      <c r="B109" s="10">
        <v>46054</v>
      </c>
      <c r="C109" s="9">
        <v>817632</v>
      </c>
      <c r="D109" s="11" t="s">
        <v>101</v>
      </c>
      <c r="E109" s="57">
        <f t="shared" si="5"/>
        <v>-394.50829228043148</v>
      </c>
      <c r="F109" s="9" t="s">
        <v>49</v>
      </c>
      <c r="G109" s="10">
        <v>46054</v>
      </c>
      <c r="H109" s="9">
        <v>15501</v>
      </c>
      <c r="J109" s="12" t="s">
        <v>52</v>
      </c>
      <c r="K109" s="12" t="s">
        <v>56</v>
      </c>
      <c r="L109" s="13">
        <v>718.29</v>
      </c>
      <c r="M109" s="14" t="s">
        <v>1</v>
      </c>
      <c r="N109" s="15" t="s">
        <v>156</v>
      </c>
      <c r="O109" s="16">
        <v>0.54923261117436062</v>
      </c>
      <c r="P109" s="13"/>
    </row>
    <row r="110" spans="1:16" x14ac:dyDescent="0.25">
      <c r="A110" s="18" t="str">
        <f t="shared" si="10"/>
        <v>CUSTO DE DROPCOPY BRL - LAKESIDE TRADING LLC -  FEVEREIRO 26</v>
      </c>
      <c r="B110" s="19">
        <v>46054</v>
      </c>
      <c r="C110" s="18">
        <v>817632</v>
      </c>
      <c r="D110" s="20" t="s">
        <v>40</v>
      </c>
      <c r="E110" s="55">
        <f t="shared" si="5"/>
        <v>-1292.94</v>
      </c>
      <c r="F110" s="18" t="s">
        <v>49</v>
      </c>
      <c r="G110" s="19">
        <v>46054</v>
      </c>
      <c r="H110" s="18">
        <v>81772</v>
      </c>
      <c r="J110" s="21" t="s">
        <v>52</v>
      </c>
      <c r="K110" s="21" t="s">
        <v>108</v>
      </c>
      <c r="L110" s="63">
        <v>1292.94</v>
      </c>
      <c r="M110" s="23" t="s">
        <v>1</v>
      </c>
      <c r="N110" s="24" t="s">
        <v>156</v>
      </c>
      <c r="O110" s="25">
        <v>1</v>
      </c>
      <c r="P110" s="22"/>
    </row>
    <row r="111" spans="1:16" x14ac:dyDescent="0.25">
      <c r="A111" s="18" t="str">
        <f t="shared" si="10"/>
        <v>CUSTO DE DROPCOPY BRL - LAKESIDE TRADING LLC -  FEVEREIRO 26</v>
      </c>
      <c r="B111" s="19">
        <v>46054</v>
      </c>
      <c r="C111" s="18">
        <v>817632</v>
      </c>
      <c r="D111" s="20" t="s">
        <v>11</v>
      </c>
      <c r="E111" s="55">
        <f t="shared" si="5"/>
        <v>-430.98</v>
      </c>
      <c r="F111" s="18" t="s">
        <v>49</v>
      </c>
      <c r="G111" s="19">
        <v>46054</v>
      </c>
      <c r="H111" s="18">
        <v>81772</v>
      </c>
      <c r="J111" s="21" t="s">
        <v>52</v>
      </c>
      <c r="K111" s="21" t="s">
        <v>108</v>
      </c>
      <c r="L111" s="63">
        <v>430.98</v>
      </c>
      <c r="M111" s="23" t="s">
        <v>1</v>
      </c>
      <c r="N111" s="24" t="s">
        <v>156</v>
      </c>
      <c r="O111" s="25">
        <v>1</v>
      </c>
      <c r="P111" s="22"/>
    </row>
    <row r="112" spans="1:16" x14ac:dyDescent="0.25">
      <c r="A112" s="45" t="str">
        <f t="shared" si="10"/>
        <v>CUSTO DE DROPCOPY BRL - MORGAN STANLEY URUGUAY LTDA - CITIBANK -  FEVEREIRO 26</v>
      </c>
      <c r="B112" s="46">
        <v>46054</v>
      </c>
      <c r="C112" s="45">
        <v>817632</v>
      </c>
      <c r="D112" s="47" t="s">
        <v>20</v>
      </c>
      <c r="E112" s="56">
        <f t="shared" si="5"/>
        <v>-430.97399999999993</v>
      </c>
      <c r="F112" s="45" t="s">
        <v>49</v>
      </c>
      <c r="G112" s="46">
        <v>46054</v>
      </c>
      <c r="H112" s="45">
        <v>80754</v>
      </c>
      <c r="J112" s="48" t="s">
        <v>52</v>
      </c>
      <c r="K112" s="48" t="s">
        <v>109</v>
      </c>
      <c r="L112" s="62">
        <v>430.97399999999993</v>
      </c>
      <c r="M112" s="50" t="s">
        <v>1</v>
      </c>
      <c r="N112" s="51" t="s">
        <v>156</v>
      </c>
      <c r="O112" s="52">
        <v>1</v>
      </c>
      <c r="P112" s="49"/>
    </row>
    <row r="113" spans="1:17" x14ac:dyDescent="0.25">
      <c r="A113" s="1" t="str">
        <f t="shared" si="10"/>
        <v>CUSTO DE DROPCOPY BRL - MORGAN STANLEY URUGUAY LTDA - CITIBANK -  FEVEREIRO 26</v>
      </c>
      <c r="B113" s="2">
        <v>46054</v>
      </c>
      <c r="C113" s="1">
        <v>817632</v>
      </c>
      <c r="D113" s="3" t="s">
        <v>126</v>
      </c>
      <c r="E113" s="58">
        <f t="shared" si="5"/>
        <v>-287.31599999999997</v>
      </c>
      <c r="F113" s="1" t="s">
        <v>49</v>
      </c>
      <c r="G113" s="2">
        <v>46054</v>
      </c>
      <c r="H113" s="1">
        <v>80754</v>
      </c>
      <c r="J113" s="4" t="s">
        <v>52</v>
      </c>
      <c r="K113" s="4" t="s">
        <v>109</v>
      </c>
      <c r="L113" s="60">
        <v>287.31599999999997</v>
      </c>
      <c r="M113" s="6" t="s">
        <v>1</v>
      </c>
      <c r="N113" s="7" t="s">
        <v>156</v>
      </c>
      <c r="O113" s="8">
        <v>1</v>
      </c>
      <c r="P113" s="5"/>
    </row>
    <row r="114" spans="1:17" x14ac:dyDescent="0.25">
      <c r="A114" s="45" t="str">
        <f t="shared" si="10"/>
        <v>CUSTO DE DROPCOPY BRL - ITAU FACIL -  FEVEREIRO 26</v>
      </c>
      <c r="B114" s="46">
        <v>46054</v>
      </c>
      <c r="C114" s="45">
        <v>817632</v>
      </c>
      <c r="D114" s="47" t="s">
        <v>110</v>
      </c>
      <c r="E114" s="56">
        <f t="shared" si="5"/>
        <v>-432.41499999999996</v>
      </c>
      <c r="F114" s="45" t="s">
        <v>49</v>
      </c>
      <c r="G114" s="46">
        <v>46054</v>
      </c>
      <c r="H114" s="45">
        <v>81200</v>
      </c>
      <c r="J114" s="48" t="s">
        <v>52</v>
      </c>
      <c r="K114" s="48" t="s">
        <v>127</v>
      </c>
      <c r="L114" s="62">
        <v>864.82999999999993</v>
      </c>
      <c r="M114" s="50" t="s">
        <v>1</v>
      </c>
      <c r="N114" s="51" t="s">
        <v>156</v>
      </c>
      <c r="O114" s="16">
        <v>0.5</v>
      </c>
      <c r="P114" s="49"/>
    </row>
    <row r="115" spans="1:17" x14ac:dyDescent="0.25">
      <c r="A115" s="1" t="str">
        <f t="shared" si="10"/>
        <v>CUSTO DE DROPCOPY BRL - ITAU FACIL -  FEVEREIRO 26</v>
      </c>
      <c r="B115" s="2">
        <v>46054</v>
      </c>
      <c r="C115" s="1">
        <v>817632</v>
      </c>
      <c r="D115" s="3" t="s">
        <v>2</v>
      </c>
      <c r="E115" s="58">
        <f t="shared" si="5"/>
        <v>-432.41499999999996</v>
      </c>
      <c r="F115" s="1" t="s">
        <v>49</v>
      </c>
      <c r="G115" s="2">
        <v>46054</v>
      </c>
      <c r="H115" s="1">
        <v>81200</v>
      </c>
      <c r="J115" s="4" t="s">
        <v>52</v>
      </c>
      <c r="K115" s="4" t="s">
        <v>127</v>
      </c>
      <c r="L115" s="60">
        <v>864.82999999999993</v>
      </c>
      <c r="M115" s="6" t="s">
        <v>1</v>
      </c>
      <c r="N115" s="7" t="s">
        <v>156</v>
      </c>
      <c r="O115" s="8">
        <v>0.5</v>
      </c>
      <c r="P115" s="5"/>
    </row>
    <row r="116" spans="1:17" x14ac:dyDescent="0.25">
      <c r="A116" s="1" t="str">
        <f t="shared" si="10"/>
        <v>CUSTO DE DROPCOPY BRL - ITAU CV S/A -  FEVEREIRO 26</v>
      </c>
      <c r="B116" s="2">
        <v>46054</v>
      </c>
      <c r="C116" s="1">
        <v>817632</v>
      </c>
      <c r="D116" s="3" t="s">
        <v>2</v>
      </c>
      <c r="E116" s="58">
        <f t="shared" si="5"/>
        <v>-1729.6599999999999</v>
      </c>
      <c r="F116" s="1" t="s">
        <v>49</v>
      </c>
      <c r="G116" s="2">
        <v>46054</v>
      </c>
      <c r="H116" s="1">
        <v>81200</v>
      </c>
      <c r="J116" s="4" t="s">
        <v>52</v>
      </c>
      <c r="K116" s="4" t="s">
        <v>111</v>
      </c>
      <c r="L116" s="60">
        <v>1729.6599999999999</v>
      </c>
      <c r="M116" s="6" t="s">
        <v>1</v>
      </c>
      <c r="N116" s="7" t="s">
        <v>156</v>
      </c>
      <c r="O116" s="8">
        <v>1</v>
      </c>
      <c r="P116" s="5"/>
    </row>
    <row r="117" spans="1:17" x14ac:dyDescent="0.25">
      <c r="A117" s="9" t="str">
        <f t="shared" si="10"/>
        <v>CUSTO DE DROPCOPY BRL - CREDIT SUISSE (BRASIL) -  FEVEREIRO 26</v>
      </c>
      <c r="B117" s="10">
        <v>46054</v>
      </c>
      <c r="C117" s="9">
        <v>817632</v>
      </c>
      <c r="D117" s="11" t="s">
        <v>98</v>
      </c>
      <c r="E117" s="57">
        <f t="shared" si="5"/>
        <v>-45.517368421052623</v>
      </c>
      <c r="F117" s="9" t="s">
        <v>49</v>
      </c>
      <c r="G117" s="10">
        <v>46054</v>
      </c>
      <c r="H117" s="9">
        <v>79978</v>
      </c>
      <c r="J117" s="12" t="s">
        <v>52</v>
      </c>
      <c r="K117" s="12" t="s">
        <v>112</v>
      </c>
      <c r="L117" s="61">
        <v>45.517368421052623</v>
      </c>
      <c r="M117" s="14" t="s">
        <v>1</v>
      </c>
      <c r="N117" s="15" t="s">
        <v>156</v>
      </c>
      <c r="O117" s="16">
        <v>1</v>
      </c>
      <c r="P117" s="13"/>
    </row>
    <row r="118" spans="1:17" x14ac:dyDescent="0.25">
      <c r="A118" s="9" t="str">
        <f t="shared" si="10"/>
        <v>CUSTO DE DROPCOPY BRL - CREDIT SUISSE (BRASIL) -  FEVEREIRO 26</v>
      </c>
      <c r="B118" s="10">
        <v>46054</v>
      </c>
      <c r="C118" s="9">
        <v>817632</v>
      </c>
      <c r="D118" s="11" t="s">
        <v>40</v>
      </c>
      <c r="E118" s="57">
        <f t="shared" si="5"/>
        <v>-728.27789473684231</v>
      </c>
      <c r="F118" s="9" t="s">
        <v>49</v>
      </c>
      <c r="G118" s="10">
        <v>46054</v>
      </c>
      <c r="H118" s="9">
        <v>79978</v>
      </c>
      <c r="J118" s="12" t="s">
        <v>52</v>
      </c>
      <c r="K118" s="12" t="s">
        <v>112</v>
      </c>
      <c r="L118" s="61">
        <v>728.27789473684231</v>
      </c>
      <c r="M118" s="14" t="s">
        <v>1</v>
      </c>
      <c r="N118" s="15" t="s">
        <v>156</v>
      </c>
      <c r="O118" s="16">
        <v>1</v>
      </c>
      <c r="P118" s="13"/>
    </row>
    <row r="119" spans="1:17" x14ac:dyDescent="0.25">
      <c r="A119" s="9" t="str">
        <f t="shared" si="10"/>
        <v>CUSTO DE DROPCOPY BRL - CREDIT SUISSE (BRASIL) -  FEVEREIRO 26</v>
      </c>
      <c r="B119" s="10">
        <v>46054</v>
      </c>
      <c r="C119" s="9">
        <v>817632</v>
      </c>
      <c r="D119" s="11" t="s">
        <v>41</v>
      </c>
      <c r="E119" s="57">
        <f t="shared" si="5"/>
        <v>-91.034736842105247</v>
      </c>
      <c r="F119" s="9" t="s">
        <v>49</v>
      </c>
      <c r="G119" s="10">
        <v>46054</v>
      </c>
      <c r="H119" s="9">
        <v>79978</v>
      </c>
      <c r="J119" s="12" t="s">
        <v>52</v>
      </c>
      <c r="K119" s="12" t="s">
        <v>112</v>
      </c>
      <c r="L119" s="61">
        <v>91.034736842105247</v>
      </c>
      <c r="M119" s="14" t="s">
        <v>1</v>
      </c>
      <c r="N119" s="15" t="s">
        <v>156</v>
      </c>
      <c r="O119" s="16">
        <v>1</v>
      </c>
      <c r="P119" s="13"/>
    </row>
    <row r="120" spans="1:17" x14ac:dyDescent="0.25">
      <c r="A120" s="18" t="str">
        <f t="shared" si="10"/>
        <v>CUSTO DE DROPCOPY BRL - KAPITALO INVESTIMENTOS LTDA -  FEVEREIRO 26</v>
      </c>
      <c r="B120" s="19">
        <v>46054</v>
      </c>
      <c r="C120" s="18">
        <v>817632</v>
      </c>
      <c r="D120" s="20" t="s">
        <v>2</v>
      </c>
      <c r="E120" s="55">
        <f t="shared" si="5"/>
        <v>-1729.6599999999999</v>
      </c>
      <c r="F120" s="18" t="s">
        <v>49</v>
      </c>
      <c r="G120" s="19">
        <v>46054</v>
      </c>
      <c r="H120" s="18">
        <v>80392</v>
      </c>
      <c r="J120" s="21" t="s">
        <v>52</v>
      </c>
      <c r="K120" s="21" t="s">
        <v>113</v>
      </c>
      <c r="L120" s="63">
        <v>1729.6599999999999</v>
      </c>
      <c r="M120" s="23" t="s">
        <v>1</v>
      </c>
      <c r="N120" s="24" t="s">
        <v>156</v>
      </c>
      <c r="O120" s="25">
        <v>1</v>
      </c>
      <c r="P120" s="22"/>
    </row>
    <row r="121" spans="1:17" x14ac:dyDescent="0.25">
      <c r="A121" s="18" t="str">
        <f t="shared" si="10"/>
        <v>CUSTO DE DROPCOPY BRL - VINLAND CAPITAL -  FEVEREIRO 26</v>
      </c>
      <c r="B121" s="19">
        <v>46054</v>
      </c>
      <c r="C121" s="18">
        <v>817632</v>
      </c>
      <c r="D121" s="20" t="s">
        <v>95</v>
      </c>
      <c r="E121" s="55">
        <f t="shared" si="5"/>
        <v>-718.29</v>
      </c>
      <c r="F121" s="18" t="s">
        <v>49</v>
      </c>
      <c r="G121" s="19">
        <v>46054</v>
      </c>
      <c r="H121" s="18">
        <v>80359</v>
      </c>
      <c r="J121" s="21" t="s">
        <v>52</v>
      </c>
      <c r="K121" s="21" t="s">
        <v>121</v>
      </c>
      <c r="L121" s="63">
        <v>718.29</v>
      </c>
      <c r="M121" s="23" t="s">
        <v>1</v>
      </c>
      <c r="N121" s="24" t="s">
        <v>156</v>
      </c>
      <c r="O121" s="25">
        <v>1</v>
      </c>
      <c r="P121" s="22"/>
    </row>
    <row r="122" spans="1:17" x14ac:dyDescent="0.25">
      <c r="A122" s="18" t="str">
        <f t="shared" si="10"/>
        <v>CUSTO DE DROPCOPY BRL - AGUILA CAPITAL ADM -  FEVEREIRO 26</v>
      </c>
      <c r="B122" s="19">
        <v>46054</v>
      </c>
      <c r="C122" s="18">
        <v>817632</v>
      </c>
      <c r="D122" s="20" t="s">
        <v>133</v>
      </c>
      <c r="E122" s="55">
        <f t="shared" si="5"/>
        <v>-146.54</v>
      </c>
      <c r="F122" s="18" t="s">
        <v>49</v>
      </c>
      <c r="G122" s="19">
        <v>46054</v>
      </c>
      <c r="H122" s="18">
        <v>12397</v>
      </c>
      <c r="J122" s="21" t="s">
        <v>52</v>
      </c>
      <c r="K122" s="21" t="s">
        <v>134</v>
      </c>
      <c r="L122" s="63">
        <v>146.54</v>
      </c>
      <c r="M122" s="6" t="s">
        <v>1</v>
      </c>
      <c r="N122" s="7" t="s">
        <v>156</v>
      </c>
      <c r="O122" s="25">
        <v>1</v>
      </c>
      <c r="P122" s="67"/>
      <c r="Q122" s="17" t="s">
        <v>135</v>
      </c>
    </row>
  </sheetData>
  <autoFilter ref="A1:P122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3EBC-6DA2-4B0A-BAEB-419685473596}">
  <sheetPr codeName="Sheet5"/>
  <dimension ref="A1:Q121"/>
  <sheetViews>
    <sheetView zoomScaleNormal="100" workbookViewId="0">
      <selection activeCell="G2" sqref="G2:G121"/>
    </sheetView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10.1406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35" si="0">CONCATENATE(J2,P2,M2,K2,M2,Q2,M2,N2)</f>
        <v>CUSTO DE DROPCOPY USD - BANCO SANTANDER S.A (HISPANO) - ROGERIO ENDO -  MARÇO 26</v>
      </c>
      <c r="B2" s="10">
        <v>46082</v>
      </c>
      <c r="C2" s="9">
        <v>817632</v>
      </c>
      <c r="D2" s="11" t="s">
        <v>40</v>
      </c>
      <c r="E2" s="57">
        <f>-L2*O2</f>
        <v>-473.55268239999998</v>
      </c>
      <c r="F2" s="9" t="s">
        <v>12</v>
      </c>
      <c r="G2" s="10">
        <v>46082</v>
      </c>
      <c r="H2" s="9">
        <v>80195</v>
      </c>
      <c r="J2" s="12" t="s">
        <v>36</v>
      </c>
      <c r="K2" s="12" t="s">
        <v>39</v>
      </c>
      <c r="L2" s="59">
        <v>473.55268239999998</v>
      </c>
      <c r="M2" s="14" t="s">
        <v>1</v>
      </c>
      <c r="N2" s="15" t="s">
        <v>157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 MARÇO 26</v>
      </c>
      <c r="B3" s="10">
        <v>46082</v>
      </c>
      <c r="C3" s="9">
        <v>817632</v>
      </c>
      <c r="D3" s="11" t="s">
        <v>40</v>
      </c>
      <c r="E3" s="57">
        <f t="shared" ref="E3:E68" si="1">-L3*O3</f>
        <v>-473.55268239999998</v>
      </c>
      <c r="F3" s="9" t="s">
        <v>12</v>
      </c>
      <c r="G3" s="10">
        <v>46082</v>
      </c>
      <c r="H3" s="9">
        <v>80015</v>
      </c>
      <c r="J3" s="12" t="s">
        <v>36</v>
      </c>
      <c r="K3" s="12" t="s">
        <v>13</v>
      </c>
      <c r="L3" s="59">
        <v>473.55268239999998</v>
      </c>
      <c r="M3" s="14" t="s">
        <v>1</v>
      </c>
      <c r="N3" s="15" t="s">
        <v>157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(729) -  MARÇO 26</v>
      </c>
      <c r="B4" s="10">
        <v>46082</v>
      </c>
      <c r="C4" s="9">
        <v>817632</v>
      </c>
      <c r="D4" s="11" t="s">
        <v>15</v>
      </c>
      <c r="E4" s="57">
        <f t="shared" si="1"/>
        <v>-473.55268239999998</v>
      </c>
      <c r="F4" s="9" t="s">
        <v>12</v>
      </c>
      <c r="G4" s="10">
        <v>46082</v>
      </c>
      <c r="H4" s="9">
        <v>14479</v>
      </c>
      <c r="J4" s="12" t="s">
        <v>36</v>
      </c>
      <c r="K4" s="12" t="s">
        <v>13</v>
      </c>
      <c r="L4" s="59">
        <v>473.55268239999998</v>
      </c>
      <c r="M4" s="14" t="s">
        <v>1</v>
      </c>
      <c r="N4" s="15" t="s">
        <v>157</v>
      </c>
      <c r="O4" s="16">
        <v>1</v>
      </c>
      <c r="P4" s="13"/>
      <c r="Q4" s="17" t="s">
        <v>50</v>
      </c>
    </row>
    <row r="5" spans="1:17" x14ac:dyDescent="0.25">
      <c r="A5" s="9" t="str">
        <f t="shared" si="0"/>
        <v>CUSTO DE DROPCOPY USD - BANCO SANTANDER S.A (HISPANO) - RODRIGO FERNANDEZ -  MARÇO 26</v>
      </c>
      <c r="B5" s="10">
        <v>46082</v>
      </c>
      <c r="C5" s="9">
        <v>817632</v>
      </c>
      <c r="D5" s="11" t="s">
        <v>15</v>
      </c>
      <c r="E5" s="57">
        <f t="shared" si="1"/>
        <v>-473.55268239999998</v>
      </c>
      <c r="F5" s="9" t="s">
        <v>12</v>
      </c>
      <c r="G5" s="10">
        <v>46082</v>
      </c>
      <c r="H5" s="9">
        <v>80195</v>
      </c>
      <c r="J5" s="12" t="s">
        <v>36</v>
      </c>
      <c r="K5" s="12" t="s">
        <v>39</v>
      </c>
      <c r="L5" s="59">
        <v>473.55268239999998</v>
      </c>
      <c r="M5" s="14" t="s">
        <v>1</v>
      </c>
      <c r="N5" s="15" t="s">
        <v>157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(833) -  MARÇO 26</v>
      </c>
      <c r="B6" s="10">
        <v>46082</v>
      </c>
      <c r="C6" s="9">
        <v>817632</v>
      </c>
      <c r="D6" s="11" t="s">
        <v>11</v>
      </c>
      <c r="E6" s="57">
        <f t="shared" si="1"/>
        <v>-473.55268239999998</v>
      </c>
      <c r="F6" s="9" t="s">
        <v>12</v>
      </c>
      <c r="G6" s="10">
        <v>46082</v>
      </c>
      <c r="H6" s="9">
        <v>14479</v>
      </c>
      <c r="J6" s="12" t="s">
        <v>36</v>
      </c>
      <c r="K6" s="12" t="s">
        <v>13</v>
      </c>
      <c r="L6" s="59">
        <v>473.55268239999998</v>
      </c>
      <c r="M6" s="14" t="s">
        <v>1</v>
      </c>
      <c r="N6" s="15" t="s">
        <v>157</v>
      </c>
      <c r="O6" s="16">
        <v>1</v>
      </c>
      <c r="P6" s="13"/>
      <c r="Q6" s="17" t="s">
        <v>89</v>
      </c>
    </row>
    <row r="7" spans="1:17" x14ac:dyDescent="0.25">
      <c r="A7" s="1" t="str">
        <f t="shared" si="0"/>
        <v>CUSTO DE DROPCOPY USD - BANCO SANTANDER (BRASIL) S/A - ALESSANDRO EZEQUIEL -  MARÇO 26</v>
      </c>
      <c r="B7" s="2">
        <v>46082</v>
      </c>
      <c r="C7" s="1">
        <v>817632</v>
      </c>
      <c r="D7" s="3" t="s">
        <v>105</v>
      </c>
      <c r="E7" s="58">
        <f t="shared" si="1"/>
        <v>-473.55268239999998</v>
      </c>
      <c r="F7" s="1" t="s">
        <v>12</v>
      </c>
      <c r="G7" s="2">
        <v>46082</v>
      </c>
      <c r="H7" s="1">
        <v>14479</v>
      </c>
      <c r="J7" s="4" t="s">
        <v>36</v>
      </c>
      <c r="K7" s="4" t="s">
        <v>13</v>
      </c>
      <c r="L7" s="60">
        <v>473.55268239999998</v>
      </c>
      <c r="M7" s="6" t="s">
        <v>1</v>
      </c>
      <c r="N7" s="7" t="s">
        <v>157</v>
      </c>
      <c r="O7" s="8">
        <v>1</v>
      </c>
      <c r="P7" s="5"/>
      <c r="Q7" s="64" t="s">
        <v>125</v>
      </c>
    </row>
    <row r="8" spans="1:17" x14ac:dyDescent="0.25">
      <c r="A8" s="9" t="str">
        <f t="shared" si="0"/>
        <v>CUSTO DE DROPCOPY USD - HAITONG BANCO  - MATHEUS FERNANDES (632) -  MARÇO 26</v>
      </c>
      <c r="B8" s="10">
        <v>46082</v>
      </c>
      <c r="C8" s="9">
        <v>817632</v>
      </c>
      <c r="D8" s="44" t="s">
        <v>41</v>
      </c>
      <c r="E8" s="57">
        <f t="shared" si="1"/>
        <v>-1420.6580472000001</v>
      </c>
      <c r="F8" s="9" t="s">
        <v>12</v>
      </c>
      <c r="G8" s="10">
        <v>46082</v>
      </c>
      <c r="H8" s="9">
        <v>80041</v>
      </c>
      <c r="J8" s="12" t="s">
        <v>36</v>
      </c>
      <c r="K8" s="12" t="s">
        <v>119</v>
      </c>
      <c r="L8" s="61">
        <v>2841.3160944000001</v>
      </c>
      <c r="M8" s="14" t="s">
        <v>1</v>
      </c>
      <c r="N8" s="15" t="s">
        <v>157</v>
      </c>
      <c r="O8" s="16">
        <v>0.5</v>
      </c>
      <c r="P8" s="13"/>
      <c r="Q8" s="17" t="s">
        <v>92</v>
      </c>
    </row>
    <row r="9" spans="1:17" x14ac:dyDescent="0.25">
      <c r="A9" s="9" t="str">
        <f t="shared" si="0"/>
        <v>CUSTO DE DROPCOPY USD - HAITONG BANCO  - MATHEUS FERNANDES (632) -  MARÇO 26</v>
      </c>
      <c r="B9" s="2">
        <v>46082</v>
      </c>
      <c r="C9" s="1">
        <v>817632</v>
      </c>
      <c r="D9" s="3" t="s">
        <v>15</v>
      </c>
      <c r="E9" s="58">
        <f t="shared" si="1"/>
        <v>-1420.6580472000001</v>
      </c>
      <c r="F9" s="1" t="s">
        <v>12</v>
      </c>
      <c r="G9" s="2">
        <v>46082</v>
      </c>
      <c r="H9" s="1">
        <v>80041</v>
      </c>
      <c r="J9" s="4" t="s">
        <v>36</v>
      </c>
      <c r="K9" s="4" t="s">
        <v>119</v>
      </c>
      <c r="L9" s="60">
        <v>2841.3160944000001</v>
      </c>
      <c r="M9" s="6" t="s">
        <v>1</v>
      </c>
      <c r="N9" s="7" t="s">
        <v>157</v>
      </c>
      <c r="O9" s="8">
        <v>0.5</v>
      </c>
      <c r="P9" s="5"/>
      <c r="Q9" s="64" t="s">
        <v>92</v>
      </c>
    </row>
    <row r="10" spans="1:17" x14ac:dyDescent="0.25">
      <c r="A10" s="18" t="str">
        <f t="shared" si="0"/>
        <v>CUSTO DE DROPCOPY USD - ITAU UNIBANCO S/A - EDUARDO MORGAO -  MARÇO 26</v>
      </c>
      <c r="B10" s="2">
        <v>46082</v>
      </c>
      <c r="C10" s="1">
        <v>817632</v>
      </c>
      <c r="D10" s="3" t="s">
        <v>2</v>
      </c>
      <c r="E10" s="58">
        <f t="shared" si="1"/>
        <v>-2841.3160944000001</v>
      </c>
      <c r="F10" s="1" t="s">
        <v>12</v>
      </c>
      <c r="G10" s="2">
        <v>46082</v>
      </c>
      <c r="H10" s="1">
        <v>79806</v>
      </c>
      <c r="J10" s="4" t="s">
        <v>36</v>
      </c>
      <c r="K10" s="4" t="s">
        <v>42</v>
      </c>
      <c r="L10" s="60">
        <v>2841.3160944000001</v>
      </c>
      <c r="M10" s="6" t="s">
        <v>1</v>
      </c>
      <c r="N10" s="24" t="s">
        <v>157</v>
      </c>
      <c r="O10" s="8">
        <v>1</v>
      </c>
      <c r="P10" s="5"/>
      <c r="Q10" s="65" t="s">
        <v>8</v>
      </c>
    </row>
    <row r="11" spans="1:17" x14ac:dyDescent="0.25">
      <c r="A11" s="9" t="str">
        <f t="shared" si="0"/>
        <v>CUSTO DE DROPCOPY USD - BRAZA BANK S/A BANCO DE CAMBIO - GUSTAVO BEVILACQUA -  MARÇO 26</v>
      </c>
      <c r="B11" s="10">
        <v>46082</v>
      </c>
      <c r="C11" s="9">
        <v>817632</v>
      </c>
      <c r="D11" s="11" t="s">
        <v>20</v>
      </c>
      <c r="E11" s="57">
        <f t="shared" si="1"/>
        <v>-947.10536480000019</v>
      </c>
      <c r="F11" s="9" t="s">
        <v>12</v>
      </c>
      <c r="G11" s="10">
        <v>46082</v>
      </c>
      <c r="H11" s="9">
        <v>80213</v>
      </c>
      <c r="J11" s="12" t="s">
        <v>36</v>
      </c>
      <c r="K11" s="12" t="s">
        <v>51</v>
      </c>
      <c r="L11" s="61">
        <v>947.10536480000019</v>
      </c>
      <c r="M11" s="14" t="s">
        <v>1</v>
      </c>
      <c r="N11" s="15" t="s">
        <v>157</v>
      </c>
      <c r="O11" s="16">
        <v>1</v>
      </c>
      <c r="P11" s="13"/>
      <c r="Q11" s="17" t="s">
        <v>131</v>
      </c>
    </row>
    <row r="12" spans="1:17" x14ac:dyDescent="0.25">
      <c r="A12" s="9" t="str">
        <f t="shared" si="0"/>
        <v>CUSTO DE DROPCOPY USD - BRAZA BANK S/A BANCO DE CAMBIO - BRUNO PEROTTONI -  MARÇO 26</v>
      </c>
      <c r="B12" s="10">
        <v>46082</v>
      </c>
      <c r="C12" s="9">
        <v>817632</v>
      </c>
      <c r="D12" s="11" t="s">
        <v>20</v>
      </c>
      <c r="E12" s="57">
        <f t="shared" si="1"/>
        <v>-947.10536480000019</v>
      </c>
      <c r="F12" s="9" t="s">
        <v>12</v>
      </c>
      <c r="G12" s="10">
        <v>46082</v>
      </c>
      <c r="H12" s="9">
        <v>80213</v>
      </c>
      <c r="J12" s="12" t="s">
        <v>36</v>
      </c>
      <c r="K12" s="12" t="s">
        <v>51</v>
      </c>
      <c r="L12" s="61">
        <v>947.10536480000019</v>
      </c>
      <c r="M12" s="14" t="s">
        <v>1</v>
      </c>
      <c r="N12" s="15" t="s">
        <v>157</v>
      </c>
      <c r="O12" s="16">
        <v>1</v>
      </c>
      <c r="P12" s="13"/>
      <c r="Q12" s="17" t="s">
        <v>21</v>
      </c>
    </row>
    <row r="13" spans="1:17" x14ac:dyDescent="0.25">
      <c r="A13" s="1" t="str">
        <f t="shared" si="0"/>
        <v>CUSTO DE DROPCOPY USD - BRAZA BANK S/A BANCO DE CAMBIO - GABRIEL RIBEIRO -  MARÇO 26</v>
      </c>
      <c r="B13" s="2">
        <v>46082</v>
      </c>
      <c r="C13" s="1">
        <v>817632</v>
      </c>
      <c r="D13" s="3" t="s">
        <v>20</v>
      </c>
      <c r="E13" s="58">
        <f t="shared" si="1"/>
        <v>-947.10536480000019</v>
      </c>
      <c r="F13" s="1" t="s">
        <v>12</v>
      </c>
      <c r="G13" s="2">
        <v>46082</v>
      </c>
      <c r="H13" s="1">
        <v>80213</v>
      </c>
      <c r="J13" s="4" t="s">
        <v>36</v>
      </c>
      <c r="K13" s="4" t="s">
        <v>51</v>
      </c>
      <c r="L13" s="60">
        <v>947.10536480000019</v>
      </c>
      <c r="M13" s="6" t="s">
        <v>1</v>
      </c>
      <c r="N13" s="7" t="s">
        <v>157</v>
      </c>
      <c r="O13" s="8">
        <v>1</v>
      </c>
      <c r="P13" s="5"/>
      <c r="Q13" s="64" t="s">
        <v>22</v>
      </c>
    </row>
    <row r="14" spans="1:17" x14ac:dyDescent="0.25">
      <c r="A14" s="1" t="str">
        <f t="shared" si="0"/>
        <v>CUSTO DE DROPCOPY USD - BANCO BRADESCO S/A - CAOE MARTINS -  MARÇO 26</v>
      </c>
      <c r="B14" s="2">
        <v>46082</v>
      </c>
      <c r="C14" s="1">
        <v>817632</v>
      </c>
      <c r="D14" s="3" t="s">
        <v>2</v>
      </c>
      <c r="E14" s="58">
        <f t="shared" si="1"/>
        <v>-1420.6580472000001</v>
      </c>
      <c r="F14" s="1" t="s">
        <v>12</v>
      </c>
      <c r="G14" s="2">
        <v>46082</v>
      </c>
      <c r="H14" s="1">
        <v>81502</v>
      </c>
      <c r="J14" s="4" t="s">
        <v>36</v>
      </c>
      <c r="K14" s="4" t="s">
        <v>3</v>
      </c>
      <c r="L14" s="60">
        <v>1420.6580472000001</v>
      </c>
      <c r="M14" s="6" t="s">
        <v>1</v>
      </c>
      <c r="N14" s="7" t="s">
        <v>157</v>
      </c>
      <c r="O14" s="8">
        <v>1</v>
      </c>
      <c r="P14" s="5"/>
      <c r="Q14" s="64" t="s">
        <v>128</v>
      </c>
    </row>
    <row r="15" spans="1:17" x14ac:dyDescent="0.25">
      <c r="A15" s="1" t="str">
        <f t="shared" si="0"/>
        <v>CUSTO DE DROPCOPY USD - BANCO BRADESCO S/A - JOAO VITOR CAIRES ALVES -  MARÇO 26</v>
      </c>
      <c r="B15" s="2">
        <v>46082</v>
      </c>
      <c r="C15" s="1">
        <v>817632</v>
      </c>
      <c r="D15" s="3" t="s">
        <v>2</v>
      </c>
      <c r="E15" s="58">
        <f t="shared" si="1"/>
        <v>-1420.6580472000001</v>
      </c>
      <c r="F15" s="1" t="s">
        <v>12</v>
      </c>
      <c r="G15" s="2">
        <v>46082</v>
      </c>
      <c r="H15" s="1">
        <v>81502</v>
      </c>
      <c r="J15" s="4" t="s">
        <v>36</v>
      </c>
      <c r="K15" s="4" t="s">
        <v>3</v>
      </c>
      <c r="L15" s="60">
        <v>1420.6580472000001</v>
      </c>
      <c r="M15" s="6" t="s">
        <v>1</v>
      </c>
      <c r="N15" s="7" t="s">
        <v>157</v>
      </c>
      <c r="O15" s="8">
        <v>1</v>
      </c>
      <c r="P15" s="5"/>
      <c r="Q15" s="64" t="s">
        <v>5</v>
      </c>
    </row>
    <row r="16" spans="1:17" x14ac:dyDescent="0.25">
      <c r="A16" s="1" t="str">
        <f t="shared" si="0"/>
        <v>CUSTO DE DROPCOPY USD - BANCO BRADESCO S/A - ALESSANDRO DRAGO -  MARÇO 26</v>
      </c>
      <c r="B16" s="2">
        <v>46082</v>
      </c>
      <c r="C16" s="1">
        <v>817632</v>
      </c>
      <c r="D16" s="3" t="s">
        <v>2</v>
      </c>
      <c r="E16" s="58">
        <f t="shared" si="1"/>
        <v>-947.10536480000019</v>
      </c>
      <c r="F16" s="1" t="s">
        <v>12</v>
      </c>
      <c r="G16" s="2">
        <v>46082</v>
      </c>
      <c r="H16" s="1">
        <v>81502</v>
      </c>
      <c r="J16" s="4" t="s">
        <v>36</v>
      </c>
      <c r="K16" s="4" t="s">
        <v>3</v>
      </c>
      <c r="L16" s="60">
        <v>947.10536480000019</v>
      </c>
      <c r="M16" s="6" t="s">
        <v>1</v>
      </c>
      <c r="N16" s="7" t="s">
        <v>157</v>
      </c>
      <c r="O16" s="8">
        <v>1</v>
      </c>
      <c r="P16" s="5"/>
      <c r="Q16" s="64" t="s">
        <v>137</v>
      </c>
    </row>
    <row r="17" spans="1:17" x14ac:dyDescent="0.25">
      <c r="A17" s="1" t="str">
        <f t="shared" si="0"/>
        <v>CUSTO DE DROPCOPY USD - BANCO BRADESCO S/A - LUCAS HORI -  MARÇO 26</v>
      </c>
      <c r="B17" s="2">
        <v>46082</v>
      </c>
      <c r="C17" s="1">
        <v>817632</v>
      </c>
      <c r="D17" s="3" t="s">
        <v>2</v>
      </c>
      <c r="E17" s="58">
        <f t="shared" si="1"/>
        <v>-947.10536480000019</v>
      </c>
      <c r="F17" s="1" t="s">
        <v>12</v>
      </c>
      <c r="G17" s="2">
        <v>46082</v>
      </c>
      <c r="H17" s="1">
        <v>81502</v>
      </c>
      <c r="J17" s="4" t="s">
        <v>36</v>
      </c>
      <c r="K17" s="4" t="s">
        <v>3</v>
      </c>
      <c r="L17" s="60">
        <v>947.10536480000019</v>
      </c>
      <c r="M17" s="6" t="s">
        <v>1</v>
      </c>
      <c r="N17" s="7" t="s">
        <v>157</v>
      </c>
      <c r="O17" s="8">
        <v>1</v>
      </c>
      <c r="P17" s="5"/>
      <c r="Q17" s="64" t="s">
        <v>138</v>
      </c>
    </row>
    <row r="18" spans="1:17" x14ac:dyDescent="0.25">
      <c r="A18" s="1" t="str">
        <f t="shared" si="0"/>
        <v>CUSTO DE DROPCOPY USD - BANCO BRADESCO S/A - GLAYSON PATRICIO -  MARÇO 26</v>
      </c>
      <c r="B18" s="2">
        <v>46082</v>
      </c>
      <c r="C18" s="1">
        <v>817632</v>
      </c>
      <c r="D18" s="3" t="s">
        <v>107</v>
      </c>
      <c r="E18" s="58">
        <f t="shared" si="1"/>
        <v>-947.10536480000019</v>
      </c>
      <c r="F18" s="1" t="s">
        <v>12</v>
      </c>
      <c r="G18" s="2">
        <v>46082</v>
      </c>
      <c r="H18" s="1">
        <v>81502</v>
      </c>
      <c r="J18" s="4" t="s">
        <v>36</v>
      </c>
      <c r="K18" s="4" t="s">
        <v>3</v>
      </c>
      <c r="L18" s="60">
        <v>947.10536480000019</v>
      </c>
      <c r="M18" s="6" t="s">
        <v>1</v>
      </c>
      <c r="N18" s="7" t="s">
        <v>157</v>
      </c>
      <c r="O18" s="8">
        <v>1</v>
      </c>
      <c r="P18" s="5"/>
      <c r="Q18" s="64" t="s">
        <v>140</v>
      </c>
    </row>
    <row r="19" spans="1:17" x14ac:dyDescent="0.25">
      <c r="A19" s="9" t="str">
        <f t="shared" si="0"/>
        <v>CUSTO DE DROPCOPY USD - BANCO BRADESCO S/A - GABRIEL BORINI -  MARÇO 26</v>
      </c>
      <c r="B19" s="10">
        <v>46082</v>
      </c>
      <c r="C19" s="9">
        <v>817632</v>
      </c>
      <c r="D19" s="11" t="s">
        <v>2</v>
      </c>
      <c r="E19" s="57">
        <f>-L19*O19</f>
        <v>-81.687394065000007</v>
      </c>
      <c r="F19" s="9" t="s">
        <v>0</v>
      </c>
      <c r="G19" s="10">
        <v>46082</v>
      </c>
      <c r="H19" s="9">
        <v>81503</v>
      </c>
      <c r="J19" s="12" t="s">
        <v>36</v>
      </c>
      <c r="K19" s="12" t="s">
        <v>3</v>
      </c>
      <c r="L19" s="61">
        <v>163.37478813000001</v>
      </c>
      <c r="M19" s="14" t="s">
        <v>1</v>
      </c>
      <c r="N19" s="15" t="s">
        <v>157</v>
      </c>
      <c r="O19" s="16">
        <v>0.5</v>
      </c>
      <c r="P19" s="13"/>
      <c r="Q19" s="17" t="s">
        <v>4</v>
      </c>
    </row>
    <row r="20" spans="1:17" x14ac:dyDescent="0.25">
      <c r="A20" s="9" t="str">
        <f t="shared" si="0"/>
        <v>CUSTO DE DROPCOPY USD - BANCO BRADESCO S/A - GABRIEL BORINI -  MARÇO 26</v>
      </c>
      <c r="B20" s="10">
        <v>46082</v>
      </c>
      <c r="C20" s="9">
        <v>817632</v>
      </c>
      <c r="D20" s="11" t="s">
        <v>91</v>
      </c>
      <c r="E20" s="57">
        <f>-L20*O20</f>
        <v>-81.687394065000007</v>
      </c>
      <c r="F20" s="9" t="s">
        <v>0</v>
      </c>
      <c r="G20" s="10">
        <v>46082</v>
      </c>
      <c r="H20" s="9">
        <v>81503</v>
      </c>
      <c r="J20" s="12" t="s">
        <v>36</v>
      </c>
      <c r="K20" s="12" t="s">
        <v>3</v>
      </c>
      <c r="L20" s="61">
        <v>163.37478813000001</v>
      </c>
      <c r="M20" s="14" t="s">
        <v>1</v>
      </c>
      <c r="N20" s="15" t="s">
        <v>157</v>
      </c>
      <c r="O20" s="16">
        <v>0.5</v>
      </c>
      <c r="P20" s="13"/>
      <c r="Q20" s="17" t="s">
        <v>4</v>
      </c>
    </row>
    <row r="21" spans="1:17" x14ac:dyDescent="0.25">
      <c r="A21" s="9" t="str">
        <f t="shared" si="0"/>
        <v>CUSTO DE DROPCOPY USD - BANCO BRADESCO S/A - JOAO VITOR CAIRES ALVES -  MARÇO 26</v>
      </c>
      <c r="B21" s="10">
        <v>46082</v>
      </c>
      <c r="C21" s="9">
        <v>817632</v>
      </c>
      <c r="D21" s="11" t="s">
        <v>2</v>
      </c>
      <c r="E21" s="57">
        <f>-L21*O21</f>
        <v>-81.687394065000007</v>
      </c>
      <c r="F21" s="9" t="s">
        <v>0</v>
      </c>
      <c r="G21" s="10">
        <v>46082</v>
      </c>
      <c r="H21" s="9">
        <v>81503</v>
      </c>
      <c r="J21" s="12" t="s">
        <v>36</v>
      </c>
      <c r="K21" s="12" t="s">
        <v>3</v>
      </c>
      <c r="L21" s="61">
        <v>163.37478813000001</v>
      </c>
      <c r="M21" s="14" t="s">
        <v>1</v>
      </c>
      <c r="N21" s="15" t="s">
        <v>157</v>
      </c>
      <c r="O21" s="16">
        <v>0.5</v>
      </c>
      <c r="P21" s="13"/>
      <c r="Q21" s="17" t="s">
        <v>5</v>
      </c>
    </row>
    <row r="22" spans="1:17" x14ac:dyDescent="0.25">
      <c r="A22" s="9" t="str">
        <f t="shared" si="0"/>
        <v>CUSTO DE DROPCOPY USD - BANCO BRADESCO S/A - JOAO VITOR CAIRES ALVES -  MARÇO 26</v>
      </c>
      <c r="B22" s="10">
        <v>46082</v>
      </c>
      <c r="C22" s="9">
        <v>817632</v>
      </c>
      <c r="D22" s="11" t="s">
        <v>91</v>
      </c>
      <c r="E22" s="57">
        <f t="shared" si="1"/>
        <v>-81.687394065000007</v>
      </c>
      <c r="F22" s="9" t="s">
        <v>0</v>
      </c>
      <c r="G22" s="10">
        <v>46082</v>
      </c>
      <c r="H22" s="9">
        <v>81503</v>
      </c>
      <c r="J22" s="12" t="s">
        <v>36</v>
      </c>
      <c r="K22" s="12" t="s">
        <v>3</v>
      </c>
      <c r="L22" s="61">
        <v>163.37478813000001</v>
      </c>
      <c r="M22" s="14" t="s">
        <v>1</v>
      </c>
      <c r="N22" s="15" t="s">
        <v>157</v>
      </c>
      <c r="O22" s="16">
        <v>0.5</v>
      </c>
      <c r="P22" s="13"/>
      <c r="Q22" s="17" t="s">
        <v>5</v>
      </c>
    </row>
    <row r="23" spans="1:17" x14ac:dyDescent="0.25">
      <c r="A23" s="9" t="str">
        <f t="shared" si="0"/>
        <v>CUSTO DE DROPCOPY USD - BANCO BRADESCO S/A - MARCELO CAIRES -  MARÇO 26</v>
      </c>
      <c r="B23" s="10">
        <v>46082</v>
      </c>
      <c r="C23" s="9">
        <v>817632</v>
      </c>
      <c r="D23" s="11" t="s">
        <v>2</v>
      </c>
      <c r="E23" s="57">
        <f t="shared" si="1"/>
        <v>-81.687394065000007</v>
      </c>
      <c r="F23" s="9" t="s">
        <v>0</v>
      </c>
      <c r="G23" s="10">
        <v>46082</v>
      </c>
      <c r="H23" s="9">
        <v>81503</v>
      </c>
      <c r="J23" s="12" t="s">
        <v>36</v>
      </c>
      <c r="K23" s="12" t="s">
        <v>3</v>
      </c>
      <c r="L23" s="61">
        <v>163.37478813000001</v>
      </c>
      <c r="M23" s="14" t="s">
        <v>1</v>
      </c>
      <c r="N23" s="15" t="s">
        <v>157</v>
      </c>
      <c r="O23" s="16">
        <v>0.5</v>
      </c>
      <c r="P23" s="13"/>
      <c r="Q23" s="17" t="s">
        <v>6</v>
      </c>
    </row>
    <row r="24" spans="1:17" x14ac:dyDescent="0.25">
      <c r="A24" s="9" t="str">
        <f t="shared" si="0"/>
        <v>CUSTO DE DROPCOPY USD - BANCO BRADESCO S/A - MARCELO CAIRES -  MARÇO 26</v>
      </c>
      <c r="B24" s="10">
        <v>46082</v>
      </c>
      <c r="C24" s="9">
        <v>817632</v>
      </c>
      <c r="D24" s="11" t="s">
        <v>91</v>
      </c>
      <c r="E24" s="57">
        <f t="shared" si="1"/>
        <v>-81.687394065000007</v>
      </c>
      <c r="F24" s="9" t="s">
        <v>0</v>
      </c>
      <c r="G24" s="10">
        <v>46082</v>
      </c>
      <c r="H24" s="9">
        <v>81503</v>
      </c>
      <c r="J24" s="12" t="s">
        <v>36</v>
      </c>
      <c r="K24" s="12" t="s">
        <v>3</v>
      </c>
      <c r="L24" s="61">
        <v>163.37478813000001</v>
      </c>
      <c r="M24" s="14" t="s">
        <v>1</v>
      </c>
      <c r="N24" s="15" t="s">
        <v>157</v>
      </c>
      <c r="O24" s="16">
        <v>0.5</v>
      </c>
      <c r="P24" s="13"/>
      <c r="Q24" s="17" t="s">
        <v>6</v>
      </c>
    </row>
    <row r="25" spans="1:17" x14ac:dyDescent="0.25">
      <c r="A25" s="9" t="str">
        <f t="shared" si="0"/>
        <v>CUSTO DE DROPCOPY USD - BANCO BRADESCO S/A - RONALDO SASAKI -  MARÇO 26</v>
      </c>
      <c r="B25" s="10">
        <v>46082</v>
      </c>
      <c r="C25" s="9">
        <v>817632</v>
      </c>
      <c r="D25" s="11" t="s">
        <v>2</v>
      </c>
      <c r="E25" s="57">
        <f t="shared" si="1"/>
        <v>-81.687394065000007</v>
      </c>
      <c r="F25" s="9" t="s">
        <v>0</v>
      </c>
      <c r="G25" s="10">
        <v>46082</v>
      </c>
      <c r="H25" s="9">
        <v>81503</v>
      </c>
      <c r="J25" s="12" t="s">
        <v>36</v>
      </c>
      <c r="K25" s="12" t="s">
        <v>3</v>
      </c>
      <c r="L25" s="61">
        <v>163.37478813000001</v>
      </c>
      <c r="M25" s="14" t="s">
        <v>1</v>
      </c>
      <c r="N25" s="15" t="s">
        <v>157</v>
      </c>
      <c r="O25" s="16">
        <v>0.5</v>
      </c>
      <c r="P25" s="13"/>
      <c r="Q25" s="17" t="s">
        <v>7</v>
      </c>
    </row>
    <row r="26" spans="1:17" x14ac:dyDescent="0.25">
      <c r="A26" s="1" t="str">
        <f t="shared" si="0"/>
        <v>CUSTO DE DROPCOPY USD - BANCO BRADESCO S/A - RONALDO SASAKI -  MARÇO 26</v>
      </c>
      <c r="B26" s="2">
        <v>46082</v>
      </c>
      <c r="C26" s="1">
        <v>817632</v>
      </c>
      <c r="D26" s="3" t="s">
        <v>91</v>
      </c>
      <c r="E26" s="58">
        <f t="shared" si="1"/>
        <v>-81.687394065000007</v>
      </c>
      <c r="F26" s="1" t="s">
        <v>0</v>
      </c>
      <c r="G26" s="2">
        <v>46082</v>
      </c>
      <c r="H26" s="1">
        <v>81503</v>
      </c>
      <c r="J26" s="4" t="s">
        <v>36</v>
      </c>
      <c r="K26" s="4" t="s">
        <v>3</v>
      </c>
      <c r="L26" s="60">
        <v>163.37478813000001</v>
      </c>
      <c r="M26" s="6" t="s">
        <v>1</v>
      </c>
      <c r="N26" s="7" t="s">
        <v>157</v>
      </c>
      <c r="O26" s="8">
        <v>0.5</v>
      </c>
      <c r="P26" s="5"/>
      <c r="Q26" s="64" t="s">
        <v>7</v>
      </c>
    </row>
    <row r="27" spans="1:17" x14ac:dyDescent="0.25">
      <c r="A27" s="9" t="str">
        <f t="shared" si="0"/>
        <v>CUSTO DE DROPCOPY USD - SPX EQUITIES GESTAO DE RECURSOS LTDA - LUCAS ROSSI -  MARÇO 26</v>
      </c>
      <c r="B27" s="10">
        <v>46082</v>
      </c>
      <c r="C27" s="9">
        <v>817632</v>
      </c>
      <c r="D27" s="11" t="s">
        <v>2</v>
      </c>
      <c r="E27" s="57">
        <f t="shared" si="1"/>
        <v>-78.4198983024</v>
      </c>
      <c r="F27" s="9" t="s">
        <v>0</v>
      </c>
      <c r="G27" s="10">
        <v>46082</v>
      </c>
      <c r="H27" s="9">
        <v>79931</v>
      </c>
      <c r="J27" s="12" t="s">
        <v>36</v>
      </c>
      <c r="K27" s="12" t="s">
        <v>9</v>
      </c>
      <c r="L27" s="61">
        <v>130.699830504</v>
      </c>
      <c r="M27" s="14" t="s">
        <v>1</v>
      </c>
      <c r="N27" s="15" t="s">
        <v>157</v>
      </c>
      <c r="O27" s="16">
        <v>0.6</v>
      </c>
      <c r="P27" s="13"/>
      <c r="Q27" s="17" t="s">
        <v>10</v>
      </c>
    </row>
    <row r="28" spans="1:17" x14ac:dyDescent="0.25">
      <c r="A28" s="1" t="str">
        <f t="shared" si="0"/>
        <v>CUSTO DE DROPCOPY USD - SPX EQUITIES GESTAO DE RECURSOS LTDA - LUCAS ROSSI -  MARÇO 26</v>
      </c>
      <c r="B28" s="2">
        <v>46082</v>
      </c>
      <c r="C28" s="1">
        <v>817632</v>
      </c>
      <c r="D28" s="3" t="s">
        <v>91</v>
      </c>
      <c r="E28" s="58">
        <f t="shared" si="1"/>
        <v>-52.279932201600005</v>
      </c>
      <c r="F28" s="1" t="s">
        <v>0</v>
      </c>
      <c r="G28" s="2">
        <v>46082</v>
      </c>
      <c r="H28" s="1">
        <v>79931</v>
      </c>
      <c r="I28" s="34"/>
      <c r="J28" s="4" t="s">
        <v>36</v>
      </c>
      <c r="K28" s="4" t="s">
        <v>9</v>
      </c>
      <c r="L28" s="60">
        <v>130.699830504</v>
      </c>
      <c r="M28" s="6" t="s">
        <v>1</v>
      </c>
      <c r="N28" s="7" t="s">
        <v>157</v>
      </c>
      <c r="O28" s="8">
        <v>0.4</v>
      </c>
      <c r="P28" s="5"/>
      <c r="Q28" s="64" t="s">
        <v>10</v>
      </c>
    </row>
    <row r="29" spans="1:17" x14ac:dyDescent="0.25">
      <c r="A29" s="9" t="str">
        <f t="shared" si="0"/>
        <v>CUSTO DE DROPCOPY USD - SPX EQUITIES GESTAO DE RECURSOS LTDA - THIAGO SANTOS -  MARÇO 26</v>
      </c>
      <c r="B29" s="10">
        <v>46082</v>
      </c>
      <c r="C29" s="9">
        <v>817632</v>
      </c>
      <c r="D29" s="11" t="s">
        <v>2</v>
      </c>
      <c r="E29" s="57">
        <f t="shared" si="1"/>
        <v>-156.8397966048</v>
      </c>
      <c r="F29" s="9" t="s">
        <v>0</v>
      </c>
      <c r="G29" s="10">
        <v>46082</v>
      </c>
      <c r="H29" s="9">
        <v>81564</v>
      </c>
      <c r="J29" s="12" t="s">
        <v>36</v>
      </c>
      <c r="K29" s="12" t="s">
        <v>9</v>
      </c>
      <c r="L29" s="61">
        <v>261.39966100800001</v>
      </c>
      <c r="M29" s="14" t="s">
        <v>1</v>
      </c>
      <c r="N29" s="15" t="s">
        <v>157</v>
      </c>
      <c r="O29" s="16">
        <v>0.6</v>
      </c>
      <c r="P29" s="13"/>
      <c r="Q29" s="17" t="s">
        <v>90</v>
      </c>
    </row>
    <row r="30" spans="1:17" x14ac:dyDescent="0.25">
      <c r="A30" s="1" t="str">
        <f t="shared" si="0"/>
        <v>CUSTO DE DROPCOPY USD - SPX EQUITIES GESTAO DE RECURSOS LTDA - THIAGO SANTOS -  MARÇO 26</v>
      </c>
      <c r="B30" s="2">
        <v>46082</v>
      </c>
      <c r="C30" s="1">
        <v>817632</v>
      </c>
      <c r="D30" s="3" t="s">
        <v>91</v>
      </c>
      <c r="E30" s="58">
        <f t="shared" si="1"/>
        <v>-104.55986440320001</v>
      </c>
      <c r="F30" s="1" t="s">
        <v>0</v>
      </c>
      <c r="G30" s="2">
        <v>46082</v>
      </c>
      <c r="H30" s="1">
        <v>81564</v>
      </c>
      <c r="I30" s="34"/>
      <c r="J30" s="4" t="s">
        <v>36</v>
      </c>
      <c r="K30" s="4" t="s">
        <v>9</v>
      </c>
      <c r="L30" s="60">
        <v>261.39966100800001</v>
      </c>
      <c r="M30" s="6" t="s">
        <v>1</v>
      </c>
      <c r="N30" s="7" t="s">
        <v>157</v>
      </c>
      <c r="O30" s="8">
        <v>0.4</v>
      </c>
      <c r="P30" s="5"/>
      <c r="Q30" s="64" t="s">
        <v>90</v>
      </c>
    </row>
    <row r="31" spans="1:17" x14ac:dyDescent="0.25">
      <c r="A31" s="9" t="str">
        <f t="shared" si="0"/>
        <v>CUSTO DE DROPCOPY USD - SPX EQUITIES GESTAO DE RECURSOS LTDA - GABRIEL FERREIRA -  MARÇO 26</v>
      </c>
      <c r="B31" s="10">
        <v>46082</v>
      </c>
      <c r="C31" s="9">
        <v>817632</v>
      </c>
      <c r="D31" s="11" t="s">
        <v>2</v>
      </c>
      <c r="E31" s="57">
        <f t="shared" si="1"/>
        <v>-78.4198983024</v>
      </c>
      <c r="F31" s="9" t="s">
        <v>0</v>
      </c>
      <c r="G31" s="10">
        <v>46082</v>
      </c>
      <c r="H31" s="9">
        <v>81564</v>
      </c>
      <c r="J31" s="12" t="s">
        <v>36</v>
      </c>
      <c r="K31" s="12" t="s">
        <v>9</v>
      </c>
      <c r="L31" s="61">
        <v>130.699830504</v>
      </c>
      <c r="M31" s="14" t="s">
        <v>1</v>
      </c>
      <c r="N31" s="15" t="s">
        <v>157</v>
      </c>
      <c r="O31" s="16">
        <v>0.6</v>
      </c>
      <c r="P31" s="13"/>
      <c r="Q31" s="17" t="s">
        <v>123</v>
      </c>
    </row>
    <row r="32" spans="1:17" x14ac:dyDescent="0.25">
      <c r="A32" s="1" t="str">
        <f t="shared" si="0"/>
        <v>CUSTO DE DROPCOPY USD - SPX EQUITIES GESTAO DE RECURSOS LTDA - GABRIEL FERREIRA -  MARÇO 26</v>
      </c>
      <c r="B32" s="2">
        <v>46082</v>
      </c>
      <c r="C32" s="1">
        <v>817632</v>
      </c>
      <c r="D32" s="3" t="s">
        <v>91</v>
      </c>
      <c r="E32" s="58">
        <f t="shared" si="1"/>
        <v>-52.279932201600005</v>
      </c>
      <c r="F32" s="1" t="s">
        <v>0</v>
      </c>
      <c r="G32" s="2">
        <v>46082</v>
      </c>
      <c r="H32" s="1">
        <v>81564</v>
      </c>
      <c r="I32" s="34"/>
      <c r="J32" s="4" t="s">
        <v>36</v>
      </c>
      <c r="K32" s="4" t="s">
        <v>9</v>
      </c>
      <c r="L32" s="60">
        <v>130.699830504</v>
      </c>
      <c r="M32" s="6" t="s">
        <v>1</v>
      </c>
      <c r="N32" s="7" t="s">
        <v>157</v>
      </c>
      <c r="O32" s="8">
        <v>0.4</v>
      </c>
      <c r="P32" s="5"/>
      <c r="Q32" s="64" t="s">
        <v>123</v>
      </c>
    </row>
    <row r="33" spans="1:17" x14ac:dyDescent="0.25">
      <c r="A33" s="9" t="str">
        <f t="shared" si="0"/>
        <v>CUSTO DE DROPCOPY USD - SPX EQUITIES GESTAO DE RECURSOS LTDA - MURILO ORTIZ -  MARÇO 26</v>
      </c>
      <c r="B33" s="10">
        <v>46082</v>
      </c>
      <c r="C33" s="9">
        <v>817632</v>
      </c>
      <c r="D33" s="11" t="s">
        <v>2</v>
      </c>
      <c r="E33" s="57">
        <f t="shared" si="1"/>
        <v>-78.4198983024</v>
      </c>
      <c r="F33" s="9" t="s">
        <v>0</v>
      </c>
      <c r="G33" s="10">
        <v>46082</v>
      </c>
      <c r="H33" s="9">
        <v>81564</v>
      </c>
      <c r="J33" s="12" t="s">
        <v>36</v>
      </c>
      <c r="K33" s="12" t="s">
        <v>9</v>
      </c>
      <c r="L33" s="61">
        <v>130.699830504</v>
      </c>
      <c r="M33" s="14" t="s">
        <v>1</v>
      </c>
      <c r="N33" s="15" t="s">
        <v>157</v>
      </c>
      <c r="O33" s="16">
        <v>0.6</v>
      </c>
      <c r="P33" s="13"/>
      <c r="Q33" s="17" t="s">
        <v>124</v>
      </c>
    </row>
    <row r="34" spans="1:17" x14ac:dyDescent="0.25">
      <c r="A34" s="1" t="str">
        <f t="shared" si="0"/>
        <v>CUSTO DE DROPCOPY USD - SPX EQUITIES GESTAO DE RECURSOS LTDA - MURILO ORTIZ -  MARÇO 26</v>
      </c>
      <c r="B34" s="2">
        <v>46082</v>
      </c>
      <c r="C34" s="1">
        <v>817632</v>
      </c>
      <c r="D34" s="3" t="s">
        <v>91</v>
      </c>
      <c r="E34" s="58">
        <f t="shared" si="1"/>
        <v>-52.279932201600005</v>
      </c>
      <c r="F34" s="1" t="s">
        <v>0</v>
      </c>
      <c r="G34" s="2">
        <v>46082</v>
      </c>
      <c r="H34" s="1">
        <v>81564</v>
      </c>
      <c r="I34" s="34"/>
      <c r="J34" s="4" t="s">
        <v>36</v>
      </c>
      <c r="K34" s="4" t="s">
        <v>9</v>
      </c>
      <c r="L34" s="60">
        <v>130.699830504</v>
      </c>
      <c r="M34" s="6" t="s">
        <v>1</v>
      </c>
      <c r="N34" s="7" t="s">
        <v>157</v>
      </c>
      <c r="O34" s="8">
        <v>0.4</v>
      </c>
      <c r="P34" s="5"/>
      <c r="Q34" s="64" t="s">
        <v>124</v>
      </c>
    </row>
    <row r="35" spans="1:17" x14ac:dyDescent="0.25">
      <c r="A35" s="1" t="str">
        <f t="shared" si="0"/>
        <v>CUSTO DE DROPCOPY USD - KAPITALO INVESTIMENTO LTDA - RAFAEL POPPE -  MARÇO 26</v>
      </c>
      <c r="B35" s="2">
        <v>46082</v>
      </c>
      <c r="C35" s="1">
        <v>817632</v>
      </c>
      <c r="D35" s="3" t="s">
        <v>2</v>
      </c>
      <c r="E35" s="58">
        <f t="shared" si="1"/>
        <v>-653.49915252000005</v>
      </c>
      <c r="F35" s="1" t="s">
        <v>0</v>
      </c>
      <c r="G35" s="2">
        <v>46082</v>
      </c>
      <c r="H35" s="1">
        <v>81778</v>
      </c>
      <c r="J35" s="4" t="s">
        <v>36</v>
      </c>
      <c r="K35" s="4" t="s">
        <v>37</v>
      </c>
      <c r="L35" s="60">
        <v>653.49915252000005</v>
      </c>
      <c r="M35" s="6" t="s">
        <v>1</v>
      </c>
      <c r="N35" s="7" t="s">
        <v>157</v>
      </c>
      <c r="O35" s="8">
        <v>1</v>
      </c>
      <c r="P35" s="5"/>
      <c r="Q35" s="64" t="s">
        <v>38</v>
      </c>
    </row>
    <row r="36" spans="1:17" x14ac:dyDescent="0.25">
      <c r="A36" s="9" t="str">
        <f t="shared" ref="A36:A100" si="2">CONCATENATE(J36,P36,M36,K36,M36,N36)</f>
        <v>CUSTO DE DROPCOPY USD - BGC LIQUIDEZ -  MARÇO 26</v>
      </c>
      <c r="B36" s="10">
        <v>46082</v>
      </c>
      <c r="C36" s="9">
        <v>817632</v>
      </c>
      <c r="D36" s="11" t="s">
        <v>2</v>
      </c>
      <c r="E36" s="57">
        <f t="shared" si="1"/>
        <v>-3570.0696000000003</v>
      </c>
      <c r="F36" s="9" t="s">
        <v>48</v>
      </c>
      <c r="G36" s="10">
        <v>46082</v>
      </c>
      <c r="H36" s="9">
        <v>1170</v>
      </c>
      <c r="J36" s="12" t="s">
        <v>36</v>
      </c>
      <c r="K36" s="12" t="s">
        <v>47</v>
      </c>
      <c r="L36" s="61">
        <v>3570.0696000000003</v>
      </c>
      <c r="M36" s="14" t="s">
        <v>1</v>
      </c>
      <c r="N36" s="15" t="s">
        <v>157</v>
      </c>
      <c r="O36" s="16">
        <v>1</v>
      </c>
      <c r="P36" s="13"/>
      <c r="Q36" s="17"/>
    </row>
    <row r="37" spans="1:17" x14ac:dyDescent="0.25">
      <c r="A37" s="9" t="str">
        <f t="shared" si="2"/>
        <v>CUSTO DE DROPCOPY USD - BGC LIQUIDEZ -  MARÇO 26</v>
      </c>
      <c r="B37" s="10">
        <v>46082</v>
      </c>
      <c r="C37" s="9">
        <v>817632</v>
      </c>
      <c r="D37" s="11" t="s">
        <v>91</v>
      </c>
      <c r="E37" s="57">
        <f t="shared" si="1"/>
        <v>-1190.0232000000001</v>
      </c>
      <c r="F37" s="9" t="s">
        <v>48</v>
      </c>
      <c r="G37" s="10">
        <v>46082</v>
      </c>
      <c r="H37" s="9">
        <v>1170</v>
      </c>
      <c r="J37" s="12" t="s">
        <v>36</v>
      </c>
      <c r="K37" s="12" t="s">
        <v>47</v>
      </c>
      <c r="L37" s="61">
        <v>1190.0232000000001</v>
      </c>
      <c r="M37" s="14" t="s">
        <v>1</v>
      </c>
      <c r="N37" s="15" t="s">
        <v>157</v>
      </c>
      <c r="O37" s="16">
        <v>1</v>
      </c>
      <c r="P37" s="13"/>
      <c r="Q37" s="17"/>
    </row>
    <row r="38" spans="1:17" x14ac:dyDescent="0.25">
      <c r="A38" s="1" t="str">
        <f t="shared" si="2"/>
        <v>CUSTO DE DROPCOPY USD - BGC LIQUIDEZ -  MARÇO 26</v>
      </c>
      <c r="B38" s="2">
        <v>46082</v>
      </c>
      <c r="C38" s="1">
        <v>817632</v>
      </c>
      <c r="D38" s="3" t="s">
        <v>93</v>
      </c>
      <c r="E38" s="58">
        <f t="shared" si="1"/>
        <v>-1190.0232000000001</v>
      </c>
      <c r="F38" s="3" t="s">
        <v>48</v>
      </c>
      <c r="G38" s="2">
        <v>46082</v>
      </c>
      <c r="H38" s="1">
        <v>1170</v>
      </c>
      <c r="J38" s="4" t="s">
        <v>36</v>
      </c>
      <c r="K38" s="4" t="s">
        <v>47</v>
      </c>
      <c r="L38" s="60">
        <v>1190.0232000000001</v>
      </c>
      <c r="M38" s="6" t="s">
        <v>1</v>
      </c>
      <c r="N38" s="7" t="s">
        <v>157</v>
      </c>
      <c r="O38" s="8">
        <v>1</v>
      </c>
      <c r="P38" s="5"/>
      <c r="Q38" s="17"/>
    </row>
    <row r="39" spans="1:17" x14ac:dyDescent="0.25">
      <c r="A39" s="9" t="str">
        <f t="shared" si="2"/>
        <v>CUSTO DE DROPCOPY USD - BGC LIQUIDEZ -  MARÇO 26</v>
      </c>
      <c r="B39" s="10">
        <v>46082</v>
      </c>
      <c r="C39" s="9">
        <v>817632</v>
      </c>
      <c r="D39" s="11" t="s">
        <v>40</v>
      </c>
      <c r="E39" s="57">
        <f t="shared" si="1"/>
        <v>-164.4111</v>
      </c>
      <c r="F39" s="9" t="s">
        <v>94</v>
      </c>
      <c r="G39" s="10">
        <v>46082</v>
      </c>
      <c r="H39" s="9">
        <v>1170</v>
      </c>
      <c r="J39" s="12" t="s">
        <v>36</v>
      </c>
      <c r="K39" s="12" t="s">
        <v>47</v>
      </c>
      <c r="L39" s="61">
        <v>164.4111</v>
      </c>
      <c r="M39" s="14" t="s">
        <v>1</v>
      </c>
      <c r="N39" s="15" t="s">
        <v>157</v>
      </c>
      <c r="O39" s="16">
        <v>1</v>
      </c>
      <c r="P39" s="13"/>
      <c r="Q39" s="17"/>
    </row>
    <row r="40" spans="1:17" x14ac:dyDescent="0.25">
      <c r="A40" s="9" t="str">
        <f t="shared" si="2"/>
        <v>CUSTO DE DROPCOPY USD - BGC LIQUIDEZ -  MARÇO 26</v>
      </c>
      <c r="B40" s="10">
        <v>46082</v>
      </c>
      <c r="C40" s="9">
        <v>817632</v>
      </c>
      <c r="D40" s="11" t="s">
        <v>95</v>
      </c>
      <c r="E40" s="57">
        <f t="shared" si="1"/>
        <v>-164.4111</v>
      </c>
      <c r="F40" s="9" t="s">
        <v>94</v>
      </c>
      <c r="G40" s="10">
        <v>46082</v>
      </c>
      <c r="H40" s="9">
        <v>1170</v>
      </c>
      <c r="J40" s="12" t="s">
        <v>36</v>
      </c>
      <c r="K40" s="12" t="s">
        <v>47</v>
      </c>
      <c r="L40" s="61">
        <v>164.4111</v>
      </c>
      <c r="M40" s="14" t="s">
        <v>1</v>
      </c>
      <c r="N40" s="15" t="s">
        <v>157</v>
      </c>
      <c r="O40" s="16">
        <v>1</v>
      </c>
      <c r="P40" s="13"/>
      <c r="Q40" s="17"/>
    </row>
    <row r="41" spans="1:17" x14ac:dyDescent="0.25">
      <c r="A41" s="9" t="str">
        <f t="shared" si="2"/>
        <v>CUSTO DE DROPCOPY USD - BGC LIQUIDEZ -  MARÇO 26</v>
      </c>
      <c r="B41" s="10">
        <v>46082</v>
      </c>
      <c r="C41" s="9">
        <v>817632</v>
      </c>
      <c r="D41" s="11" t="s">
        <v>2</v>
      </c>
      <c r="E41" s="57">
        <f t="shared" si="1"/>
        <v>-493.23329999999999</v>
      </c>
      <c r="F41" s="9" t="s">
        <v>94</v>
      </c>
      <c r="G41" s="10">
        <v>46082</v>
      </c>
      <c r="H41" s="9">
        <v>1170</v>
      </c>
      <c r="J41" s="12" t="s">
        <v>36</v>
      </c>
      <c r="K41" s="12" t="s">
        <v>47</v>
      </c>
      <c r="L41" s="61">
        <v>493.23329999999999</v>
      </c>
      <c r="M41" s="14" t="s">
        <v>1</v>
      </c>
      <c r="N41" s="15" t="s">
        <v>157</v>
      </c>
      <c r="O41" s="16">
        <v>1</v>
      </c>
      <c r="P41" s="13"/>
      <c r="Q41" s="17"/>
    </row>
    <row r="42" spans="1:17" x14ac:dyDescent="0.25">
      <c r="A42" s="9" t="str">
        <f t="shared" si="2"/>
        <v>CUSTO DE DROPCOPY USD - BGC LIQUIDEZ -  MARÇO 26</v>
      </c>
      <c r="B42" s="10">
        <v>46082</v>
      </c>
      <c r="C42" s="9">
        <v>817632</v>
      </c>
      <c r="D42" s="11" t="s">
        <v>93</v>
      </c>
      <c r="E42" s="57">
        <f t="shared" si="1"/>
        <v>-164.4111</v>
      </c>
      <c r="F42" s="9" t="s">
        <v>94</v>
      </c>
      <c r="G42" s="10">
        <v>46082</v>
      </c>
      <c r="H42" s="9">
        <v>1170</v>
      </c>
      <c r="J42" s="12" t="s">
        <v>36</v>
      </c>
      <c r="K42" s="12" t="s">
        <v>47</v>
      </c>
      <c r="L42" s="61">
        <v>164.4111</v>
      </c>
      <c r="M42" s="14" t="s">
        <v>1</v>
      </c>
      <c r="N42" s="15" t="s">
        <v>157</v>
      </c>
      <c r="O42" s="16">
        <v>1</v>
      </c>
      <c r="P42" s="13"/>
      <c r="Q42" s="17"/>
    </row>
    <row r="43" spans="1:17" x14ac:dyDescent="0.25">
      <c r="A43" s="1" t="str">
        <f t="shared" si="2"/>
        <v>CUSTO DE DROPCOPY USD - BGC LIQUIDEZ -  MARÇO 26</v>
      </c>
      <c r="B43" s="2">
        <v>46082</v>
      </c>
      <c r="C43" s="1">
        <v>817632</v>
      </c>
      <c r="D43" s="3" t="s">
        <v>91</v>
      </c>
      <c r="E43" s="58">
        <f t="shared" si="1"/>
        <v>-164.4111</v>
      </c>
      <c r="F43" s="1" t="s">
        <v>94</v>
      </c>
      <c r="G43" s="2">
        <v>46082</v>
      </c>
      <c r="H43" s="1">
        <v>1170</v>
      </c>
      <c r="J43" s="4" t="s">
        <v>36</v>
      </c>
      <c r="K43" s="4" t="s">
        <v>47</v>
      </c>
      <c r="L43" s="60">
        <v>164.4111</v>
      </c>
      <c r="M43" s="6" t="s">
        <v>1</v>
      </c>
      <c r="N43" s="7" t="s">
        <v>157</v>
      </c>
      <c r="O43" s="8">
        <v>1</v>
      </c>
      <c r="P43" s="5"/>
      <c r="Q43" s="17"/>
    </row>
    <row r="44" spans="1:17" x14ac:dyDescent="0.25">
      <c r="A44" s="9" t="str">
        <f t="shared" si="2"/>
        <v>CUSTO DE DROPCOPY USD - BGC LIQUIDEZ -  MARÇO 26</v>
      </c>
      <c r="B44" s="10">
        <v>46082</v>
      </c>
      <c r="C44" s="9">
        <v>817632</v>
      </c>
      <c r="D44" s="11" t="s">
        <v>95</v>
      </c>
      <c r="E44" s="57">
        <f t="shared" si="1"/>
        <v>-67.852200000000011</v>
      </c>
      <c r="F44" s="9" t="s">
        <v>96</v>
      </c>
      <c r="G44" s="10">
        <v>46082</v>
      </c>
      <c r="H44" s="9">
        <v>1170</v>
      </c>
      <c r="J44" s="12" t="s">
        <v>36</v>
      </c>
      <c r="K44" s="12" t="s">
        <v>47</v>
      </c>
      <c r="L44" s="61">
        <v>67.852200000000011</v>
      </c>
      <c r="M44" s="14" t="s">
        <v>1</v>
      </c>
      <c r="N44" s="15" t="s">
        <v>157</v>
      </c>
      <c r="O44" s="16">
        <v>1</v>
      </c>
      <c r="P44" s="13"/>
      <c r="Q44" s="17"/>
    </row>
    <row r="45" spans="1:17" x14ac:dyDescent="0.25">
      <c r="A45" s="1" t="str">
        <f t="shared" si="2"/>
        <v>CUSTO DE DROPCOPY USD - BGC LIQUIDEZ -  MARÇO 26</v>
      </c>
      <c r="B45" s="2">
        <v>46082</v>
      </c>
      <c r="C45" s="1">
        <v>817632</v>
      </c>
      <c r="D45" s="3" t="s">
        <v>40</v>
      </c>
      <c r="E45" s="58">
        <f t="shared" si="1"/>
        <v>-67.852200000000011</v>
      </c>
      <c r="F45" s="1" t="s">
        <v>96</v>
      </c>
      <c r="G45" s="2">
        <v>46082</v>
      </c>
      <c r="H45" s="1">
        <v>1170</v>
      </c>
      <c r="J45" s="4" t="s">
        <v>36</v>
      </c>
      <c r="K45" s="4" t="s">
        <v>47</v>
      </c>
      <c r="L45" s="60">
        <v>67.852200000000011</v>
      </c>
      <c r="M45" s="6" t="s">
        <v>1</v>
      </c>
      <c r="N45" s="7" t="s">
        <v>157</v>
      </c>
      <c r="O45" s="8">
        <v>1</v>
      </c>
      <c r="P45" s="5"/>
      <c r="Q45" s="17"/>
    </row>
    <row r="46" spans="1:17" x14ac:dyDescent="0.25">
      <c r="A46" s="18" t="str">
        <f t="shared" si="2"/>
        <v>CUSTO DE DROPCOPY BRL - AGUILA CAPITAL ADM -  MARÇO 26</v>
      </c>
      <c r="B46" s="10">
        <v>46082</v>
      </c>
      <c r="C46" s="9">
        <v>817632</v>
      </c>
      <c r="D46" s="11" t="s">
        <v>133</v>
      </c>
      <c r="E46" s="57">
        <f t="shared" si="1"/>
        <v>-2816</v>
      </c>
      <c r="F46" s="9" t="s">
        <v>132</v>
      </c>
      <c r="G46" s="10">
        <v>46082</v>
      </c>
      <c r="H46" s="9">
        <v>12397</v>
      </c>
      <c r="J46" s="12" t="s">
        <v>52</v>
      </c>
      <c r="K46" s="12" t="s">
        <v>134</v>
      </c>
      <c r="L46" s="63">
        <v>2816</v>
      </c>
      <c r="M46" s="14" t="s">
        <v>1</v>
      </c>
      <c r="N46" s="15" t="s">
        <v>157</v>
      </c>
      <c r="O46" s="16">
        <v>1</v>
      </c>
      <c r="P46" s="68"/>
      <c r="Q46" s="17" t="s">
        <v>136</v>
      </c>
    </row>
    <row r="47" spans="1:17" x14ac:dyDescent="0.25">
      <c r="A47" s="9" t="str">
        <f t="shared" ref="A47:A49" si="3">CONCATENATE(J47,P47,M47,K47,M47,Q47,M47,N47)</f>
        <v>CUSTO DE DROPCOPY USD - BANCO DO BRASIL S/A - 10349918 -  MARÇO 26</v>
      </c>
      <c r="B47" s="46">
        <v>46082</v>
      </c>
      <c r="C47" s="45">
        <v>817632</v>
      </c>
      <c r="D47" s="47" t="s">
        <v>139</v>
      </c>
      <c r="E47" s="56">
        <f t="shared" si="1"/>
        <v>-718.66666666666663</v>
      </c>
      <c r="F47" s="45" t="s">
        <v>132</v>
      </c>
      <c r="G47" s="46">
        <v>46082</v>
      </c>
      <c r="H47" s="45">
        <v>18857</v>
      </c>
      <c r="J47" s="48" t="s">
        <v>36</v>
      </c>
      <c r="K47" s="48" t="s">
        <v>159</v>
      </c>
      <c r="L47" s="61">
        <v>718.66666666666663</v>
      </c>
      <c r="M47" s="50" t="s">
        <v>1</v>
      </c>
      <c r="N47" s="51" t="s">
        <v>157</v>
      </c>
      <c r="O47" s="52">
        <v>1</v>
      </c>
      <c r="P47" s="49"/>
      <c r="Q47" s="17">
        <v>10349918</v>
      </c>
    </row>
    <row r="48" spans="1:17" x14ac:dyDescent="0.25">
      <c r="A48" s="9" t="str">
        <f t="shared" si="3"/>
        <v>CUSTO DE DROPCOPY USD - BANCO DO BRASIL S/A - 28861711 -  MARÇO 26</v>
      </c>
      <c r="B48" s="10">
        <v>46082</v>
      </c>
      <c r="C48" s="9">
        <v>817632</v>
      </c>
      <c r="D48" s="11" t="s">
        <v>139</v>
      </c>
      <c r="E48" s="57">
        <f t="shared" si="1"/>
        <v>-718.66666666666663</v>
      </c>
      <c r="F48" s="9" t="s">
        <v>132</v>
      </c>
      <c r="G48" s="10">
        <v>46082</v>
      </c>
      <c r="H48" s="9">
        <v>18857</v>
      </c>
      <c r="J48" s="12" t="s">
        <v>36</v>
      </c>
      <c r="K48" s="12" t="s">
        <v>159</v>
      </c>
      <c r="L48" s="61">
        <v>718.66666666666663</v>
      </c>
      <c r="M48" s="14" t="s">
        <v>1</v>
      </c>
      <c r="N48" s="15" t="s">
        <v>157</v>
      </c>
      <c r="O48" s="16">
        <v>1</v>
      </c>
      <c r="P48" s="13"/>
      <c r="Q48" s="17">
        <v>28861711</v>
      </c>
    </row>
    <row r="49" spans="1:17" x14ac:dyDescent="0.25">
      <c r="A49" s="9" t="str">
        <f t="shared" si="3"/>
        <v>CUSTO DE DROPCOPY USD - BANCO DO BRASIL S/A - 13107976 -  MARÇO 26</v>
      </c>
      <c r="B49" s="2">
        <v>46082</v>
      </c>
      <c r="C49" s="1">
        <v>817632</v>
      </c>
      <c r="D49" s="3" t="s">
        <v>139</v>
      </c>
      <c r="E49" s="58">
        <f t="shared" si="1"/>
        <v>-718.66666666666663</v>
      </c>
      <c r="F49" s="1" t="s">
        <v>132</v>
      </c>
      <c r="G49" s="2">
        <v>46082</v>
      </c>
      <c r="H49" s="1">
        <v>18857</v>
      </c>
      <c r="J49" s="4" t="s">
        <v>36</v>
      </c>
      <c r="K49" s="4" t="s">
        <v>159</v>
      </c>
      <c r="L49" s="60">
        <v>718.66666666666663</v>
      </c>
      <c r="M49" s="6" t="s">
        <v>1</v>
      </c>
      <c r="N49" s="7" t="s">
        <v>157</v>
      </c>
      <c r="O49" s="8">
        <v>1</v>
      </c>
      <c r="P49" s="5"/>
      <c r="Q49" s="17">
        <v>13107976</v>
      </c>
    </row>
    <row r="50" spans="1:17" x14ac:dyDescent="0.25">
      <c r="A50" s="18" t="str">
        <f t="shared" si="2"/>
        <v>CUSTO DE DROPCOPY BRL - VINLAND CAPITAL -  MARÇO 26</v>
      </c>
      <c r="B50" s="19">
        <v>46082</v>
      </c>
      <c r="C50" s="18">
        <v>817632</v>
      </c>
      <c r="D50" s="20" t="s">
        <v>95</v>
      </c>
      <c r="E50" s="55">
        <f t="shared" si="1"/>
        <v>-318.0443874685165</v>
      </c>
      <c r="F50" s="18" t="s">
        <v>46</v>
      </c>
      <c r="G50" s="19">
        <v>46082</v>
      </c>
      <c r="H50" s="18">
        <v>80359</v>
      </c>
      <c r="J50" s="21" t="s">
        <v>52</v>
      </c>
      <c r="K50" s="21" t="s">
        <v>121</v>
      </c>
      <c r="L50" s="63">
        <v>318.0443874685165</v>
      </c>
      <c r="M50" s="23" t="s">
        <v>1</v>
      </c>
      <c r="N50" s="24" t="s">
        <v>157</v>
      </c>
      <c r="O50" s="25">
        <v>1</v>
      </c>
      <c r="P50" s="22"/>
      <c r="Q50" s="17"/>
    </row>
    <row r="51" spans="1:17" x14ac:dyDescent="0.25">
      <c r="A51" s="9" t="str">
        <f t="shared" si="2"/>
        <v>CUSTO DE DROPCOPY BRL - RPS CAPITAL ADMINISTRADORA -  MARÇO 26</v>
      </c>
      <c r="B51" s="10">
        <v>46082</v>
      </c>
      <c r="C51" s="9">
        <v>817632</v>
      </c>
      <c r="D51" s="11" t="s">
        <v>91</v>
      </c>
      <c r="E51" s="57">
        <f t="shared" si="1"/>
        <v>-318.0443874685165</v>
      </c>
      <c r="F51" s="9" t="s">
        <v>46</v>
      </c>
      <c r="G51" s="10">
        <v>46082</v>
      </c>
      <c r="H51" s="9">
        <v>12339</v>
      </c>
      <c r="J51" s="12" t="s">
        <v>52</v>
      </c>
      <c r="K51" s="12" t="s">
        <v>114</v>
      </c>
      <c r="L51" s="61">
        <v>318.0443874685165</v>
      </c>
      <c r="M51" s="14" t="s">
        <v>1</v>
      </c>
      <c r="N51" s="15" t="s">
        <v>157</v>
      </c>
      <c r="O51" s="16">
        <v>1</v>
      </c>
      <c r="P51" s="13"/>
      <c r="Q51" s="17"/>
    </row>
    <row r="52" spans="1:17" x14ac:dyDescent="0.25">
      <c r="A52" s="45" t="str">
        <f t="shared" si="2"/>
        <v>CUSTO DE DROPCOPY BRL - BANCO BRADESCO S/A -  MARÇO 26</v>
      </c>
      <c r="B52" s="46">
        <v>46082</v>
      </c>
      <c r="C52" s="45">
        <v>817632</v>
      </c>
      <c r="D52" s="47" t="s">
        <v>2</v>
      </c>
      <c r="E52" s="56">
        <f t="shared" si="1"/>
        <v>-238.53329060138736</v>
      </c>
      <c r="F52" s="45" t="s">
        <v>46</v>
      </c>
      <c r="G52" s="46">
        <v>46082</v>
      </c>
      <c r="H52" s="45">
        <v>81503</v>
      </c>
      <c r="J52" s="48" t="s">
        <v>52</v>
      </c>
      <c r="K52" s="48" t="s">
        <v>3</v>
      </c>
      <c r="L52" s="62">
        <v>318.0443874685165</v>
      </c>
      <c r="M52" s="50" t="s">
        <v>1</v>
      </c>
      <c r="N52" s="51" t="s">
        <v>157</v>
      </c>
      <c r="O52" s="52">
        <v>0.75</v>
      </c>
      <c r="P52" s="49"/>
      <c r="Q52" s="17"/>
    </row>
    <row r="53" spans="1:17" x14ac:dyDescent="0.25">
      <c r="A53" s="1" t="str">
        <f t="shared" si="2"/>
        <v>CUSTO DE DROPCOPY BRL - BANCO BRADESCO S/A -  MARÇO 26</v>
      </c>
      <c r="B53" s="2">
        <v>46082</v>
      </c>
      <c r="C53" s="1">
        <v>817632</v>
      </c>
      <c r="D53" s="3" t="s">
        <v>91</v>
      </c>
      <c r="E53" s="58">
        <f t="shared" si="1"/>
        <v>-79.511096867129126</v>
      </c>
      <c r="F53" s="1" t="s">
        <v>46</v>
      </c>
      <c r="G53" s="2">
        <v>46082</v>
      </c>
      <c r="H53" s="1">
        <v>81503</v>
      </c>
      <c r="J53" s="4" t="s">
        <v>52</v>
      </c>
      <c r="K53" s="4" t="s">
        <v>3</v>
      </c>
      <c r="L53" s="60">
        <v>318.0443874685165</v>
      </c>
      <c r="M53" s="6" t="s">
        <v>1</v>
      </c>
      <c r="N53" s="7" t="s">
        <v>157</v>
      </c>
      <c r="O53" s="8">
        <v>0.25</v>
      </c>
      <c r="P53" s="5"/>
      <c r="Q53" s="17"/>
    </row>
    <row r="54" spans="1:17" x14ac:dyDescent="0.25">
      <c r="A54" s="9" t="str">
        <f t="shared" si="2"/>
        <v>CUSTO DE DROPCOPY BRL - KAPITALO INVESTIMENTOS LTDA -  MARÇO 26</v>
      </c>
      <c r="B54" s="10">
        <v>46082</v>
      </c>
      <c r="C54" s="9">
        <v>817632</v>
      </c>
      <c r="D54" s="11" t="s">
        <v>2</v>
      </c>
      <c r="E54" s="57">
        <f t="shared" si="1"/>
        <v>-318.0443874685165</v>
      </c>
      <c r="F54" s="9" t="s">
        <v>46</v>
      </c>
      <c r="G54" s="10">
        <v>46082</v>
      </c>
      <c r="H54" s="9">
        <v>12413</v>
      </c>
      <c r="J54" s="12" t="s">
        <v>52</v>
      </c>
      <c r="K54" s="12" t="s">
        <v>113</v>
      </c>
      <c r="L54" s="61">
        <v>318.0443874685165</v>
      </c>
      <c r="M54" s="14" t="s">
        <v>1</v>
      </c>
      <c r="N54" s="15" t="s">
        <v>157</v>
      </c>
      <c r="O54" s="16">
        <v>1</v>
      </c>
      <c r="P54" s="13"/>
      <c r="Q54" s="17"/>
    </row>
    <row r="55" spans="1:17" x14ac:dyDescent="0.25">
      <c r="A55" s="18" t="str">
        <f t="shared" si="2"/>
        <v>CUSTO DE DROPCOPY BRL - FITPART -  MARÇO 26</v>
      </c>
      <c r="B55" s="19">
        <v>46082</v>
      </c>
      <c r="C55" s="18">
        <v>817632</v>
      </c>
      <c r="D55" s="20" t="s">
        <v>2</v>
      </c>
      <c r="E55" s="55">
        <f t="shared" si="1"/>
        <v>-318.0443874685165</v>
      </c>
      <c r="F55" s="18" t="s">
        <v>46</v>
      </c>
      <c r="G55" s="19">
        <v>46082</v>
      </c>
      <c r="H55" s="18">
        <v>1170</v>
      </c>
      <c r="J55" s="21" t="s">
        <v>52</v>
      </c>
      <c r="K55" s="21" t="s">
        <v>88</v>
      </c>
      <c r="L55" s="63">
        <v>318.0443874685165</v>
      </c>
      <c r="M55" s="23" t="s">
        <v>1</v>
      </c>
      <c r="N55" s="24" t="s">
        <v>157</v>
      </c>
      <c r="O55" s="25">
        <v>1</v>
      </c>
      <c r="P55" s="22"/>
      <c r="Q55" s="17"/>
    </row>
    <row r="56" spans="1:17" x14ac:dyDescent="0.25">
      <c r="A56" s="9" t="str">
        <f t="shared" si="2"/>
        <v>CUSTO DE DROPCOPY BRL - SPX EQUITIES GESTAO DE RECURSOS LTDA -  MARÇO 26</v>
      </c>
      <c r="B56" s="10">
        <v>46082</v>
      </c>
      <c r="C56" s="9">
        <v>817632</v>
      </c>
      <c r="D56" s="11" t="s">
        <v>2</v>
      </c>
      <c r="E56" s="57">
        <f t="shared" si="1"/>
        <v>-190.8266324811099</v>
      </c>
      <c r="F56" s="9" t="s">
        <v>46</v>
      </c>
      <c r="G56" s="10">
        <v>46082</v>
      </c>
      <c r="H56" s="9">
        <v>79931</v>
      </c>
      <c r="J56" s="12" t="s">
        <v>52</v>
      </c>
      <c r="K56" s="12" t="s">
        <v>9</v>
      </c>
      <c r="L56" s="61">
        <v>318.0443874685165</v>
      </c>
      <c r="M56" s="14" t="s">
        <v>1</v>
      </c>
      <c r="N56" s="15" t="s">
        <v>157</v>
      </c>
      <c r="O56" s="16">
        <v>0.6</v>
      </c>
      <c r="P56" s="13"/>
      <c r="Q56" s="17"/>
    </row>
    <row r="57" spans="1:17" x14ac:dyDescent="0.25">
      <c r="A57" s="9" t="str">
        <f t="shared" si="2"/>
        <v>CUSTO DE DROPCOPY BRL - SPX EQUITIES GESTAO DE RECURSOS LTDA -  MARÇO 26</v>
      </c>
      <c r="B57" s="10">
        <v>46082</v>
      </c>
      <c r="C57" s="9">
        <v>817632</v>
      </c>
      <c r="D57" s="11" t="s">
        <v>91</v>
      </c>
      <c r="E57" s="57">
        <f t="shared" si="1"/>
        <v>-127.21775498740661</v>
      </c>
      <c r="F57" s="9" t="s">
        <v>46</v>
      </c>
      <c r="G57" s="10">
        <v>46082</v>
      </c>
      <c r="H57" s="9">
        <v>79931</v>
      </c>
      <c r="J57" s="12" t="s">
        <v>52</v>
      </c>
      <c r="K57" s="12" t="s">
        <v>9</v>
      </c>
      <c r="L57" s="61">
        <v>318.0443874685165</v>
      </c>
      <c r="M57" s="14" t="s">
        <v>1</v>
      </c>
      <c r="N57" s="15" t="s">
        <v>157</v>
      </c>
      <c r="O57" s="16">
        <v>0.4</v>
      </c>
      <c r="P57" s="13"/>
      <c r="Q57" s="17"/>
    </row>
    <row r="58" spans="1:17" x14ac:dyDescent="0.25">
      <c r="A58" s="45" t="str">
        <f t="shared" si="2"/>
        <v>CUSTO DE DROPCOPY BRL - ITAU BBA -  MARÇO 26</v>
      </c>
      <c r="B58" s="46">
        <v>46082</v>
      </c>
      <c r="C58" s="45">
        <v>817632</v>
      </c>
      <c r="D58" s="47" t="s">
        <v>2</v>
      </c>
      <c r="E58" s="56">
        <f t="shared" si="1"/>
        <v>-318.0443874685165</v>
      </c>
      <c r="F58" s="45" t="s">
        <v>46</v>
      </c>
      <c r="G58" s="46">
        <v>46082</v>
      </c>
      <c r="H58" s="45">
        <v>80922</v>
      </c>
      <c r="J58" s="48" t="s">
        <v>52</v>
      </c>
      <c r="K58" s="48" t="s">
        <v>57</v>
      </c>
      <c r="L58" s="63">
        <v>318.0443874685165</v>
      </c>
      <c r="M58" s="50" t="s">
        <v>1</v>
      </c>
      <c r="N58" s="51" t="s">
        <v>157</v>
      </c>
      <c r="O58" s="52">
        <v>1</v>
      </c>
      <c r="P58" s="49"/>
      <c r="Q58" s="17"/>
    </row>
    <row r="59" spans="1:17" x14ac:dyDescent="0.25">
      <c r="A59" s="45" t="str">
        <f t="shared" si="2"/>
        <v>CUSTO DE DROPCOPY USD - BGC LIQUIDEZ -  MARÇO 26</v>
      </c>
      <c r="B59" s="46">
        <v>46082</v>
      </c>
      <c r="C59" s="45">
        <v>817632</v>
      </c>
      <c r="D59" s="47" t="s">
        <v>2</v>
      </c>
      <c r="E59" s="56">
        <f t="shared" si="1"/>
        <v>-1855.0617500000003</v>
      </c>
      <c r="F59" s="45" t="s">
        <v>45</v>
      </c>
      <c r="G59" s="46">
        <v>46082</v>
      </c>
      <c r="H59" s="45">
        <v>1170</v>
      </c>
      <c r="J59" s="48" t="s">
        <v>36</v>
      </c>
      <c r="K59" s="48" t="s">
        <v>47</v>
      </c>
      <c r="L59" s="61">
        <v>1855.0617500000003</v>
      </c>
      <c r="M59" s="50" t="s">
        <v>1</v>
      </c>
      <c r="N59" s="51" t="s">
        <v>157</v>
      </c>
      <c r="O59" s="52">
        <v>1</v>
      </c>
      <c r="P59" s="49"/>
      <c r="Q59" s="17"/>
    </row>
    <row r="60" spans="1:17" x14ac:dyDescent="0.25">
      <c r="A60" s="9" t="str">
        <f t="shared" si="2"/>
        <v>CUSTO DE DROPCOPY USD - BGC LIQUIDEZ -  MARÇO 26</v>
      </c>
      <c r="B60" s="10">
        <v>46082</v>
      </c>
      <c r="C60" s="9">
        <v>817632</v>
      </c>
      <c r="D60" s="11" t="s">
        <v>141</v>
      </c>
      <c r="E60" s="57">
        <f t="shared" si="1"/>
        <v>-1855.0617500000003</v>
      </c>
      <c r="F60" s="9" t="s">
        <v>45</v>
      </c>
      <c r="G60" s="10">
        <v>46082</v>
      </c>
      <c r="H60" s="9">
        <v>1170</v>
      </c>
      <c r="J60" s="12" t="s">
        <v>36</v>
      </c>
      <c r="K60" s="12" t="s">
        <v>47</v>
      </c>
      <c r="L60" s="61">
        <v>1855.0617500000003</v>
      </c>
      <c r="M60" s="14" t="s">
        <v>1</v>
      </c>
      <c r="N60" s="15" t="s">
        <v>157</v>
      </c>
      <c r="O60" s="16">
        <v>1</v>
      </c>
      <c r="P60" s="13"/>
      <c r="Q60" s="17"/>
    </row>
    <row r="61" spans="1:17" x14ac:dyDescent="0.25">
      <c r="A61" s="1" t="str">
        <f t="shared" si="2"/>
        <v>CUSTO DE DROPCOPY USD - BGC LIQUIDEZ -  MARÇO 26</v>
      </c>
      <c r="B61" s="2">
        <v>46082</v>
      </c>
      <c r="C61" s="1">
        <v>817632</v>
      </c>
      <c r="D61" s="3" t="s">
        <v>95</v>
      </c>
      <c r="E61" s="58">
        <f t="shared" si="1"/>
        <v>-1855.0617500000003</v>
      </c>
      <c r="F61" s="1" t="s">
        <v>45</v>
      </c>
      <c r="G61" s="2">
        <v>46082</v>
      </c>
      <c r="H61" s="1">
        <v>1170</v>
      </c>
      <c r="J61" s="4" t="s">
        <v>36</v>
      </c>
      <c r="K61" s="4" t="s">
        <v>47</v>
      </c>
      <c r="L61" s="60">
        <v>1855.0617500000003</v>
      </c>
      <c r="M61" s="6" t="s">
        <v>1</v>
      </c>
      <c r="N61" s="7" t="s">
        <v>157</v>
      </c>
      <c r="O61" s="8">
        <v>1</v>
      </c>
      <c r="P61" s="5"/>
      <c r="Q61" s="17"/>
    </row>
    <row r="62" spans="1:17" x14ac:dyDescent="0.25">
      <c r="A62" s="1" t="str">
        <f t="shared" si="2"/>
        <v>CUSTO DE DROPCOPY USD - SCHONFELD -  MARÇO 26</v>
      </c>
      <c r="B62" s="2">
        <v>46082</v>
      </c>
      <c r="C62" s="1">
        <v>817632</v>
      </c>
      <c r="D62" s="3" t="s">
        <v>95</v>
      </c>
      <c r="E62" s="58">
        <f t="shared" si="1"/>
        <v>-1304.8500000000001</v>
      </c>
      <c r="F62" s="1" t="s">
        <v>115</v>
      </c>
      <c r="G62" s="2">
        <v>46082</v>
      </c>
      <c r="H62" s="1">
        <v>83063</v>
      </c>
      <c r="J62" s="4" t="s">
        <v>36</v>
      </c>
      <c r="K62" s="4" t="s">
        <v>143</v>
      </c>
      <c r="L62" s="60">
        <v>1304.8500000000001</v>
      </c>
      <c r="M62" s="6" t="s">
        <v>1</v>
      </c>
      <c r="N62" s="7" t="s">
        <v>157</v>
      </c>
      <c r="O62" s="8">
        <v>1</v>
      </c>
      <c r="P62" s="54"/>
      <c r="Q62" s="17"/>
    </row>
    <row r="63" spans="1:17" x14ac:dyDescent="0.25">
      <c r="A63" s="1" t="str">
        <f t="shared" si="2"/>
        <v>CUSTO DE DROPCOPY USD - VINLAND CAPITAL MANAGEMENT -  MARÇO 26</v>
      </c>
      <c r="B63" s="2">
        <v>46082</v>
      </c>
      <c r="C63" s="1">
        <v>817632</v>
      </c>
      <c r="D63" s="3" t="s">
        <v>95</v>
      </c>
      <c r="E63" s="58">
        <f t="shared" si="1"/>
        <v>-2661.8940000000002</v>
      </c>
      <c r="F63" s="1" t="s">
        <v>115</v>
      </c>
      <c r="G63" s="2">
        <v>46082</v>
      </c>
      <c r="H63" s="1">
        <v>80359</v>
      </c>
      <c r="J63" s="4" t="s">
        <v>36</v>
      </c>
      <c r="K63" s="4" t="s">
        <v>116</v>
      </c>
      <c r="L63" s="60">
        <v>2661.8940000000002</v>
      </c>
      <c r="M63" s="6" t="s">
        <v>1</v>
      </c>
      <c r="N63" s="7" t="s">
        <v>157</v>
      </c>
      <c r="O63" s="8">
        <v>1</v>
      </c>
      <c r="P63" s="54"/>
      <c r="Q63" s="17"/>
    </row>
    <row r="64" spans="1:17" x14ac:dyDescent="0.25">
      <c r="A64" s="1" t="str">
        <f t="shared" si="2"/>
        <v>CUSTO DE DROPCOPY USD - BGC LIQUIDEZ -  MARÇO 26</v>
      </c>
      <c r="B64" s="2">
        <v>46082</v>
      </c>
      <c r="C64" s="1">
        <v>817632</v>
      </c>
      <c r="D64" s="3" t="s">
        <v>2</v>
      </c>
      <c r="E64" s="58">
        <f t="shared" si="1"/>
        <v>-11482.68</v>
      </c>
      <c r="F64" s="1" t="s">
        <v>117</v>
      </c>
      <c r="G64" s="2">
        <v>46082</v>
      </c>
      <c r="H64" s="1">
        <v>1170</v>
      </c>
      <c r="J64" s="4" t="s">
        <v>36</v>
      </c>
      <c r="K64" s="4" t="s">
        <v>47</v>
      </c>
      <c r="L64" s="60">
        <v>11482.68</v>
      </c>
      <c r="M64" s="6" t="s">
        <v>1</v>
      </c>
      <c r="N64" s="7" t="s">
        <v>157</v>
      </c>
      <c r="O64" s="8">
        <v>1</v>
      </c>
      <c r="P64" s="5"/>
      <c r="Q64" s="17"/>
    </row>
    <row r="65" spans="1:17" x14ac:dyDescent="0.25">
      <c r="A65" s="1" t="str">
        <f t="shared" si="2"/>
        <v>CUSTO DE DROPCOPY USD - BGC LIQUIDEZ -  MARÇO 26</v>
      </c>
      <c r="B65" s="2">
        <v>46082</v>
      </c>
      <c r="C65" s="1">
        <v>817632</v>
      </c>
      <c r="D65" s="3" t="s">
        <v>95</v>
      </c>
      <c r="E65" s="66">
        <f t="shared" si="1"/>
        <v>-2792.3790000000004</v>
      </c>
      <c r="F65" s="1" t="s">
        <v>118</v>
      </c>
      <c r="G65" s="2">
        <v>46082</v>
      </c>
      <c r="H65" s="1">
        <v>1170</v>
      </c>
      <c r="J65" s="4" t="s">
        <v>36</v>
      </c>
      <c r="K65" s="4" t="s">
        <v>47</v>
      </c>
      <c r="L65" s="69">
        <v>2792.3790000000004</v>
      </c>
      <c r="M65" s="23" t="s">
        <v>1</v>
      </c>
      <c r="N65" s="24" t="s">
        <v>157</v>
      </c>
      <c r="O65" s="25">
        <v>1</v>
      </c>
      <c r="P65" s="5"/>
      <c r="Q65" s="17"/>
    </row>
    <row r="66" spans="1:17" x14ac:dyDescent="0.25">
      <c r="A66" s="9" t="str">
        <f t="shared" si="2"/>
        <v>CUSTO DE DROPCOPY BRL - BANCO CITIBANK -  MARÇO 26</v>
      </c>
      <c r="B66" s="10">
        <v>46082</v>
      </c>
      <c r="C66" s="9">
        <v>817632</v>
      </c>
      <c r="D66" s="11" t="s">
        <v>2</v>
      </c>
      <c r="E66" s="57">
        <f t="shared" si="1"/>
        <v>-0.18649696402946114</v>
      </c>
      <c r="F66" s="9" t="s">
        <v>49</v>
      </c>
      <c r="G66" s="10">
        <v>46082</v>
      </c>
      <c r="H66" s="9">
        <v>80961</v>
      </c>
      <c r="J66" s="12" t="s">
        <v>52</v>
      </c>
      <c r="K66" s="12" t="s">
        <v>53</v>
      </c>
      <c r="L66" s="75">
        <v>718.29</v>
      </c>
      <c r="M66" s="14" t="s">
        <v>1</v>
      </c>
      <c r="N66" s="15" t="s">
        <v>157</v>
      </c>
      <c r="O66" s="16">
        <v>2.5964020664280606E-4</v>
      </c>
      <c r="P66" s="13"/>
    </row>
    <row r="67" spans="1:17" x14ac:dyDescent="0.25">
      <c r="A67" s="9" t="str">
        <f t="shared" si="2"/>
        <v>CUSTO DE DROPCOPY BRL - BANCO CITIBANK -  MARÇO 26</v>
      </c>
      <c r="B67" s="10">
        <v>46082</v>
      </c>
      <c r="C67" s="9">
        <v>817632</v>
      </c>
      <c r="D67" s="11" t="s">
        <v>97</v>
      </c>
      <c r="E67" s="57">
        <f t="shared" si="1"/>
        <v>-57.630986240619144</v>
      </c>
      <c r="F67" s="9" t="s">
        <v>49</v>
      </c>
      <c r="G67" s="10">
        <v>46082</v>
      </c>
      <c r="H67" s="9">
        <v>80961</v>
      </c>
      <c r="J67" s="12" t="s">
        <v>52</v>
      </c>
      <c r="K67" s="12" t="s">
        <v>53</v>
      </c>
      <c r="L67" s="75">
        <v>718.29</v>
      </c>
      <c r="M67" s="14" t="s">
        <v>1</v>
      </c>
      <c r="N67" s="15" t="s">
        <v>157</v>
      </c>
      <c r="O67" s="16">
        <v>8.0233591224462469E-2</v>
      </c>
      <c r="P67" s="13"/>
    </row>
    <row r="68" spans="1:17" x14ac:dyDescent="0.25">
      <c r="A68" s="9" t="str">
        <f t="shared" si="2"/>
        <v>CUSTO DE DROPCOPY BRL - BANCO CITIBANK -  MARÇO 26</v>
      </c>
      <c r="B68" s="10">
        <v>46082</v>
      </c>
      <c r="C68" s="9">
        <v>817632</v>
      </c>
      <c r="D68" s="11" t="s">
        <v>98</v>
      </c>
      <c r="E68" s="57">
        <f t="shared" si="1"/>
        <v>-141.90403613032205</v>
      </c>
      <c r="F68" s="9" t="s">
        <v>49</v>
      </c>
      <c r="G68" s="10">
        <v>46082</v>
      </c>
      <c r="H68" s="9">
        <v>80961</v>
      </c>
      <c r="J68" s="12" t="s">
        <v>52</v>
      </c>
      <c r="K68" s="12" t="s">
        <v>53</v>
      </c>
      <c r="L68" s="75">
        <v>718.29</v>
      </c>
      <c r="M68" s="14" t="s">
        <v>1</v>
      </c>
      <c r="N68" s="15" t="s">
        <v>157</v>
      </c>
      <c r="O68" s="16">
        <v>0.19755813965156421</v>
      </c>
      <c r="P68" s="13"/>
    </row>
    <row r="69" spans="1:17" x14ac:dyDescent="0.25">
      <c r="A69" s="9" t="str">
        <f t="shared" si="2"/>
        <v>CUSTO DE DROPCOPY BRL - BANCO CITIBANK -  MARÇO 26</v>
      </c>
      <c r="B69" s="10">
        <v>46082</v>
      </c>
      <c r="C69" s="9">
        <v>817632</v>
      </c>
      <c r="D69" s="11" t="s">
        <v>100</v>
      </c>
      <c r="E69" s="57">
        <f t="shared" ref="E69:E121" si="4">-L69*O69</f>
        <v>-2.8430087656350138</v>
      </c>
      <c r="F69" s="9" t="s">
        <v>49</v>
      </c>
      <c r="G69" s="10">
        <v>46082</v>
      </c>
      <c r="H69" s="9">
        <v>80961</v>
      </c>
      <c r="J69" s="12" t="s">
        <v>52</v>
      </c>
      <c r="K69" s="12" t="s">
        <v>53</v>
      </c>
      <c r="L69" s="75">
        <v>718.29</v>
      </c>
      <c r="M69" s="14" t="s">
        <v>1</v>
      </c>
      <c r="N69" s="15" t="s">
        <v>157</v>
      </c>
      <c r="O69" s="16">
        <v>3.9580235916343177E-3</v>
      </c>
      <c r="P69" s="13"/>
    </row>
    <row r="70" spans="1:17" x14ac:dyDescent="0.25">
      <c r="A70" s="9" t="str">
        <f t="shared" si="2"/>
        <v>CUSTO DE DROPCOPY BRL - BANCO CITIBANK -  MARÇO 26</v>
      </c>
      <c r="B70" s="10">
        <v>46082</v>
      </c>
      <c r="C70" s="9">
        <v>817632</v>
      </c>
      <c r="D70" s="11" t="s">
        <v>11</v>
      </c>
      <c r="E70" s="57">
        <f t="shared" si="4"/>
        <v>-1.8316740230285617</v>
      </c>
      <c r="F70" s="9" t="s">
        <v>49</v>
      </c>
      <c r="G70" s="10">
        <v>46082</v>
      </c>
      <c r="H70" s="9">
        <v>80961</v>
      </c>
      <c r="J70" s="12" t="s">
        <v>52</v>
      </c>
      <c r="K70" s="12" t="s">
        <v>53</v>
      </c>
      <c r="L70" s="75">
        <v>718.29</v>
      </c>
      <c r="M70" s="14" t="s">
        <v>1</v>
      </c>
      <c r="N70" s="15" t="s">
        <v>157</v>
      </c>
      <c r="O70" s="16">
        <v>2.5500480627999303E-3</v>
      </c>
      <c r="P70" s="13"/>
    </row>
    <row r="71" spans="1:17" x14ac:dyDescent="0.25">
      <c r="A71" s="9" t="str">
        <f t="shared" si="2"/>
        <v>CUSTO DE DROPCOPY BRL - BANCO CITIBANK -  MARÇO 26</v>
      </c>
      <c r="B71" s="10">
        <v>46082</v>
      </c>
      <c r="C71" s="9">
        <v>817632</v>
      </c>
      <c r="D71" s="11" t="s">
        <v>91</v>
      </c>
      <c r="E71" s="57">
        <f t="shared" si="4"/>
        <v>-449.94289289253453</v>
      </c>
      <c r="F71" s="9" t="s">
        <v>49</v>
      </c>
      <c r="G71" s="10">
        <v>46082</v>
      </c>
      <c r="H71" s="9">
        <v>80961</v>
      </c>
      <c r="J71" s="12" t="s">
        <v>52</v>
      </c>
      <c r="K71" s="12" t="s">
        <v>53</v>
      </c>
      <c r="L71" s="75">
        <v>718.29</v>
      </c>
      <c r="M71" s="14" t="s">
        <v>1</v>
      </c>
      <c r="N71" s="15" t="s">
        <v>157</v>
      </c>
      <c r="O71" s="16">
        <v>0.62640840453373225</v>
      </c>
      <c r="P71" s="13"/>
    </row>
    <row r="72" spans="1:17" x14ac:dyDescent="0.25">
      <c r="A72" s="9" t="str">
        <f t="shared" si="2"/>
        <v>CUSTO DE DROPCOPY BRL - BANCO CITIBANK -  MARÇO 26</v>
      </c>
      <c r="B72" s="10">
        <v>46082</v>
      </c>
      <c r="C72" s="9">
        <v>817632</v>
      </c>
      <c r="D72" s="11" t="s">
        <v>40</v>
      </c>
      <c r="E72" s="57">
        <f t="shared" si="4"/>
        <v>-49.143845897544011</v>
      </c>
      <c r="F72" s="9" t="s">
        <v>49</v>
      </c>
      <c r="G72" s="10">
        <v>46082</v>
      </c>
      <c r="H72" s="9">
        <v>80961</v>
      </c>
      <c r="J72" s="12" t="s">
        <v>52</v>
      </c>
      <c r="K72" s="12" t="s">
        <v>53</v>
      </c>
      <c r="L72" s="75">
        <v>718.29</v>
      </c>
      <c r="M72" s="14" t="s">
        <v>1</v>
      </c>
      <c r="N72" s="15" t="s">
        <v>157</v>
      </c>
      <c r="O72" s="16">
        <v>6.8417833879831289E-2</v>
      </c>
      <c r="P72" s="13"/>
    </row>
    <row r="73" spans="1:17" x14ac:dyDescent="0.25">
      <c r="A73" s="9" t="str">
        <f t="shared" si="2"/>
        <v>CUSTO DE DROPCOPY BRL - BANCO CITIBANK -  MARÇO 26</v>
      </c>
      <c r="B73" s="10">
        <v>46082</v>
      </c>
      <c r="C73" s="9">
        <v>817632</v>
      </c>
      <c r="D73" s="11" t="s">
        <v>41</v>
      </c>
      <c r="E73" s="57">
        <f t="shared" si="4"/>
        <v>-14.807059086287232</v>
      </c>
      <c r="F73" s="9" t="s">
        <v>49</v>
      </c>
      <c r="G73" s="10">
        <v>46082</v>
      </c>
      <c r="H73" s="9">
        <v>80961</v>
      </c>
      <c r="J73" s="12" t="s">
        <v>52</v>
      </c>
      <c r="K73" s="12" t="s">
        <v>53</v>
      </c>
      <c r="L73" s="75">
        <v>718.29</v>
      </c>
      <c r="M73" s="14" t="s">
        <v>1</v>
      </c>
      <c r="N73" s="15" t="s">
        <v>157</v>
      </c>
      <c r="O73" s="16">
        <v>2.0614318849332767E-2</v>
      </c>
      <c r="P73" s="13"/>
    </row>
    <row r="74" spans="1:17" x14ac:dyDescent="0.25">
      <c r="A74" s="45" t="str">
        <f t="shared" si="2"/>
        <v>CUSTO DE DROPCOPY BRL - BANCO SANTANDER -  MARÇO 26</v>
      </c>
      <c r="B74" s="46">
        <v>46082</v>
      </c>
      <c r="C74" s="45">
        <v>817632</v>
      </c>
      <c r="D74" s="47" t="s">
        <v>106</v>
      </c>
      <c r="E74" s="56">
        <f t="shared" si="4"/>
        <v>-0.34500629311995989</v>
      </c>
      <c r="F74" s="45" t="s">
        <v>49</v>
      </c>
      <c r="G74" s="46">
        <v>46082</v>
      </c>
      <c r="H74" s="45">
        <v>80015</v>
      </c>
      <c r="J74" s="48" t="s">
        <v>52</v>
      </c>
      <c r="K74" s="48" t="s">
        <v>54</v>
      </c>
      <c r="L74" s="62">
        <v>1436.58</v>
      </c>
      <c r="M74" s="50" t="s">
        <v>1</v>
      </c>
      <c r="N74" s="51" t="s">
        <v>157</v>
      </c>
      <c r="O74" s="52">
        <v>2.4015807899313641E-4</v>
      </c>
      <c r="P74" s="49"/>
    </row>
    <row r="75" spans="1:17" x14ac:dyDescent="0.25">
      <c r="A75" s="9" t="str">
        <f t="shared" si="2"/>
        <v>CUSTO DE DROPCOPY BRL - BANCO SANTANDER -  MARÇO 26</v>
      </c>
      <c r="B75" s="10">
        <v>46082</v>
      </c>
      <c r="C75" s="9">
        <v>817632</v>
      </c>
      <c r="D75" s="11" t="s">
        <v>44</v>
      </c>
      <c r="E75" s="57">
        <f t="shared" si="4"/>
        <v>-31.963919095795212</v>
      </c>
      <c r="F75" s="9" t="s">
        <v>49</v>
      </c>
      <c r="G75" s="10">
        <v>46082</v>
      </c>
      <c r="H75" s="9">
        <v>80015</v>
      </c>
      <c r="J75" s="12" t="s">
        <v>52</v>
      </c>
      <c r="K75" s="12" t="s">
        <v>54</v>
      </c>
      <c r="L75" s="61">
        <v>1436.58</v>
      </c>
      <c r="M75" s="14" t="s">
        <v>1</v>
      </c>
      <c r="N75" s="15" t="s">
        <v>157</v>
      </c>
      <c r="O75" s="16">
        <v>2.2250009812050296E-2</v>
      </c>
      <c r="P75" s="13"/>
    </row>
    <row r="76" spans="1:17" x14ac:dyDescent="0.25">
      <c r="A76" s="9" t="str">
        <f t="shared" si="2"/>
        <v>CUSTO DE DROPCOPY BRL - BANCO SANTANDER -  MARÇO 26</v>
      </c>
      <c r="B76" s="10">
        <v>46082</v>
      </c>
      <c r="C76" s="9">
        <v>817632</v>
      </c>
      <c r="D76" s="11" t="s">
        <v>102</v>
      </c>
      <c r="E76" s="57">
        <f t="shared" si="4"/>
        <v>-2.5461429411643812</v>
      </c>
      <c r="F76" s="9" t="s">
        <v>49</v>
      </c>
      <c r="G76" s="10">
        <v>46082</v>
      </c>
      <c r="H76" s="9">
        <v>80015</v>
      </c>
      <c r="J76" s="12" t="s">
        <v>52</v>
      </c>
      <c r="K76" s="12" t="s">
        <v>54</v>
      </c>
      <c r="L76" s="61">
        <v>1436.58</v>
      </c>
      <c r="M76" s="14" t="s">
        <v>1</v>
      </c>
      <c r="N76" s="15" t="s">
        <v>157</v>
      </c>
      <c r="O76" s="16">
        <v>1.7723641851928758E-3</v>
      </c>
      <c r="P76" s="13"/>
    </row>
    <row r="77" spans="1:17" x14ac:dyDescent="0.25">
      <c r="A77" s="9" t="str">
        <f t="shared" si="2"/>
        <v>CUSTO DE DROPCOPY BRL - BANCO SANTANDER -  MARÇO 26</v>
      </c>
      <c r="B77" s="10">
        <v>46082</v>
      </c>
      <c r="C77" s="9">
        <v>817632</v>
      </c>
      <c r="D77" s="11" t="s">
        <v>104</v>
      </c>
      <c r="E77" s="57">
        <f t="shared" si="4"/>
        <v>-120.0387261975638</v>
      </c>
      <c r="F77" s="9" t="s">
        <v>49</v>
      </c>
      <c r="G77" s="10">
        <v>46082</v>
      </c>
      <c r="H77" s="9">
        <v>80015</v>
      </c>
      <c r="J77" s="12" t="s">
        <v>52</v>
      </c>
      <c r="K77" s="12" t="s">
        <v>54</v>
      </c>
      <c r="L77" s="61">
        <v>1436.58</v>
      </c>
      <c r="M77" s="14" t="s">
        <v>1</v>
      </c>
      <c r="N77" s="15" t="s">
        <v>157</v>
      </c>
      <c r="O77" s="16">
        <v>8.3558678387255711E-2</v>
      </c>
      <c r="P77" s="13"/>
    </row>
    <row r="78" spans="1:17" x14ac:dyDescent="0.25">
      <c r="A78" s="9" t="str">
        <f t="shared" si="2"/>
        <v>CUSTO DE DROPCOPY BRL - BANCO SANTANDER -  MARÇO 26</v>
      </c>
      <c r="B78" s="10">
        <v>46082</v>
      </c>
      <c r="C78" s="9">
        <v>817632</v>
      </c>
      <c r="D78" s="11" t="s">
        <v>15</v>
      </c>
      <c r="E78" s="57">
        <f t="shared" si="4"/>
        <v>-110.5107832427415</v>
      </c>
      <c r="F78" s="9" t="s">
        <v>49</v>
      </c>
      <c r="G78" s="10">
        <v>46082</v>
      </c>
      <c r="H78" s="9">
        <v>80015</v>
      </c>
      <c r="J78" s="12" t="s">
        <v>52</v>
      </c>
      <c r="K78" s="12" t="s">
        <v>54</v>
      </c>
      <c r="L78" s="61">
        <v>1436.58</v>
      </c>
      <c r="M78" s="14" t="s">
        <v>1</v>
      </c>
      <c r="N78" s="15" t="s">
        <v>157</v>
      </c>
      <c r="O78" s="16">
        <v>7.6926299435284839E-2</v>
      </c>
      <c r="P78" s="13"/>
    </row>
    <row r="79" spans="1:17" x14ac:dyDescent="0.25">
      <c r="A79" s="9" t="str">
        <f t="shared" si="2"/>
        <v>CUSTO DE DROPCOPY BRL - BANCO SANTANDER -  MARÇO 26</v>
      </c>
      <c r="B79" s="10">
        <v>46082</v>
      </c>
      <c r="C79" s="9">
        <v>817632</v>
      </c>
      <c r="D79" s="11" t="s">
        <v>100</v>
      </c>
      <c r="E79" s="57">
        <f t="shared" si="4"/>
        <v>-4.239153388848993</v>
      </c>
      <c r="F79" s="9" t="s">
        <v>49</v>
      </c>
      <c r="G79" s="10">
        <v>46082</v>
      </c>
      <c r="H79" s="9">
        <v>80015</v>
      </c>
      <c r="J79" s="12" t="s">
        <v>52</v>
      </c>
      <c r="K79" s="12" t="s">
        <v>54</v>
      </c>
      <c r="L79" s="61">
        <v>1436.58</v>
      </c>
      <c r="M79" s="14" t="s">
        <v>1</v>
      </c>
      <c r="N79" s="15" t="s">
        <v>157</v>
      </c>
      <c r="O79" s="16">
        <v>2.9508648239910018E-3</v>
      </c>
      <c r="P79" s="13"/>
    </row>
    <row r="80" spans="1:17" x14ac:dyDescent="0.25">
      <c r="A80" s="9" t="str">
        <f t="shared" si="2"/>
        <v>CUSTO DE DROPCOPY BRL - BANCO SANTANDER -  MARÇO 26</v>
      </c>
      <c r="B80" s="10">
        <v>46082</v>
      </c>
      <c r="C80" s="9">
        <v>817632</v>
      </c>
      <c r="D80" s="11" t="s">
        <v>11</v>
      </c>
      <c r="E80" s="57">
        <f t="shared" si="4"/>
        <v>-428.81549865973682</v>
      </c>
      <c r="F80" s="9" t="s">
        <v>49</v>
      </c>
      <c r="G80" s="10">
        <v>46082</v>
      </c>
      <c r="H80" s="9">
        <v>80015</v>
      </c>
      <c r="J80" s="12" t="s">
        <v>52</v>
      </c>
      <c r="K80" s="12" t="s">
        <v>54</v>
      </c>
      <c r="L80" s="61">
        <v>1436.58</v>
      </c>
      <c r="M80" s="14" t="s">
        <v>1</v>
      </c>
      <c r="N80" s="15" t="s">
        <v>157</v>
      </c>
      <c r="O80" s="16">
        <v>0.29849747223248052</v>
      </c>
      <c r="P80" s="13"/>
    </row>
    <row r="81" spans="1:16" x14ac:dyDescent="0.25">
      <c r="A81" s="9" t="str">
        <f t="shared" si="2"/>
        <v>CUSTO DE DROPCOPY BRL - BANCO SANTANDER -  MARÇO 26</v>
      </c>
      <c r="B81" s="10">
        <v>46082</v>
      </c>
      <c r="C81" s="9">
        <v>817632</v>
      </c>
      <c r="D81" s="11" t="s">
        <v>129</v>
      </c>
      <c r="E81" s="57">
        <f t="shared" si="4"/>
        <v>-148.70429773187266</v>
      </c>
      <c r="F81" s="9" t="s">
        <v>49</v>
      </c>
      <c r="G81" s="10">
        <v>46082</v>
      </c>
      <c r="H81" s="9">
        <v>80015</v>
      </c>
      <c r="J81" s="12" t="s">
        <v>52</v>
      </c>
      <c r="K81" s="12" t="s">
        <v>54</v>
      </c>
      <c r="L81" s="61">
        <v>1436.58</v>
      </c>
      <c r="M81" s="14" t="s">
        <v>1</v>
      </c>
      <c r="N81" s="15" t="s">
        <v>157</v>
      </c>
      <c r="O81" s="16">
        <v>0.10351271612571013</v>
      </c>
      <c r="P81" s="13"/>
    </row>
    <row r="82" spans="1:16" x14ac:dyDescent="0.25">
      <c r="A82" s="9" t="str">
        <f t="shared" si="2"/>
        <v>CUSTO DE DROPCOPY BRL - BANCO SANTANDER -  MARÇO 26</v>
      </c>
      <c r="B82" s="10">
        <v>46082</v>
      </c>
      <c r="C82" s="9">
        <v>817632</v>
      </c>
      <c r="D82" s="11" t="s">
        <v>20</v>
      </c>
      <c r="E82" s="57">
        <f t="shared" si="4"/>
        <v>-84.193724215916475</v>
      </c>
      <c r="F82" s="9" t="s">
        <v>49</v>
      </c>
      <c r="G82" s="10">
        <v>46082</v>
      </c>
      <c r="H82" s="9">
        <v>80015</v>
      </c>
      <c r="J82" s="12" t="s">
        <v>52</v>
      </c>
      <c r="K82" s="12" t="s">
        <v>54</v>
      </c>
      <c r="L82" s="61">
        <v>1436.58</v>
      </c>
      <c r="M82" s="14" t="s">
        <v>1</v>
      </c>
      <c r="N82" s="15" t="s">
        <v>157</v>
      </c>
      <c r="O82" s="16">
        <v>5.8607055796347216E-2</v>
      </c>
      <c r="P82" s="13"/>
    </row>
    <row r="83" spans="1:16" x14ac:dyDescent="0.25">
      <c r="A83" s="9" t="str">
        <f t="shared" si="2"/>
        <v>CUSTO DE DROPCOPY BRL - BANCO SANTANDER -  MARÇO 26</v>
      </c>
      <c r="B83" s="10">
        <v>46082</v>
      </c>
      <c r="C83" s="9">
        <v>817632</v>
      </c>
      <c r="D83" s="11" t="s">
        <v>40</v>
      </c>
      <c r="E83" s="57">
        <f t="shared" si="4"/>
        <v>-371.14609457186339</v>
      </c>
      <c r="F83" s="9" t="s">
        <v>49</v>
      </c>
      <c r="G83" s="10">
        <v>46082</v>
      </c>
      <c r="H83" s="9">
        <v>80015</v>
      </c>
      <c r="J83" s="12" t="s">
        <v>52</v>
      </c>
      <c r="K83" s="12" t="s">
        <v>54</v>
      </c>
      <c r="L83" s="61">
        <v>1436.58</v>
      </c>
      <c r="M83" s="14" t="s">
        <v>1</v>
      </c>
      <c r="N83" s="15" t="s">
        <v>157</v>
      </c>
      <c r="O83" s="16">
        <v>0.25835393404604229</v>
      </c>
      <c r="P83" s="13"/>
    </row>
    <row r="84" spans="1:16" x14ac:dyDescent="0.25">
      <c r="A84" s="9" t="str">
        <f t="shared" si="2"/>
        <v>CUSTO DE DROPCOPY BRL - BANCO SANTANDER -  MARÇO 26</v>
      </c>
      <c r="B84" s="10">
        <v>46082</v>
      </c>
      <c r="C84" s="9">
        <v>817632</v>
      </c>
      <c r="D84" s="11" t="s">
        <v>168</v>
      </c>
      <c r="E84" s="57">
        <f t="shared" si="4"/>
        <v>-52.492878414001289</v>
      </c>
      <c r="F84" s="9" t="s">
        <v>49</v>
      </c>
      <c r="G84" s="10">
        <v>46082</v>
      </c>
      <c r="H84" s="9">
        <v>80015</v>
      </c>
      <c r="J84" s="12" t="s">
        <v>52</v>
      </c>
      <c r="K84" s="12" t="s">
        <v>54</v>
      </c>
      <c r="L84" s="61">
        <v>1436.58</v>
      </c>
      <c r="M84" s="14" t="s">
        <v>1</v>
      </c>
      <c r="N84" s="15" t="s">
        <v>157</v>
      </c>
      <c r="O84" s="16">
        <v>3.6540170692896529E-2</v>
      </c>
      <c r="P84" s="13"/>
    </row>
    <row r="85" spans="1:16" x14ac:dyDescent="0.25">
      <c r="A85" s="9" t="str">
        <f t="shared" si="2"/>
        <v>CUSTO DE DROPCOPY BRL - BANCO SANTANDER -  MARÇO 26</v>
      </c>
      <c r="B85" s="10">
        <v>46082</v>
      </c>
      <c r="C85" s="9">
        <v>817632</v>
      </c>
      <c r="D85" s="11" t="s">
        <v>120</v>
      </c>
      <c r="E85" s="57">
        <f t="shared" si="4"/>
        <v>-20.934886245029624</v>
      </c>
      <c r="F85" s="9" t="s">
        <v>49</v>
      </c>
      <c r="G85" s="10">
        <v>46082</v>
      </c>
      <c r="H85" s="9">
        <v>80015</v>
      </c>
      <c r="J85" s="12" t="s">
        <v>52</v>
      </c>
      <c r="K85" s="12" t="s">
        <v>54</v>
      </c>
      <c r="L85" s="61">
        <v>1436.58</v>
      </c>
      <c r="M85" s="14" t="s">
        <v>1</v>
      </c>
      <c r="N85" s="15" t="s">
        <v>157</v>
      </c>
      <c r="O85" s="16">
        <v>1.4572725671406831E-2</v>
      </c>
      <c r="P85" s="13"/>
    </row>
    <row r="86" spans="1:16" x14ac:dyDescent="0.25">
      <c r="A86" s="9" t="str">
        <f t="shared" si="2"/>
        <v>CUSTO DE DROPCOPY BRL - BANCO SANTANDER -  MARÇO 26</v>
      </c>
      <c r="B86" s="10">
        <v>46082</v>
      </c>
      <c r="C86" s="9">
        <v>817632</v>
      </c>
      <c r="D86" s="11" t="s">
        <v>41</v>
      </c>
      <c r="E86" s="57">
        <f t="shared" si="4"/>
        <v>-20.934886245029624</v>
      </c>
      <c r="F86" s="9" t="s">
        <v>49</v>
      </c>
      <c r="G86" s="10">
        <v>46082</v>
      </c>
      <c r="H86" s="9">
        <v>80015</v>
      </c>
      <c r="J86" s="12" t="s">
        <v>52</v>
      </c>
      <c r="K86" s="12" t="s">
        <v>54</v>
      </c>
      <c r="L86" s="61">
        <v>1436.58</v>
      </c>
      <c r="M86" s="14" t="s">
        <v>1</v>
      </c>
      <c r="N86" s="15" t="s">
        <v>157</v>
      </c>
      <c r="O86" s="16">
        <v>1.4572725671406831E-2</v>
      </c>
      <c r="P86" s="13"/>
    </row>
    <row r="87" spans="1:16" x14ac:dyDescent="0.25">
      <c r="A87" s="9" t="str">
        <f t="shared" si="2"/>
        <v>CUSTO DE DROPCOPY BRL - BANCO SANTANDER -  MARÇO 26</v>
      </c>
      <c r="B87" s="10">
        <v>46082</v>
      </c>
      <c r="C87" s="9">
        <v>817632</v>
      </c>
      <c r="D87" s="11" t="s">
        <v>105</v>
      </c>
      <c r="E87" s="57">
        <f t="shared" si="4"/>
        <v>-39.714002757315967</v>
      </c>
      <c r="F87" s="9" t="s">
        <v>49</v>
      </c>
      <c r="G87" s="10">
        <v>46082</v>
      </c>
      <c r="H87" s="9">
        <v>80015</v>
      </c>
      <c r="J87" s="12" t="s">
        <v>52</v>
      </c>
      <c r="K87" s="12" t="s">
        <v>54</v>
      </c>
      <c r="L87" s="61">
        <v>1436.58</v>
      </c>
      <c r="M87" s="14" t="s">
        <v>1</v>
      </c>
      <c r="N87" s="15" t="s">
        <v>157</v>
      </c>
      <c r="O87" s="16">
        <v>2.7644825040941661E-2</v>
      </c>
      <c r="P87" s="13"/>
    </row>
    <row r="88" spans="1:16" x14ac:dyDescent="0.25">
      <c r="A88" s="45" t="str">
        <f t="shared" si="2"/>
        <v>CUSTO DE DROPCOPY BRL - GOLDMAN SACHS -  MARÇO 26</v>
      </c>
      <c r="B88" s="46">
        <v>46082</v>
      </c>
      <c r="C88" s="45">
        <v>817632</v>
      </c>
      <c r="D88" s="47" t="s">
        <v>2</v>
      </c>
      <c r="E88" s="56">
        <f t="shared" si="4"/>
        <v>-354.33654025425182</v>
      </c>
      <c r="F88" s="45" t="s">
        <v>49</v>
      </c>
      <c r="G88" s="46">
        <v>46082</v>
      </c>
      <c r="H88" s="45">
        <v>27645</v>
      </c>
      <c r="J88" s="48" t="s">
        <v>52</v>
      </c>
      <c r="K88" s="48" t="s">
        <v>55</v>
      </c>
      <c r="L88" s="62">
        <v>718.29</v>
      </c>
      <c r="M88" s="50" t="s">
        <v>1</v>
      </c>
      <c r="N88" s="51" t="s">
        <v>157</v>
      </c>
      <c r="O88" s="52">
        <v>0.49330568468759395</v>
      </c>
      <c r="P88" s="49"/>
    </row>
    <row r="89" spans="1:16" x14ac:dyDescent="0.25">
      <c r="A89" s="9" t="str">
        <f t="shared" si="2"/>
        <v>CUSTO DE DROPCOPY BRL - GOLDMAN SACHS -  MARÇO 26</v>
      </c>
      <c r="B89" s="10">
        <v>46082</v>
      </c>
      <c r="C89" s="9">
        <v>817632</v>
      </c>
      <c r="D89" s="11" t="s">
        <v>44</v>
      </c>
      <c r="E89" s="57">
        <f t="shared" si="4"/>
        <v>-82.967902737968288</v>
      </c>
      <c r="F89" s="9" t="s">
        <v>49</v>
      </c>
      <c r="G89" s="10">
        <v>46082</v>
      </c>
      <c r="H89" s="9">
        <v>27645</v>
      </c>
      <c r="J89" s="12" t="s">
        <v>52</v>
      </c>
      <c r="K89" s="12" t="s">
        <v>55</v>
      </c>
      <c r="L89" s="61">
        <v>718.29</v>
      </c>
      <c r="M89" s="14" t="s">
        <v>1</v>
      </c>
      <c r="N89" s="15" t="s">
        <v>157</v>
      </c>
      <c r="O89" s="16">
        <v>0.1155075286276689</v>
      </c>
      <c r="P89" s="13"/>
    </row>
    <row r="90" spans="1:16" x14ac:dyDescent="0.25">
      <c r="A90" s="9" t="str">
        <f t="shared" si="2"/>
        <v>CUSTO DE DROPCOPY BRL - GOLDMAN SACHS -  MARÇO 26</v>
      </c>
      <c r="B90" s="10">
        <v>46082</v>
      </c>
      <c r="C90" s="9">
        <v>817632</v>
      </c>
      <c r="D90" s="11" t="s">
        <v>103</v>
      </c>
      <c r="E90" s="57">
        <f t="shared" si="4"/>
        <v>-28.828193317615067</v>
      </c>
      <c r="F90" s="9" t="s">
        <v>49</v>
      </c>
      <c r="G90" s="10">
        <v>46082</v>
      </c>
      <c r="H90" s="9">
        <v>27645</v>
      </c>
      <c r="J90" s="12" t="s">
        <v>52</v>
      </c>
      <c r="K90" s="12" t="s">
        <v>55</v>
      </c>
      <c r="L90" s="61">
        <v>718.29</v>
      </c>
      <c r="M90" s="14" t="s">
        <v>1</v>
      </c>
      <c r="N90" s="15" t="s">
        <v>157</v>
      </c>
      <c r="O90" s="16">
        <v>4.0134476767900246E-2</v>
      </c>
      <c r="P90" s="13"/>
    </row>
    <row r="91" spans="1:16" x14ac:dyDescent="0.25">
      <c r="A91" s="9" t="str">
        <f t="shared" si="2"/>
        <v>CUSTO DE DROPCOPY BRL - GOLDMAN SACHS -  MARÇO 26</v>
      </c>
      <c r="B91" s="10">
        <v>46082</v>
      </c>
      <c r="C91" s="9">
        <v>817632</v>
      </c>
      <c r="D91" s="11" t="s">
        <v>11</v>
      </c>
      <c r="E91" s="57">
        <f t="shared" si="4"/>
        <v>-128.84750070041625</v>
      </c>
      <c r="F91" s="9" t="s">
        <v>49</v>
      </c>
      <c r="G91" s="10">
        <v>46082</v>
      </c>
      <c r="H91" s="9">
        <v>27645</v>
      </c>
      <c r="J91" s="12" t="s">
        <v>52</v>
      </c>
      <c r="K91" s="12" t="s">
        <v>55</v>
      </c>
      <c r="L91" s="61">
        <v>718.29</v>
      </c>
      <c r="M91" s="14" t="s">
        <v>1</v>
      </c>
      <c r="N91" s="15" t="s">
        <v>157</v>
      </c>
      <c r="O91" s="16">
        <v>0.17938089170170302</v>
      </c>
      <c r="P91" s="13"/>
    </row>
    <row r="92" spans="1:16" x14ac:dyDescent="0.25">
      <c r="A92" s="9" t="str">
        <f t="shared" si="2"/>
        <v>CUSTO DE DROPCOPY BRL - GOLDMAN SACHS -  MARÇO 26</v>
      </c>
      <c r="B92" s="10">
        <v>46082</v>
      </c>
      <c r="C92" s="9">
        <v>817632</v>
      </c>
      <c r="D92" s="11" t="s">
        <v>129</v>
      </c>
      <c r="E92" s="57">
        <f t="shared" si="4"/>
        <v>-54.103521212528342</v>
      </c>
      <c r="F92" s="9" t="s">
        <v>49</v>
      </c>
      <c r="G92" s="10">
        <v>46082</v>
      </c>
      <c r="H92" s="9">
        <v>27645</v>
      </c>
      <c r="J92" s="12" t="s">
        <v>52</v>
      </c>
      <c r="K92" s="12" t="s">
        <v>55</v>
      </c>
      <c r="L92" s="61">
        <v>718.29</v>
      </c>
      <c r="M92" s="14" t="s">
        <v>1</v>
      </c>
      <c r="N92" s="15" t="s">
        <v>157</v>
      </c>
      <c r="O92" s="16">
        <v>7.5322670805006819E-2</v>
      </c>
      <c r="P92" s="13"/>
    </row>
    <row r="93" spans="1:16" x14ac:dyDescent="0.25">
      <c r="A93" s="9" t="str">
        <f t="shared" si="2"/>
        <v>CUSTO DE DROPCOPY BRL - GOLDMAN SACHS -  MARÇO 26</v>
      </c>
      <c r="B93" s="10">
        <v>46082</v>
      </c>
      <c r="C93" s="9">
        <v>817632</v>
      </c>
      <c r="D93" s="11" t="s">
        <v>170</v>
      </c>
      <c r="E93" s="57">
        <f t="shared" si="4"/>
        <v>-0.61635569830445347</v>
      </c>
      <c r="F93" s="9" t="s">
        <v>49</v>
      </c>
      <c r="G93" s="10">
        <v>46082</v>
      </c>
      <c r="H93" s="9">
        <v>27645</v>
      </c>
      <c r="J93" s="12" t="s">
        <v>52</v>
      </c>
      <c r="K93" s="12" t="s">
        <v>55</v>
      </c>
      <c r="L93" s="61">
        <v>718.29</v>
      </c>
      <c r="M93" s="14" t="s">
        <v>1</v>
      </c>
      <c r="N93" s="15" t="s">
        <v>157</v>
      </c>
      <c r="O93" s="16">
        <v>8.580875388832554E-4</v>
      </c>
      <c r="P93" s="13"/>
    </row>
    <row r="94" spans="1:16" x14ac:dyDescent="0.25">
      <c r="A94" s="9" t="str">
        <f t="shared" si="2"/>
        <v>CUSTO DE DROPCOPY BRL - GOLDMAN SACHS -  MARÇO 26</v>
      </c>
      <c r="B94" s="10">
        <v>46082</v>
      </c>
      <c r="C94" s="9">
        <v>817632</v>
      </c>
      <c r="D94" s="11" t="s">
        <v>171</v>
      </c>
      <c r="E94" s="57">
        <f t="shared" si="4"/>
        <v>-19.741191512369568</v>
      </c>
      <c r="F94" s="9" t="s">
        <v>49</v>
      </c>
      <c r="G94" s="10">
        <v>46082</v>
      </c>
      <c r="H94" s="9">
        <v>27645</v>
      </c>
      <c r="J94" s="12" t="s">
        <v>52</v>
      </c>
      <c r="K94" s="12" t="s">
        <v>55</v>
      </c>
      <c r="L94" s="61">
        <v>718.29</v>
      </c>
      <c r="M94" s="14" t="s">
        <v>1</v>
      </c>
      <c r="N94" s="15" t="s">
        <v>157</v>
      </c>
      <c r="O94" s="16">
        <v>2.7483595083280528E-2</v>
      </c>
      <c r="P94" s="13"/>
    </row>
    <row r="95" spans="1:16" x14ac:dyDescent="0.25">
      <c r="A95" s="9" t="str">
        <f t="shared" si="2"/>
        <v>CUSTO DE DROPCOPY BRL - GOLDMAN SACHS -  MARÇO 26</v>
      </c>
      <c r="B95" s="10">
        <v>46082</v>
      </c>
      <c r="C95" s="9">
        <v>817632</v>
      </c>
      <c r="D95" s="11" t="s">
        <v>91</v>
      </c>
      <c r="E95" s="57">
        <f t="shared" si="4"/>
        <v>-2.1882714484738053E-2</v>
      </c>
      <c r="F95" s="9" t="s">
        <v>49</v>
      </c>
      <c r="G95" s="10">
        <v>46082</v>
      </c>
      <c r="H95" s="9">
        <v>27645</v>
      </c>
      <c r="J95" s="12" t="s">
        <v>52</v>
      </c>
      <c r="K95" s="12" t="s">
        <v>55</v>
      </c>
      <c r="L95" s="61">
        <v>718.29</v>
      </c>
      <c r="M95" s="14" t="s">
        <v>1</v>
      </c>
      <c r="N95" s="15" t="s">
        <v>157</v>
      </c>
      <c r="O95" s="16">
        <v>3.0465013413437547E-5</v>
      </c>
      <c r="P95" s="13"/>
    </row>
    <row r="96" spans="1:16" x14ac:dyDescent="0.25">
      <c r="A96" s="9" t="str">
        <f t="shared" si="2"/>
        <v>CUSTO DE DROPCOPY BRL - GOLDMAN SACHS -  MARÇO 26</v>
      </c>
      <c r="B96" s="10">
        <v>46082</v>
      </c>
      <c r="C96" s="9">
        <v>817632</v>
      </c>
      <c r="D96" s="11" t="s">
        <v>101</v>
      </c>
      <c r="E96" s="57">
        <f t="shared" si="4"/>
        <v>-37.409512349426308</v>
      </c>
      <c r="F96" s="9" t="s">
        <v>49</v>
      </c>
      <c r="G96" s="10">
        <v>46082</v>
      </c>
      <c r="H96" s="9">
        <v>27645</v>
      </c>
      <c r="J96" s="12" t="s">
        <v>52</v>
      </c>
      <c r="K96" s="12" t="s">
        <v>55</v>
      </c>
      <c r="L96" s="61">
        <v>718.29</v>
      </c>
      <c r="M96" s="14" t="s">
        <v>1</v>
      </c>
      <c r="N96" s="15" t="s">
        <v>157</v>
      </c>
      <c r="O96" s="16">
        <v>5.2081349245327528E-2</v>
      </c>
      <c r="P96" s="13"/>
    </row>
    <row r="97" spans="1:16" x14ac:dyDescent="0.25">
      <c r="A97" s="9" t="str">
        <f t="shared" si="2"/>
        <v>CUSTO DE DROPCOPY BRL - GOLDMAN SACHS -  MARÇO 26</v>
      </c>
      <c r="B97" s="10">
        <v>46082</v>
      </c>
      <c r="C97" s="9">
        <v>817632</v>
      </c>
      <c r="D97" s="11" t="s">
        <v>120</v>
      </c>
      <c r="E97" s="57">
        <f t="shared" si="4"/>
        <v>-3.2576422530923574</v>
      </c>
      <c r="F97" s="9" t="s">
        <v>49</v>
      </c>
      <c r="G97" s="10">
        <v>46082</v>
      </c>
      <c r="H97" s="9">
        <v>27645</v>
      </c>
      <c r="J97" s="12" t="s">
        <v>52</v>
      </c>
      <c r="K97" s="12" t="s">
        <v>55</v>
      </c>
      <c r="L97" s="61">
        <v>718.29</v>
      </c>
      <c r="M97" s="14" t="s">
        <v>1</v>
      </c>
      <c r="N97" s="15" t="s">
        <v>157</v>
      </c>
      <c r="O97" s="16">
        <v>4.535274406009213E-3</v>
      </c>
      <c r="P97" s="13"/>
    </row>
    <row r="98" spans="1:16" x14ac:dyDescent="0.25">
      <c r="A98" s="9" t="str">
        <f t="shared" si="2"/>
        <v>CUSTO DE DROPCOPY BRL - GOLDMAN SACHS -  MARÇO 26</v>
      </c>
      <c r="B98" s="10">
        <v>46082</v>
      </c>
      <c r="C98" s="9">
        <v>817632</v>
      </c>
      <c r="D98" s="11" t="s">
        <v>41</v>
      </c>
      <c r="E98" s="57">
        <f t="shared" si="4"/>
        <v>-8.159757249542718</v>
      </c>
      <c r="F98" s="9" t="s">
        <v>49</v>
      </c>
      <c r="G98" s="10">
        <v>46082</v>
      </c>
      <c r="H98" s="9">
        <v>27645</v>
      </c>
      <c r="J98" s="12" t="s">
        <v>52</v>
      </c>
      <c r="K98" s="12" t="s">
        <v>55</v>
      </c>
      <c r="L98" s="61">
        <v>718.29</v>
      </c>
      <c r="M98" s="14" t="s">
        <v>1</v>
      </c>
      <c r="N98" s="15" t="s">
        <v>157</v>
      </c>
      <c r="O98" s="16">
        <v>1.1359976123213074E-2</v>
      </c>
      <c r="P98" s="13"/>
    </row>
    <row r="99" spans="1:16" x14ac:dyDescent="0.25">
      <c r="A99" s="45" t="str">
        <f t="shared" si="2"/>
        <v>CUSTO DE DROPCOPY BRL - BANCO BTG PACTUAL -  MARÇO 26</v>
      </c>
      <c r="B99" s="46">
        <v>46082</v>
      </c>
      <c r="C99" s="45">
        <v>817632</v>
      </c>
      <c r="D99" s="47" t="s">
        <v>106</v>
      </c>
      <c r="E99" s="56">
        <f t="shared" si="4"/>
        <v>-231.31344714235857</v>
      </c>
      <c r="F99" s="45" t="s">
        <v>49</v>
      </c>
      <c r="G99" s="46">
        <v>46082</v>
      </c>
      <c r="H99" s="45">
        <v>15501</v>
      </c>
      <c r="J99" s="48" t="s">
        <v>52</v>
      </c>
      <c r="K99" s="48" t="s">
        <v>56</v>
      </c>
      <c r="L99" s="62">
        <v>718.29</v>
      </c>
      <c r="M99" s="50" t="s">
        <v>1</v>
      </c>
      <c r="N99" s="51" t="s">
        <v>157</v>
      </c>
      <c r="O99" s="52">
        <v>0.32203350616374804</v>
      </c>
      <c r="P99" s="49"/>
    </row>
    <row r="100" spans="1:16" x14ac:dyDescent="0.25">
      <c r="A100" s="9" t="str">
        <f t="shared" si="2"/>
        <v>CUSTO DE DROPCOPY BRL - BANCO BTG PACTUAL -  MARÇO 26</v>
      </c>
      <c r="B100" s="10">
        <v>46082</v>
      </c>
      <c r="C100" s="9">
        <v>817632</v>
      </c>
      <c r="D100" s="11" t="s">
        <v>98</v>
      </c>
      <c r="E100" s="57">
        <f t="shared" si="4"/>
        <v>-161.344987396834</v>
      </c>
      <c r="F100" s="9" t="s">
        <v>49</v>
      </c>
      <c r="G100" s="10">
        <v>46082</v>
      </c>
      <c r="H100" s="9">
        <v>15501</v>
      </c>
      <c r="J100" s="12" t="s">
        <v>52</v>
      </c>
      <c r="K100" s="12" t="s">
        <v>56</v>
      </c>
      <c r="L100" s="61">
        <v>718.29</v>
      </c>
      <c r="M100" s="14" t="s">
        <v>1</v>
      </c>
      <c r="N100" s="15" t="s">
        <v>157</v>
      </c>
      <c r="O100" s="16">
        <v>0.22462374165982266</v>
      </c>
      <c r="P100" s="13"/>
    </row>
    <row r="101" spans="1:16" x14ac:dyDescent="0.25">
      <c r="A101" s="9" t="str">
        <f t="shared" ref="A101:A121" si="5">CONCATENATE(J101,P101,M101,K101,M101,N101)</f>
        <v>CUSTO DE DROPCOPY BRL - BANCO BTG PACTUAL -  MARÇO 26</v>
      </c>
      <c r="B101" s="10">
        <v>46082</v>
      </c>
      <c r="C101" s="9">
        <v>817632</v>
      </c>
      <c r="D101" s="11" t="s">
        <v>103</v>
      </c>
      <c r="E101" s="57">
        <f t="shared" si="4"/>
        <v>-3.8107125065756886</v>
      </c>
      <c r="F101" s="9" t="s">
        <v>49</v>
      </c>
      <c r="G101" s="10">
        <v>46082</v>
      </c>
      <c r="H101" s="9">
        <v>15501</v>
      </c>
      <c r="J101" s="12" t="s">
        <v>52</v>
      </c>
      <c r="K101" s="12" t="s">
        <v>56</v>
      </c>
      <c r="L101" s="61">
        <v>718.29</v>
      </c>
      <c r="M101" s="14" t="s">
        <v>1</v>
      </c>
      <c r="N101" s="15" t="s">
        <v>157</v>
      </c>
      <c r="O101" s="16">
        <v>5.3052562427093356E-3</v>
      </c>
      <c r="P101" s="13"/>
    </row>
    <row r="102" spans="1:16" x14ac:dyDescent="0.25">
      <c r="A102" s="9" t="str">
        <f t="shared" si="5"/>
        <v>CUSTO DE DROPCOPY BRL - BANCO BTG PACTUAL -  MARÇO 26</v>
      </c>
      <c r="B102" s="10">
        <v>46082</v>
      </c>
      <c r="C102" s="9">
        <v>817632</v>
      </c>
      <c r="D102" s="11" t="s">
        <v>166</v>
      </c>
      <c r="E102" s="57">
        <f t="shared" si="4"/>
        <v>-35.781009554353957</v>
      </c>
      <c r="F102" s="9" t="s">
        <v>49</v>
      </c>
      <c r="G102" s="10">
        <v>46082</v>
      </c>
      <c r="H102" s="9">
        <v>15501</v>
      </c>
      <c r="J102" s="12" t="s">
        <v>52</v>
      </c>
      <c r="K102" s="12" t="s">
        <v>56</v>
      </c>
      <c r="L102" s="61">
        <v>718.29</v>
      </c>
      <c r="M102" s="14" t="s">
        <v>1</v>
      </c>
      <c r="N102" s="15" t="s">
        <v>157</v>
      </c>
      <c r="O102" s="16">
        <v>4.9814155221921452E-2</v>
      </c>
      <c r="P102" s="13"/>
    </row>
    <row r="103" spans="1:16" x14ac:dyDescent="0.25">
      <c r="A103" s="9" t="str">
        <f t="shared" si="5"/>
        <v>CUSTO DE DROPCOPY BRL - BANCO BTG PACTUAL -  MARÇO 26</v>
      </c>
      <c r="B103" s="10">
        <v>46082</v>
      </c>
      <c r="C103" s="9">
        <v>817632</v>
      </c>
      <c r="D103" s="11" t="s">
        <v>100</v>
      </c>
      <c r="E103" s="57">
        <f t="shared" si="4"/>
        <v>-17.18873385709448</v>
      </c>
      <c r="F103" s="9" t="s">
        <v>49</v>
      </c>
      <c r="G103" s="10">
        <v>46082</v>
      </c>
      <c r="H103" s="9">
        <v>15501</v>
      </c>
      <c r="J103" s="12" t="s">
        <v>52</v>
      </c>
      <c r="K103" s="12" t="s">
        <v>56</v>
      </c>
      <c r="L103" s="61">
        <v>718.29</v>
      </c>
      <c r="M103" s="14" t="s">
        <v>1</v>
      </c>
      <c r="N103" s="15" t="s">
        <v>157</v>
      </c>
      <c r="O103" s="16">
        <v>2.3930075397255259E-2</v>
      </c>
      <c r="P103" s="13"/>
    </row>
    <row r="104" spans="1:16" x14ac:dyDescent="0.25">
      <c r="A104" s="9" t="str">
        <f t="shared" si="5"/>
        <v>CUSTO DE DROPCOPY BRL - BANCO BTG PACTUAL -  MARÇO 26</v>
      </c>
      <c r="B104" s="10">
        <v>46082</v>
      </c>
      <c r="C104" s="9">
        <v>817632</v>
      </c>
      <c r="D104" s="11" t="s">
        <v>11</v>
      </c>
      <c r="E104" s="57">
        <f t="shared" si="4"/>
        <v>-142.5251250556031</v>
      </c>
      <c r="F104" s="9" t="s">
        <v>49</v>
      </c>
      <c r="G104" s="10">
        <v>46082</v>
      </c>
      <c r="H104" s="9">
        <v>15501</v>
      </c>
      <c r="J104" s="12" t="s">
        <v>52</v>
      </c>
      <c r="K104" s="12" t="s">
        <v>56</v>
      </c>
      <c r="L104" s="61">
        <v>718.29</v>
      </c>
      <c r="M104" s="14" t="s">
        <v>1</v>
      </c>
      <c r="N104" s="15" t="s">
        <v>157</v>
      </c>
      <c r="O104" s="16">
        <v>0.19842281676704829</v>
      </c>
      <c r="P104" s="13"/>
    </row>
    <row r="105" spans="1:16" x14ac:dyDescent="0.25">
      <c r="A105" s="9" t="str">
        <f t="shared" si="5"/>
        <v>CUSTO DE DROPCOPY BRL - BANCO BTG PACTUAL -  MARÇO 26</v>
      </c>
      <c r="B105" s="10">
        <v>46082</v>
      </c>
      <c r="C105" s="9">
        <v>817632</v>
      </c>
      <c r="D105" s="11" t="s">
        <v>129</v>
      </c>
      <c r="E105" s="57">
        <f t="shared" si="4"/>
        <v>-5.8805386847715546</v>
      </c>
      <c r="F105" s="9" t="s">
        <v>49</v>
      </c>
      <c r="G105" s="10">
        <v>46082</v>
      </c>
      <c r="H105" s="9">
        <v>15501</v>
      </c>
      <c r="J105" s="12" t="s">
        <v>52</v>
      </c>
      <c r="K105" s="12" t="s">
        <v>56</v>
      </c>
      <c r="L105" s="61">
        <v>718.29</v>
      </c>
      <c r="M105" s="14" t="s">
        <v>1</v>
      </c>
      <c r="N105" s="15" t="s">
        <v>157</v>
      </c>
      <c r="O105" s="16">
        <v>8.1868586292048549E-3</v>
      </c>
      <c r="P105" s="13"/>
    </row>
    <row r="106" spans="1:16" x14ac:dyDescent="0.25">
      <c r="A106" s="9" t="str">
        <f t="shared" si="5"/>
        <v>CUSTO DE DROPCOPY BRL - BANCO BTG PACTUAL -  MARÇO 26</v>
      </c>
      <c r="B106" s="10">
        <v>46082</v>
      </c>
      <c r="C106" s="9">
        <v>817632</v>
      </c>
      <c r="D106" s="11" t="s">
        <v>122</v>
      </c>
      <c r="E106" s="57">
        <f t="shared" si="4"/>
        <v>-3.0787254068971905</v>
      </c>
      <c r="F106" s="9" t="s">
        <v>49</v>
      </c>
      <c r="G106" s="10">
        <v>46082</v>
      </c>
      <c r="H106" s="9">
        <v>15501</v>
      </c>
      <c r="J106" s="12" t="s">
        <v>52</v>
      </c>
      <c r="K106" s="12" t="s">
        <v>56</v>
      </c>
      <c r="L106" s="61">
        <v>718.29</v>
      </c>
      <c r="M106" s="14" t="s">
        <v>1</v>
      </c>
      <c r="N106" s="15" t="s">
        <v>157</v>
      </c>
      <c r="O106" s="16">
        <v>4.286187204189381E-3</v>
      </c>
      <c r="P106" s="13"/>
    </row>
    <row r="107" spans="1:16" x14ac:dyDescent="0.25">
      <c r="A107" s="9" t="str">
        <f t="shared" si="5"/>
        <v>CUSTO DE DROPCOPY BRL - BANCO BTG PACTUAL -  MARÇO 26</v>
      </c>
      <c r="B107" s="10">
        <v>46082</v>
      </c>
      <c r="C107" s="9">
        <v>817632</v>
      </c>
      <c r="D107" s="11" t="s">
        <v>107</v>
      </c>
      <c r="E107" s="57">
        <f t="shared" si="4"/>
        <v>-41.820265113077141</v>
      </c>
      <c r="F107" s="9" t="s">
        <v>49</v>
      </c>
      <c r="G107" s="10">
        <v>46082</v>
      </c>
      <c r="H107" s="9">
        <v>15501</v>
      </c>
      <c r="J107" s="12" t="s">
        <v>52</v>
      </c>
      <c r="K107" s="12" t="s">
        <v>56</v>
      </c>
      <c r="L107" s="61">
        <v>718.29</v>
      </c>
      <c r="M107" s="14" t="s">
        <v>1</v>
      </c>
      <c r="N107" s="15" t="s">
        <v>157</v>
      </c>
      <c r="O107" s="16">
        <v>5.8221978745460944E-2</v>
      </c>
      <c r="P107" s="13"/>
    </row>
    <row r="108" spans="1:16" x14ac:dyDescent="0.25">
      <c r="A108" s="9" t="str">
        <f t="shared" si="5"/>
        <v>CUSTO DE DROPCOPY BRL - BANCO BTG PACTUAL -  MARÇO 26</v>
      </c>
      <c r="B108" s="10">
        <v>46082</v>
      </c>
      <c r="C108" s="9">
        <v>817632</v>
      </c>
      <c r="D108" s="11" t="s">
        <v>101</v>
      </c>
      <c r="E108" s="57">
        <f t="shared" si="4"/>
        <v>-75.546455282434295</v>
      </c>
      <c r="F108" s="9" t="s">
        <v>49</v>
      </c>
      <c r="G108" s="10">
        <v>46082</v>
      </c>
      <c r="H108" s="9">
        <v>15501</v>
      </c>
      <c r="J108" s="12" t="s">
        <v>52</v>
      </c>
      <c r="K108" s="12" t="s">
        <v>56</v>
      </c>
      <c r="L108" s="61">
        <v>718.29</v>
      </c>
      <c r="M108" s="14" t="s">
        <v>1</v>
      </c>
      <c r="N108" s="15" t="s">
        <v>157</v>
      </c>
      <c r="O108" s="16">
        <v>0.10517542396863983</v>
      </c>
      <c r="P108" s="13"/>
    </row>
    <row r="109" spans="1:16" x14ac:dyDescent="0.25">
      <c r="A109" s="18" t="str">
        <f t="shared" si="5"/>
        <v>CUSTO DE DROPCOPY BRL - LAKESIDE TRADING LLC -  MARÇO 26</v>
      </c>
      <c r="B109" s="19">
        <v>46082</v>
      </c>
      <c r="C109" s="18">
        <v>817632</v>
      </c>
      <c r="D109" s="20" t="s">
        <v>40</v>
      </c>
      <c r="E109" s="55">
        <f t="shared" si="4"/>
        <v>-1292.94</v>
      </c>
      <c r="F109" s="18" t="s">
        <v>49</v>
      </c>
      <c r="G109" s="19">
        <v>46082</v>
      </c>
      <c r="H109" s="18">
        <v>81772</v>
      </c>
      <c r="J109" s="21" t="s">
        <v>52</v>
      </c>
      <c r="K109" s="21" t="s">
        <v>108</v>
      </c>
      <c r="L109" s="63">
        <v>1292.94</v>
      </c>
      <c r="M109" s="23" t="s">
        <v>1</v>
      </c>
      <c r="N109" s="24" t="s">
        <v>157</v>
      </c>
      <c r="O109" s="25">
        <v>1</v>
      </c>
      <c r="P109" s="22"/>
    </row>
    <row r="110" spans="1:16" x14ac:dyDescent="0.25">
      <c r="A110" s="18" t="str">
        <f t="shared" si="5"/>
        <v>CUSTO DE DROPCOPY BRL - LAKESIDE TRADING LLC -  MARÇO 26</v>
      </c>
      <c r="B110" s="19">
        <v>46082</v>
      </c>
      <c r="C110" s="18">
        <v>817632</v>
      </c>
      <c r="D110" s="20" t="s">
        <v>11</v>
      </c>
      <c r="E110" s="55">
        <f t="shared" si="4"/>
        <v>-430.98</v>
      </c>
      <c r="F110" s="18" t="s">
        <v>49</v>
      </c>
      <c r="G110" s="19">
        <v>46082</v>
      </c>
      <c r="H110" s="18">
        <v>81772</v>
      </c>
      <c r="J110" s="21" t="s">
        <v>52</v>
      </c>
      <c r="K110" s="21" t="s">
        <v>108</v>
      </c>
      <c r="L110" s="63">
        <v>430.98</v>
      </c>
      <c r="M110" s="23" t="s">
        <v>1</v>
      </c>
      <c r="N110" s="24" t="s">
        <v>157</v>
      </c>
      <c r="O110" s="25">
        <v>1</v>
      </c>
      <c r="P110" s="22"/>
    </row>
    <row r="111" spans="1:16" x14ac:dyDescent="0.25">
      <c r="A111" s="45" t="str">
        <f t="shared" si="5"/>
        <v>CUSTO DE DROPCOPY BRL - MORGAN STANLEY URUGUAY LTDA - CITIBANK -  MARÇO 26</v>
      </c>
      <c r="B111" s="46">
        <v>46082</v>
      </c>
      <c r="C111" s="45">
        <v>817632</v>
      </c>
      <c r="D111" s="47" t="s">
        <v>20</v>
      </c>
      <c r="E111" s="56">
        <f t="shared" si="4"/>
        <v>-430.97399999999993</v>
      </c>
      <c r="F111" s="45" t="s">
        <v>49</v>
      </c>
      <c r="G111" s="46">
        <v>46082</v>
      </c>
      <c r="H111" s="45">
        <v>80754</v>
      </c>
      <c r="J111" s="48" t="s">
        <v>52</v>
      </c>
      <c r="K111" s="48" t="s">
        <v>109</v>
      </c>
      <c r="L111" s="62">
        <v>430.97399999999993</v>
      </c>
      <c r="M111" s="50" t="s">
        <v>1</v>
      </c>
      <c r="N111" s="51" t="s">
        <v>157</v>
      </c>
      <c r="O111" s="52">
        <v>1</v>
      </c>
      <c r="P111" s="49"/>
    </row>
    <row r="112" spans="1:16" x14ac:dyDescent="0.25">
      <c r="A112" s="1" t="str">
        <f t="shared" si="5"/>
        <v>CUSTO DE DROPCOPY BRL - MORGAN STANLEY URUGUAY LTDA - CITIBANK -  MARÇO 26</v>
      </c>
      <c r="B112" s="2">
        <v>46082</v>
      </c>
      <c r="C112" s="1">
        <v>817632</v>
      </c>
      <c r="D112" s="3" t="s">
        <v>126</v>
      </c>
      <c r="E112" s="58">
        <f t="shared" si="4"/>
        <v>-287.31599999999997</v>
      </c>
      <c r="F112" s="1" t="s">
        <v>49</v>
      </c>
      <c r="G112" s="2">
        <v>46082</v>
      </c>
      <c r="H112" s="1">
        <v>80754</v>
      </c>
      <c r="J112" s="4" t="s">
        <v>52</v>
      </c>
      <c r="K112" s="4" t="s">
        <v>109</v>
      </c>
      <c r="L112" s="60">
        <v>287.31599999999997</v>
      </c>
      <c r="M112" s="6" t="s">
        <v>1</v>
      </c>
      <c r="N112" s="7" t="s">
        <v>157</v>
      </c>
      <c r="O112" s="8">
        <v>1</v>
      </c>
      <c r="P112" s="5"/>
    </row>
    <row r="113" spans="1:17" x14ac:dyDescent="0.25">
      <c r="A113" s="45" t="str">
        <f t="shared" si="5"/>
        <v>CUSTO DE DROPCOPY BRL - ITAU FACIL -  MARÇO 26</v>
      </c>
      <c r="B113" s="46">
        <v>46082</v>
      </c>
      <c r="C113" s="45">
        <v>817632</v>
      </c>
      <c r="D113" s="47" t="s">
        <v>110</v>
      </c>
      <c r="E113" s="56">
        <f t="shared" si="4"/>
        <v>-432.41499999999996</v>
      </c>
      <c r="F113" s="45" t="s">
        <v>49</v>
      </c>
      <c r="G113" s="46">
        <v>46082</v>
      </c>
      <c r="H113" s="45">
        <v>81200</v>
      </c>
      <c r="J113" s="48" t="s">
        <v>52</v>
      </c>
      <c r="K113" s="48" t="s">
        <v>127</v>
      </c>
      <c r="L113" s="62">
        <v>864.82999999999993</v>
      </c>
      <c r="M113" s="50" t="s">
        <v>1</v>
      </c>
      <c r="N113" s="51" t="s">
        <v>157</v>
      </c>
      <c r="O113" s="16">
        <v>0.5</v>
      </c>
      <c r="P113" s="49"/>
    </row>
    <row r="114" spans="1:17" x14ac:dyDescent="0.25">
      <c r="A114" s="1" t="str">
        <f t="shared" si="5"/>
        <v>CUSTO DE DROPCOPY BRL - ITAU FACIL -  MARÇO 26</v>
      </c>
      <c r="B114" s="2">
        <v>46082</v>
      </c>
      <c r="C114" s="1">
        <v>817632</v>
      </c>
      <c r="D114" s="3" t="s">
        <v>2</v>
      </c>
      <c r="E114" s="58">
        <f t="shared" si="4"/>
        <v>-432.41499999999996</v>
      </c>
      <c r="F114" s="1" t="s">
        <v>49</v>
      </c>
      <c r="G114" s="2">
        <v>46082</v>
      </c>
      <c r="H114" s="1">
        <v>81200</v>
      </c>
      <c r="J114" s="4" t="s">
        <v>52</v>
      </c>
      <c r="K114" s="4" t="s">
        <v>127</v>
      </c>
      <c r="L114" s="60">
        <v>864.82999999999993</v>
      </c>
      <c r="M114" s="6" t="s">
        <v>1</v>
      </c>
      <c r="N114" s="7" t="s">
        <v>157</v>
      </c>
      <c r="O114" s="8">
        <v>0.5</v>
      </c>
      <c r="P114" s="5"/>
    </row>
    <row r="115" spans="1:17" x14ac:dyDescent="0.25">
      <c r="A115" s="1" t="str">
        <f t="shared" si="5"/>
        <v>CUSTO DE DROPCOPY BRL - ITAU CV S/A -  MARÇO 26</v>
      </c>
      <c r="B115" s="2">
        <v>46082</v>
      </c>
      <c r="C115" s="1">
        <v>817632</v>
      </c>
      <c r="D115" s="3" t="s">
        <v>2</v>
      </c>
      <c r="E115" s="58">
        <f t="shared" si="4"/>
        <v>-1729.6599999999999</v>
      </c>
      <c r="F115" s="1" t="s">
        <v>49</v>
      </c>
      <c r="G115" s="2">
        <v>46082</v>
      </c>
      <c r="H115" s="1">
        <v>81200</v>
      </c>
      <c r="J115" s="4" t="s">
        <v>52</v>
      </c>
      <c r="K115" s="4" t="s">
        <v>111</v>
      </c>
      <c r="L115" s="60">
        <v>1729.6599999999999</v>
      </c>
      <c r="M115" s="6" t="s">
        <v>1</v>
      </c>
      <c r="N115" s="7" t="s">
        <v>157</v>
      </c>
      <c r="O115" s="8">
        <v>1</v>
      </c>
      <c r="P115" s="5"/>
    </row>
    <row r="116" spans="1:17" x14ac:dyDescent="0.25">
      <c r="A116" s="9" t="str">
        <f t="shared" si="5"/>
        <v>CUSTO DE DROPCOPY BRL - CREDIT SUISSE (BRASIL) -  MARÇO 26</v>
      </c>
      <c r="B116" s="10">
        <v>46082</v>
      </c>
      <c r="C116" s="9">
        <v>817632</v>
      </c>
      <c r="D116" s="11" t="s">
        <v>98</v>
      </c>
      <c r="E116" s="57">
        <f t="shared" si="4"/>
        <v>-45.517368421052623</v>
      </c>
      <c r="F116" s="9" t="s">
        <v>49</v>
      </c>
      <c r="G116" s="10">
        <v>46082</v>
      </c>
      <c r="H116" s="9">
        <v>79978</v>
      </c>
      <c r="J116" s="12" t="s">
        <v>52</v>
      </c>
      <c r="K116" s="12" t="s">
        <v>112</v>
      </c>
      <c r="L116" s="61">
        <v>45.517368421052623</v>
      </c>
      <c r="M116" s="14" t="s">
        <v>1</v>
      </c>
      <c r="N116" s="15" t="s">
        <v>157</v>
      </c>
      <c r="O116" s="16">
        <v>1</v>
      </c>
      <c r="P116" s="13"/>
    </row>
    <row r="117" spans="1:17" x14ac:dyDescent="0.25">
      <c r="A117" s="9" t="str">
        <f t="shared" si="5"/>
        <v>CUSTO DE DROPCOPY BRL - CREDIT SUISSE (BRASIL) -  MARÇO 26</v>
      </c>
      <c r="B117" s="10">
        <v>46082</v>
      </c>
      <c r="C117" s="9">
        <v>817632</v>
      </c>
      <c r="D117" s="11" t="s">
        <v>40</v>
      </c>
      <c r="E117" s="57">
        <f t="shared" si="4"/>
        <v>-728.27789473684231</v>
      </c>
      <c r="F117" s="9" t="s">
        <v>49</v>
      </c>
      <c r="G117" s="10">
        <v>46082</v>
      </c>
      <c r="H117" s="9">
        <v>79978</v>
      </c>
      <c r="J117" s="12" t="s">
        <v>52</v>
      </c>
      <c r="K117" s="12" t="s">
        <v>112</v>
      </c>
      <c r="L117" s="61">
        <v>728.27789473684231</v>
      </c>
      <c r="M117" s="14" t="s">
        <v>1</v>
      </c>
      <c r="N117" s="15" t="s">
        <v>157</v>
      </c>
      <c r="O117" s="16">
        <v>1</v>
      </c>
      <c r="P117" s="13"/>
    </row>
    <row r="118" spans="1:17" x14ac:dyDescent="0.25">
      <c r="A118" s="9" t="str">
        <f t="shared" si="5"/>
        <v>CUSTO DE DROPCOPY BRL - CREDIT SUISSE (BRASIL) -  MARÇO 26</v>
      </c>
      <c r="B118" s="10">
        <v>46082</v>
      </c>
      <c r="C118" s="9">
        <v>817632</v>
      </c>
      <c r="D118" s="11" t="s">
        <v>41</v>
      </c>
      <c r="E118" s="57">
        <f t="shared" si="4"/>
        <v>-91.034736842105247</v>
      </c>
      <c r="F118" s="9" t="s">
        <v>49</v>
      </c>
      <c r="G118" s="10">
        <v>46082</v>
      </c>
      <c r="H118" s="9">
        <v>79978</v>
      </c>
      <c r="J118" s="12" t="s">
        <v>52</v>
      </c>
      <c r="K118" s="12" t="s">
        <v>112</v>
      </c>
      <c r="L118" s="61">
        <v>91.034736842105247</v>
      </c>
      <c r="M118" s="14" t="s">
        <v>1</v>
      </c>
      <c r="N118" s="15" t="s">
        <v>157</v>
      </c>
      <c r="O118" s="16">
        <v>1</v>
      </c>
      <c r="P118" s="13"/>
    </row>
    <row r="119" spans="1:17" x14ac:dyDescent="0.25">
      <c r="A119" s="18" t="str">
        <f t="shared" si="5"/>
        <v>CUSTO DE DROPCOPY BRL - KAPITALO INVESTIMENTOS LTDA -  MARÇO 26</v>
      </c>
      <c r="B119" s="19">
        <v>46082</v>
      </c>
      <c r="C119" s="18">
        <v>817632</v>
      </c>
      <c r="D119" s="20" t="s">
        <v>2</v>
      </c>
      <c r="E119" s="55">
        <f t="shared" si="4"/>
        <v>-1729.6599999999999</v>
      </c>
      <c r="F119" s="18" t="s">
        <v>49</v>
      </c>
      <c r="G119" s="19">
        <v>46082</v>
      </c>
      <c r="H119" s="18">
        <v>80392</v>
      </c>
      <c r="J119" s="21" t="s">
        <v>52</v>
      </c>
      <c r="K119" s="21" t="s">
        <v>113</v>
      </c>
      <c r="L119" s="63">
        <v>1729.6599999999999</v>
      </c>
      <c r="M119" s="23" t="s">
        <v>1</v>
      </c>
      <c r="N119" s="24" t="s">
        <v>157</v>
      </c>
      <c r="O119" s="25">
        <v>1</v>
      </c>
      <c r="P119" s="22"/>
    </row>
    <row r="120" spans="1:17" x14ac:dyDescent="0.25">
      <c r="A120" s="18" t="str">
        <f t="shared" si="5"/>
        <v>CUSTO DE DROPCOPY BRL - VINLAND CAPITAL -  MARÇO 26</v>
      </c>
      <c r="B120" s="19">
        <v>46082</v>
      </c>
      <c r="C120" s="18">
        <v>817632</v>
      </c>
      <c r="D120" s="20" t="s">
        <v>95</v>
      </c>
      <c r="E120" s="55">
        <f t="shared" si="4"/>
        <v>-718.29</v>
      </c>
      <c r="F120" s="18" t="s">
        <v>49</v>
      </c>
      <c r="G120" s="19">
        <v>46082</v>
      </c>
      <c r="H120" s="18">
        <v>80359</v>
      </c>
      <c r="J120" s="21" t="s">
        <v>52</v>
      </c>
      <c r="K120" s="21" t="s">
        <v>121</v>
      </c>
      <c r="L120" s="63">
        <v>718.29</v>
      </c>
      <c r="M120" s="23" t="s">
        <v>1</v>
      </c>
      <c r="N120" s="24" t="s">
        <v>157</v>
      </c>
      <c r="O120" s="25">
        <v>1</v>
      </c>
      <c r="P120" s="22"/>
    </row>
    <row r="121" spans="1:17" x14ac:dyDescent="0.25">
      <c r="A121" s="18" t="str">
        <f t="shared" si="5"/>
        <v>CUSTO DE DROPCOPY BRL - AGUILA CAPITAL ADM -  MARÇO 26</v>
      </c>
      <c r="B121" s="19">
        <v>46082</v>
      </c>
      <c r="C121" s="18">
        <v>817632</v>
      </c>
      <c r="D121" s="20" t="s">
        <v>133</v>
      </c>
      <c r="E121" s="55">
        <f t="shared" si="4"/>
        <v>-146.54</v>
      </c>
      <c r="F121" s="18" t="s">
        <v>49</v>
      </c>
      <c r="G121" s="19">
        <v>46082</v>
      </c>
      <c r="H121" s="18">
        <v>12397</v>
      </c>
      <c r="J121" s="21" t="s">
        <v>52</v>
      </c>
      <c r="K121" s="21" t="s">
        <v>134</v>
      </c>
      <c r="L121" s="63">
        <v>146.54</v>
      </c>
      <c r="M121" s="6" t="s">
        <v>1</v>
      </c>
      <c r="N121" s="7" t="s">
        <v>157</v>
      </c>
      <c r="O121" s="25">
        <v>1</v>
      </c>
      <c r="P121" s="67"/>
      <c r="Q121" s="17" t="s">
        <v>135</v>
      </c>
    </row>
  </sheetData>
  <autoFilter ref="A1:P121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D36D-9FEB-4B56-A1A0-416BF049488A}">
  <sheetPr codeName="Sheet6"/>
  <dimension ref="A1:Q134"/>
  <sheetViews>
    <sheetView zoomScaleNormal="100" workbookViewId="0">
      <selection activeCell="G3" sqref="G3"/>
    </sheetView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10.1406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35" si="0">CONCATENATE(J2,P2,M2,K2,M2,Q2,M2,N2)</f>
        <v>CUSTO DE DROPCOPY USD - BANCO SANTANDER S.A (HISPANO) - ROGERIO ENDO -  ABRIL 26</v>
      </c>
      <c r="B2" s="10">
        <v>46113</v>
      </c>
      <c r="C2" s="9">
        <v>817632</v>
      </c>
      <c r="D2" s="11" t="s">
        <v>40</v>
      </c>
      <c r="E2" s="57">
        <f>-L2*O2</f>
        <v>-452.61235226666662</v>
      </c>
      <c r="F2" s="9" t="s">
        <v>12</v>
      </c>
      <c r="G2" s="10">
        <v>46113</v>
      </c>
      <c r="H2" s="9">
        <v>80195</v>
      </c>
      <c r="J2" s="12" t="s">
        <v>36</v>
      </c>
      <c r="K2" s="12" t="s">
        <v>39</v>
      </c>
      <c r="L2" s="59">
        <v>452.61235226666662</v>
      </c>
      <c r="M2" s="14" t="s">
        <v>1</v>
      </c>
      <c r="N2" s="15" t="s">
        <v>158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 ABRIL 26</v>
      </c>
      <c r="B3" s="10">
        <v>46113</v>
      </c>
      <c r="C3" s="9">
        <v>817632</v>
      </c>
      <c r="D3" s="11" t="s">
        <v>40</v>
      </c>
      <c r="E3" s="57">
        <f t="shared" ref="E3:E82" si="1">-L3*O3</f>
        <v>-452.61235226666662</v>
      </c>
      <c r="F3" s="9" t="s">
        <v>12</v>
      </c>
      <c r="G3" s="10">
        <v>46113</v>
      </c>
      <c r="H3" s="9">
        <v>80015</v>
      </c>
      <c r="J3" s="12" t="s">
        <v>36</v>
      </c>
      <c r="K3" s="12" t="s">
        <v>13</v>
      </c>
      <c r="L3" s="59">
        <v>452.61235226666662</v>
      </c>
      <c r="M3" s="14" t="s">
        <v>1</v>
      </c>
      <c r="N3" s="15" t="s">
        <v>158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(729) -  ABRIL 26</v>
      </c>
      <c r="B4" s="10">
        <v>46113</v>
      </c>
      <c r="C4" s="9">
        <v>817632</v>
      </c>
      <c r="D4" s="11" t="s">
        <v>15</v>
      </c>
      <c r="E4" s="57">
        <f t="shared" si="1"/>
        <v>-452.61235226666662</v>
      </c>
      <c r="F4" s="9" t="s">
        <v>12</v>
      </c>
      <c r="G4" s="10">
        <v>46113</v>
      </c>
      <c r="H4" s="9">
        <v>14479</v>
      </c>
      <c r="J4" s="12" t="s">
        <v>36</v>
      </c>
      <c r="K4" s="12" t="s">
        <v>13</v>
      </c>
      <c r="L4" s="59">
        <v>452.61235226666662</v>
      </c>
      <c r="M4" s="14" t="s">
        <v>1</v>
      </c>
      <c r="N4" s="15" t="s">
        <v>158</v>
      </c>
      <c r="O4" s="16">
        <v>1</v>
      </c>
      <c r="P4" s="13"/>
      <c r="Q4" s="17" t="s">
        <v>50</v>
      </c>
    </row>
    <row r="5" spans="1:17" x14ac:dyDescent="0.25">
      <c r="A5" s="9" t="str">
        <f t="shared" si="0"/>
        <v>CUSTO DE DROPCOPY USD - BANCO SANTANDER S.A (HISPANO) - RODRIGO FERNANDEZ -  ABRIL 26</v>
      </c>
      <c r="B5" s="10">
        <v>46113</v>
      </c>
      <c r="C5" s="9">
        <v>817632</v>
      </c>
      <c r="D5" s="11" t="s">
        <v>15</v>
      </c>
      <c r="E5" s="57">
        <f t="shared" si="1"/>
        <v>-452.61235226666662</v>
      </c>
      <c r="F5" s="9" t="s">
        <v>12</v>
      </c>
      <c r="G5" s="10">
        <v>46113</v>
      </c>
      <c r="H5" s="9">
        <v>80195</v>
      </c>
      <c r="J5" s="12" t="s">
        <v>36</v>
      </c>
      <c r="K5" s="12" t="s">
        <v>39</v>
      </c>
      <c r="L5" s="59">
        <v>452.61235226666662</v>
      </c>
      <c r="M5" s="14" t="s">
        <v>1</v>
      </c>
      <c r="N5" s="15" t="s">
        <v>158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(833) -  ABRIL 26</v>
      </c>
      <c r="B6" s="10">
        <v>46113</v>
      </c>
      <c r="C6" s="9">
        <v>817632</v>
      </c>
      <c r="D6" s="11" t="s">
        <v>11</v>
      </c>
      <c r="E6" s="57">
        <f t="shared" si="1"/>
        <v>-452.61235226666662</v>
      </c>
      <c r="F6" s="9" t="s">
        <v>12</v>
      </c>
      <c r="G6" s="10">
        <v>46113</v>
      </c>
      <c r="H6" s="9">
        <v>14479</v>
      </c>
      <c r="J6" s="12" t="s">
        <v>36</v>
      </c>
      <c r="K6" s="12" t="s">
        <v>13</v>
      </c>
      <c r="L6" s="59">
        <v>452.61235226666662</v>
      </c>
      <c r="M6" s="14" t="s">
        <v>1</v>
      </c>
      <c r="N6" s="15" t="s">
        <v>158</v>
      </c>
      <c r="O6" s="16">
        <v>1</v>
      </c>
      <c r="P6" s="13"/>
      <c r="Q6" s="17" t="s">
        <v>89</v>
      </c>
    </row>
    <row r="7" spans="1:17" x14ac:dyDescent="0.25">
      <c r="A7" s="1" t="str">
        <f t="shared" si="0"/>
        <v>CUSTO DE DROPCOPY USD - BANCO SANTANDER (BRASIL) S/A - ALESSANDRO EZEQUIEL -  ABRIL 26</v>
      </c>
      <c r="B7" s="2">
        <v>46113</v>
      </c>
      <c r="C7" s="1">
        <v>817632</v>
      </c>
      <c r="D7" s="3" t="s">
        <v>105</v>
      </c>
      <c r="E7" s="58">
        <f t="shared" si="1"/>
        <v>-452.61235226666662</v>
      </c>
      <c r="F7" s="1" t="s">
        <v>12</v>
      </c>
      <c r="G7" s="2">
        <v>46113</v>
      </c>
      <c r="H7" s="1">
        <v>14479</v>
      </c>
      <c r="J7" s="4" t="s">
        <v>36</v>
      </c>
      <c r="K7" s="4" t="s">
        <v>13</v>
      </c>
      <c r="L7" s="60">
        <v>452.61235226666662</v>
      </c>
      <c r="M7" s="6" t="s">
        <v>1</v>
      </c>
      <c r="N7" s="7" t="s">
        <v>158</v>
      </c>
      <c r="O7" s="8">
        <v>1</v>
      </c>
      <c r="P7" s="5"/>
      <c r="Q7" s="64" t="s">
        <v>125</v>
      </c>
    </row>
    <row r="8" spans="1:17" x14ac:dyDescent="0.25">
      <c r="A8" s="9" t="str">
        <f t="shared" si="0"/>
        <v>CUSTO DE DROPCOPY USD - HAITONG BANCO  - MATHEUS FERNANDES (632) -  ABRIL 26</v>
      </c>
      <c r="B8" s="10">
        <v>46113</v>
      </c>
      <c r="C8" s="9">
        <v>817632</v>
      </c>
      <c r="D8" s="44" t="s">
        <v>41</v>
      </c>
      <c r="E8" s="57">
        <f t="shared" si="1"/>
        <v>-1357.8370568</v>
      </c>
      <c r="F8" s="9" t="s">
        <v>12</v>
      </c>
      <c r="G8" s="10">
        <v>46113</v>
      </c>
      <c r="H8" s="9">
        <v>80041</v>
      </c>
      <c r="J8" s="12" t="s">
        <v>36</v>
      </c>
      <c r="K8" s="12" t="s">
        <v>119</v>
      </c>
      <c r="L8" s="61">
        <v>2715.6741136000001</v>
      </c>
      <c r="M8" s="14" t="s">
        <v>1</v>
      </c>
      <c r="N8" s="15" t="s">
        <v>158</v>
      </c>
      <c r="O8" s="16">
        <v>0.5</v>
      </c>
      <c r="P8" s="13"/>
      <c r="Q8" s="17" t="s">
        <v>92</v>
      </c>
    </row>
    <row r="9" spans="1:17" x14ac:dyDescent="0.25">
      <c r="A9" s="9" t="str">
        <f t="shared" si="0"/>
        <v>CUSTO DE DROPCOPY USD - HAITONG BANCO  - MATHEUS FERNANDES (632) -  ABRIL 26</v>
      </c>
      <c r="B9" s="2">
        <v>46113</v>
      </c>
      <c r="C9" s="1">
        <v>817632</v>
      </c>
      <c r="D9" s="3" t="s">
        <v>15</v>
      </c>
      <c r="E9" s="58">
        <f t="shared" si="1"/>
        <v>-1357.8370568</v>
      </c>
      <c r="F9" s="1" t="s">
        <v>12</v>
      </c>
      <c r="G9" s="2">
        <v>46113</v>
      </c>
      <c r="H9" s="1">
        <v>80041</v>
      </c>
      <c r="J9" s="4" t="s">
        <v>36</v>
      </c>
      <c r="K9" s="4" t="s">
        <v>119</v>
      </c>
      <c r="L9" s="60">
        <v>2715.6741136000001</v>
      </c>
      <c r="M9" s="6" t="s">
        <v>1</v>
      </c>
      <c r="N9" s="7" t="s">
        <v>158</v>
      </c>
      <c r="O9" s="8">
        <v>0.5</v>
      </c>
      <c r="P9" s="5"/>
      <c r="Q9" s="64" t="s">
        <v>92</v>
      </c>
    </row>
    <row r="10" spans="1:17" x14ac:dyDescent="0.25">
      <c r="A10" s="18" t="str">
        <f t="shared" si="0"/>
        <v>CUSTO DE DROPCOPY USD - ITAU UNIBANCO S/A - EDUARDO MORGAO -  ABRIL 26</v>
      </c>
      <c r="B10" s="2">
        <v>46113</v>
      </c>
      <c r="C10" s="1">
        <v>817632</v>
      </c>
      <c r="D10" s="3" t="s">
        <v>2</v>
      </c>
      <c r="E10" s="58">
        <f t="shared" si="1"/>
        <v>-2715.6741136000001</v>
      </c>
      <c r="F10" s="1" t="s">
        <v>12</v>
      </c>
      <c r="G10" s="2">
        <v>46113</v>
      </c>
      <c r="H10" s="1">
        <v>79806</v>
      </c>
      <c r="J10" s="4" t="s">
        <v>36</v>
      </c>
      <c r="K10" s="4" t="s">
        <v>42</v>
      </c>
      <c r="L10" s="60">
        <v>2715.6741136000001</v>
      </c>
      <c r="M10" s="6" t="s">
        <v>1</v>
      </c>
      <c r="N10" s="24" t="s">
        <v>158</v>
      </c>
      <c r="O10" s="8">
        <v>1</v>
      </c>
      <c r="P10" s="5"/>
      <c r="Q10" s="65" t="s">
        <v>8</v>
      </c>
    </row>
    <row r="11" spans="1:17" x14ac:dyDescent="0.25">
      <c r="A11" s="9" t="str">
        <f t="shared" si="0"/>
        <v>CUSTO DE DROPCOPY USD - BRAZA BANK S/A BANCO DE CAMBIO - GUSTAVO BEVILACQUA -  ABRIL 26</v>
      </c>
      <c r="B11" s="10">
        <v>46113</v>
      </c>
      <c r="C11" s="9">
        <v>817632</v>
      </c>
      <c r="D11" s="11" t="s">
        <v>20</v>
      </c>
      <c r="E11" s="57">
        <f t="shared" si="1"/>
        <v>-905.22470453333324</v>
      </c>
      <c r="F11" s="9" t="s">
        <v>12</v>
      </c>
      <c r="G11" s="10">
        <v>46113</v>
      </c>
      <c r="H11" s="9">
        <v>80213</v>
      </c>
      <c r="J11" s="12" t="s">
        <v>36</v>
      </c>
      <c r="K11" s="12" t="s">
        <v>51</v>
      </c>
      <c r="L11" s="61">
        <v>905.22470453333324</v>
      </c>
      <c r="M11" s="14" t="s">
        <v>1</v>
      </c>
      <c r="N11" s="15" t="s">
        <v>158</v>
      </c>
      <c r="O11" s="16">
        <v>1</v>
      </c>
      <c r="P11" s="13"/>
      <c r="Q11" s="17" t="s">
        <v>131</v>
      </c>
    </row>
    <row r="12" spans="1:17" x14ac:dyDescent="0.25">
      <c r="A12" s="9" t="str">
        <f t="shared" si="0"/>
        <v>CUSTO DE DROPCOPY USD - BRAZA BANK S/A BANCO DE CAMBIO - BRUNO PEROTTONI -  ABRIL 26</v>
      </c>
      <c r="B12" s="10">
        <v>46113</v>
      </c>
      <c r="C12" s="9">
        <v>817632</v>
      </c>
      <c r="D12" s="11" t="s">
        <v>20</v>
      </c>
      <c r="E12" s="57">
        <f t="shared" si="1"/>
        <v>-905.22470453333324</v>
      </c>
      <c r="F12" s="9" t="s">
        <v>12</v>
      </c>
      <c r="G12" s="10">
        <v>46113</v>
      </c>
      <c r="H12" s="9">
        <v>80213</v>
      </c>
      <c r="J12" s="12" t="s">
        <v>36</v>
      </c>
      <c r="K12" s="12" t="s">
        <v>51</v>
      </c>
      <c r="L12" s="61">
        <v>905.22470453333324</v>
      </c>
      <c r="M12" s="14" t="s">
        <v>1</v>
      </c>
      <c r="N12" s="15" t="s">
        <v>158</v>
      </c>
      <c r="O12" s="16">
        <v>1</v>
      </c>
      <c r="P12" s="13"/>
      <c r="Q12" s="17" t="s">
        <v>21</v>
      </c>
    </row>
    <row r="13" spans="1:17" x14ac:dyDescent="0.25">
      <c r="A13" s="1" t="str">
        <f t="shared" si="0"/>
        <v>CUSTO DE DROPCOPY USD - BRAZA BANK S/A BANCO DE CAMBIO - GABRIEL RIBEIRO -  ABRIL 26</v>
      </c>
      <c r="B13" s="2">
        <v>46113</v>
      </c>
      <c r="C13" s="1">
        <v>817632</v>
      </c>
      <c r="D13" s="3" t="s">
        <v>20</v>
      </c>
      <c r="E13" s="58">
        <f t="shared" si="1"/>
        <v>-905.22470453333324</v>
      </c>
      <c r="F13" s="1" t="s">
        <v>12</v>
      </c>
      <c r="G13" s="2">
        <v>46113</v>
      </c>
      <c r="H13" s="1">
        <v>80213</v>
      </c>
      <c r="J13" s="4" t="s">
        <v>36</v>
      </c>
      <c r="K13" s="4" t="s">
        <v>51</v>
      </c>
      <c r="L13" s="60">
        <v>905.22470453333324</v>
      </c>
      <c r="M13" s="6" t="s">
        <v>1</v>
      </c>
      <c r="N13" s="7" t="s">
        <v>158</v>
      </c>
      <c r="O13" s="8">
        <v>1</v>
      </c>
      <c r="P13" s="5"/>
      <c r="Q13" s="64" t="s">
        <v>22</v>
      </c>
    </row>
    <row r="14" spans="1:17" x14ac:dyDescent="0.25">
      <c r="A14" s="1" t="str">
        <f t="shared" si="0"/>
        <v>CUSTO DE DROPCOPY USD - BANCO BRADESCO S/A - CAOE MARTINS -  ABRIL 26</v>
      </c>
      <c r="B14" s="2">
        <v>46113</v>
      </c>
      <c r="C14" s="1">
        <v>817632</v>
      </c>
      <c r="D14" s="3" t="s">
        <v>2</v>
      </c>
      <c r="E14" s="58">
        <f t="shared" si="1"/>
        <v>-1357.8370568</v>
      </c>
      <c r="F14" s="1" t="s">
        <v>12</v>
      </c>
      <c r="G14" s="2">
        <v>46113</v>
      </c>
      <c r="H14" s="1">
        <v>81502</v>
      </c>
      <c r="J14" s="4" t="s">
        <v>36</v>
      </c>
      <c r="K14" s="4" t="s">
        <v>3</v>
      </c>
      <c r="L14" s="60">
        <v>1357.8370568</v>
      </c>
      <c r="M14" s="6" t="s">
        <v>1</v>
      </c>
      <c r="N14" s="7" t="s">
        <v>158</v>
      </c>
      <c r="O14" s="8">
        <v>1</v>
      </c>
      <c r="P14" s="5"/>
      <c r="Q14" s="64" t="s">
        <v>128</v>
      </c>
    </row>
    <row r="15" spans="1:17" x14ac:dyDescent="0.25">
      <c r="A15" s="1" t="str">
        <f t="shared" si="0"/>
        <v>CUSTO DE DROPCOPY USD - BANCO BRADESCO S/A - JOAO VITOR CAIRES ALVES -  ABRIL 26</v>
      </c>
      <c r="B15" s="2">
        <v>46113</v>
      </c>
      <c r="C15" s="1">
        <v>817632</v>
      </c>
      <c r="D15" s="3" t="s">
        <v>2</v>
      </c>
      <c r="E15" s="58">
        <f t="shared" si="1"/>
        <v>-1357.8370568</v>
      </c>
      <c r="F15" s="1" t="s">
        <v>12</v>
      </c>
      <c r="G15" s="2">
        <v>46113</v>
      </c>
      <c r="H15" s="1">
        <v>81502</v>
      </c>
      <c r="J15" s="4" t="s">
        <v>36</v>
      </c>
      <c r="K15" s="4" t="s">
        <v>3</v>
      </c>
      <c r="L15" s="60">
        <v>1357.8370568</v>
      </c>
      <c r="M15" s="6" t="s">
        <v>1</v>
      </c>
      <c r="N15" s="7" t="s">
        <v>158</v>
      </c>
      <c r="O15" s="8">
        <v>1</v>
      </c>
      <c r="P15" s="5"/>
      <c r="Q15" s="64" t="s">
        <v>5</v>
      </c>
    </row>
    <row r="16" spans="1:17" x14ac:dyDescent="0.25">
      <c r="A16" s="1" t="str">
        <f t="shared" si="0"/>
        <v>CUSTO DE DROPCOPY USD - BANCO BRADESCO S/A - ALESSANDRO DRAGO -  ABRIL 26</v>
      </c>
      <c r="B16" s="2">
        <v>46113</v>
      </c>
      <c r="C16" s="1">
        <v>817632</v>
      </c>
      <c r="D16" s="3" t="s">
        <v>2</v>
      </c>
      <c r="E16" s="58">
        <f t="shared" si="1"/>
        <v>-905.22470453333324</v>
      </c>
      <c r="F16" s="1" t="s">
        <v>12</v>
      </c>
      <c r="G16" s="2">
        <v>46113</v>
      </c>
      <c r="H16" s="1">
        <v>81502</v>
      </c>
      <c r="J16" s="4" t="s">
        <v>36</v>
      </c>
      <c r="K16" s="4" t="s">
        <v>3</v>
      </c>
      <c r="L16" s="60">
        <v>905.22470453333324</v>
      </c>
      <c r="M16" s="6" t="s">
        <v>1</v>
      </c>
      <c r="N16" s="7" t="s">
        <v>158</v>
      </c>
      <c r="O16" s="8">
        <v>1</v>
      </c>
      <c r="P16" s="5"/>
      <c r="Q16" s="64" t="s">
        <v>137</v>
      </c>
    </row>
    <row r="17" spans="1:17" x14ac:dyDescent="0.25">
      <c r="A17" s="1" t="str">
        <f t="shared" si="0"/>
        <v>CUSTO DE DROPCOPY USD - BANCO BRADESCO S/A - LUCAS HORI -  ABRIL 26</v>
      </c>
      <c r="B17" s="2">
        <v>46113</v>
      </c>
      <c r="C17" s="1">
        <v>817632</v>
      </c>
      <c r="D17" s="3" t="s">
        <v>2</v>
      </c>
      <c r="E17" s="58">
        <f t="shared" si="1"/>
        <v>-905.22470453333324</v>
      </c>
      <c r="F17" s="1" t="s">
        <v>12</v>
      </c>
      <c r="G17" s="2">
        <v>46113</v>
      </c>
      <c r="H17" s="1">
        <v>81502</v>
      </c>
      <c r="J17" s="4" t="s">
        <v>36</v>
      </c>
      <c r="K17" s="4" t="s">
        <v>3</v>
      </c>
      <c r="L17" s="60">
        <v>905.22470453333324</v>
      </c>
      <c r="M17" s="6" t="s">
        <v>1</v>
      </c>
      <c r="N17" s="7" t="s">
        <v>158</v>
      </c>
      <c r="O17" s="8">
        <v>1</v>
      </c>
      <c r="P17" s="5"/>
      <c r="Q17" s="64" t="s">
        <v>138</v>
      </c>
    </row>
    <row r="18" spans="1:17" x14ac:dyDescent="0.25">
      <c r="A18" s="1" t="str">
        <f t="shared" si="0"/>
        <v>CUSTO DE DROPCOPY USD - BANCO BRADESCO S/A - GLAYSON PATRICIO -  ABRIL 26</v>
      </c>
      <c r="B18" s="2">
        <v>46113</v>
      </c>
      <c r="C18" s="1">
        <v>817632</v>
      </c>
      <c r="D18" s="3" t="s">
        <v>107</v>
      </c>
      <c r="E18" s="58">
        <f t="shared" si="1"/>
        <v>-905.22470453333324</v>
      </c>
      <c r="F18" s="1" t="s">
        <v>12</v>
      </c>
      <c r="G18" s="2">
        <v>46113</v>
      </c>
      <c r="H18" s="1">
        <v>81502</v>
      </c>
      <c r="J18" s="4" t="s">
        <v>36</v>
      </c>
      <c r="K18" s="4" t="s">
        <v>3</v>
      </c>
      <c r="L18" s="60">
        <v>905.22470453333324</v>
      </c>
      <c r="M18" s="6" t="s">
        <v>1</v>
      </c>
      <c r="N18" s="7" t="s">
        <v>158</v>
      </c>
      <c r="O18" s="8">
        <v>1</v>
      </c>
      <c r="P18" s="5"/>
      <c r="Q18" s="64" t="s">
        <v>140</v>
      </c>
    </row>
    <row r="19" spans="1:17" x14ac:dyDescent="0.25">
      <c r="A19" s="9" t="str">
        <f t="shared" si="0"/>
        <v>CUSTO DE DROPCOPY USD - BANCO BRADESCO S/A - GABRIEL BORINI -  ABRIL 26</v>
      </c>
      <c r="B19" s="10">
        <v>46113</v>
      </c>
      <c r="C19" s="9">
        <v>817632</v>
      </c>
      <c r="D19" s="11" t="s">
        <v>2</v>
      </c>
      <c r="E19" s="57">
        <f>-L19*O19</f>
        <v>-78.075206734999995</v>
      </c>
      <c r="F19" s="9" t="s">
        <v>0</v>
      </c>
      <c r="G19" s="10">
        <v>46113</v>
      </c>
      <c r="H19" s="9">
        <v>81503</v>
      </c>
      <c r="J19" s="12" t="s">
        <v>36</v>
      </c>
      <c r="K19" s="12" t="s">
        <v>3</v>
      </c>
      <c r="L19" s="61">
        <v>156.15041346999999</v>
      </c>
      <c r="M19" s="14" t="s">
        <v>1</v>
      </c>
      <c r="N19" s="15" t="s">
        <v>158</v>
      </c>
      <c r="O19" s="16">
        <v>0.5</v>
      </c>
      <c r="P19" s="13"/>
      <c r="Q19" s="17" t="s">
        <v>4</v>
      </c>
    </row>
    <row r="20" spans="1:17" x14ac:dyDescent="0.25">
      <c r="A20" s="9" t="str">
        <f t="shared" si="0"/>
        <v>CUSTO DE DROPCOPY USD - BANCO BRADESCO S/A - GABRIEL BORINI -  ABRIL 26</v>
      </c>
      <c r="B20" s="10">
        <v>46113</v>
      </c>
      <c r="C20" s="9">
        <v>817632</v>
      </c>
      <c r="D20" s="11" t="s">
        <v>91</v>
      </c>
      <c r="E20" s="57">
        <f>-L20*O20</f>
        <v>-78.075206734999995</v>
      </c>
      <c r="F20" s="9" t="s">
        <v>0</v>
      </c>
      <c r="G20" s="10">
        <v>46113</v>
      </c>
      <c r="H20" s="9">
        <v>81503</v>
      </c>
      <c r="J20" s="12" t="s">
        <v>36</v>
      </c>
      <c r="K20" s="12" t="s">
        <v>3</v>
      </c>
      <c r="L20" s="61">
        <v>156.15041346999999</v>
      </c>
      <c r="M20" s="14" t="s">
        <v>1</v>
      </c>
      <c r="N20" s="15" t="s">
        <v>158</v>
      </c>
      <c r="O20" s="16">
        <v>0.5</v>
      </c>
      <c r="P20" s="13"/>
      <c r="Q20" s="17" t="s">
        <v>4</v>
      </c>
    </row>
    <row r="21" spans="1:17" x14ac:dyDescent="0.25">
      <c r="A21" s="9" t="str">
        <f t="shared" si="0"/>
        <v>CUSTO DE DROPCOPY USD - BANCO BRADESCO S/A - JOAO VITOR CAIRES ALVES -  ABRIL 26</v>
      </c>
      <c r="B21" s="10">
        <v>46113</v>
      </c>
      <c r="C21" s="9">
        <v>817632</v>
      </c>
      <c r="D21" s="11" t="s">
        <v>2</v>
      </c>
      <c r="E21" s="57">
        <f>-L21*O21</f>
        <v>-78.075206734999995</v>
      </c>
      <c r="F21" s="9" t="s">
        <v>0</v>
      </c>
      <c r="G21" s="10">
        <v>46113</v>
      </c>
      <c r="H21" s="9">
        <v>81503</v>
      </c>
      <c r="J21" s="12" t="s">
        <v>36</v>
      </c>
      <c r="K21" s="12" t="s">
        <v>3</v>
      </c>
      <c r="L21" s="61">
        <v>156.15041346999999</v>
      </c>
      <c r="M21" s="14" t="s">
        <v>1</v>
      </c>
      <c r="N21" s="15" t="s">
        <v>158</v>
      </c>
      <c r="O21" s="16">
        <v>0.5</v>
      </c>
      <c r="P21" s="13"/>
      <c r="Q21" s="17" t="s">
        <v>5</v>
      </c>
    </row>
    <row r="22" spans="1:17" x14ac:dyDescent="0.25">
      <c r="A22" s="9" t="str">
        <f t="shared" si="0"/>
        <v>CUSTO DE DROPCOPY USD - BANCO BRADESCO S/A - JOAO VITOR CAIRES ALVES -  ABRIL 26</v>
      </c>
      <c r="B22" s="10">
        <v>46113</v>
      </c>
      <c r="C22" s="9">
        <v>817632</v>
      </c>
      <c r="D22" s="11" t="s">
        <v>91</v>
      </c>
      <c r="E22" s="57">
        <f t="shared" si="1"/>
        <v>-78.075206734999995</v>
      </c>
      <c r="F22" s="9" t="s">
        <v>0</v>
      </c>
      <c r="G22" s="10">
        <v>46113</v>
      </c>
      <c r="H22" s="9">
        <v>81503</v>
      </c>
      <c r="J22" s="12" t="s">
        <v>36</v>
      </c>
      <c r="K22" s="12" t="s">
        <v>3</v>
      </c>
      <c r="L22" s="61">
        <v>156.15041346999999</v>
      </c>
      <c r="M22" s="14" t="s">
        <v>1</v>
      </c>
      <c r="N22" s="15" t="s">
        <v>158</v>
      </c>
      <c r="O22" s="16">
        <v>0.5</v>
      </c>
      <c r="P22" s="13"/>
      <c r="Q22" s="17" t="s">
        <v>5</v>
      </c>
    </row>
    <row r="23" spans="1:17" x14ac:dyDescent="0.25">
      <c r="A23" s="9" t="str">
        <f t="shared" si="0"/>
        <v>CUSTO DE DROPCOPY USD - BANCO BRADESCO S/A - MARCELO CAIRES -  ABRIL 26</v>
      </c>
      <c r="B23" s="10">
        <v>46113</v>
      </c>
      <c r="C23" s="9">
        <v>817632</v>
      </c>
      <c r="D23" s="11" t="s">
        <v>2</v>
      </c>
      <c r="E23" s="57">
        <f t="shared" si="1"/>
        <v>-78.075206734999995</v>
      </c>
      <c r="F23" s="9" t="s">
        <v>0</v>
      </c>
      <c r="G23" s="10">
        <v>46113</v>
      </c>
      <c r="H23" s="9">
        <v>81503</v>
      </c>
      <c r="J23" s="12" t="s">
        <v>36</v>
      </c>
      <c r="K23" s="12" t="s">
        <v>3</v>
      </c>
      <c r="L23" s="61">
        <v>156.15041346999999</v>
      </c>
      <c r="M23" s="14" t="s">
        <v>1</v>
      </c>
      <c r="N23" s="15" t="s">
        <v>158</v>
      </c>
      <c r="O23" s="16">
        <v>0.5</v>
      </c>
      <c r="P23" s="13"/>
      <c r="Q23" s="17" t="s">
        <v>6</v>
      </c>
    </row>
    <row r="24" spans="1:17" x14ac:dyDescent="0.25">
      <c r="A24" s="9" t="str">
        <f t="shared" si="0"/>
        <v>CUSTO DE DROPCOPY USD - BANCO BRADESCO S/A - MARCELO CAIRES -  ABRIL 26</v>
      </c>
      <c r="B24" s="10">
        <v>46113</v>
      </c>
      <c r="C24" s="9">
        <v>817632</v>
      </c>
      <c r="D24" s="11" t="s">
        <v>91</v>
      </c>
      <c r="E24" s="57">
        <f t="shared" si="1"/>
        <v>-78.075206734999995</v>
      </c>
      <c r="F24" s="9" t="s">
        <v>0</v>
      </c>
      <c r="G24" s="10">
        <v>46113</v>
      </c>
      <c r="H24" s="9">
        <v>81503</v>
      </c>
      <c r="J24" s="12" t="s">
        <v>36</v>
      </c>
      <c r="K24" s="12" t="s">
        <v>3</v>
      </c>
      <c r="L24" s="61">
        <v>156.15041346999999</v>
      </c>
      <c r="M24" s="14" t="s">
        <v>1</v>
      </c>
      <c r="N24" s="15" t="s">
        <v>158</v>
      </c>
      <c r="O24" s="16">
        <v>0.5</v>
      </c>
      <c r="P24" s="13"/>
      <c r="Q24" s="17" t="s">
        <v>6</v>
      </c>
    </row>
    <row r="25" spans="1:17" x14ac:dyDescent="0.25">
      <c r="A25" s="9" t="str">
        <f t="shared" si="0"/>
        <v>CUSTO DE DROPCOPY USD - BANCO BRADESCO S/A - RONALDO SASAKI -  ABRIL 26</v>
      </c>
      <c r="B25" s="10">
        <v>46113</v>
      </c>
      <c r="C25" s="9">
        <v>817632</v>
      </c>
      <c r="D25" s="11" t="s">
        <v>2</v>
      </c>
      <c r="E25" s="57">
        <f t="shared" si="1"/>
        <v>-78.075206734999995</v>
      </c>
      <c r="F25" s="9" t="s">
        <v>0</v>
      </c>
      <c r="G25" s="10">
        <v>46113</v>
      </c>
      <c r="H25" s="9">
        <v>81503</v>
      </c>
      <c r="J25" s="12" t="s">
        <v>36</v>
      </c>
      <c r="K25" s="12" t="s">
        <v>3</v>
      </c>
      <c r="L25" s="61">
        <v>156.15041346999999</v>
      </c>
      <c r="M25" s="14" t="s">
        <v>1</v>
      </c>
      <c r="N25" s="15" t="s">
        <v>158</v>
      </c>
      <c r="O25" s="16">
        <v>0.5</v>
      </c>
      <c r="P25" s="13"/>
      <c r="Q25" s="17" t="s">
        <v>7</v>
      </c>
    </row>
    <row r="26" spans="1:17" x14ac:dyDescent="0.25">
      <c r="A26" s="1" t="str">
        <f t="shared" si="0"/>
        <v>CUSTO DE DROPCOPY USD - BANCO BRADESCO S/A - RONALDO SASAKI -  ABRIL 26</v>
      </c>
      <c r="B26" s="2">
        <v>46113</v>
      </c>
      <c r="C26" s="1">
        <v>817632</v>
      </c>
      <c r="D26" s="3" t="s">
        <v>91</v>
      </c>
      <c r="E26" s="58">
        <f t="shared" si="1"/>
        <v>-78.075206734999995</v>
      </c>
      <c r="F26" s="1" t="s">
        <v>0</v>
      </c>
      <c r="G26" s="2">
        <v>46113</v>
      </c>
      <c r="H26" s="1">
        <v>81503</v>
      </c>
      <c r="J26" s="4" t="s">
        <v>36</v>
      </c>
      <c r="K26" s="4" t="s">
        <v>3</v>
      </c>
      <c r="L26" s="60">
        <v>156.15041346999999</v>
      </c>
      <c r="M26" s="6" t="s">
        <v>1</v>
      </c>
      <c r="N26" s="7" t="s">
        <v>158</v>
      </c>
      <c r="O26" s="8">
        <v>0.5</v>
      </c>
      <c r="P26" s="5"/>
      <c r="Q26" s="64" t="s">
        <v>7</v>
      </c>
    </row>
    <row r="27" spans="1:17" x14ac:dyDescent="0.25">
      <c r="A27" s="9" t="str">
        <f t="shared" si="0"/>
        <v>CUSTO DE DROPCOPY USD - SPX EQUITIES GESTAO DE RECURSOS LTDA - LUCAS ROSSI -  ABRIL 26</v>
      </c>
      <c r="B27" s="10">
        <v>46113</v>
      </c>
      <c r="C27" s="9">
        <v>817632</v>
      </c>
      <c r="D27" s="11" t="s">
        <v>2</v>
      </c>
      <c r="E27" s="57">
        <f t="shared" si="1"/>
        <v>-74.952198465599992</v>
      </c>
      <c r="F27" s="9" t="s">
        <v>0</v>
      </c>
      <c r="G27" s="10">
        <v>46113</v>
      </c>
      <c r="H27" s="9">
        <v>79931</v>
      </c>
      <c r="J27" s="12" t="s">
        <v>36</v>
      </c>
      <c r="K27" s="12" t="s">
        <v>9</v>
      </c>
      <c r="L27" s="61">
        <v>124.920330776</v>
      </c>
      <c r="M27" s="14" t="s">
        <v>1</v>
      </c>
      <c r="N27" s="15" t="s">
        <v>158</v>
      </c>
      <c r="O27" s="16">
        <v>0.6</v>
      </c>
      <c r="P27" s="13"/>
      <c r="Q27" s="17" t="s">
        <v>10</v>
      </c>
    </row>
    <row r="28" spans="1:17" x14ac:dyDescent="0.25">
      <c r="A28" s="1" t="str">
        <f t="shared" si="0"/>
        <v>CUSTO DE DROPCOPY USD - SPX EQUITIES GESTAO DE RECURSOS LTDA - LUCAS ROSSI -  ABRIL 26</v>
      </c>
      <c r="B28" s="2">
        <v>46113</v>
      </c>
      <c r="C28" s="1">
        <v>817632</v>
      </c>
      <c r="D28" s="3" t="s">
        <v>91</v>
      </c>
      <c r="E28" s="58">
        <f t="shared" si="1"/>
        <v>-49.968132310400001</v>
      </c>
      <c r="F28" s="1" t="s">
        <v>0</v>
      </c>
      <c r="G28" s="2">
        <v>46113</v>
      </c>
      <c r="H28" s="1">
        <v>79931</v>
      </c>
      <c r="I28" s="34"/>
      <c r="J28" s="4" t="s">
        <v>36</v>
      </c>
      <c r="K28" s="4" t="s">
        <v>9</v>
      </c>
      <c r="L28" s="60">
        <v>124.920330776</v>
      </c>
      <c r="M28" s="6" t="s">
        <v>1</v>
      </c>
      <c r="N28" s="7" t="s">
        <v>158</v>
      </c>
      <c r="O28" s="8">
        <v>0.4</v>
      </c>
      <c r="P28" s="5"/>
      <c r="Q28" s="64" t="s">
        <v>10</v>
      </c>
    </row>
    <row r="29" spans="1:17" x14ac:dyDescent="0.25">
      <c r="A29" s="9" t="str">
        <f t="shared" si="0"/>
        <v>CUSTO DE DROPCOPY USD - SPX EQUITIES GESTAO DE RECURSOS LTDA - THIAGO SANTOS -  ABRIL 26</v>
      </c>
      <c r="B29" s="10">
        <v>46113</v>
      </c>
      <c r="C29" s="9">
        <v>817632</v>
      </c>
      <c r="D29" s="11" t="s">
        <v>2</v>
      </c>
      <c r="E29" s="57">
        <f t="shared" si="1"/>
        <v>-149.90439693119998</v>
      </c>
      <c r="F29" s="9" t="s">
        <v>0</v>
      </c>
      <c r="G29" s="10">
        <v>46113</v>
      </c>
      <c r="H29" s="9">
        <v>81564</v>
      </c>
      <c r="J29" s="12" t="s">
        <v>36</v>
      </c>
      <c r="K29" s="12" t="s">
        <v>9</v>
      </c>
      <c r="L29" s="61">
        <v>249.840661552</v>
      </c>
      <c r="M29" s="14" t="s">
        <v>1</v>
      </c>
      <c r="N29" s="15" t="s">
        <v>158</v>
      </c>
      <c r="O29" s="16">
        <v>0.6</v>
      </c>
      <c r="P29" s="13"/>
      <c r="Q29" s="17" t="s">
        <v>90</v>
      </c>
    </row>
    <row r="30" spans="1:17" x14ac:dyDescent="0.25">
      <c r="A30" s="1" t="str">
        <f t="shared" si="0"/>
        <v>CUSTO DE DROPCOPY USD - SPX EQUITIES GESTAO DE RECURSOS LTDA - THIAGO SANTOS -  ABRIL 26</v>
      </c>
      <c r="B30" s="2">
        <v>46113</v>
      </c>
      <c r="C30" s="1">
        <v>817632</v>
      </c>
      <c r="D30" s="3" t="s">
        <v>91</v>
      </c>
      <c r="E30" s="58">
        <f t="shared" si="1"/>
        <v>-99.936264620800003</v>
      </c>
      <c r="F30" s="1" t="s">
        <v>0</v>
      </c>
      <c r="G30" s="2">
        <v>46113</v>
      </c>
      <c r="H30" s="1">
        <v>81564</v>
      </c>
      <c r="I30" s="34"/>
      <c r="J30" s="4" t="s">
        <v>36</v>
      </c>
      <c r="K30" s="4" t="s">
        <v>9</v>
      </c>
      <c r="L30" s="60">
        <v>249.840661552</v>
      </c>
      <c r="M30" s="6" t="s">
        <v>1</v>
      </c>
      <c r="N30" s="7" t="s">
        <v>158</v>
      </c>
      <c r="O30" s="8">
        <v>0.4</v>
      </c>
      <c r="P30" s="5"/>
      <c r="Q30" s="64" t="s">
        <v>90</v>
      </c>
    </row>
    <row r="31" spans="1:17" x14ac:dyDescent="0.25">
      <c r="A31" s="9" t="str">
        <f t="shared" si="0"/>
        <v>CUSTO DE DROPCOPY USD - SPX EQUITIES GESTAO DE RECURSOS LTDA - GABRIEL FERREIRA -  ABRIL 26</v>
      </c>
      <c r="B31" s="10">
        <v>46113</v>
      </c>
      <c r="C31" s="9">
        <v>817632</v>
      </c>
      <c r="D31" s="11" t="s">
        <v>2</v>
      </c>
      <c r="E31" s="57">
        <f t="shared" si="1"/>
        <v>-74.952198465599992</v>
      </c>
      <c r="F31" s="9" t="s">
        <v>0</v>
      </c>
      <c r="G31" s="10">
        <v>46113</v>
      </c>
      <c r="H31" s="9">
        <v>81564</v>
      </c>
      <c r="J31" s="12" t="s">
        <v>36</v>
      </c>
      <c r="K31" s="12" t="s">
        <v>9</v>
      </c>
      <c r="L31" s="61">
        <v>124.920330776</v>
      </c>
      <c r="M31" s="14" t="s">
        <v>1</v>
      </c>
      <c r="N31" s="15" t="s">
        <v>158</v>
      </c>
      <c r="O31" s="16">
        <v>0.6</v>
      </c>
      <c r="P31" s="13"/>
      <c r="Q31" s="17" t="s">
        <v>123</v>
      </c>
    </row>
    <row r="32" spans="1:17" x14ac:dyDescent="0.25">
      <c r="A32" s="1" t="str">
        <f t="shared" si="0"/>
        <v>CUSTO DE DROPCOPY USD - SPX EQUITIES GESTAO DE RECURSOS LTDA - GABRIEL FERREIRA -  ABRIL 26</v>
      </c>
      <c r="B32" s="2">
        <v>46113</v>
      </c>
      <c r="C32" s="1">
        <v>817632</v>
      </c>
      <c r="D32" s="3" t="s">
        <v>91</v>
      </c>
      <c r="E32" s="58">
        <f t="shared" si="1"/>
        <v>-49.968132310400001</v>
      </c>
      <c r="F32" s="1" t="s">
        <v>0</v>
      </c>
      <c r="G32" s="2">
        <v>46113</v>
      </c>
      <c r="H32" s="1">
        <v>81564</v>
      </c>
      <c r="I32" s="34"/>
      <c r="J32" s="4" t="s">
        <v>36</v>
      </c>
      <c r="K32" s="4" t="s">
        <v>9</v>
      </c>
      <c r="L32" s="60">
        <v>124.920330776</v>
      </c>
      <c r="M32" s="6" t="s">
        <v>1</v>
      </c>
      <c r="N32" s="7" t="s">
        <v>158</v>
      </c>
      <c r="O32" s="8">
        <v>0.4</v>
      </c>
      <c r="P32" s="5"/>
      <c r="Q32" s="64" t="s">
        <v>123</v>
      </c>
    </row>
    <row r="33" spans="1:17" x14ac:dyDescent="0.25">
      <c r="A33" s="9" t="str">
        <f t="shared" si="0"/>
        <v>CUSTO DE DROPCOPY USD - SPX EQUITIES GESTAO DE RECURSOS LTDA - MURILO ORTIZ -  ABRIL 26</v>
      </c>
      <c r="B33" s="10">
        <v>46113</v>
      </c>
      <c r="C33" s="9">
        <v>817632</v>
      </c>
      <c r="D33" s="11" t="s">
        <v>2</v>
      </c>
      <c r="E33" s="57">
        <f t="shared" si="1"/>
        <v>-74.952198465599992</v>
      </c>
      <c r="F33" s="9" t="s">
        <v>0</v>
      </c>
      <c r="G33" s="10">
        <v>46113</v>
      </c>
      <c r="H33" s="9">
        <v>81564</v>
      </c>
      <c r="J33" s="12" t="s">
        <v>36</v>
      </c>
      <c r="K33" s="12" t="s">
        <v>9</v>
      </c>
      <c r="L33" s="61">
        <v>124.920330776</v>
      </c>
      <c r="M33" s="14" t="s">
        <v>1</v>
      </c>
      <c r="N33" s="15" t="s">
        <v>158</v>
      </c>
      <c r="O33" s="16">
        <v>0.6</v>
      </c>
      <c r="P33" s="13"/>
      <c r="Q33" s="17" t="s">
        <v>124</v>
      </c>
    </row>
    <row r="34" spans="1:17" x14ac:dyDescent="0.25">
      <c r="A34" s="1" t="str">
        <f t="shared" si="0"/>
        <v>CUSTO DE DROPCOPY USD - SPX EQUITIES GESTAO DE RECURSOS LTDA - MURILO ORTIZ -  ABRIL 26</v>
      </c>
      <c r="B34" s="2">
        <v>46113</v>
      </c>
      <c r="C34" s="1">
        <v>817632</v>
      </c>
      <c r="D34" s="3" t="s">
        <v>91</v>
      </c>
      <c r="E34" s="58">
        <f t="shared" si="1"/>
        <v>-49.968132310400001</v>
      </c>
      <c r="F34" s="1" t="s">
        <v>0</v>
      </c>
      <c r="G34" s="2">
        <v>46113</v>
      </c>
      <c r="H34" s="1">
        <v>81564</v>
      </c>
      <c r="I34" s="34"/>
      <c r="J34" s="4" t="s">
        <v>36</v>
      </c>
      <c r="K34" s="4" t="s">
        <v>9</v>
      </c>
      <c r="L34" s="60">
        <v>124.920330776</v>
      </c>
      <c r="M34" s="6" t="s">
        <v>1</v>
      </c>
      <c r="N34" s="7" t="s">
        <v>158</v>
      </c>
      <c r="O34" s="8">
        <v>0.4</v>
      </c>
      <c r="P34" s="5"/>
      <c r="Q34" s="64" t="s">
        <v>124</v>
      </c>
    </row>
    <row r="35" spans="1:17" x14ac:dyDescent="0.25">
      <c r="A35" s="1" t="str">
        <f t="shared" si="0"/>
        <v>CUSTO DE DROPCOPY USD - KAPITALO INVESTIMENTO LTDA - RAFAEL POPPE -  ABRIL 26</v>
      </c>
      <c r="B35" s="2">
        <v>46113</v>
      </c>
      <c r="C35" s="1">
        <v>817632</v>
      </c>
      <c r="D35" s="3" t="s">
        <v>2</v>
      </c>
      <c r="E35" s="58">
        <f t="shared" si="1"/>
        <v>-624.60165387999996</v>
      </c>
      <c r="F35" s="1" t="s">
        <v>0</v>
      </c>
      <c r="G35" s="2">
        <v>46113</v>
      </c>
      <c r="H35" s="1">
        <v>81778</v>
      </c>
      <c r="J35" s="4" t="s">
        <v>36</v>
      </c>
      <c r="K35" s="4" t="s">
        <v>37</v>
      </c>
      <c r="L35" s="60">
        <v>624.60165387999996</v>
      </c>
      <c r="M35" s="6" t="s">
        <v>1</v>
      </c>
      <c r="N35" s="7" t="s">
        <v>158</v>
      </c>
      <c r="O35" s="8">
        <v>1</v>
      </c>
      <c r="P35" s="5"/>
      <c r="Q35" s="64" t="s">
        <v>38</v>
      </c>
    </row>
    <row r="36" spans="1:17" x14ac:dyDescent="0.25">
      <c r="A36" s="9" t="str">
        <f t="shared" ref="A36:A47" si="2">CONCATENATE(J36,P36,M36,K36,M36,Q36,M36,N36)</f>
        <v>CUSTO DE DROPCOPY USD - DAHLIA CAPITAL GESTAO DE RECURSOS LTDA - ARTHUR LAZARETTI -  ABRIL 26</v>
      </c>
      <c r="B36" s="10">
        <v>46113</v>
      </c>
      <c r="C36" s="9">
        <v>817632</v>
      </c>
      <c r="D36" s="11" t="s">
        <v>2</v>
      </c>
      <c r="E36" s="57">
        <f t="shared" ref="E36:E51" si="3">-L36*O36</f>
        <v>-104.10027564666665</v>
      </c>
      <c r="F36" s="9" t="s">
        <v>0</v>
      </c>
      <c r="G36" s="10">
        <v>46113</v>
      </c>
      <c r="H36" s="9">
        <v>124633</v>
      </c>
      <c r="J36" s="12" t="s">
        <v>36</v>
      </c>
      <c r="K36" s="12" t="s">
        <v>163</v>
      </c>
      <c r="L36" s="61">
        <v>208.20055129333329</v>
      </c>
      <c r="M36" s="14" t="s">
        <v>1</v>
      </c>
      <c r="N36" s="15" t="s">
        <v>158</v>
      </c>
      <c r="O36" s="16">
        <v>0.5</v>
      </c>
      <c r="P36" s="13"/>
      <c r="Q36" s="17" t="s">
        <v>160</v>
      </c>
    </row>
    <row r="37" spans="1:17" x14ac:dyDescent="0.25">
      <c r="A37" s="9" t="str">
        <f t="shared" si="2"/>
        <v>CUSTO DE DROPCOPY USD - DAHLIA CAPITAL GESTAO DE RECURSOS LTDA - ARTHUR LAZARETTI -  ABRIL 26</v>
      </c>
      <c r="B37" s="10">
        <v>46113</v>
      </c>
      <c r="C37" s="9">
        <v>817632</v>
      </c>
      <c r="D37" s="11" t="s">
        <v>91</v>
      </c>
      <c r="E37" s="57">
        <f t="shared" si="3"/>
        <v>-104.10027564666665</v>
      </c>
      <c r="F37" s="9" t="s">
        <v>0</v>
      </c>
      <c r="G37" s="10">
        <v>46113</v>
      </c>
      <c r="H37" s="9">
        <v>124633</v>
      </c>
      <c r="J37" s="12" t="s">
        <v>36</v>
      </c>
      <c r="K37" s="12" t="s">
        <v>163</v>
      </c>
      <c r="L37" s="61">
        <v>208.20055129333329</v>
      </c>
      <c r="M37" s="14" t="s">
        <v>1</v>
      </c>
      <c r="N37" s="15" t="s">
        <v>158</v>
      </c>
      <c r="O37" s="16">
        <v>0.5</v>
      </c>
      <c r="P37" s="13"/>
      <c r="Q37" s="17" t="s">
        <v>160</v>
      </c>
    </row>
    <row r="38" spans="1:17" x14ac:dyDescent="0.25">
      <c r="A38" s="9" t="str">
        <f t="shared" si="2"/>
        <v>CUSTO DE DROPCOPY USD - DAHLIA CAPITAL GESTAO DE RECURSOS LTDA - RAFAEL CAMARGO -  ABRIL 26</v>
      </c>
      <c r="B38" s="10">
        <v>46113</v>
      </c>
      <c r="C38" s="9">
        <v>817632</v>
      </c>
      <c r="D38" s="11" t="s">
        <v>2</v>
      </c>
      <c r="E38" s="57">
        <f t="shared" si="3"/>
        <v>-104.10027564666665</v>
      </c>
      <c r="F38" s="9" t="s">
        <v>0</v>
      </c>
      <c r="G38" s="10">
        <v>46113</v>
      </c>
      <c r="H38" s="9">
        <v>124633</v>
      </c>
      <c r="J38" s="12" t="s">
        <v>36</v>
      </c>
      <c r="K38" s="12" t="s">
        <v>163</v>
      </c>
      <c r="L38" s="61">
        <v>208.20055129333329</v>
      </c>
      <c r="M38" s="14" t="s">
        <v>1</v>
      </c>
      <c r="N38" s="15" t="s">
        <v>158</v>
      </c>
      <c r="O38" s="16">
        <v>0.5</v>
      </c>
      <c r="P38" s="13"/>
      <c r="Q38" s="17" t="s">
        <v>161</v>
      </c>
    </row>
    <row r="39" spans="1:17" x14ac:dyDescent="0.25">
      <c r="A39" s="9" t="str">
        <f t="shared" si="2"/>
        <v>CUSTO DE DROPCOPY USD - DAHLIA CAPITAL GESTAO DE RECURSOS LTDA - RAFAEL CAMARGO -  ABRIL 26</v>
      </c>
      <c r="B39" s="10">
        <v>46113</v>
      </c>
      <c r="C39" s="9">
        <v>817632</v>
      </c>
      <c r="D39" s="11" t="s">
        <v>91</v>
      </c>
      <c r="E39" s="57">
        <f t="shared" si="3"/>
        <v>-104.10027564666665</v>
      </c>
      <c r="F39" s="9" t="s">
        <v>0</v>
      </c>
      <c r="G39" s="10">
        <v>46113</v>
      </c>
      <c r="H39" s="9">
        <v>124633</v>
      </c>
      <c r="J39" s="12" t="s">
        <v>36</v>
      </c>
      <c r="K39" s="12" t="s">
        <v>163</v>
      </c>
      <c r="L39" s="61">
        <v>208.20055129333329</v>
      </c>
      <c r="M39" s="14" t="s">
        <v>1</v>
      </c>
      <c r="N39" s="15" t="s">
        <v>158</v>
      </c>
      <c r="O39" s="16">
        <v>0.5</v>
      </c>
      <c r="P39" s="13"/>
      <c r="Q39" s="17" t="s">
        <v>161</v>
      </c>
    </row>
    <row r="40" spans="1:17" x14ac:dyDescent="0.25">
      <c r="A40" s="9" t="str">
        <f t="shared" si="2"/>
        <v>CUSTO DE DROPCOPY USD - DAHLIA CAPITAL GESTAO DE RECURSOS LTDA - SERGIO GUIMARAES -  ABRIL 26</v>
      </c>
      <c r="B40" s="10">
        <v>46113</v>
      </c>
      <c r="C40" s="9">
        <v>817632</v>
      </c>
      <c r="D40" s="11" t="s">
        <v>2</v>
      </c>
      <c r="E40" s="57">
        <f t="shared" si="3"/>
        <v>-104.10027564666665</v>
      </c>
      <c r="F40" s="9" t="s">
        <v>0</v>
      </c>
      <c r="G40" s="10">
        <v>46113</v>
      </c>
      <c r="H40" s="9">
        <v>124633</v>
      </c>
      <c r="J40" s="12" t="s">
        <v>36</v>
      </c>
      <c r="K40" s="12" t="s">
        <v>163</v>
      </c>
      <c r="L40" s="61">
        <v>208.20055129333329</v>
      </c>
      <c r="M40" s="14" t="s">
        <v>1</v>
      </c>
      <c r="N40" s="15" t="s">
        <v>158</v>
      </c>
      <c r="O40" s="16">
        <v>0.5</v>
      </c>
      <c r="P40" s="13"/>
      <c r="Q40" s="17" t="s">
        <v>162</v>
      </c>
    </row>
    <row r="41" spans="1:17" x14ac:dyDescent="0.25">
      <c r="A41" s="9" t="str">
        <f t="shared" si="2"/>
        <v>CUSTO DE DROPCOPY USD - DAHLIA CAPITAL GESTAO DE RECURSOS LTDA - SERGIO GUIMARAES -  ABRIL 26</v>
      </c>
      <c r="B41" s="10">
        <v>46113</v>
      </c>
      <c r="C41" s="9">
        <v>817632</v>
      </c>
      <c r="D41" s="11" t="s">
        <v>91</v>
      </c>
      <c r="E41" s="57">
        <f t="shared" si="3"/>
        <v>-104.10027564666665</v>
      </c>
      <c r="F41" s="9" t="s">
        <v>0</v>
      </c>
      <c r="G41" s="10">
        <v>46113</v>
      </c>
      <c r="H41" s="9">
        <v>124633</v>
      </c>
      <c r="J41" s="12" t="s">
        <v>36</v>
      </c>
      <c r="K41" s="12" t="s">
        <v>163</v>
      </c>
      <c r="L41" s="61">
        <v>208.20055129333329</v>
      </c>
      <c r="M41" s="14" t="s">
        <v>1</v>
      </c>
      <c r="N41" s="15" t="s">
        <v>158</v>
      </c>
      <c r="O41" s="16">
        <v>0.5</v>
      </c>
      <c r="P41" s="13"/>
      <c r="Q41" s="17" t="s">
        <v>162</v>
      </c>
    </row>
    <row r="42" spans="1:17" x14ac:dyDescent="0.25">
      <c r="A42" s="9" t="str">
        <f t="shared" si="2"/>
        <v>CUSTO DE DROPCOPY USD - DAHLIA CAPITAL GESTAO DE RECURSOS LTDA - ARTHUR LAZARETTI -  ABRIL 26</v>
      </c>
      <c r="B42" s="10">
        <v>46113</v>
      </c>
      <c r="C42" s="9">
        <v>817632</v>
      </c>
      <c r="D42" s="11" t="s">
        <v>2</v>
      </c>
      <c r="E42" s="57">
        <f t="shared" si="3"/>
        <v>-108.91652542000001</v>
      </c>
      <c r="F42" s="9" t="s">
        <v>0</v>
      </c>
      <c r="G42" s="10">
        <v>46113</v>
      </c>
      <c r="H42" s="9">
        <v>124633</v>
      </c>
      <c r="J42" s="12" t="s">
        <v>36</v>
      </c>
      <c r="K42" s="12" t="s">
        <v>163</v>
      </c>
      <c r="L42" s="61">
        <v>217.83305084000003</v>
      </c>
      <c r="M42" s="14" t="s">
        <v>1</v>
      </c>
      <c r="N42" s="15" t="s">
        <v>158</v>
      </c>
      <c r="O42" s="16">
        <v>0.5</v>
      </c>
      <c r="P42" s="13"/>
      <c r="Q42" s="17" t="s">
        <v>160</v>
      </c>
    </row>
    <row r="43" spans="1:17" x14ac:dyDescent="0.25">
      <c r="A43" s="9" t="str">
        <f t="shared" si="2"/>
        <v>CUSTO DE DROPCOPY USD - DAHLIA CAPITAL GESTAO DE RECURSOS LTDA - ARTHUR LAZARETTI -  ABRIL 26</v>
      </c>
      <c r="B43" s="10">
        <v>46113</v>
      </c>
      <c r="C43" s="9">
        <v>817632</v>
      </c>
      <c r="D43" s="11" t="s">
        <v>91</v>
      </c>
      <c r="E43" s="57">
        <f t="shared" si="3"/>
        <v>-108.91652542000001</v>
      </c>
      <c r="F43" s="9" t="s">
        <v>0</v>
      </c>
      <c r="G43" s="10">
        <v>46113</v>
      </c>
      <c r="H43" s="9">
        <v>124633</v>
      </c>
      <c r="J43" s="12" t="s">
        <v>36</v>
      </c>
      <c r="K43" s="12" t="s">
        <v>163</v>
      </c>
      <c r="L43" s="61">
        <v>217.83305084000003</v>
      </c>
      <c r="M43" s="14" t="s">
        <v>1</v>
      </c>
      <c r="N43" s="15" t="s">
        <v>158</v>
      </c>
      <c r="O43" s="16">
        <v>0.5</v>
      </c>
      <c r="P43" s="13"/>
      <c r="Q43" s="17" t="s">
        <v>160</v>
      </c>
    </row>
    <row r="44" spans="1:17" x14ac:dyDescent="0.25">
      <c r="A44" s="9" t="str">
        <f t="shared" si="2"/>
        <v>CUSTO DE DROPCOPY USD - DAHLIA CAPITAL GESTAO DE RECURSOS LTDA - RAFAEL CAMARGO -  ABRIL 26</v>
      </c>
      <c r="B44" s="10">
        <v>46113</v>
      </c>
      <c r="C44" s="9">
        <v>817632</v>
      </c>
      <c r="D44" s="11" t="s">
        <v>2</v>
      </c>
      <c r="E44" s="57">
        <f t="shared" si="3"/>
        <v>-108.91652542000001</v>
      </c>
      <c r="F44" s="9" t="s">
        <v>0</v>
      </c>
      <c r="G44" s="10">
        <v>46113</v>
      </c>
      <c r="H44" s="9">
        <v>124633</v>
      </c>
      <c r="J44" s="12" t="s">
        <v>36</v>
      </c>
      <c r="K44" s="12" t="s">
        <v>163</v>
      </c>
      <c r="L44" s="61">
        <v>217.83305084000003</v>
      </c>
      <c r="M44" s="14" t="s">
        <v>1</v>
      </c>
      <c r="N44" s="15" t="s">
        <v>158</v>
      </c>
      <c r="O44" s="16">
        <v>0.5</v>
      </c>
      <c r="P44" s="13"/>
      <c r="Q44" s="17" t="s">
        <v>161</v>
      </c>
    </row>
    <row r="45" spans="1:17" x14ac:dyDescent="0.25">
      <c r="A45" s="9" t="str">
        <f t="shared" si="2"/>
        <v>CUSTO DE DROPCOPY USD - DAHLIA CAPITAL GESTAO DE RECURSOS LTDA - RAFAEL CAMARGO -  ABRIL 26</v>
      </c>
      <c r="B45" s="10">
        <v>46113</v>
      </c>
      <c r="C45" s="9">
        <v>817632</v>
      </c>
      <c r="D45" s="11" t="s">
        <v>91</v>
      </c>
      <c r="E45" s="57">
        <f t="shared" si="3"/>
        <v>-108.91652542000001</v>
      </c>
      <c r="F45" s="9" t="s">
        <v>0</v>
      </c>
      <c r="G45" s="10">
        <v>46113</v>
      </c>
      <c r="H45" s="9">
        <v>124633</v>
      </c>
      <c r="J45" s="12" t="s">
        <v>36</v>
      </c>
      <c r="K45" s="12" t="s">
        <v>163</v>
      </c>
      <c r="L45" s="61">
        <v>217.83305084000003</v>
      </c>
      <c r="M45" s="14" t="s">
        <v>1</v>
      </c>
      <c r="N45" s="15" t="s">
        <v>158</v>
      </c>
      <c r="O45" s="16">
        <v>0.5</v>
      </c>
      <c r="P45" s="13"/>
      <c r="Q45" s="17" t="s">
        <v>161</v>
      </c>
    </row>
    <row r="46" spans="1:17" x14ac:dyDescent="0.25">
      <c r="A46" s="9" t="str">
        <f t="shared" si="2"/>
        <v>CUSTO DE DROPCOPY USD - DAHLIA CAPITAL GESTAO DE RECURSOS LTDA - SERGIO GUIMARAES -  ABRIL 26</v>
      </c>
      <c r="B46" s="10">
        <v>46113</v>
      </c>
      <c r="C46" s="9">
        <v>817632</v>
      </c>
      <c r="D46" s="11" t="s">
        <v>2</v>
      </c>
      <c r="E46" s="57">
        <f t="shared" si="3"/>
        <v>-108.91652542000001</v>
      </c>
      <c r="F46" s="9" t="s">
        <v>0</v>
      </c>
      <c r="G46" s="10">
        <v>46113</v>
      </c>
      <c r="H46" s="9">
        <v>124633</v>
      </c>
      <c r="J46" s="12" t="s">
        <v>36</v>
      </c>
      <c r="K46" s="12" t="s">
        <v>163</v>
      </c>
      <c r="L46" s="61">
        <v>217.83305084000003</v>
      </c>
      <c r="M46" s="14" t="s">
        <v>1</v>
      </c>
      <c r="N46" s="15" t="s">
        <v>158</v>
      </c>
      <c r="O46" s="16">
        <v>0.5</v>
      </c>
      <c r="P46" s="13"/>
      <c r="Q46" s="17" t="s">
        <v>162</v>
      </c>
    </row>
    <row r="47" spans="1:17" x14ac:dyDescent="0.25">
      <c r="A47" s="1" t="str">
        <f t="shared" si="2"/>
        <v>CUSTO DE DROPCOPY USD - DAHLIA CAPITAL GESTAO DE RECURSOS LTDA - SERGIO GUIMARAES -  ABRIL 26</v>
      </c>
      <c r="B47" s="2">
        <v>46113</v>
      </c>
      <c r="C47" s="1">
        <v>817632</v>
      </c>
      <c r="D47" s="3" t="s">
        <v>91</v>
      </c>
      <c r="E47" s="58">
        <f t="shared" si="3"/>
        <v>-108.91652542000001</v>
      </c>
      <c r="F47" s="1" t="s">
        <v>0</v>
      </c>
      <c r="G47" s="2">
        <v>46113</v>
      </c>
      <c r="H47" s="1">
        <v>124633</v>
      </c>
      <c r="I47" s="34"/>
      <c r="J47" s="4" t="s">
        <v>36</v>
      </c>
      <c r="K47" s="4" t="s">
        <v>163</v>
      </c>
      <c r="L47" s="60">
        <v>217.83305084000003</v>
      </c>
      <c r="M47" s="6" t="s">
        <v>1</v>
      </c>
      <c r="N47" s="7" t="s">
        <v>158</v>
      </c>
      <c r="O47" s="8">
        <v>0.5</v>
      </c>
      <c r="P47" s="5"/>
      <c r="Q47" s="64" t="s">
        <v>162</v>
      </c>
    </row>
    <row r="48" spans="1:17" x14ac:dyDescent="0.25">
      <c r="A48" s="9" t="str">
        <f t="shared" ref="A48:A51" si="4">CONCATENATE(J48,P48,M48,K48,M48,Q48,M48,N48)</f>
        <v>CUSTO DE DROPCOPY USD - TRUXT INVESTIMENTOS LTDA - ULISSES GORITO -  ABRIL 26</v>
      </c>
      <c r="B48" s="10">
        <v>46113</v>
      </c>
      <c r="C48" s="9">
        <v>817632</v>
      </c>
      <c r="D48" s="11" t="s">
        <v>166</v>
      </c>
      <c r="E48" s="57">
        <f t="shared" si="3"/>
        <v>-312.30082693999998</v>
      </c>
      <c r="F48" s="9" t="s">
        <v>0</v>
      </c>
      <c r="G48" s="10">
        <v>46113</v>
      </c>
      <c r="H48" s="9">
        <v>12402</v>
      </c>
      <c r="J48" s="12" t="s">
        <v>36</v>
      </c>
      <c r="K48" s="12" t="s">
        <v>167</v>
      </c>
      <c r="L48" s="61">
        <v>312.30082693999998</v>
      </c>
      <c r="M48" s="14" t="s">
        <v>1</v>
      </c>
      <c r="N48" s="15" t="s">
        <v>158</v>
      </c>
      <c r="O48" s="16">
        <v>1</v>
      </c>
      <c r="P48" s="13"/>
      <c r="Q48" s="17" t="s">
        <v>164</v>
      </c>
    </row>
    <row r="49" spans="1:17" x14ac:dyDescent="0.25">
      <c r="A49" s="9" t="str">
        <f t="shared" si="4"/>
        <v>CUSTO DE DROPCOPY USD - TRUXT INVESTIMENTOS LTDA - DANILO GALVAO -  ABRIL 26</v>
      </c>
      <c r="B49" s="10">
        <v>46113</v>
      </c>
      <c r="C49" s="9">
        <v>817632</v>
      </c>
      <c r="D49" s="11" t="s">
        <v>166</v>
      </c>
      <c r="E49" s="57">
        <f t="shared" si="3"/>
        <v>-312.30082693999998</v>
      </c>
      <c r="F49" s="9" t="s">
        <v>0</v>
      </c>
      <c r="G49" s="10">
        <v>46113</v>
      </c>
      <c r="H49" s="9">
        <v>12402</v>
      </c>
      <c r="J49" s="12" t="s">
        <v>36</v>
      </c>
      <c r="K49" s="12" t="s">
        <v>167</v>
      </c>
      <c r="L49" s="61">
        <v>312.30082693999998</v>
      </c>
      <c r="M49" s="14" t="s">
        <v>1</v>
      </c>
      <c r="N49" s="15" t="s">
        <v>158</v>
      </c>
      <c r="O49" s="16">
        <v>1</v>
      </c>
      <c r="P49" s="13"/>
      <c r="Q49" s="17" t="s">
        <v>165</v>
      </c>
    </row>
    <row r="50" spans="1:17" x14ac:dyDescent="0.25">
      <c r="A50" s="9" t="str">
        <f t="shared" si="4"/>
        <v>CUSTO DE DROPCOPY USD - TRUXT INVESTIMENTOS LTDA - ULISSES GORITO -  ABRIL 26</v>
      </c>
      <c r="B50" s="10">
        <v>46113</v>
      </c>
      <c r="C50" s="9">
        <v>817632</v>
      </c>
      <c r="D50" s="11" t="s">
        <v>166</v>
      </c>
      <c r="E50" s="57">
        <f t="shared" si="3"/>
        <v>-326.74957626000003</v>
      </c>
      <c r="F50" s="9" t="s">
        <v>0</v>
      </c>
      <c r="G50" s="10">
        <v>46113</v>
      </c>
      <c r="H50" s="9">
        <v>12402</v>
      </c>
      <c r="J50" s="12" t="s">
        <v>36</v>
      </c>
      <c r="K50" s="12" t="s">
        <v>167</v>
      </c>
      <c r="L50" s="61">
        <v>326.74957626000003</v>
      </c>
      <c r="M50" s="14" t="s">
        <v>1</v>
      </c>
      <c r="N50" s="15" t="s">
        <v>158</v>
      </c>
      <c r="O50" s="16">
        <v>1</v>
      </c>
      <c r="P50" s="13"/>
      <c r="Q50" s="17" t="s">
        <v>164</v>
      </c>
    </row>
    <row r="51" spans="1:17" x14ac:dyDescent="0.25">
      <c r="A51" s="1" t="str">
        <f t="shared" si="4"/>
        <v>CUSTO DE DROPCOPY USD - TRUXT INVESTIMENTOS LTDA - DANILO GALVAO -  ABRIL 26</v>
      </c>
      <c r="B51" s="2">
        <v>46113</v>
      </c>
      <c r="C51" s="1">
        <v>817632</v>
      </c>
      <c r="D51" s="3" t="s">
        <v>166</v>
      </c>
      <c r="E51" s="58">
        <f t="shared" si="3"/>
        <v>-326.74957626000003</v>
      </c>
      <c r="F51" s="1" t="s">
        <v>0</v>
      </c>
      <c r="G51" s="2">
        <v>46113</v>
      </c>
      <c r="H51" s="1">
        <v>12402</v>
      </c>
      <c r="I51" s="34"/>
      <c r="J51" s="4" t="s">
        <v>36</v>
      </c>
      <c r="K51" s="4" t="s">
        <v>167</v>
      </c>
      <c r="L51" s="60">
        <v>326.74957626000003</v>
      </c>
      <c r="M51" s="6" t="s">
        <v>1</v>
      </c>
      <c r="N51" s="7" t="s">
        <v>158</v>
      </c>
      <c r="O51" s="8">
        <v>1</v>
      </c>
      <c r="P51" s="5"/>
      <c r="Q51" s="64" t="s">
        <v>165</v>
      </c>
    </row>
    <row r="52" spans="1:17" x14ac:dyDescent="0.25">
      <c r="A52" s="9" t="str">
        <f t="shared" ref="A52:A114" si="5">CONCATENATE(J52,P52,M52,K52,M52,N52)</f>
        <v>CUSTO DE DROPCOPY USD - BGC LIQUIDEZ -  ABRIL 26</v>
      </c>
      <c r="B52" s="10">
        <v>46113</v>
      </c>
      <c r="C52" s="9">
        <v>817632</v>
      </c>
      <c r="D52" s="11" t="s">
        <v>2</v>
      </c>
      <c r="E52" s="57">
        <f t="shared" si="1"/>
        <v>-4549.6031999999996</v>
      </c>
      <c r="F52" s="9" t="s">
        <v>48</v>
      </c>
      <c r="G52" s="10">
        <v>46113</v>
      </c>
      <c r="H52" s="9">
        <v>1170</v>
      </c>
      <c r="J52" s="12" t="s">
        <v>36</v>
      </c>
      <c r="K52" s="12" t="s">
        <v>47</v>
      </c>
      <c r="L52" s="61">
        <v>4549.6031999999996</v>
      </c>
      <c r="M52" s="14" t="s">
        <v>1</v>
      </c>
      <c r="N52" s="15" t="s">
        <v>158</v>
      </c>
      <c r="O52" s="16">
        <v>1</v>
      </c>
      <c r="P52" s="13"/>
      <c r="Q52" s="17"/>
    </row>
    <row r="53" spans="1:17" x14ac:dyDescent="0.25">
      <c r="A53" s="1" t="str">
        <f t="shared" si="5"/>
        <v>CUSTO DE DROPCOPY USD - BGC LIQUIDEZ -  ABRIL 26</v>
      </c>
      <c r="B53" s="2">
        <v>46113</v>
      </c>
      <c r="C53" s="1">
        <v>817632</v>
      </c>
      <c r="D53" s="3" t="s">
        <v>93</v>
      </c>
      <c r="E53" s="58">
        <f t="shared" si="1"/>
        <v>-1137.4007999999999</v>
      </c>
      <c r="F53" s="3" t="s">
        <v>48</v>
      </c>
      <c r="G53" s="2">
        <v>46113</v>
      </c>
      <c r="H53" s="1">
        <v>1170</v>
      </c>
      <c r="J53" s="4" t="s">
        <v>36</v>
      </c>
      <c r="K53" s="4" t="s">
        <v>47</v>
      </c>
      <c r="L53" s="60">
        <v>1137.4007999999999</v>
      </c>
      <c r="M53" s="6" t="s">
        <v>1</v>
      </c>
      <c r="N53" s="7" t="s">
        <v>158</v>
      </c>
      <c r="O53" s="8">
        <v>1</v>
      </c>
      <c r="P53" s="5"/>
      <c r="Q53" s="64"/>
    </row>
    <row r="54" spans="1:17" x14ac:dyDescent="0.25">
      <c r="A54" s="9" t="str">
        <f t="shared" si="5"/>
        <v>CUSTO DE DROPCOPY USD - BGC LIQUIDEZ -  ABRIL 26</v>
      </c>
      <c r="B54" s="10">
        <v>46113</v>
      </c>
      <c r="C54" s="9">
        <v>817632</v>
      </c>
      <c r="D54" s="11" t="s">
        <v>40</v>
      </c>
      <c r="E54" s="57">
        <f t="shared" si="1"/>
        <v>-157.14089999999999</v>
      </c>
      <c r="F54" s="9" t="s">
        <v>94</v>
      </c>
      <c r="G54" s="10">
        <v>46113</v>
      </c>
      <c r="H54" s="9">
        <v>1170</v>
      </c>
      <c r="J54" s="12" t="s">
        <v>36</v>
      </c>
      <c r="K54" s="12" t="s">
        <v>47</v>
      </c>
      <c r="L54" s="61">
        <v>157.14089999999999</v>
      </c>
      <c r="M54" s="14" t="s">
        <v>1</v>
      </c>
      <c r="N54" s="15" t="s">
        <v>158</v>
      </c>
      <c r="O54" s="16">
        <v>1</v>
      </c>
      <c r="P54" s="13"/>
      <c r="Q54" s="17"/>
    </row>
    <row r="55" spans="1:17" x14ac:dyDescent="0.25">
      <c r="A55" s="9" t="str">
        <f t="shared" si="5"/>
        <v>CUSTO DE DROPCOPY USD - BGC LIQUIDEZ -  ABRIL 26</v>
      </c>
      <c r="B55" s="10">
        <v>46113</v>
      </c>
      <c r="C55" s="9">
        <v>817632</v>
      </c>
      <c r="D55" s="11" t="s">
        <v>95</v>
      </c>
      <c r="E55" s="57">
        <f t="shared" si="1"/>
        <v>-157.14089999999999</v>
      </c>
      <c r="F55" s="9" t="s">
        <v>94</v>
      </c>
      <c r="G55" s="10">
        <v>46113</v>
      </c>
      <c r="H55" s="9">
        <v>1170</v>
      </c>
      <c r="J55" s="12" t="s">
        <v>36</v>
      </c>
      <c r="K55" s="12" t="s">
        <v>47</v>
      </c>
      <c r="L55" s="61">
        <v>157.14089999999999</v>
      </c>
      <c r="M55" s="14" t="s">
        <v>1</v>
      </c>
      <c r="N55" s="15" t="s">
        <v>158</v>
      </c>
      <c r="O55" s="16">
        <v>1</v>
      </c>
      <c r="P55" s="13"/>
      <c r="Q55" s="17"/>
    </row>
    <row r="56" spans="1:17" x14ac:dyDescent="0.25">
      <c r="A56" s="9" t="str">
        <f t="shared" si="5"/>
        <v>CUSTO DE DROPCOPY USD - BGC LIQUIDEZ -  ABRIL 26</v>
      </c>
      <c r="B56" s="10">
        <v>46113</v>
      </c>
      <c r="C56" s="9">
        <v>817632</v>
      </c>
      <c r="D56" s="11" t="s">
        <v>2</v>
      </c>
      <c r="E56" s="57">
        <f t="shared" si="1"/>
        <v>-628.56359999999995</v>
      </c>
      <c r="F56" s="9" t="s">
        <v>94</v>
      </c>
      <c r="G56" s="10">
        <v>46113</v>
      </c>
      <c r="H56" s="9">
        <v>1170</v>
      </c>
      <c r="J56" s="12" t="s">
        <v>36</v>
      </c>
      <c r="K56" s="12" t="s">
        <v>47</v>
      </c>
      <c r="L56" s="61">
        <v>628.56359999999995</v>
      </c>
      <c r="M56" s="14" t="s">
        <v>1</v>
      </c>
      <c r="N56" s="15" t="s">
        <v>158</v>
      </c>
      <c r="O56" s="16">
        <v>1</v>
      </c>
      <c r="P56" s="13"/>
      <c r="Q56" s="17"/>
    </row>
    <row r="57" spans="1:17" x14ac:dyDescent="0.25">
      <c r="A57" s="1" t="str">
        <f t="shared" si="5"/>
        <v>CUSTO DE DROPCOPY USD - BGC LIQUIDEZ -  ABRIL 26</v>
      </c>
      <c r="B57" s="2">
        <v>46113</v>
      </c>
      <c r="C57" s="1">
        <v>817632</v>
      </c>
      <c r="D57" s="3" t="s">
        <v>93</v>
      </c>
      <c r="E57" s="58">
        <f t="shared" si="1"/>
        <v>-157.14089999999999</v>
      </c>
      <c r="F57" s="1" t="s">
        <v>94</v>
      </c>
      <c r="G57" s="2">
        <v>46113</v>
      </c>
      <c r="H57" s="1">
        <v>1170</v>
      </c>
      <c r="I57" s="34"/>
      <c r="J57" s="4" t="s">
        <v>36</v>
      </c>
      <c r="K57" s="4" t="s">
        <v>47</v>
      </c>
      <c r="L57" s="60">
        <v>157.14089999999999</v>
      </c>
      <c r="M57" s="6" t="s">
        <v>1</v>
      </c>
      <c r="N57" s="7" t="s">
        <v>158</v>
      </c>
      <c r="O57" s="8">
        <v>1</v>
      </c>
      <c r="P57" s="5"/>
      <c r="Q57" s="17"/>
    </row>
    <row r="58" spans="1:17" x14ac:dyDescent="0.25">
      <c r="A58" s="9" t="str">
        <f t="shared" si="5"/>
        <v>CUSTO DE DROPCOPY USD - BGC LIQUIDEZ -  ABRIL 26</v>
      </c>
      <c r="B58" s="10">
        <v>46113</v>
      </c>
      <c r="C58" s="9">
        <v>817632</v>
      </c>
      <c r="D58" s="11" t="s">
        <v>95</v>
      </c>
      <c r="E58" s="57">
        <f t="shared" si="1"/>
        <v>-64.851799999999997</v>
      </c>
      <c r="F58" s="9" t="s">
        <v>96</v>
      </c>
      <c r="G58" s="10">
        <v>46113</v>
      </c>
      <c r="H58" s="9">
        <v>1170</v>
      </c>
      <c r="J58" s="12" t="s">
        <v>36</v>
      </c>
      <c r="K58" s="12" t="s">
        <v>47</v>
      </c>
      <c r="L58" s="61">
        <v>64.851799999999997</v>
      </c>
      <c r="M58" s="14" t="s">
        <v>1</v>
      </c>
      <c r="N58" s="15" t="s">
        <v>158</v>
      </c>
      <c r="O58" s="16">
        <v>1</v>
      </c>
      <c r="P58" s="13"/>
      <c r="Q58" s="17"/>
    </row>
    <row r="59" spans="1:17" x14ac:dyDescent="0.25">
      <c r="A59" s="1" t="str">
        <f t="shared" si="5"/>
        <v>CUSTO DE DROPCOPY USD - BGC LIQUIDEZ -  ABRIL 26</v>
      </c>
      <c r="B59" s="2">
        <v>46113</v>
      </c>
      <c r="C59" s="1">
        <v>817632</v>
      </c>
      <c r="D59" s="3" t="s">
        <v>40</v>
      </c>
      <c r="E59" s="58">
        <f t="shared" si="1"/>
        <v>-64.851799999999997</v>
      </c>
      <c r="F59" s="1" t="s">
        <v>96</v>
      </c>
      <c r="G59" s="2">
        <v>46113</v>
      </c>
      <c r="H59" s="1">
        <v>1170</v>
      </c>
      <c r="J59" s="4" t="s">
        <v>36</v>
      </c>
      <c r="K59" s="4" t="s">
        <v>47</v>
      </c>
      <c r="L59" s="60">
        <v>64.851799999999997</v>
      </c>
      <c r="M59" s="6" t="s">
        <v>1</v>
      </c>
      <c r="N59" s="7" t="s">
        <v>158</v>
      </c>
      <c r="O59" s="8">
        <v>1</v>
      </c>
      <c r="P59" s="5"/>
      <c r="Q59" s="17"/>
    </row>
    <row r="60" spans="1:17" x14ac:dyDescent="0.25">
      <c r="A60" s="18" t="str">
        <f t="shared" si="5"/>
        <v>CUSTO DE DROPCOPY BRL - AGUILA CAPITAL ADM -  ABRIL 26</v>
      </c>
      <c r="B60" s="10">
        <v>46113</v>
      </c>
      <c r="C60" s="9">
        <v>817632</v>
      </c>
      <c r="D60" s="11" t="s">
        <v>133</v>
      </c>
      <c r="E60" s="57">
        <f t="shared" si="1"/>
        <v>-2816</v>
      </c>
      <c r="F60" s="9" t="s">
        <v>132</v>
      </c>
      <c r="G60" s="10">
        <v>46113</v>
      </c>
      <c r="H60" s="9">
        <v>12397</v>
      </c>
      <c r="J60" s="12" t="s">
        <v>52</v>
      </c>
      <c r="K60" s="12" t="s">
        <v>134</v>
      </c>
      <c r="L60" s="63">
        <v>2816</v>
      </c>
      <c r="M60" s="14" t="s">
        <v>1</v>
      </c>
      <c r="N60" s="15" t="s">
        <v>158</v>
      </c>
      <c r="O60" s="16">
        <v>1</v>
      </c>
      <c r="P60" s="68"/>
      <c r="Q60" s="17" t="s">
        <v>136</v>
      </c>
    </row>
    <row r="61" spans="1:17" x14ac:dyDescent="0.25">
      <c r="A61" s="9" t="str">
        <f t="shared" ref="A61:A63" si="6">CONCATENATE(J61,P61,M61,K61,M61,Q61,M61,N61)</f>
        <v>CUSTO DE DROPCOPY USD - BANCO DO BRASIL S/A - 10349918 -  ABRIL 26</v>
      </c>
      <c r="B61" s="46">
        <v>46113</v>
      </c>
      <c r="C61" s="45">
        <v>817632</v>
      </c>
      <c r="D61" s="47" t="s">
        <v>139</v>
      </c>
      <c r="E61" s="56">
        <f t="shared" si="1"/>
        <v>-718.66666666666663</v>
      </c>
      <c r="F61" s="45" t="s">
        <v>132</v>
      </c>
      <c r="G61" s="46">
        <v>46113</v>
      </c>
      <c r="H61" s="45">
        <v>18857</v>
      </c>
      <c r="J61" s="48" t="s">
        <v>36</v>
      </c>
      <c r="K61" s="48" t="s">
        <v>159</v>
      </c>
      <c r="L61" s="61">
        <v>718.66666666666663</v>
      </c>
      <c r="M61" s="50" t="s">
        <v>1</v>
      </c>
      <c r="N61" s="51" t="s">
        <v>158</v>
      </c>
      <c r="O61" s="52">
        <v>1</v>
      </c>
      <c r="P61" s="49"/>
      <c r="Q61" s="17">
        <v>10349918</v>
      </c>
    </row>
    <row r="62" spans="1:17" x14ac:dyDescent="0.25">
      <c r="A62" s="9" t="str">
        <f t="shared" si="6"/>
        <v>CUSTO DE DROPCOPY USD - BANCO DO BRASIL S/A - 28861711 -  ABRIL 26</v>
      </c>
      <c r="B62" s="10">
        <v>46113</v>
      </c>
      <c r="C62" s="9">
        <v>817632</v>
      </c>
      <c r="D62" s="11" t="s">
        <v>139</v>
      </c>
      <c r="E62" s="57">
        <f t="shared" si="1"/>
        <v>-718.66666666666663</v>
      </c>
      <c r="F62" s="9" t="s">
        <v>132</v>
      </c>
      <c r="G62" s="10">
        <v>46113</v>
      </c>
      <c r="H62" s="9">
        <v>18857</v>
      </c>
      <c r="J62" s="12" t="s">
        <v>36</v>
      </c>
      <c r="K62" s="12" t="s">
        <v>159</v>
      </c>
      <c r="L62" s="61">
        <v>718.66666666666663</v>
      </c>
      <c r="M62" s="14" t="s">
        <v>1</v>
      </c>
      <c r="N62" s="15" t="s">
        <v>158</v>
      </c>
      <c r="O62" s="16">
        <v>1</v>
      </c>
      <c r="P62" s="13"/>
      <c r="Q62" s="17">
        <v>28861711</v>
      </c>
    </row>
    <row r="63" spans="1:17" x14ac:dyDescent="0.25">
      <c r="A63" s="9" t="str">
        <f t="shared" si="6"/>
        <v>CUSTO DE DROPCOPY USD - BANCO DO BRASIL S/A - 13107976 -  ABRIL 26</v>
      </c>
      <c r="B63" s="2">
        <v>46113</v>
      </c>
      <c r="C63" s="1">
        <v>817632</v>
      </c>
      <c r="D63" s="3" t="s">
        <v>139</v>
      </c>
      <c r="E63" s="58">
        <f t="shared" si="1"/>
        <v>-718.66666666666663</v>
      </c>
      <c r="F63" s="1" t="s">
        <v>132</v>
      </c>
      <c r="G63" s="2">
        <v>46113</v>
      </c>
      <c r="H63" s="1">
        <v>18857</v>
      </c>
      <c r="J63" s="4" t="s">
        <v>36</v>
      </c>
      <c r="K63" s="4" t="s">
        <v>159</v>
      </c>
      <c r="L63" s="60">
        <v>718.66666666666663</v>
      </c>
      <c r="M63" s="6" t="s">
        <v>1</v>
      </c>
      <c r="N63" s="7" t="s">
        <v>158</v>
      </c>
      <c r="O63" s="8">
        <v>1</v>
      </c>
      <c r="P63" s="5"/>
      <c r="Q63" s="17">
        <v>13107976</v>
      </c>
    </row>
    <row r="64" spans="1:17" x14ac:dyDescent="0.25">
      <c r="A64" s="18" t="str">
        <f t="shared" si="5"/>
        <v>CUSTO DE DROPCOPY BRL - VINLAND CAPITAL -  ABRIL 26</v>
      </c>
      <c r="B64" s="19">
        <v>46113</v>
      </c>
      <c r="C64" s="18">
        <v>817632</v>
      </c>
      <c r="D64" s="20" t="s">
        <v>95</v>
      </c>
      <c r="E64" s="55">
        <f t="shared" si="1"/>
        <v>-318.0443874685165</v>
      </c>
      <c r="F64" s="18" t="s">
        <v>46</v>
      </c>
      <c r="G64" s="19">
        <v>46113</v>
      </c>
      <c r="H64" s="18">
        <v>80359</v>
      </c>
      <c r="J64" s="21" t="s">
        <v>52</v>
      </c>
      <c r="K64" s="21" t="s">
        <v>121</v>
      </c>
      <c r="L64" s="63">
        <v>318.0443874685165</v>
      </c>
      <c r="M64" s="23" t="s">
        <v>1</v>
      </c>
      <c r="N64" s="24" t="s">
        <v>158</v>
      </c>
      <c r="O64" s="25">
        <v>1</v>
      </c>
      <c r="P64" s="22"/>
      <c r="Q64" s="17"/>
    </row>
    <row r="65" spans="1:17" x14ac:dyDescent="0.25">
      <c r="A65" s="9" t="str">
        <f t="shared" si="5"/>
        <v>CUSTO DE DROPCOPY BRL - RPS CAPITAL ADMINISTRADORA -  ABRIL 26</v>
      </c>
      <c r="B65" s="10">
        <v>46113</v>
      </c>
      <c r="C65" s="9">
        <v>817632</v>
      </c>
      <c r="D65" s="11" t="s">
        <v>91</v>
      </c>
      <c r="E65" s="57">
        <f t="shared" si="1"/>
        <v>-318.0443874685165</v>
      </c>
      <c r="F65" s="9" t="s">
        <v>46</v>
      </c>
      <c r="G65" s="10">
        <v>46113</v>
      </c>
      <c r="H65" s="9">
        <v>12339</v>
      </c>
      <c r="J65" s="12" t="s">
        <v>52</v>
      </c>
      <c r="K65" s="12" t="s">
        <v>114</v>
      </c>
      <c r="L65" s="61">
        <v>318.0443874685165</v>
      </c>
      <c r="M65" s="14" t="s">
        <v>1</v>
      </c>
      <c r="N65" s="15" t="s">
        <v>158</v>
      </c>
      <c r="O65" s="16">
        <v>1</v>
      </c>
      <c r="P65" s="13"/>
      <c r="Q65" s="17"/>
    </row>
    <row r="66" spans="1:17" x14ac:dyDescent="0.25">
      <c r="A66" s="45" t="str">
        <f t="shared" si="5"/>
        <v>CUSTO DE DROPCOPY BRL - BANCO BRADESCO S/A -  ABRIL 26</v>
      </c>
      <c r="B66" s="46">
        <v>46113</v>
      </c>
      <c r="C66" s="45">
        <v>817632</v>
      </c>
      <c r="D66" s="47" t="s">
        <v>2</v>
      </c>
      <c r="E66" s="56">
        <f t="shared" si="1"/>
        <v>-238.53329060138736</v>
      </c>
      <c r="F66" s="45" t="s">
        <v>46</v>
      </c>
      <c r="G66" s="46">
        <v>46113</v>
      </c>
      <c r="H66" s="45">
        <v>81503</v>
      </c>
      <c r="J66" s="48" t="s">
        <v>52</v>
      </c>
      <c r="K66" s="48" t="s">
        <v>3</v>
      </c>
      <c r="L66" s="62">
        <v>318.0443874685165</v>
      </c>
      <c r="M66" s="50" t="s">
        <v>1</v>
      </c>
      <c r="N66" s="51" t="s">
        <v>158</v>
      </c>
      <c r="O66" s="52">
        <v>0.75</v>
      </c>
      <c r="P66" s="49"/>
      <c r="Q66" s="17"/>
    </row>
    <row r="67" spans="1:17" x14ac:dyDescent="0.25">
      <c r="A67" s="1" t="str">
        <f t="shared" si="5"/>
        <v>CUSTO DE DROPCOPY BRL - BANCO BRADESCO S/A -  ABRIL 26</v>
      </c>
      <c r="B67" s="2">
        <v>46113</v>
      </c>
      <c r="C67" s="1">
        <v>817632</v>
      </c>
      <c r="D67" s="3" t="s">
        <v>91</v>
      </c>
      <c r="E67" s="58">
        <f t="shared" si="1"/>
        <v>-79.511096867129126</v>
      </c>
      <c r="F67" s="1" t="s">
        <v>46</v>
      </c>
      <c r="G67" s="2">
        <v>46113</v>
      </c>
      <c r="H67" s="1">
        <v>81503</v>
      </c>
      <c r="J67" s="4" t="s">
        <v>52</v>
      </c>
      <c r="K67" s="4" t="s">
        <v>3</v>
      </c>
      <c r="L67" s="60">
        <v>318.0443874685165</v>
      </c>
      <c r="M67" s="6" t="s">
        <v>1</v>
      </c>
      <c r="N67" s="7" t="s">
        <v>158</v>
      </c>
      <c r="O67" s="8">
        <v>0.25</v>
      </c>
      <c r="P67" s="5"/>
      <c r="Q67" s="17"/>
    </row>
    <row r="68" spans="1:17" x14ac:dyDescent="0.25">
      <c r="A68" s="9" t="str">
        <f t="shared" si="5"/>
        <v>CUSTO DE DROPCOPY BRL - KAPITALO INVESTIMENTOS LTDA -  ABRIL 26</v>
      </c>
      <c r="B68" s="10">
        <v>46113</v>
      </c>
      <c r="C68" s="9">
        <v>817632</v>
      </c>
      <c r="D68" s="11" t="s">
        <v>2</v>
      </c>
      <c r="E68" s="57">
        <f t="shared" si="1"/>
        <v>-318.0443874685165</v>
      </c>
      <c r="F68" s="9" t="s">
        <v>46</v>
      </c>
      <c r="G68" s="10">
        <v>46113</v>
      </c>
      <c r="H68" s="9">
        <v>12413</v>
      </c>
      <c r="J68" s="12" t="s">
        <v>52</v>
      </c>
      <c r="K68" s="12" t="s">
        <v>113</v>
      </c>
      <c r="L68" s="61">
        <v>318.0443874685165</v>
      </c>
      <c r="M68" s="14" t="s">
        <v>1</v>
      </c>
      <c r="N68" s="15" t="s">
        <v>158</v>
      </c>
      <c r="O68" s="16">
        <v>1</v>
      </c>
      <c r="P68" s="13"/>
      <c r="Q68" s="17"/>
    </row>
    <row r="69" spans="1:17" x14ac:dyDescent="0.25">
      <c r="A69" s="18" t="str">
        <f t="shared" si="5"/>
        <v>CUSTO DE DROPCOPY BRL - FITPART -  ABRIL 26</v>
      </c>
      <c r="B69" s="19">
        <v>46113</v>
      </c>
      <c r="C69" s="18">
        <v>817632</v>
      </c>
      <c r="D69" s="20" t="s">
        <v>2</v>
      </c>
      <c r="E69" s="55">
        <f t="shared" si="1"/>
        <v>-318.0443874685165</v>
      </c>
      <c r="F69" s="18" t="s">
        <v>46</v>
      </c>
      <c r="G69" s="19">
        <v>46113</v>
      </c>
      <c r="H69" s="18">
        <v>1170</v>
      </c>
      <c r="J69" s="21" t="s">
        <v>52</v>
      </c>
      <c r="K69" s="21" t="s">
        <v>88</v>
      </c>
      <c r="L69" s="63">
        <v>318.0443874685165</v>
      </c>
      <c r="M69" s="23" t="s">
        <v>1</v>
      </c>
      <c r="N69" s="24" t="s">
        <v>158</v>
      </c>
      <c r="O69" s="25">
        <v>1</v>
      </c>
      <c r="P69" s="22"/>
      <c r="Q69" s="17"/>
    </row>
    <row r="70" spans="1:17" x14ac:dyDescent="0.25">
      <c r="A70" s="9" t="str">
        <f t="shared" si="5"/>
        <v>CUSTO DE DROPCOPY BRL - SPX EQUITIES GESTAO DE RECURSOS LTDA -  ABRIL 26</v>
      </c>
      <c r="B70" s="10">
        <v>46113</v>
      </c>
      <c r="C70" s="9">
        <v>817632</v>
      </c>
      <c r="D70" s="11" t="s">
        <v>2</v>
      </c>
      <c r="E70" s="57">
        <f t="shared" si="1"/>
        <v>-190.8266324811099</v>
      </c>
      <c r="F70" s="9" t="s">
        <v>46</v>
      </c>
      <c r="G70" s="10">
        <v>46113</v>
      </c>
      <c r="H70" s="9">
        <v>79931</v>
      </c>
      <c r="J70" s="12" t="s">
        <v>52</v>
      </c>
      <c r="K70" s="12" t="s">
        <v>9</v>
      </c>
      <c r="L70" s="61">
        <v>318.0443874685165</v>
      </c>
      <c r="M70" s="14" t="s">
        <v>1</v>
      </c>
      <c r="N70" s="15" t="s">
        <v>158</v>
      </c>
      <c r="O70" s="16">
        <v>0.6</v>
      </c>
      <c r="P70" s="13"/>
      <c r="Q70" s="17"/>
    </row>
    <row r="71" spans="1:17" x14ac:dyDescent="0.25">
      <c r="A71" s="9" t="str">
        <f t="shared" si="5"/>
        <v>CUSTO DE DROPCOPY BRL - SPX EQUITIES GESTAO DE RECURSOS LTDA -  ABRIL 26</v>
      </c>
      <c r="B71" s="10">
        <v>46113</v>
      </c>
      <c r="C71" s="9">
        <v>817632</v>
      </c>
      <c r="D71" s="11" t="s">
        <v>91</v>
      </c>
      <c r="E71" s="57">
        <f t="shared" si="1"/>
        <v>-127.21775498740661</v>
      </c>
      <c r="F71" s="9" t="s">
        <v>46</v>
      </c>
      <c r="G71" s="10">
        <v>46113</v>
      </c>
      <c r="H71" s="9">
        <v>79931</v>
      </c>
      <c r="J71" s="12" t="s">
        <v>52</v>
      </c>
      <c r="K71" s="12" t="s">
        <v>9</v>
      </c>
      <c r="L71" s="61">
        <v>318.0443874685165</v>
      </c>
      <c r="M71" s="14" t="s">
        <v>1</v>
      </c>
      <c r="N71" s="15" t="s">
        <v>158</v>
      </c>
      <c r="O71" s="16">
        <v>0.4</v>
      </c>
      <c r="P71" s="13"/>
      <c r="Q71" s="17"/>
    </row>
    <row r="72" spans="1:17" x14ac:dyDescent="0.25">
      <c r="A72" s="45" t="str">
        <f t="shared" si="5"/>
        <v>CUSTO DE DROPCOPY BRL - ITAU BBA -  ABRIL 26</v>
      </c>
      <c r="B72" s="46">
        <v>46113</v>
      </c>
      <c r="C72" s="45">
        <v>817632</v>
      </c>
      <c r="D72" s="47" t="s">
        <v>2</v>
      </c>
      <c r="E72" s="56">
        <f t="shared" si="1"/>
        <v>-318.0443874685165</v>
      </c>
      <c r="F72" s="45" t="s">
        <v>46</v>
      </c>
      <c r="G72" s="46">
        <v>46113</v>
      </c>
      <c r="H72" s="45">
        <v>80922</v>
      </c>
      <c r="J72" s="48" t="s">
        <v>52</v>
      </c>
      <c r="K72" s="48" t="s">
        <v>57</v>
      </c>
      <c r="L72" s="63">
        <v>318.0443874685165</v>
      </c>
      <c r="M72" s="50" t="s">
        <v>1</v>
      </c>
      <c r="N72" s="51" t="s">
        <v>158</v>
      </c>
      <c r="O72" s="52">
        <v>1</v>
      </c>
      <c r="P72" s="49"/>
      <c r="Q72" s="17"/>
    </row>
    <row r="73" spans="1:17" x14ac:dyDescent="0.25">
      <c r="A73" s="45" t="str">
        <f t="shared" si="5"/>
        <v>CUSTO DE DROPCOPY USD - BGC LIQUIDEZ -  ABRIL 26</v>
      </c>
      <c r="B73" s="46">
        <v>46113</v>
      </c>
      <c r="C73" s="45">
        <v>817632</v>
      </c>
      <c r="D73" s="47" t="s">
        <v>2</v>
      </c>
      <c r="E73" s="56">
        <f t="shared" si="1"/>
        <v>-1773.0315833333329</v>
      </c>
      <c r="F73" s="45" t="s">
        <v>45</v>
      </c>
      <c r="G73" s="46">
        <v>46113</v>
      </c>
      <c r="H73" s="45">
        <v>1170</v>
      </c>
      <c r="J73" s="48" t="s">
        <v>36</v>
      </c>
      <c r="K73" s="48" t="s">
        <v>47</v>
      </c>
      <c r="L73" s="61">
        <v>1773.0315833333329</v>
      </c>
      <c r="M73" s="50" t="s">
        <v>1</v>
      </c>
      <c r="N73" s="51" t="s">
        <v>158</v>
      </c>
      <c r="O73" s="52">
        <v>1</v>
      </c>
      <c r="P73" s="49"/>
      <c r="Q73" s="17"/>
    </row>
    <row r="74" spans="1:17" x14ac:dyDescent="0.25">
      <c r="A74" s="9" t="str">
        <f t="shared" si="5"/>
        <v>CUSTO DE DROPCOPY USD - BGC LIQUIDEZ -  ABRIL 26</v>
      </c>
      <c r="B74" s="10">
        <v>46113</v>
      </c>
      <c r="C74" s="9">
        <v>817632</v>
      </c>
      <c r="D74" s="11" t="s">
        <v>141</v>
      </c>
      <c r="E74" s="57">
        <f t="shared" si="1"/>
        <v>-1773.0315833333329</v>
      </c>
      <c r="F74" s="9" t="s">
        <v>45</v>
      </c>
      <c r="G74" s="10">
        <v>46113</v>
      </c>
      <c r="H74" s="9">
        <v>1170</v>
      </c>
      <c r="J74" s="12" t="s">
        <v>36</v>
      </c>
      <c r="K74" s="12" t="s">
        <v>47</v>
      </c>
      <c r="L74" s="61">
        <v>1773.0315833333329</v>
      </c>
      <c r="M74" s="14" t="s">
        <v>1</v>
      </c>
      <c r="N74" s="15" t="s">
        <v>158</v>
      </c>
      <c r="O74" s="16">
        <v>1</v>
      </c>
      <c r="P74" s="13"/>
      <c r="Q74" s="17"/>
    </row>
    <row r="75" spans="1:17" x14ac:dyDescent="0.25">
      <c r="A75" s="1" t="str">
        <f t="shared" si="5"/>
        <v>CUSTO DE DROPCOPY USD - BGC LIQUIDEZ -  ABRIL 26</v>
      </c>
      <c r="B75" s="2">
        <v>46113</v>
      </c>
      <c r="C75" s="1">
        <v>817632</v>
      </c>
      <c r="D75" s="3" t="s">
        <v>95</v>
      </c>
      <c r="E75" s="58">
        <f t="shared" si="1"/>
        <v>-1773.0315833333329</v>
      </c>
      <c r="F75" s="1" t="s">
        <v>45</v>
      </c>
      <c r="G75" s="2">
        <v>46113</v>
      </c>
      <c r="H75" s="1">
        <v>1170</v>
      </c>
      <c r="J75" s="4" t="s">
        <v>36</v>
      </c>
      <c r="K75" s="4" t="s">
        <v>47</v>
      </c>
      <c r="L75" s="60">
        <v>1773.0315833333329</v>
      </c>
      <c r="M75" s="6" t="s">
        <v>1</v>
      </c>
      <c r="N75" s="7" t="s">
        <v>158</v>
      </c>
      <c r="O75" s="8">
        <v>1</v>
      </c>
      <c r="P75" s="5"/>
      <c r="Q75" s="17"/>
    </row>
    <row r="76" spans="1:17" x14ac:dyDescent="0.25">
      <c r="A76" s="1" t="str">
        <f t="shared" si="5"/>
        <v>CUSTO DE DROPCOPY USD - SCHONFELD -  ABRIL 26</v>
      </c>
      <c r="B76" s="2">
        <v>46113</v>
      </c>
      <c r="C76" s="1">
        <v>817632</v>
      </c>
      <c r="D76" s="3" t="s">
        <v>95</v>
      </c>
      <c r="E76" s="58">
        <f t="shared" si="1"/>
        <v>-1247.1500000000001</v>
      </c>
      <c r="F76" s="1" t="s">
        <v>115</v>
      </c>
      <c r="G76" s="2">
        <v>46113</v>
      </c>
      <c r="H76" s="1">
        <v>83063</v>
      </c>
      <c r="J76" s="4" t="s">
        <v>36</v>
      </c>
      <c r="K76" s="4" t="s">
        <v>143</v>
      </c>
      <c r="L76" s="60">
        <v>1247.1500000000001</v>
      </c>
      <c r="M76" s="6" t="s">
        <v>1</v>
      </c>
      <c r="N76" s="7" t="s">
        <v>158</v>
      </c>
      <c r="O76" s="8">
        <v>1</v>
      </c>
      <c r="P76" s="54"/>
      <c r="Q76" s="17"/>
    </row>
    <row r="77" spans="1:17" x14ac:dyDescent="0.25">
      <c r="A77" s="1" t="str">
        <f t="shared" si="5"/>
        <v>CUSTO DE DROPCOPY USD - VINLAND CAPITAL MANAGEMENT -  ABRIL 26</v>
      </c>
      <c r="B77" s="2">
        <v>46113</v>
      </c>
      <c r="C77" s="1">
        <v>817632</v>
      </c>
      <c r="D77" s="3" t="s">
        <v>95</v>
      </c>
      <c r="E77" s="58">
        <f t="shared" si="1"/>
        <v>-2544.1860000000001</v>
      </c>
      <c r="F77" s="1" t="s">
        <v>115</v>
      </c>
      <c r="G77" s="2">
        <v>46113</v>
      </c>
      <c r="H77" s="1">
        <v>80359</v>
      </c>
      <c r="J77" s="4" t="s">
        <v>36</v>
      </c>
      <c r="K77" s="4" t="s">
        <v>116</v>
      </c>
      <c r="L77" s="60">
        <v>2544.1860000000001</v>
      </c>
      <c r="M77" s="6" t="s">
        <v>1</v>
      </c>
      <c r="N77" s="7" t="s">
        <v>158</v>
      </c>
      <c r="O77" s="8">
        <v>1</v>
      </c>
      <c r="P77" s="54"/>
      <c r="Q77" s="17"/>
    </row>
    <row r="78" spans="1:17" x14ac:dyDescent="0.25">
      <c r="A78" s="1" t="str">
        <f t="shared" si="5"/>
        <v>CUSTO DE DROPCOPY USD - BGC LIQUIDEZ -  ABRIL 26</v>
      </c>
      <c r="B78" s="2">
        <v>46113</v>
      </c>
      <c r="C78" s="1">
        <v>817632</v>
      </c>
      <c r="D78" s="3" t="s">
        <v>2</v>
      </c>
      <c r="E78" s="58">
        <f t="shared" si="1"/>
        <v>-10974.92</v>
      </c>
      <c r="F78" s="1" t="s">
        <v>117</v>
      </c>
      <c r="G78" s="2">
        <v>46113</v>
      </c>
      <c r="H78" s="1">
        <v>1170</v>
      </c>
      <c r="J78" s="4" t="s">
        <v>36</v>
      </c>
      <c r="K78" s="4" t="s">
        <v>47</v>
      </c>
      <c r="L78" s="60">
        <v>10974.92</v>
      </c>
      <c r="M78" s="6" t="s">
        <v>1</v>
      </c>
      <c r="N78" s="7" t="s">
        <v>158</v>
      </c>
      <c r="O78" s="8">
        <v>1</v>
      </c>
      <c r="P78" s="5"/>
      <c r="Q78" s="17"/>
    </row>
    <row r="79" spans="1:17" x14ac:dyDescent="0.25">
      <c r="A79" s="1" t="str">
        <f t="shared" si="5"/>
        <v>CUSTO DE DROPCOPY USD - BGC LIQUIDEZ -  ABRIL 26</v>
      </c>
      <c r="B79" s="2">
        <v>46113</v>
      </c>
      <c r="C79" s="1">
        <v>817632</v>
      </c>
      <c r="D79" s="3" t="s">
        <v>95</v>
      </c>
      <c r="E79" s="66">
        <f t="shared" si="1"/>
        <v>-2668.9009999999998</v>
      </c>
      <c r="F79" s="1" t="s">
        <v>118</v>
      </c>
      <c r="G79" s="2">
        <v>46113</v>
      </c>
      <c r="H79" s="1">
        <v>1170</v>
      </c>
      <c r="J79" s="4" t="s">
        <v>36</v>
      </c>
      <c r="K79" s="4" t="s">
        <v>47</v>
      </c>
      <c r="L79" s="69">
        <v>2668.9009999999998</v>
      </c>
      <c r="M79" s="23" t="s">
        <v>1</v>
      </c>
      <c r="N79" s="24" t="s">
        <v>158</v>
      </c>
      <c r="O79" s="25">
        <v>1</v>
      </c>
      <c r="P79" s="5"/>
      <c r="Q79" s="17"/>
    </row>
    <row r="80" spans="1:17" x14ac:dyDescent="0.25">
      <c r="A80" s="9" t="str">
        <f t="shared" si="5"/>
        <v>CUSTO DE DROPCOPY BRL - BANCO CITIBANK -  ABRIL 26</v>
      </c>
      <c r="B80" s="10">
        <v>46113</v>
      </c>
      <c r="C80" s="9">
        <v>817632</v>
      </c>
      <c r="D80" s="11" t="s">
        <v>97</v>
      </c>
      <c r="E80" s="57">
        <f t="shared" si="1"/>
        <v>-24.891710064478822</v>
      </c>
      <c r="F80" s="9" t="s">
        <v>49</v>
      </c>
      <c r="G80" s="10">
        <v>46113</v>
      </c>
      <c r="H80" s="9">
        <v>80961</v>
      </c>
      <c r="J80" s="12" t="s">
        <v>52</v>
      </c>
      <c r="K80" s="12" t="s">
        <v>53</v>
      </c>
      <c r="L80" s="75">
        <v>718.29</v>
      </c>
      <c r="M80" s="14" t="s">
        <v>1</v>
      </c>
      <c r="N80" s="15" t="s">
        <v>158</v>
      </c>
      <c r="O80" s="16">
        <v>3.465412307630459E-2</v>
      </c>
      <c r="P80" s="13"/>
    </row>
    <row r="81" spans="1:16" x14ac:dyDescent="0.25">
      <c r="A81" s="9" t="str">
        <f t="shared" si="5"/>
        <v>CUSTO DE DROPCOPY BRL - BANCO CITIBANK -  ABRIL 26</v>
      </c>
      <c r="B81" s="10">
        <v>46113</v>
      </c>
      <c r="C81" s="9">
        <v>817632</v>
      </c>
      <c r="D81" s="11" t="s">
        <v>98</v>
      </c>
      <c r="E81" s="57">
        <f t="shared" si="1"/>
        <v>-96.809841376182519</v>
      </c>
      <c r="F81" s="9" t="s">
        <v>49</v>
      </c>
      <c r="G81" s="10">
        <v>46113</v>
      </c>
      <c r="H81" s="9">
        <v>80961</v>
      </c>
      <c r="J81" s="12" t="s">
        <v>52</v>
      </c>
      <c r="K81" s="12" t="s">
        <v>53</v>
      </c>
      <c r="L81" s="75">
        <v>718.29</v>
      </c>
      <c r="M81" s="14" t="s">
        <v>1</v>
      </c>
      <c r="N81" s="15" t="s">
        <v>158</v>
      </c>
      <c r="O81" s="16">
        <v>0.13477821127425207</v>
      </c>
      <c r="P81" s="13"/>
    </row>
    <row r="82" spans="1:16" x14ac:dyDescent="0.25">
      <c r="A82" s="9" t="str">
        <f t="shared" si="5"/>
        <v>CUSTO DE DROPCOPY BRL - BANCO CITIBANK -  ABRIL 26</v>
      </c>
      <c r="B82" s="10">
        <v>46113</v>
      </c>
      <c r="C82" s="9">
        <v>817632</v>
      </c>
      <c r="D82" s="11" t="s">
        <v>100</v>
      </c>
      <c r="E82" s="57">
        <f t="shared" si="1"/>
        <v>-0.39927004461253096</v>
      </c>
      <c r="F82" s="9" t="s">
        <v>49</v>
      </c>
      <c r="G82" s="10">
        <v>46113</v>
      </c>
      <c r="H82" s="9">
        <v>80961</v>
      </c>
      <c r="J82" s="12" t="s">
        <v>52</v>
      </c>
      <c r="K82" s="12" t="s">
        <v>53</v>
      </c>
      <c r="L82" s="75">
        <v>718.29</v>
      </c>
      <c r="M82" s="14" t="s">
        <v>1</v>
      </c>
      <c r="N82" s="15" t="s">
        <v>158</v>
      </c>
      <c r="O82" s="16">
        <v>5.5586190064254128E-4</v>
      </c>
      <c r="P82" s="13"/>
    </row>
    <row r="83" spans="1:16" x14ac:dyDescent="0.25">
      <c r="A83" s="9" t="str">
        <f t="shared" si="5"/>
        <v>CUSTO DE DROPCOPY BRL - BANCO CITIBANK -  ABRIL 26</v>
      </c>
      <c r="B83" s="10">
        <v>46113</v>
      </c>
      <c r="C83" s="9">
        <v>817632</v>
      </c>
      <c r="D83" s="11" t="s">
        <v>11</v>
      </c>
      <c r="E83" s="57">
        <f t="shared" ref="E83:E134" si="7">-L83*O83</f>
        <v>-10.577024610179953</v>
      </c>
      <c r="F83" s="9" t="s">
        <v>49</v>
      </c>
      <c r="G83" s="10">
        <v>46113</v>
      </c>
      <c r="H83" s="9">
        <v>80961</v>
      </c>
      <c r="J83" s="12" t="s">
        <v>52</v>
      </c>
      <c r="K83" s="12" t="s">
        <v>53</v>
      </c>
      <c r="L83" s="75">
        <v>718.29</v>
      </c>
      <c r="M83" s="14" t="s">
        <v>1</v>
      </c>
      <c r="N83" s="15" t="s">
        <v>158</v>
      </c>
      <c r="O83" s="16">
        <v>1.4725284509292839E-2</v>
      </c>
      <c r="P83" s="13"/>
    </row>
    <row r="84" spans="1:16" x14ac:dyDescent="0.25">
      <c r="A84" s="9" t="str">
        <f t="shared" si="5"/>
        <v>CUSTO DE DROPCOPY BRL - BANCO CITIBANK -  ABRIL 26</v>
      </c>
      <c r="B84" s="10">
        <v>46113</v>
      </c>
      <c r="C84" s="9">
        <v>817632</v>
      </c>
      <c r="D84" s="11" t="s">
        <v>91</v>
      </c>
      <c r="E84" s="57">
        <f t="shared" si="7"/>
        <v>-536.79983327450771</v>
      </c>
      <c r="F84" s="9" t="s">
        <v>49</v>
      </c>
      <c r="G84" s="10">
        <v>46113</v>
      </c>
      <c r="H84" s="9">
        <v>80961</v>
      </c>
      <c r="J84" s="12" t="s">
        <v>52</v>
      </c>
      <c r="K84" s="12" t="s">
        <v>53</v>
      </c>
      <c r="L84" s="75">
        <v>718.29</v>
      </c>
      <c r="M84" s="14" t="s">
        <v>1</v>
      </c>
      <c r="N84" s="15" t="s">
        <v>158</v>
      </c>
      <c r="O84" s="16">
        <v>0.74733023329645099</v>
      </c>
      <c r="P84" s="13"/>
    </row>
    <row r="85" spans="1:16" x14ac:dyDescent="0.25">
      <c r="A85" s="9" t="str">
        <f t="shared" si="5"/>
        <v>CUSTO DE DROPCOPY BRL - BANCO CITIBANK -  ABRIL 26</v>
      </c>
      <c r="B85" s="10">
        <v>46113</v>
      </c>
      <c r="C85" s="9">
        <v>817632</v>
      </c>
      <c r="D85" s="11" t="s">
        <v>40</v>
      </c>
      <c r="E85" s="57">
        <f t="shared" si="7"/>
        <v>-31.737000213485246</v>
      </c>
      <c r="F85" s="9" t="s">
        <v>49</v>
      </c>
      <c r="G85" s="10">
        <v>46113</v>
      </c>
      <c r="H85" s="9">
        <v>80961</v>
      </c>
      <c r="J85" s="12" t="s">
        <v>52</v>
      </c>
      <c r="K85" s="12" t="s">
        <v>53</v>
      </c>
      <c r="L85" s="75">
        <v>718.29</v>
      </c>
      <c r="M85" s="14" t="s">
        <v>1</v>
      </c>
      <c r="N85" s="15" t="s">
        <v>158</v>
      </c>
      <c r="O85" s="16">
        <v>4.4184104210674306E-2</v>
      </c>
      <c r="P85" s="13"/>
    </row>
    <row r="86" spans="1:16" x14ac:dyDescent="0.25">
      <c r="A86" s="9" t="str">
        <f t="shared" si="5"/>
        <v>CUSTO DE DROPCOPY BRL - BANCO CITIBANK -  ABRIL 26</v>
      </c>
      <c r="B86" s="10">
        <v>46113</v>
      </c>
      <c r="C86" s="9">
        <v>817632</v>
      </c>
      <c r="D86" s="11" t="s">
        <v>120</v>
      </c>
      <c r="E86" s="57">
        <f t="shared" si="7"/>
        <v>-7.5325747403667211</v>
      </c>
      <c r="F86" s="9" t="s">
        <v>49</v>
      </c>
      <c r="G86" s="10">
        <v>46113</v>
      </c>
      <c r="H86" s="9">
        <v>80961</v>
      </c>
      <c r="J86" s="12" t="s">
        <v>52</v>
      </c>
      <c r="K86" s="12" t="s">
        <v>53</v>
      </c>
      <c r="L86" s="75">
        <v>718.29</v>
      </c>
      <c r="M86" s="14" t="s">
        <v>1</v>
      </c>
      <c r="N86" s="15" t="s">
        <v>158</v>
      </c>
      <c r="O86" s="16">
        <v>1.0486815548548249E-2</v>
      </c>
      <c r="P86" s="13"/>
    </row>
    <row r="87" spans="1:16" x14ac:dyDescent="0.25">
      <c r="A87" s="9" t="str">
        <f t="shared" si="5"/>
        <v>CUSTO DE DROPCOPY BRL - BANCO CITIBANK -  ABRIL 26</v>
      </c>
      <c r="B87" s="10">
        <v>46113</v>
      </c>
      <c r="C87" s="9">
        <v>817632</v>
      </c>
      <c r="D87" s="11" t="s">
        <v>41</v>
      </c>
      <c r="E87" s="57">
        <f t="shared" si="7"/>
        <v>-9.5427456761863727</v>
      </c>
      <c r="F87" s="9" t="s">
        <v>49</v>
      </c>
      <c r="G87" s="10">
        <v>46113</v>
      </c>
      <c r="H87" s="9">
        <v>80961</v>
      </c>
      <c r="J87" s="12" t="s">
        <v>52</v>
      </c>
      <c r="K87" s="12" t="s">
        <v>53</v>
      </c>
      <c r="L87" s="75">
        <v>718.29</v>
      </c>
      <c r="M87" s="14" t="s">
        <v>1</v>
      </c>
      <c r="N87" s="15" t="s">
        <v>158</v>
      </c>
      <c r="O87" s="16">
        <v>1.3285366183834347E-2</v>
      </c>
      <c r="P87" s="13"/>
    </row>
    <row r="88" spans="1:16" x14ac:dyDescent="0.25">
      <c r="A88" s="45" t="str">
        <f t="shared" si="5"/>
        <v>CUSTO DE DROPCOPY BRL - BANCO SANTANDER -  ABRIL 26</v>
      </c>
      <c r="B88" s="46">
        <v>46113</v>
      </c>
      <c r="C88" s="45">
        <v>817632</v>
      </c>
      <c r="D88" s="47" t="s">
        <v>44</v>
      </c>
      <c r="E88" s="56">
        <f t="shared" si="7"/>
        <v>-0.32303290481003899</v>
      </c>
      <c r="F88" s="45" t="s">
        <v>49</v>
      </c>
      <c r="G88" s="46">
        <v>46113</v>
      </c>
      <c r="H88" s="45">
        <v>80015</v>
      </c>
      <c r="J88" s="48" t="s">
        <v>52</v>
      </c>
      <c r="K88" s="48" t="s">
        <v>54</v>
      </c>
      <c r="L88" s="62">
        <v>1436.58</v>
      </c>
      <c r="M88" s="50" t="s">
        <v>1</v>
      </c>
      <c r="N88" s="51" t="s">
        <v>158</v>
      </c>
      <c r="O88" s="52">
        <v>2.248624544473952E-4</v>
      </c>
      <c r="P88" s="49"/>
    </row>
    <row r="89" spans="1:16" x14ac:dyDescent="0.25">
      <c r="A89" s="9" t="str">
        <f t="shared" si="5"/>
        <v>CUSTO DE DROPCOPY BRL - BANCO SANTANDER -  ABRIL 26</v>
      </c>
      <c r="B89" s="10">
        <v>46113</v>
      </c>
      <c r="C89" s="9">
        <v>817632</v>
      </c>
      <c r="D89" s="11" t="s">
        <v>103</v>
      </c>
      <c r="E89" s="57">
        <f t="shared" si="7"/>
        <v>-0.51332620515188621</v>
      </c>
      <c r="F89" s="9" t="s">
        <v>49</v>
      </c>
      <c r="G89" s="10">
        <v>46113</v>
      </c>
      <c r="H89" s="9">
        <v>80015</v>
      </c>
      <c r="J89" s="12" t="s">
        <v>52</v>
      </c>
      <c r="K89" s="12" t="s">
        <v>54</v>
      </c>
      <c r="L89" s="61">
        <v>1436.58</v>
      </c>
      <c r="M89" s="14" t="s">
        <v>1</v>
      </c>
      <c r="N89" s="15" t="s">
        <v>158</v>
      </c>
      <c r="O89" s="16">
        <v>3.5732517865478164E-4</v>
      </c>
      <c r="P89" s="13"/>
    </row>
    <row r="90" spans="1:16" x14ac:dyDescent="0.25">
      <c r="A90" s="9" t="str">
        <f t="shared" si="5"/>
        <v>CUSTO DE DROPCOPY BRL - BANCO SANTANDER -  ABRIL 26</v>
      </c>
      <c r="B90" s="10">
        <v>46113</v>
      </c>
      <c r="C90" s="9">
        <v>817632</v>
      </c>
      <c r="D90" s="11" t="s">
        <v>104</v>
      </c>
      <c r="E90" s="57">
        <f t="shared" si="7"/>
        <v>-101.26539588365543</v>
      </c>
      <c r="F90" s="9" t="s">
        <v>49</v>
      </c>
      <c r="G90" s="10">
        <v>46113</v>
      </c>
      <c r="H90" s="9">
        <v>80015</v>
      </c>
      <c r="J90" s="12" t="s">
        <v>52</v>
      </c>
      <c r="K90" s="12" t="s">
        <v>54</v>
      </c>
      <c r="L90" s="61">
        <v>1436.58</v>
      </c>
      <c r="M90" s="14" t="s">
        <v>1</v>
      </c>
      <c r="N90" s="15" t="s">
        <v>158</v>
      </c>
      <c r="O90" s="16">
        <v>7.0490606776967127E-2</v>
      </c>
      <c r="P90" s="13"/>
    </row>
    <row r="91" spans="1:16" x14ac:dyDescent="0.25">
      <c r="A91" s="9" t="str">
        <f t="shared" si="5"/>
        <v>CUSTO DE DROPCOPY BRL - BANCO SANTANDER -  ABRIL 26</v>
      </c>
      <c r="B91" s="10">
        <v>46113</v>
      </c>
      <c r="C91" s="9">
        <v>817632</v>
      </c>
      <c r="D91" s="11" t="s">
        <v>172</v>
      </c>
      <c r="E91" s="57">
        <f t="shared" si="7"/>
        <v>-3.1498130965764877</v>
      </c>
      <c r="F91" s="9" t="s">
        <v>49</v>
      </c>
      <c r="G91" s="10">
        <v>46113</v>
      </c>
      <c r="H91" s="9">
        <v>80015</v>
      </c>
      <c r="J91" s="12" t="s">
        <v>52</v>
      </c>
      <c r="K91" s="12" t="s">
        <v>54</v>
      </c>
      <c r="L91" s="61">
        <v>1436.58</v>
      </c>
      <c r="M91" s="14" t="s">
        <v>1</v>
      </c>
      <c r="N91" s="15" t="s">
        <v>158</v>
      </c>
      <c r="O91" s="16">
        <v>2.1925775777029387E-3</v>
      </c>
      <c r="P91" s="13"/>
    </row>
    <row r="92" spans="1:16" x14ac:dyDescent="0.25">
      <c r="A92" s="9" t="str">
        <f t="shared" si="5"/>
        <v>CUSTO DE DROPCOPY BRL - BANCO SANTANDER -  ABRIL 26</v>
      </c>
      <c r="B92" s="10">
        <v>46113</v>
      </c>
      <c r="C92" s="9">
        <v>817632</v>
      </c>
      <c r="D92" s="11" t="s">
        <v>15</v>
      </c>
      <c r="E92" s="57">
        <f t="shared" si="7"/>
        <v>-100.84773228400853</v>
      </c>
      <c r="F92" s="9" t="s">
        <v>49</v>
      </c>
      <c r="G92" s="10">
        <v>46113</v>
      </c>
      <c r="H92" s="9">
        <v>80015</v>
      </c>
      <c r="J92" s="12" t="s">
        <v>52</v>
      </c>
      <c r="K92" s="12" t="s">
        <v>54</v>
      </c>
      <c r="L92" s="61">
        <v>1436.58</v>
      </c>
      <c r="M92" s="14" t="s">
        <v>1</v>
      </c>
      <c r="N92" s="15" t="s">
        <v>158</v>
      </c>
      <c r="O92" s="16">
        <v>7.0199872115725218E-2</v>
      </c>
      <c r="P92" s="13"/>
    </row>
    <row r="93" spans="1:16" x14ac:dyDescent="0.25">
      <c r="A93" s="9" t="str">
        <f t="shared" si="5"/>
        <v>CUSTO DE DROPCOPY BRL - BANCO SANTANDER -  ABRIL 26</v>
      </c>
      <c r="B93" s="10">
        <v>46113</v>
      </c>
      <c r="C93" s="9">
        <v>817632</v>
      </c>
      <c r="D93" s="11" t="s">
        <v>11</v>
      </c>
      <c r="E93" s="57">
        <f t="shared" si="7"/>
        <v>-766.04432221665411</v>
      </c>
      <c r="F93" s="9" t="s">
        <v>49</v>
      </c>
      <c r="G93" s="10">
        <v>46113</v>
      </c>
      <c r="H93" s="9">
        <v>80015</v>
      </c>
      <c r="J93" s="12" t="s">
        <v>52</v>
      </c>
      <c r="K93" s="12" t="s">
        <v>54</v>
      </c>
      <c r="L93" s="61">
        <v>1436.58</v>
      </c>
      <c r="M93" s="14" t="s">
        <v>1</v>
      </c>
      <c r="N93" s="15" t="s">
        <v>158</v>
      </c>
      <c r="O93" s="16">
        <v>0.53324167273430934</v>
      </c>
      <c r="P93" s="13"/>
    </row>
    <row r="94" spans="1:16" x14ac:dyDescent="0.25">
      <c r="A94" s="9" t="str">
        <f t="shared" si="5"/>
        <v>CUSTO DE DROPCOPY BRL - BANCO SANTANDER -  ABRIL 26</v>
      </c>
      <c r="B94" s="10">
        <v>46113</v>
      </c>
      <c r="C94" s="9">
        <v>817632</v>
      </c>
      <c r="D94" s="11" t="s">
        <v>129</v>
      </c>
      <c r="E94" s="57">
        <f t="shared" si="7"/>
        <v>-26.748919145520176</v>
      </c>
      <c r="F94" s="9" t="s">
        <v>49</v>
      </c>
      <c r="G94" s="10">
        <v>46113</v>
      </c>
      <c r="H94" s="9">
        <v>80015</v>
      </c>
      <c r="J94" s="12" t="s">
        <v>52</v>
      </c>
      <c r="K94" s="12" t="s">
        <v>54</v>
      </c>
      <c r="L94" s="61">
        <v>1436.58</v>
      </c>
      <c r="M94" s="14" t="s">
        <v>1</v>
      </c>
      <c r="N94" s="15" t="s">
        <v>158</v>
      </c>
      <c r="O94" s="16">
        <v>1.8619860464102366E-2</v>
      </c>
      <c r="P94" s="13"/>
    </row>
    <row r="95" spans="1:16" x14ac:dyDescent="0.25">
      <c r="A95" s="9" t="str">
        <f t="shared" si="5"/>
        <v>CUSTO DE DROPCOPY BRL - BANCO SANTANDER -  ABRIL 26</v>
      </c>
      <c r="B95" s="10">
        <v>46113</v>
      </c>
      <c r="C95" s="9">
        <v>817632</v>
      </c>
      <c r="D95" s="11" t="s">
        <v>170</v>
      </c>
      <c r="E95" s="57">
        <f t="shared" si="7"/>
        <v>-5.4287474280576005</v>
      </c>
      <c r="F95" s="9" t="s">
        <v>49</v>
      </c>
      <c r="G95" s="10">
        <v>46113</v>
      </c>
      <c r="H95" s="9">
        <v>80015</v>
      </c>
      <c r="J95" s="12" t="s">
        <v>52</v>
      </c>
      <c r="K95" s="12" t="s">
        <v>54</v>
      </c>
      <c r="L95" s="61">
        <v>1436.58</v>
      </c>
      <c r="M95" s="14" t="s">
        <v>1</v>
      </c>
      <c r="N95" s="15" t="s">
        <v>158</v>
      </c>
      <c r="O95" s="16">
        <v>3.7789384705742808E-3</v>
      </c>
      <c r="P95" s="13"/>
    </row>
    <row r="96" spans="1:16" x14ac:dyDescent="0.25">
      <c r="A96" s="9" t="str">
        <f t="shared" si="5"/>
        <v>CUSTO DE DROPCOPY BRL - BANCO SANTANDER -  ABRIL 26</v>
      </c>
      <c r="B96" s="10">
        <v>46113</v>
      </c>
      <c r="C96" s="9">
        <v>817632</v>
      </c>
      <c r="D96" s="11" t="s">
        <v>20</v>
      </c>
      <c r="E96" s="57">
        <f t="shared" si="7"/>
        <v>-24.57523072905342</v>
      </c>
      <c r="F96" s="9" t="s">
        <v>49</v>
      </c>
      <c r="G96" s="10">
        <v>46113</v>
      </c>
      <c r="H96" s="9">
        <v>80015</v>
      </c>
      <c r="J96" s="12" t="s">
        <v>52</v>
      </c>
      <c r="K96" s="12" t="s">
        <v>54</v>
      </c>
      <c r="L96" s="61">
        <v>1436.58</v>
      </c>
      <c r="M96" s="14" t="s">
        <v>1</v>
      </c>
      <c r="N96" s="15" t="s">
        <v>158</v>
      </c>
      <c r="O96" s="16">
        <v>1.7106761008125842E-2</v>
      </c>
      <c r="P96" s="13"/>
    </row>
    <row r="97" spans="1:16" x14ac:dyDescent="0.25">
      <c r="A97" s="9" t="str">
        <f t="shared" si="5"/>
        <v>CUSTO DE DROPCOPY BRL - BANCO SANTANDER -  ABRIL 26</v>
      </c>
      <c r="B97" s="10">
        <v>46113</v>
      </c>
      <c r="C97" s="9">
        <v>817632</v>
      </c>
      <c r="D97" s="11" t="s">
        <v>40</v>
      </c>
      <c r="E97" s="57">
        <f t="shared" si="7"/>
        <v>-275.57545880604164</v>
      </c>
      <c r="F97" s="9" t="s">
        <v>49</v>
      </c>
      <c r="G97" s="10">
        <v>46113</v>
      </c>
      <c r="H97" s="9">
        <v>80015</v>
      </c>
      <c r="J97" s="12" t="s">
        <v>52</v>
      </c>
      <c r="K97" s="12" t="s">
        <v>54</v>
      </c>
      <c r="L97" s="61">
        <v>1436.58</v>
      </c>
      <c r="M97" s="14" t="s">
        <v>1</v>
      </c>
      <c r="N97" s="15" t="s">
        <v>158</v>
      </c>
      <c r="O97" s="16">
        <v>0.19182743655490236</v>
      </c>
      <c r="P97" s="13"/>
    </row>
    <row r="98" spans="1:16" x14ac:dyDescent="0.25">
      <c r="A98" s="9" t="str">
        <f t="shared" si="5"/>
        <v>CUSTO DE DROPCOPY BRL - BANCO SANTANDER -  ABRIL 26</v>
      </c>
      <c r="B98" s="10">
        <v>46113</v>
      </c>
      <c r="C98" s="9">
        <v>817632</v>
      </c>
      <c r="D98" s="11" t="s">
        <v>168</v>
      </c>
      <c r="E98" s="57">
        <f t="shared" si="7"/>
        <v>-42.426594356439594</v>
      </c>
      <c r="F98" s="9" t="s">
        <v>49</v>
      </c>
      <c r="G98" s="10">
        <v>46113</v>
      </c>
      <c r="H98" s="9">
        <v>80015</v>
      </c>
      <c r="J98" s="12" t="s">
        <v>52</v>
      </c>
      <c r="K98" s="12" t="s">
        <v>54</v>
      </c>
      <c r="L98" s="61">
        <v>1436.58</v>
      </c>
      <c r="M98" s="14" t="s">
        <v>1</v>
      </c>
      <c r="N98" s="15" t="s">
        <v>158</v>
      </c>
      <c r="O98" s="16">
        <v>2.9533053750184186E-2</v>
      </c>
      <c r="P98" s="13"/>
    </row>
    <row r="99" spans="1:16" x14ac:dyDescent="0.25">
      <c r="A99" s="9" t="str">
        <f t="shared" si="5"/>
        <v>CUSTO DE DROPCOPY BRL - BANCO SANTANDER -  ABRIL 26</v>
      </c>
      <c r="B99" s="10">
        <v>46113</v>
      </c>
      <c r="C99" s="9">
        <v>817632</v>
      </c>
      <c r="D99" s="11" t="s">
        <v>120</v>
      </c>
      <c r="E99" s="57">
        <f t="shared" si="7"/>
        <v>-30.757910037528916</v>
      </c>
      <c r="F99" s="9" t="s">
        <v>49</v>
      </c>
      <c r="G99" s="10">
        <v>46113</v>
      </c>
      <c r="H99" s="9">
        <v>80015</v>
      </c>
      <c r="J99" s="12" t="s">
        <v>52</v>
      </c>
      <c r="K99" s="12" t="s">
        <v>54</v>
      </c>
      <c r="L99" s="61">
        <v>1436.58</v>
      </c>
      <c r="M99" s="14" t="s">
        <v>1</v>
      </c>
      <c r="N99" s="15" t="s">
        <v>158</v>
      </c>
      <c r="O99" s="16">
        <v>2.1410509708842472E-2</v>
      </c>
      <c r="P99" s="13"/>
    </row>
    <row r="100" spans="1:16" x14ac:dyDescent="0.25">
      <c r="A100" s="9" t="str">
        <f t="shared" si="5"/>
        <v>CUSTO DE DROPCOPY BRL - BANCO SANTANDER -  ABRIL 26</v>
      </c>
      <c r="B100" s="10">
        <v>46113</v>
      </c>
      <c r="C100" s="9">
        <v>817632</v>
      </c>
      <c r="D100" s="11" t="s">
        <v>41</v>
      </c>
      <c r="E100" s="57">
        <f t="shared" si="7"/>
        <v>-30.757910037528916</v>
      </c>
      <c r="F100" s="9" t="s">
        <v>49</v>
      </c>
      <c r="G100" s="10">
        <v>46113</v>
      </c>
      <c r="H100" s="9">
        <v>80015</v>
      </c>
      <c r="J100" s="12" t="s">
        <v>52</v>
      </c>
      <c r="K100" s="12" t="s">
        <v>54</v>
      </c>
      <c r="L100" s="61">
        <v>1436.58</v>
      </c>
      <c r="M100" s="14" t="s">
        <v>1</v>
      </c>
      <c r="N100" s="15" t="s">
        <v>158</v>
      </c>
      <c r="O100" s="16">
        <v>2.1410509708842472E-2</v>
      </c>
      <c r="P100" s="13"/>
    </row>
    <row r="101" spans="1:16" x14ac:dyDescent="0.25">
      <c r="A101" s="9" t="str">
        <f t="shared" si="5"/>
        <v>CUSTO DE DROPCOPY BRL - BANCO SANTANDER -  ABRIL 26</v>
      </c>
      <c r="B101" s="10">
        <v>46113</v>
      </c>
      <c r="C101" s="9">
        <v>817632</v>
      </c>
      <c r="D101" s="11" t="s">
        <v>105</v>
      </c>
      <c r="E101" s="57">
        <f t="shared" si="7"/>
        <v>-28.165606868973331</v>
      </c>
      <c r="F101" s="9" t="s">
        <v>49</v>
      </c>
      <c r="G101" s="10">
        <v>46113</v>
      </c>
      <c r="H101" s="9">
        <v>80015</v>
      </c>
      <c r="J101" s="12" t="s">
        <v>52</v>
      </c>
      <c r="K101" s="12" t="s">
        <v>54</v>
      </c>
      <c r="L101" s="61">
        <v>1436.58</v>
      </c>
      <c r="M101" s="14" t="s">
        <v>1</v>
      </c>
      <c r="N101" s="15" t="s">
        <v>158</v>
      </c>
      <c r="O101" s="16">
        <v>1.9606013496619286E-2</v>
      </c>
      <c r="P101" s="13"/>
    </row>
    <row r="102" spans="1:16" x14ac:dyDescent="0.25">
      <c r="A102" s="45" t="str">
        <f t="shared" si="5"/>
        <v>CUSTO DE DROPCOPY BRL - GOLDMAN SACHS -  ABRIL 26</v>
      </c>
      <c r="B102" s="46">
        <v>46113</v>
      </c>
      <c r="C102" s="45">
        <v>817632</v>
      </c>
      <c r="D102" s="47" t="s">
        <v>2</v>
      </c>
      <c r="E102" s="56">
        <f t="shared" si="7"/>
        <v>-229.07299169839098</v>
      </c>
      <c r="F102" s="45" t="s">
        <v>49</v>
      </c>
      <c r="G102" s="46">
        <v>46113</v>
      </c>
      <c r="H102" s="45">
        <v>27645</v>
      </c>
      <c r="J102" s="48" t="s">
        <v>52</v>
      </c>
      <c r="K102" s="48" t="s">
        <v>55</v>
      </c>
      <c r="L102" s="62">
        <v>718.29</v>
      </c>
      <c r="M102" s="50" t="s">
        <v>1</v>
      </c>
      <c r="N102" s="51" t="s">
        <v>158</v>
      </c>
      <c r="O102" s="52">
        <v>0.31891435450638461</v>
      </c>
      <c r="P102" s="49"/>
    </row>
    <row r="103" spans="1:16" x14ac:dyDescent="0.25">
      <c r="A103" s="9" t="str">
        <f t="shared" si="5"/>
        <v>CUSTO DE DROPCOPY BRL - GOLDMAN SACHS -  ABRIL 26</v>
      </c>
      <c r="B103" s="10">
        <v>46113</v>
      </c>
      <c r="C103" s="9">
        <v>817632</v>
      </c>
      <c r="D103" s="11" t="s">
        <v>44</v>
      </c>
      <c r="E103" s="57">
        <f t="shared" si="7"/>
        <v>-86.579940994177463</v>
      </c>
      <c r="F103" s="9" t="s">
        <v>49</v>
      </c>
      <c r="G103" s="10">
        <v>46113</v>
      </c>
      <c r="H103" s="9">
        <v>27645</v>
      </c>
      <c r="J103" s="12" t="s">
        <v>52</v>
      </c>
      <c r="K103" s="12" t="s">
        <v>55</v>
      </c>
      <c r="L103" s="61">
        <v>718.29</v>
      </c>
      <c r="M103" s="14" t="s">
        <v>1</v>
      </c>
      <c r="N103" s="15" t="s">
        <v>158</v>
      </c>
      <c r="O103" s="16">
        <v>0.12053619150228663</v>
      </c>
      <c r="P103" s="13"/>
    </row>
    <row r="104" spans="1:16" x14ac:dyDescent="0.25">
      <c r="A104" s="9" t="str">
        <f t="shared" si="5"/>
        <v>CUSTO DE DROPCOPY BRL - GOLDMAN SACHS -  ABRIL 26</v>
      </c>
      <c r="B104" s="10">
        <v>46113</v>
      </c>
      <c r="C104" s="9">
        <v>817632</v>
      </c>
      <c r="D104" s="11" t="s">
        <v>103</v>
      </c>
      <c r="E104" s="57">
        <f t="shared" si="7"/>
        <v>-16.443508046175626</v>
      </c>
      <c r="F104" s="9" t="s">
        <v>49</v>
      </c>
      <c r="G104" s="10">
        <v>46113</v>
      </c>
      <c r="H104" s="9">
        <v>27645</v>
      </c>
      <c r="J104" s="12" t="s">
        <v>52</v>
      </c>
      <c r="K104" s="12" t="s">
        <v>55</v>
      </c>
      <c r="L104" s="61">
        <v>718.29</v>
      </c>
      <c r="M104" s="14" t="s">
        <v>1</v>
      </c>
      <c r="N104" s="15" t="s">
        <v>158</v>
      </c>
      <c r="O104" s="16">
        <v>2.2892575486468735E-2</v>
      </c>
      <c r="P104" s="13"/>
    </row>
    <row r="105" spans="1:16" x14ac:dyDescent="0.25">
      <c r="A105" s="9" t="str">
        <f t="shared" si="5"/>
        <v>CUSTO DE DROPCOPY BRL - GOLDMAN SACHS -  ABRIL 26</v>
      </c>
      <c r="B105" s="10">
        <v>46113</v>
      </c>
      <c r="C105" s="9">
        <v>817632</v>
      </c>
      <c r="D105" s="11" t="s">
        <v>172</v>
      </c>
      <c r="E105" s="57">
        <f t="shared" si="7"/>
        <v>-0.75433835379159297</v>
      </c>
      <c r="F105" s="9" t="s">
        <v>49</v>
      </c>
      <c r="G105" s="10">
        <v>46113</v>
      </c>
      <c r="H105" s="9">
        <v>27645</v>
      </c>
      <c r="J105" s="12" t="s">
        <v>52</v>
      </c>
      <c r="K105" s="12" t="s">
        <v>55</v>
      </c>
      <c r="L105" s="61">
        <v>718.29</v>
      </c>
      <c r="M105" s="14" t="s">
        <v>1</v>
      </c>
      <c r="N105" s="15" t="s">
        <v>158</v>
      </c>
      <c r="O105" s="16">
        <v>1.0501863506266174E-3</v>
      </c>
      <c r="P105" s="13"/>
    </row>
    <row r="106" spans="1:16" x14ac:dyDescent="0.25">
      <c r="A106" s="9" t="str">
        <f t="shared" si="5"/>
        <v>CUSTO DE DROPCOPY BRL - GOLDMAN SACHS -  ABRIL 26</v>
      </c>
      <c r="B106" s="10">
        <v>46113</v>
      </c>
      <c r="C106" s="9">
        <v>817632</v>
      </c>
      <c r="D106" s="11" t="s">
        <v>11</v>
      </c>
      <c r="E106" s="57">
        <f t="shared" si="7"/>
        <v>-212.51248182405834</v>
      </c>
      <c r="F106" s="9" t="s">
        <v>49</v>
      </c>
      <c r="G106" s="10">
        <v>46113</v>
      </c>
      <c r="H106" s="9">
        <v>27645</v>
      </c>
      <c r="J106" s="12" t="s">
        <v>52</v>
      </c>
      <c r="K106" s="12" t="s">
        <v>55</v>
      </c>
      <c r="L106" s="61">
        <v>718.29</v>
      </c>
      <c r="M106" s="14" t="s">
        <v>1</v>
      </c>
      <c r="N106" s="15" t="s">
        <v>158</v>
      </c>
      <c r="O106" s="16">
        <v>0.2958588896184805</v>
      </c>
      <c r="P106" s="13"/>
    </row>
    <row r="107" spans="1:16" x14ac:dyDescent="0.25">
      <c r="A107" s="9" t="str">
        <f t="shared" si="5"/>
        <v>CUSTO DE DROPCOPY BRL - GOLDMAN SACHS -  ABRIL 26</v>
      </c>
      <c r="B107" s="10">
        <v>46113</v>
      </c>
      <c r="C107" s="9">
        <v>817632</v>
      </c>
      <c r="D107" s="11" t="s">
        <v>129</v>
      </c>
      <c r="E107" s="57">
        <f t="shared" si="7"/>
        <v>-61.431733114880458</v>
      </c>
      <c r="F107" s="9" t="s">
        <v>49</v>
      </c>
      <c r="G107" s="10">
        <v>46113</v>
      </c>
      <c r="H107" s="9">
        <v>27645</v>
      </c>
      <c r="J107" s="12" t="s">
        <v>52</v>
      </c>
      <c r="K107" s="12" t="s">
        <v>55</v>
      </c>
      <c r="L107" s="61">
        <v>718.29</v>
      </c>
      <c r="M107" s="14" t="s">
        <v>1</v>
      </c>
      <c r="N107" s="15" t="s">
        <v>158</v>
      </c>
      <c r="O107" s="16">
        <v>8.5524973360175505E-2</v>
      </c>
      <c r="P107" s="13"/>
    </row>
    <row r="108" spans="1:16" x14ac:dyDescent="0.25">
      <c r="A108" s="9" t="str">
        <f t="shared" si="5"/>
        <v>CUSTO DE DROPCOPY BRL - GOLDMAN SACHS -  ABRIL 26</v>
      </c>
      <c r="B108" s="10">
        <v>46113</v>
      </c>
      <c r="C108" s="9">
        <v>817632</v>
      </c>
      <c r="D108" s="11" t="s">
        <v>171</v>
      </c>
      <c r="E108" s="57">
        <f t="shared" si="7"/>
        <v>-36.28146258139634</v>
      </c>
      <c r="F108" s="9" t="s">
        <v>49</v>
      </c>
      <c r="G108" s="10">
        <v>46113</v>
      </c>
      <c r="H108" s="9">
        <v>27645</v>
      </c>
      <c r="J108" s="12" t="s">
        <v>52</v>
      </c>
      <c r="K108" s="12" t="s">
        <v>55</v>
      </c>
      <c r="L108" s="61">
        <v>718.29</v>
      </c>
      <c r="M108" s="14" t="s">
        <v>1</v>
      </c>
      <c r="N108" s="15" t="s">
        <v>158</v>
      </c>
      <c r="O108" s="16">
        <v>5.0510883600490532E-2</v>
      </c>
      <c r="P108" s="13"/>
    </row>
    <row r="109" spans="1:16" x14ac:dyDescent="0.25">
      <c r="A109" s="9" t="str">
        <f t="shared" si="5"/>
        <v>CUSTO DE DROPCOPY BRL - GOLDMAN SACHS -  ABRIL 26</v>
      </c>
      <c r="B109" s="10">
        <v>46113</v>
      </c>
      <c r="C109" s="9">
        <v>817632</v>
      </c>
      <c r="D109" s="11" t="s">
        <v>91</v>
      </c>
      <c r="E109" s="57">
        <f t="shared" si="7"/>
        <v>-0.10462327879270561</v>
      </c>
      <c r="F109" s="9" t="s">
        <v>49</v>
      </c>
      <c r="G109" s="10">
        <v>46113</v>
      </c>
      <c r="H109" s="9">
        <v>27645</v>
      </c>
      <c r="J109" s="12" t="s">
        <v>52</v>
      </c>
      <c r="K109" s="12" t="s">
        <v>55</v>
      </c>
      <c r="L109" s="61">
        <v>718.29</v>
      </c>
      <c r="M109" s="14" t="s">
        <v>1</v>
      </c>
      <c r="N109" s="15" t="s">
        <v>158</v>
      </c>
      <c r="O109" s="16">
        <v>1.4565604253533477E-4</v>
      </c>
      <c r="P109" s="13"/>
    </row>
    <row r="110" spans="1:16" x14ac:dyDescent="0.25">
      <c r="A110" s="9" t="str">
        <f t="shared" si="5"/>
        <v>CUSTO DE DROPCOPY BRL - GOLDMAN SACHS -  ABRIL 26</v>
      </c>
      <c r="B110" s="10">
        <v>46113</v>
      </c>
      <c r="C110" s="9">
        <v>817632</v>
      </c>
      <c r="D110" s="11" t="s">
        <v>101</v>
      </c>
      <c r="E110" s="57">
        <f t="shared" si="7"/>
        <v>-64.125651331694186</v>
      </c>
      <c r="F110" s="9" t="s">
        <v>49</v>
      </c>
      <c r="G110" s="10">
        <v>46113</v>
      </c>
      <c r="H110" s="9">
        <v>27645</v>
      </c>
      <c r="J110" s="12" t="s">
        <v>52</v>
      </c>
      <c r="K110" s="12" t="s">
        <v>55</v>
      </c>
      <c r="L110" s="61">
        <v>718.29</v>
      </c>
      <c r="M110" s="14" t="s">
        <v>1</v>
      </c>
      <c r="N110" s="15" t="s">
        <v>158</v>
      </c>
      <c r="O110" s="16">
        <v>8.9275433782586691E-2</v>
      </c>
      <c r="P110" s="13"/>
    </row>
    <row r="111" spans="1:16" x14ac:dyDescent="0.25">
      <c r="A111" s="9" t="str">
        <f t="shared" si="5"/>
        <v>CUSTO DE DROPCOPY BRL - GOLDMAN SACHS -  ABRIL 26</v>
      </c>
      <c r="B111" s="10">
        <v>46113</v>
      </c>
      <c r="C111" s="9">
        <v>817632</v>
      </c>
      <c r="D111" s="11" t="s">
        <v>120</v>
      </c>
      <c r="E111" s="57">
        <f t="shared" si="7"/>
        <v>-4.8823287032713614</v>
      </c>
      <c r="F111" s="9" t="s">
        <v>49</v>
      </c>
      <c r="G111" s="10">
        <v>46113</v>
      </c>
      <c r="H111" s="9">
        <v>27645</v>
      </c>
      <c r="J111" s="12" t="s">
        <v>52</v>
      </c>
      <c r="K111" s="12" t="s">
        <v>55</v>
      </c>
      <c r="L111" s="61">
        <v>718.29</v>
      </c>
      <c r="M111" s="14" t="s">
        <v>1</v>
      </c>
      <c r="N111" s="15" t="s">
        <v>158</v>
      </c>
      <c r="O111" s="16">
        <v>6.7971553317898916E-3</v>
      </c>
      <c r="P111" s="13"/>
    </row>
    <row r="112" spans="1:16" x14ac:dyDescent="0.25">
      <c r="A112" s="9" t="str">
        <f t="shared" si="5"/>
        <v>CUSTO DE DROPCOPY BRL - GOLDMAN SACHS -  ABRIL 26</v>
      </c>
      <c r="B112" s="10">
        <v>46113</v>
      </c>
      <c r="C112" s="9">
        <v>817632</v>
      </c>
      <c r="D112" s="11" t="s">
        <v>41</v>
      </c>
      <c r="E112" s="57">
        <f t="shared" si="7"/>
        <v>-6.1009400733709978</v>
      </c>
      <c r="F112" s="9" t="s">
        <v>49</v>
      </c>
      <c r="G112" s="10">
        <v>46113</v>
      </c>
      <c r="H112" s="9">
        <v>27645</v>
      </c>
      <c r="J112" s="12" t="s">
        <v>52</v>
      </c>
      <c r="K112" s="12" t="s">
        <v>55</v>
      </c>
      <c r="L112" s="61">
        <v>718.29</v>
      </c>
      <c r="M112" s="14" t="s">
        <v>1</v>
      </c>
      <c r="N112" s="15" t="s">
        <v>158</v>
      </c>
      <c r="O112" s="16">
        <v>8.4937004181751073E-3</v>
      </c>
      <c r="P112" s="13"/>
    </row>
    <row r="113" spans="1:16" x14ac:dyDescent="0.25">
      <c r="A113" s="45" t="str">
        <f t="shared" si="5"/>
        <v>CUSTO DE DROPCOPY BRL - BANCO BTG PACTUAL -  ABRIL 26</v>
      </c>
      <c r="B113" s="46">
        <v>46113</v>
      </c>
      <c r="C113" s="45">
        <v>817632</v>
      </c>
      <c r="D113" s="47" t="s">
        <v>106</v>
      </c>
      <c r="E113" s="56">
        <f t="shared" si="7"/>
        <v>-197.2267524298677</v>
      </c>
      <c r="F113" s="45" t="s">
        <v>49</v>
      </c>
      <c r="G113" s="46">
        <v>46113</v>
      </c>
      <c r="H113" s="45">
        <v>15501</v>
      </c>
      <c r="J113" s="48" t="s">
        <v>52</v>
      </c>
      <c r="K113" s="48" t="s">
        <v>56</v>
      </c>
      <c r="L113" s="62">
        <v>718.29</v>
      </c>
      <c r="M113" s="50" t="s">
        <v>1</v>
      </c>
      <c r="N113" s="51" t="s">
        <v>158</v>
      </c>
      <c r="O113" s="52">
        <v>0.27457816819093639</v>
      </c>
      <c r="P113" s="49"/>
    </row>
    <row r="114" spans="1:16" x14ac:dyDescent="0.25">
      <c r="A114" s="9" t="str">
        <f t="shared" si="5"/>
        <v>CUSTO DE DROPCOPY BRL - BANCO BTG PACTUAL -  ABRIL 26</v>
      </c>
      <c r="B114" s="10">
        <v>46113</v>
      </c>
      <c r="C114" s="9">
        <v>817632</v>
      </c>
      <c r="D114" s="11" t="s">
        <v>2</v>
      </c>
      <c r="E114" s="57">
        <f t="shared" si="7"/>
        <v>-34.227898487011458</v>
      </c>
      <c r="F114" s="9" t="s">
        <v>49</v>
      </c>
      <c r="G114" s="10">
        <v>46113</v>
      </c>
      <c r="H114" s="9">
        <v>15501</v>
      </c>
      <c r="J114" s="12" t="s">
        <v>52</v>
      </c>
      <c r="K114" s="12" t="s">
        <v>56</v>
      </c>
      <c r="L114" s="61">
        <v>718.29</v>
      </c>
      <c r="M114" s="14" t="s">
        <v>1</v>
      </c>
      <c r="N114" s="15" t="s">
        <v>158</v>
      </c>
      <c r="O114" s="16">
        <v>4.7651921211504349E-2</v>
      </c>
      <c r="P114" s="13"/>
    </row>
    <row r="115" spans="1:16" x14ac:dyDescent="0.25">
      <c r="A115" s="9" t="str">
        <f t="shared" ref="A115:A134" si="8">CONCATENATE(J115,P115,M115,K115,M115,N115)</f>
        <v>CUSTO DE DROPCOPY BRL - BANCO BTG PACTUAL -  ABRIL 26</v>
      </c>
      <c r="B115" s="10">
        <v>46113</v>
      </c>
      <c r="C115" s="9">
        <v>817632</v>
      </c>
      <c r="D115" s="11" t="s">
        <v>98</v>
      </c>
      <c r="E115" s="57">
        <f t="shared" si="7"/>
        <v>-251.03771293341583</v>
      </c>
      <c r="F115" s="9" t="s">
        <v>49</v>
      </c>
      <c r="G115" s="10">
        <v>46113</v>
      </c>
      <c r="H115" s="9">
        <v>15501</v>
      </c>
      <c r="J115" s="12" t="s">
        <v>52</v>
      </c>
      <c r="K115" s="12" t="s">
        <v>56</v>
      </c>
      <c r="L115" s="61">
        <v>718.29</v>
      </c>
      <c r="M115" s="14" t="s">
        <v>1</v>
      </c>
      <c r="N115" s="15" t="s">
        <v>158</v>
      </c>
      <c r="O115" s="16">
        <v>0.34949353733647393</v>
      </c>
      <c r="P115" s="13"/>
    </row>
    <row r="116" spans="1:16" x14ac:dyDescent="0.25">
      <c r="A116" s="9" t="str">
        <f t="shared" si="8"/>
        <v>CUSTO DE DROPCOPY BRL - BANCO BTG PACTUAL -  ABRIL 26</v>
      </c>
      <c r="B116" s="10">
        <v>46113</v>
      </c>
      <c r="C116" s="9">
        <v>817632</v>
      </c>
      <c r="D116" s="11" t="s">
        <v>103</v>
      </c>
      <c r="E116" s="57">
        <f t="shared" si="7"/>
        <v>-5.9640981121444598</v>
      </c>
      <c r="F116" s="9" t="s">
        <v>49</v>
      </c>
      <c r="G116" s="10">
        <v>46113</v>
      </c>
      <c r="H116" s="9">
        <v>15501</v>
      </c>
      <c r="J116" s="12" t="s">
        <v>52</v>
      </c>
      <c r="K116" s="12" t="s">
        <v>56</v>
      </c>
      <c r="L116" s="61">
        <v>718.29</v>
      </c>
      <c r="M116" s="14" t="s">
        <v>1</v>
      </c>
      <c r="N116" s="15" t="s">
        <v>158</v>
      </c>
      <c r="O116" s="16">
        <v>8.3031896756803805E-3</v>
      </c>
      <c r="P116" s="13"/>
    </row>
    <row r="117" spans="1:16" x14ac:dyDescent="0.25">
      <c r="A117" s="9" t="str">
        <f t="shared" si="8"/>
        <v>CUSTO DE DROPCOPY BRL - BANCO BTG PACTUAL -  ABRIL 26</v>
      </c>
      <c r="B117" s="10">
        <v>46113</v>
      </c>
      <c r="C117" s="9">
        <v>817632</v>
      </c>
      <c r="D117" s="11" t="s">
        <v>166</v>
      </c>
      <c r="E117" s="57">
        <f t="shared" si="7"/>
        <v>-17.664087707257242</v>
      </c>
      <c r="F117" s="9" t="s">
        <v>49</v>
      </c>
      <c r="G117" s="10">
        <v>46113</v>
      </c>
      <c r="H117" s="9">
        <v>15501</v>
      </c>
      <c r="J117" s="12" t="s">
        <v>52</v>
      </c>
      <c r="K117" s="12" t="s">
        <v>56</v>
      </c>
      <c r="L117" s="61">
        <v>718.29</v>
      </c>
      <c r="M117" s="14" t="s">
        <v>1</v>
      </c>
      <c r="N117" s="15" t="s">
        <v>158</v>
      </c>
      <c r="O117" s="16">
        <v>2.4591860818412119E-2</v>
      </c>
      <c r="P117" s="13"/>
    </row>
    <row r="118" spans="1:16" x14ac:dyDescent="0.25">
      <c r="A118" s="9" t="str">
        <f t="shared" si="8"/>
        <v>CUSTO DE DROPCOPY BRL - BANCO BTG PACTUAL -  ABRIL 26</v>
      </c>
      <c r="B118" s="10">
        <v>46113</v>
      </c>
      <c r="C118" s="9">
        <v>817632</v>
      </c>
      <c r="D118" s="11" t="s">
        <v>100</v>
      </c>
      <c r="E118" s="57">
        <f t="shared" si="7"/>
        <v>-31.384234603183881</v>
      </c>
      <c r="F118" s="9" t="s">
        <v>49</v>
      </c>
      <c r="G118" s="10">
        <v>46113</v>
      </c>
      <c r="H118" s="9">
        <v>15501</v>
      </c>
      <c r="J118" s="12" t="s">
        <v>52</v>
      </c>
      <c r="K118" s="12" t="s">
        <v>56</v>
      </c>
      <c r="L118" s="61">
        <v>718.29</v>
      </c>
      <c r="M118" s="14" t="s">
        <v>1</v>
      </c>
      <c r="N118" s="15" t="s">
        <v>158</v>
      </c>
      <c r="O118" s="16">
        <v>4.3692985567366775E-2</v>
      </c>
      <c r="P118" s="13"/>
    </row>
    <row r="119" spans="1:16" x14ac:dyDescent="0.25">
      <c r="A119" s="9" t="str">
        <f t="shared" si="8"/>
        <v>CUSTO DE DROPCOPY BRL - BANCO BTG PACTUAL -  ABRIL 26</v>
      </c>
      <c r="B119" s="10">
        <v>46113</v>
      </c>
      <c r="C119" s="9">
        <v>817632</v>
      </c>
      <c r="D119" s="11" t="s">
        <v>11</v>
      </c>
      <c r="E119" s="57">
        <f t="shared" si="7"/>
        <v>-75.981069160887699</v>
      </c>
      <c r="F119" s="9" t="s">
        <v>49</v>
      </c>
      <c r="G119" s="10">
        <v>46113</v>
      </c>
      <c r="H119" s="9">
        <v>15501</v>
      </c>
      <c r="J119" s="12" t="s">
        <v>52</v>
      </c>
      <c r="K119" s="12" t="s">
        <v>56</v>
      </c>
      <c r="L119" s="61">
        <v>718.29</v>
      </c>
      <c r="M119" s="14" t="s">
        <v>1</v>
      </c>
      <c r="N119" s="15" t="s">
        <v>158</v>
      </c>
      <c r="O119" s="16">
        <v>0.1057804913905076</v>
      </c>
      <c r="P119" s="13"/>
    </row>
    <row r="120" spans="1:16" x14ac:dyDescent="0.25">
      <c r="A120" s="9" t="str">
        <f t="shared" si="8"/>
        <v>CUSTO DE DROPCOPY BRL - BANCO BTG PACTUAL -  ABRIL 26</v>
      </c>
      <c r="B120" s="10">
        <v>46113</v>
      </c>
      <c r="C120" s="9">
        <v>817632</v>
      </c>
      <c r="D120" s="11" t="s">
        <v>129</v>
      </c>
      <c r="E120" s="57">
        <f t="shared" si="7"/>
        <v>-11.79576155752113</v>
      </c>
      <c r="F120" s="9" t="s">
        <v>49</v>
      </c>
      <c r="G120" s="10">
        <v>46113</v>
      </c>
      <c r="H120" s="9">
        <v>15501</v>
      </c>
      <c r="J120" s="12" t="s">
        <v>52</v>
      </c>
      <c r="K120" s="12" t="s">
        <v>56</v>
      </c>
      <c r="L120" s="61">
        <v>718.29</v>
      </c>
      <c r="M120" s="14" t="s">
        <v>1</v>
      </c>
      <c r="N120" s="15" t="s">
        <v>158</v>
      </c>
      <c r="O120" s="16">
        <v>1.6422004423730152E-2</v>
      </c>
      <c r="P120" s="13"/>
    </row>
    <row r="121" spans="1:16" x14ac:dyDescent="0.25">
      <c r="A121" s="9" t="str">
        <f t="shared" si="8"/>
        <v>CUSTO DE DROPCOPY BRL - BANCO BTG PACTUAL -  ABRIL 26</v>
      </c>
      <c r="B121" s="10">
        <v>46113</v>
      </c>
      <c r="C121" s="9">
        <v>817632</v>
      </c>
      <c r="D121" s="11" t="s">
        <v>107</v>
      </c>
      <c r="E121" s="57">
        <f t="shared" si="7"/>
        <v>-52.321620822506929</v>
      </c>
      <c r="F121" s="9" t="s">
        <v>49</v>
      </c>
      <c r="G121" s="10">
        <v>46113</v>
      </c>
      <c r="H121" s="9">
        <v>15501</v>
      </c>
      <c r="J121" s="12" t="s">
        <v>52</v>
      </c>
      <c r="K121" s="12" t="s">
        <v>56</v>
      </c>
      <c r="L121" s="61">
        <v>718.29</v>
      </c>
      <c r="M121" s="14" t="s">
        <v>1</v>
      </c>
      <c r="N121" s="15" t="s">
        <v>158</v>
      </c>
      <c r="O121" s="16">
        <v>7.2841917362773997E-2</v>
      </c>
      <c r="P121" s="13"/>
    </row>
    <row r="122" spans="1:16" x14ac:dyDescent="0.25">
      <c r="A122" s="9" t="str">
        <f t="shared" si="8"/>
        <v>CUSTO DE DROPCOPY BRL - BANCO BTG PACTUAL -  ABRIL 26</v>
      </c>
      <c r="B122" s="10">
        <v>46113</v>
      </c>
      <c r="C122" s="9">
        <v>817632</v>
      </c>
      <c r="D122" s="11" t="s">
        <v>101</v>
      </c>
      <c r="E122" s="57">
        <f t="shared" si="7"/>
        <v>-40.686764186203668</v>
      </c>
      <c r="F122" s="9" t="s">
        <v>49</v>
      </c>
      <c r="G122" s="10">
        <v>46113</v>
      </c>
      <c r="H122" s="9">
        <v>15501</v>
      </c>
      <c r="J122" s="12" t="s">
        <v>52</v>
      </c>
      <c r="K122" s="12" t="s">
        <v>56</v>
      </c>
      <c r="L122" s="61">
        <v>718.29</v>
      </c>
      <c r="M122" s="14" t="s">
        <v>1</v>
      </c>
      <c r="N122" s="15" t="s">
        <v>158</v>
      </c>
      <c r="O122" s="16">
        <v>5.664392402261436E-2</v>
      </c>
      <c r="P122" s="13"/>
    </row>
    <row r="123" spans="1:16" x14ac:dyDescent="0.25">
      <c r="A123" s="18" t="str">
        <f t="shared" si="8"/>
        <v>CUSTO DE DROPCOPY BRL - LAKESIDE TRADING LLC -  ABRIL 26</v>
      </c>
      <c r="B123" s="19">
        <v>46113</v>
      </c>
      <c r="C123" s="18">
        <v>817632</v>
      </c>
      <c r="D123" s="20" t="s">
        <v>40</v>
      </c>
      <c r="E123" s="55">
        <f t="shared" si="7"/>
        <v>-1292.94</v>
      </c>
      <c r="F123" s="18" t="s">
        <v>49</v>
      </c>
      <c r="G123" s="19">
        <v>46113</v>
      </c>
      <c r="H123" s="18">
        <v>81772</v>
      </c>
      <c r="J123" s="21" t="s">
        <v>52</v>
      </c>
      <c r="K123" s="21" t="s">
        <v>108</v>
      </c>
      <c r="L123" s="63">
        <v>1292.94</v>
      </c>
      <c r="M123" s="23" t="s">
        <v>1</v>
      </c>
      <c r="N123" s="24" t="s">
        <v>158</v>
      </c>
      <c r="O123" s="25">
        <v>1</v>
      </c>
      <c r="P123" s="22"/>
    </row>
    <row r="124" spans="1:16" x14ac:dyDescent="0.25">
      <c r="A124" s="45" t="str">
        <f t="shared" si="8"/>
        <v>CUSTO DE DROPCOPY BRL - MORGAN STANLEY URUGUAY LTDA - CITIBANK -  ABRIL 26</v>
      </c>
      <c r="B124" s="46">
        <v>46113</v>
      </c>
      <c r="C124" s="45">
        <v>817632</v>
      </c>
      <c r="D124" s="47" t="s">
        <v>20</v>
      </c>
      <c r="E124" s="56">
        <f t="shared" si="7"/>
        <v>-430.97399999999993</v>
      </c>
      <c r="F124" s="45" t="s">
        <v>49</v>
      </c>
      <c r="G124" s="46">
        <v>46113</v>
      </c>
      <c r="H124" s="45">
        <v>80754</v>
      </c>
      <c r="J124" s="48" t="s">
        <v>52</v>
      </c>
      <c r="K124" s="48" t="s">
        <v>109</v>
      </c>
      <c r="L124" s="62">
        <v>430.97399999999993</v>
      </c>
      <c r="M124" s="50" t="s">
        <v>1</v>
      </c>
      <c r="N124" s="51" t="s">
        <v>158</v>
      </c>
      <c r="O124" s="52">
        <v>1</v>
      </c>
      <c r="P124" s="49"/>
    </row>
    <row r="125" spans="1:16" x14ac:dyDescent="0.25">
      <c r="A125" s="1" t="str">
        <f t="shared" si="8"/>
        <v>CUSTO DE DROPCOPY BRL - MORGAN STANLEY URUGUAY LTDA - CITIBANK -  ABRIL 26</v>
      </c>
      <c r="B125" s="2">
        <v>46113</v>
      </c>
      <c r="C125" s="1">
        <v>817632</v>
      </c>
      <c r="D125" s="3" t="s">
        <v>126</v>
      </c>
      <c r="E125" s="58">
        <f t="shared" si="7"/>
        <v>-287.31599999999997</v>
      </c>
      <c r="F125" s="1" t="s">
        <v>49</v>
      </c>
      <c r="G125" s="2">
        <v>46113</v>
      </c>
      <c r="H125" s="1">
        <v>80754</v>
      </c>
      <c r="J125" s="4" t="s">
        <v>52</v>
      </c>
      <c r="K125" s="4" t="s">
        <v>109</v>
      </c>
      <c r="L125" s="60">
        <v>287.31599999999997</v>
      </c>
      <c r="M125" s="6" t="s">
        <v>1</v>
      </c>
      <c r="N125" s="7" t="s">
        <v>158</v>
      </c>
      <c r="O125" s="8">
        <v>1</v>
      </c>
      <c r="P125" s="5"/>
    </row>
    <row r="126" spans="1:16" x14ac:dyDescent="0.25">
      <c r="A126" s="45" t="str">
        <f t="shared" si="8"/>
        <v>CUSTO DE DROPCOPY BRL - ITAU FACIL -  ABRIL 26</v>
      </c>
      <c r="B126" s="46">
        <v>46113</v>
      </c>
      <c r="C126" s="45">
        <v>817632</v>
      </c>
      <c r="D126" s="47" t="s">
        <v>110</v>
      </c>
      <c r="E126" s="56">
        <f t="shared" si="7"/>
        <v>-571.64499999999998</v>
      </c>
      <c r="F126" s="45" t="s">
        <v>49</v>
      </c>
      <c r="G126" s="46">
        <v>46113</v>
      </c>
      <c r="H126" s="45">
        <v>81200</v>
      </c>
      <c r="J126" s="48" t="s">
        <v>52</v>
      </c>
      <c r="K126" s="48" t="s">
        <v>127</v>
      </c>
      <c r="L126" s="62">
        <v>1143.29</v>
      </c>
      <c r="M126" s="50" t="s">
        <v>1</v>
      </c>
      <c r="N126" s="51" t="s">
        <v>158</v>
      </c>
      <c r="O126" s="16">
        <v>0.5</v>
      </c>
      <c r="P126" s="49"/>
    </row>
    <row r="127" spans="1:16" x14ac:dyDescent="0.25">
      <c r="A127" s="1" t="str">
        <f t="shared" si="8"/>
        <v>CUSTO DE DROPCOPY BRL - ITAU FACIL -  ABRIL 26</v>
      </c>
      <c r="B127" s="2">
        <v>46113</v>
      </c>
      <c r="C127" s="1">
        <v>817632</v>
      </c>
      <c r="D127" s="3" t="s">
        <v>2</v>
      </c>
      <c r="E127" s="58">
        <f t="shared" si="7"/>
        <v>-571.64499999999998</v>
      </c>
      <c r="F127" s="1" t="s">
        <v>49</v>
      </c>
      <c r="G127" s="2">
        <v>46113</v>
      </c>
      <c r="H127" s="1">
        <v>81200</v>
      </c>
      <c r="J127" s="4" t="s">
        <v>52</v>
      </c>
      <c r="K127" s="4" t="s">
        <v>127</v>
      </c>
      <c r="L127" s="60">
        <v>1143.29</v>
      </c>
      <c r="M127" s="6" t="s">
        <v>1</v>
      </c>
      <c r="N127" s="7" t="s">
        <v>158</v>
      </c>
      <c r="O127" s="8">
        <v>0.5</v>
      </c>
      <c r="P127" s="5"/>
    </row>
    <row r="128" spans="1:16" x14ac:dyDescent="0.25">
      <c r="A128" s="1" t="str">
        <f t="shared" si="8"/>
        <v>CUSTO DE DROPCOPY BRL - ITAU CV S/A -  ABRIL 26</v>
      </c>
      <c r="B128" s="2">
        <v>46113</v>
      </c>
      <c r="C128" s="1">
        <v>817632</v>
      </c>
      <c r="D128" s="3" t="s">
        <v>2</v>
      </c>
      <c r="E128" s="58">
        <f t="shared" si="7"/>
        <v>-2286.58</v>
      </c>
      <c r="F128" s="1" t="s">
        <v>49</v>
      </c>
      <c r="G128" s="2">
        <v>46113</v>
      </c>
      <c r="H128" s="1">
        <v>81200</v>
      </c>
      <c r="J128" s="4" t="s">
        <v>52</v>
      </c>
      <c r="K128" s="4" t="s">
        <v>111</v>
      </c>
      <c r="L128" s="60">
        <v>2286.58</v>
      </c>
      <c r="M128" s="6" t="s">
        <v>1</v>
      </c>
      <c r="N128" s="7" t="s">
        <v>158</v>
      </c>
      <c r="O128" s="8">
        <v>1</v>
      </c>
      <c r="P128" s="5"/>
    </row>
    <row r="129" spans="1:17" x14ac:dyDescent="0.25">
      <c r="A129" s="9" t="str">
        <f t="shared" si="8"/>
        <v>CUSTO DE DROPCOPY BRL - CREDIT SUISSE (BRASIL) -  ABRIL 26</v>
      </c>
      <c r="B129" s="10">
        <v>46113</v>
      </c>
      <c r="C129" s="9">
        <v>817632</v>
      </c>
      <c r="D129" s="11" t="s">
        <v>98</v>
      </c>
      <c r="E129" s="57">
        <f t="shared" si="7"/>
        <v>-60.173157894736832</v>
      </c>
      <c r="F129" s="9" t="s">
        <v>49</v>
      </c>
      <c r="G129" s="10">
        <v>46113</v>
      </c>
      <c r="H129" s="9">
        <v>79978</v>
      </c>
      <c r="J129" s="12" t="s">
        <v>52</v>
      </c>
      <c r="K129" s="12" t="s">
        <v>112</v>
      </c>
      <c r="L129" s="61">
        <v>60.173157894736832</v>
      </c>
      <c r="M129" s="14" t="s">
        <v>1</v>
      </c>
      <c r="N129" s="15" t="s">
        <v>158</v>
      </c>
      <c r="O129" s="16">
        <v>1</v>
      </c>
      <c r="P129" s="13"/>
      <c r="Q129" s="76"/>
    </row>
    <row r="130" spans="1:17" x14ac:dyDescent="0.25">
      <c r="A130" s="9" t="str">
        <f t="shared" si="8"/>
        <v>CUSTO DE DROPCOPY BRL - CREDIT SUISSE (BRASIL) -  ABRIL 26</v>
      </c>
      <c r="B130" s="10">
        <v>46113</v>
      </c>
      <c r="C130" s="9">
        <v>817632</v>
      </c>
      <c r="D130" s="11" t="s">
        <v>40</v>
      </c>
      <c r="E130" s="57">
        <f t="shared" si="7"/>
        <v>-962.77052631578977</v>
      </c>
      <c r="F130" s="9" t="s">
        <v>49</v>
      </c>
      <c r="G130" s="10">
        <v>46113</v>
      </c>
      <c r="H130" s="9">
        <v>79978</v>
      </c>
      <c r="J130" s="12" t="s">
        <v>52</v>
      </c>
      <c r="K130" s="12" t="s">
        <v>112</v>
      </c>
      <c r="L130" s="61">
        <v>962.77052631578977</v>
      </c>
      <c r="M130" s="14" t="s">
        <v>1</v>
      </c>
      <c r="N130" s="15" t="s">
        <v>158</v>
      </c>
      <c r="O130" s="16">
        <v>1</v>
      </c>
      <c r="P130" s="13"/>
    </row>
    <row r="131" spans="1:17" x14ac:dyDescent="0.25">
      <c r="A131" s="9" t="str">
        <f t="shared" si="8"/>
        <v>CUSTO DE DROPCOPY BRL - CREDIT SUISSE (BRASIL) -  ABRIL 26</v>
      </c>
      <c r="B131" s="10">
        <v>46113</v>
      </c>
      <c r="C131" s="9">
        <v>817632</v>
      </c>
      <c r="D131" s="11" t="s">
        <v>41</v>
      </c>
      <c r="E131" s="57">
        <f t="shared" si="7"/>
        <v>-120.34631578947366</v>
      </c>
      <c r="F131" s="9" t="s">
        <v>49</v>
      </c>
      <c r="G131" s="10">
        <v>46113</v>
      </c>
      <c r="H131" s="9">
        <v>79978</v>
      </c>
      <c r="J131" s="12" t="s">
        <v>52</v>
      </c>
      <c r="K131" s="12" t="s">
        <v>112</v>
      </c>
      <c r="L131" s="61">
        <v>120.34631578947366</v>
      </c>
      <c r="M131" s="14" t="s">
        <v>1</v>
      </c>
      <c r="N131" s="15" t="s">
        <v>158</v>
      </c>
      <c r="O131" s="16">
        <v>1</v>
      </c>
      <c r="P131" s="13"/>
    </row>
    <row r="132" spans="1:17" x14ac:dyDescent="0.25">
      <c r="A132" s="18" t="str">
        <f t="shared" si="8"/>
        <v>CUSTO DE DROPCOPY BRL - KAPITALO INVESTIMENTOS LTDA -  ABRIL 26</v>
      </c>
      <c r="B132" s="19">
        <v>46113</v>
      </c>
      <c r="C132" s="18">
        <v>817632</v>
      </c>
      <c r="D132" s="20" t="s">
        <v>2</v>
      </c>
      <c r="E132" s="55">
        <f t="shared" si="7"/>
        <v>-2286.58</v>
      </c>
      <c r="F132" s="18" t="s">
        <v>49</v>
      </c>
      <c r="G132" s="19">
        <v>46113</v>
      </c>
      <c r="H132" s="18">
        <v>80392</v>
      </c>
      <c r="J132" s="21" t="s">
        <v>52</v>
      </c>
      <c r="K132" s="21" t="s">
        <v>113</v>
      </c>
      <c r="L132" s="63">
        <v>2286.58</v>
      </c>
      <c r="M132" s="23" t="s">
        <v>1</v>
      </c>
      <c r="N132" s="24" t="s">
        <v>158</v>
      </c>
      <c r="O132" s="25">
        <v>1</v>
      </c>
      <c r="P132" s="22"/>
    </row>
    <row r="133" spans="1:17" x14ac:dyDescent="0.25">
      <c r="A133" s="18" t="str">
        <f t="shared" si="8"/>
        <v>CUSTO DE DROPCOPY BRL - VINLAND CAPITAL -  ABRIL 26</v>
      </c>
      <c r="B133" s="19">
        <v>46113</v>
      </c>
      <c r="C133" s="18">
        <v>817632</v>
      </c>
      <c r="D133" s="20" t="s">
        <v>95</v>
      </c>
      <c r="E133" s="55">
        <f t="shared" si="7"/>
        <v>-718.29</v>
      </c>
      <c r="F133" s="18" t="s">
        <v>49</v>
      </c>
      <c r="G133" s="19">
        <v>46113</v>
      </c>
      <c r="H133" s="18">
        <v>80359</v>
      </c>
      <c r="J133" s="21" t="s">
        <v>52</v>
      </c>
      <c r="K133" s="21" t="s">
        <v>121</v>
      </c>
      <c r="L133" s="63">
        <v>718.29</v>
      </c>
      <c r="M133" s="23" t="s">
        <v>1</v>
      </c>
      <c r="N133" s="24" t="s">
        <v>158</v>
      </c>
      <c r="O133" s="25">
        <v>1</v>
      </c>
      <c r="P133" s="22"/>
    </row>
    <row r="134" spans="1:17" x14ac:dyDescent="0.25">
      <c r="A134" s="18" t="str">
        <f t="shared" si="8"/>
        <v>CUSTO DE DROPCOPY BRL - AGUILA CAPITAL ADM -  ABRIL 26</v>
      </c>
      <c r="B134" s="19">
        <v>46113</v>
      </c>
      <c r="C134" s="18">
        <v>817632</v>
      </c>
      <c r="D134" s="20" t="s">
        <v>133</v>
      </c>
      <c r="E134" s="55">
        <f t="shared" si="7"/>
        <v>-425</v>
      </c>
      <c r="F134" s="18" t="s">
        <v>49</v>
      </c>
      <c r="G134" s="19">
        <v>46113</v>
      </c>
      <c r="H134" s="18">
        <v>12397</v>
      </c>
      <c r="J134" s="21" t="s">
        <v>52</v>
      </c>
      <c r="K134" s="21" t="s">
        <v>134</v>
      </c>
      <c r="L134" s="63">
        <v>425</v>
      </c>
      <c r="M134" s="6" t="s">
        <v>1</v>
      </c>
      <c r="N134" s="7" t="s">
        <v>158</v>
      </c>
      <c r="O134" s="25">
        <v>1</v>
      </c>
      <c r="P134" s="67"/>
      <c r="Q134" s="17" t="s">
        <v>135</v>
      </c>
    </row>
  </sheetData>
  <autoFilter ref="A1:P134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31BF-94D1-47BD-9B3F-EB7BFA174779}">
  <sheetPr codeName="Sheet7"/>
  <dimension ref="A1:Q127"/>
  <sheetViews>
    <sheetView zoomScaleNormal="100" workbookViewId="0">
      <selection activeCell="G2" sqref="G2:G127"/>
    </sheetView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10.1406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43" si="0">CONCATENATE(J2,P2,M2,K2,M2,Q2,M2,N2)</f>
        <v>CUSTO DE DROPCOPY USD - BANCO SANTANDER S.A (HISPANO) - ROGERIO ENDO -  MAIO 26</v>
      </c>
      <c r="B2" s="10">
        <v>46143</v>
      </c>
      <c r="C2" s="9">
        <v>817632</v>
      </c>
      <c r="D2" s="11" t="s">
        <v>40</v>
      </c>
      <c r="E2" s="57">
        <f>-L2*O2</f>
        <v>-452.61235226666662</v>
      </c>
      <c r="F2" s="9" t="s">
        <v>12</v>
      </c>
      <c r="G2" s="10">
        <v>46143</v>
      </c>
      <c r="H2" s="9">
        <v>80195</v>
      </c>
      <c r="J2" s="12" t="s">
        <v>36</v>
      </c>
      <c r="K2" s="12" t="s">
        <v>39</v>
      </c>
      <c r="L2" s="59">
        <v>452.61235226666662</v>
      </c>
      <c r="M2" s="14" t="s">
        <v>1</v>
      </c>
      <c r="N2" s="15" t="s">
        <v>173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 MAIO 26</v>
      </c>
      <c r="B3" s="10">
        <v>46143</v>
      </c>
      <c r="C3" s="9">
        <v>817632</v>
      </c>
      <c r="D3" s="11" t="s">
        <v>40</v>
      </c>
      <c r="E3" s="57">
        <f t="shared" ref="E3:E74" si="1">-L3*O3</f>
        <v>-452.61235226666662</v>
      </c>
      <c r="F3" s="9" t="s">
        <v>12</v>
      </c>
      <c r="G3" s="10">
        <v>46143</v>
      </c>
      <c r="H3" s="9">
        <v>80015</v>
      </c>
      <c r="J3" s="12" t="s">
        <v>36</v>
      </c>
      <c r="K3" s="12" t="s">
        <v>13</v>
      </c>
      <c r="L3" s="59">
        <v>452.61235226666662</v>
      </c>
      <c r="M3" s="14" t="s">
        <v>1</v>
      </c>
      <c r="N3" s="15" t="s">
        <v>173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(729) -  MAIO 26</v>
      </c>
      <c r="B4" s="10">
        <v>46143</v>
      </c>
      <c r="C4" s="9">
        <v>817632</v>
      </c>
      <c r="D4" s="11" t="s">
        <v>15</v>
      </c>
      <c r="E4" s="57">
        <f t="shared" si="1"/>
        <v>-452.61235226666662</v>
      </c>
      <c r="F4" s="9" t="s">
        <v>12</v>
      </c>
      <c r="G4" s="10">
        <v>46143</v>
      </c>
      <c r="H4" s="9">
        <v>14479</v>
      </c>
      <c r="J4" s="12" t="s">
        <v>36</v>
      </c>
      <c r="K4" s="12" t="s">
        <v>13</v>
      </c>
      <c r="L4" s="59">
        <v>452.61235226666662</v>
      </c>
      <c r="M4" s="14" t="s">
        <v>1</v>
      </c>
      <c r="N4" s="15" t="s">
        <v>173</v>
      </c>
      <c r="O4" s="16">
        <v>1</v>
      </c>
      <c r="P4" s="13"/>
      <c r="Q4" s="17" t="s">
        <v>50</v>
      </c>
    </row>
    <row r="5" spans="1:17" x14ac:dyDescent="0.25">
      <c r="A5" s="9" t="str">
        <f t="shared" si="0"/>
        <v>CUSTO DE DROPCOPY USD - BANCO SANTANDER S.A (HISPANO) - RODRIGO FERNANDEZ -  MAIO 26</v>
      </c>
      <c r="B5" s="10">
        <v>46143</v>
      </c>
      <c r="C5" s="9">
        <v>817632</v>
      </c>
      <c r="D5" s="11" t="s">
        <v>15</v>
      </c>
      <c r="E5" s="57">
        <f t="shared" si="1"/>
        <v>-452.61235226666662</v>
      </c>
      <c r="F5" s="9" t="s">
        <v>12</v>
      </c>
      <c r="G5" s="10">
        <v>46143</v>
      </c>
      <c r="H5" s="9">
        <v>80195</v>
      </c>
      <c r="J5" s="12" t="s">
        <v>36</v>
      </c>
      <c r="K5" s="12" t="s">
        <v>39</v>
      </c>
      <c r="L5" s="59">
        <v>452.61235226666662</v>
      </c>
      <c r="M5" s="14" t="s">
        <v>1</v>
      </c>
      <c r="N5" s="15" t="s">
        <v>173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(833) -  MAIO 26</v>
      </c>
      <c r="B6" s="10">
        <v>46143</v>
      </c>
      <c r="C6" s="9">
        <v>817632</v>
      </c>
      <c r="D6" s="11" t="s">
        <v>11</v>
      </c>
      <c r="E6" s="57">
        <f t="shared" si="1"/>
        <v>-452.61235226666662</v>
      </c>
      <c r="F6" s="9" t="s">
        <v>12</v>
      </c>
      <c r="G6" s="10">
        <v>46143</v>
      </c>
      <c r="H6" s="9">
        <v>14479</v>
      </c>
      <c r="J6" s="12" t="s">
        <v>36</v>
      </c>
      <c r="K6" s="12" t="s">
        <v>13</v>
      </c>
      <c r="L6" s="59">
        <v>452.61235226666662</v>
      </c>
      <c r="M6" s="14" t="s">
        <v>1</v>
      </c>
      <c r="N6" s="15" t="s">
        <v>173</v>
      </c>
      <c r="O6" s="16">
        <v>1</v>
      </c>
      <c r="P6" s="13"/>
      <c r="Q6" s="17" t="s">
        <v>89</v>
      </c>
    </row>
    <row r="7" spans="1:17" x14ac:dyDescent="0.25">
      <c r="A7" s="1" t="str">
        <f t="shared" si="0"/>
        <v>CUSTO DE DROPCOPY USD - BANCO SANTANDER (BRASIL) S/A - ALESSANDRO EZEQUIEL -  MAIO 26</v>
      </c>
      <c r="B7" s="2">
        <v>46143</v>
      </c>
      <c r="C7" s="1">
        <v>817632</v>
      </c>
      <c r="D7" s="3" t="s">
        <v>105</v>
      </c>
      <c r="E7" s="58">
        <f t="shared" si="1"/>
        <v>-452.61235226666662</v>
      </c>
      <c r="F7" s="1" t="s">
        <v>12</v>
      </c>
      <c r="G7" s="2">
        <v>46143</v>
      </c>
      <c r="H7" s="1">
        <v>14479</v>
      </c>
      <c r="J7" s="4" t="s">
        <v>36</v>
      </c>
      <c r="K7" s="4" t="s">
        <v>13</v>
      </c>
      <c r="L7" s="60">
        <v>452.61235226666662</v>
      </c>
      <c r="M7" s="6" t="s">
        <v>1</v>
      </c>
      <c r="N7" s="7" t="s">
        <v>173</v>
      </c>
      <c r="O7" s="8">
        <v>1</v>
      </c>
      <c r="P7" s="5"/>
      <c r="Q7" s="64" t="s">
        <v>125</v>
      </c>
    </row>
    <row r="8" spans="1:17" x14ac:dyDescent="0.25">
      <c r="A8" s="9" t="str">
        <f t="shared" si="0"/>
        <v>CUSTO DE DROPCOPY USD - HAITONG BANCO  - MATHEUS FERNANDES (632) -  MAIO 26</v>
      </c>
      <c r="B8" s="10">
        <v>46143</v>
      </c>
      <c r="C8" s="9">
        <v>817632</v>
      </c>
      <c r="D8" s="44" t="s">
        <v>41</v>
      </c>
      <c r="E8" s="57">
        <f t="shared" si="1"/>
        <v>-1357.8370568</v>
      </c>
      <c r="F8" s="9" t="s">
        <v>12</v>
      </c>
      <c r="G8" s="10">
        <v>46143</v>
      </c>
      <c r="H8" s="9">
        <v>80041</v>
      </c>
      <c r="J8" s="12" t="s">
        <v>36</v>
      </c>
      <c r="K8" s="12" t="s">
        <v>119</v>
      </c>
      <c r="L8" s="61">
        <v>2715.6741136000001</v>
      </c>
      <c r="M8" s="14" t="s">
        <v>1</v>
      </c>
      <c r="N8" s="15" t="s">
        <v>173</v>
      </c>
      <c r="O8" s="16">
        <v>0.5</v>
      </c>
      <c r="P8" s="13"/>
      <c r="Q8" s="17" t="s">
        <v>92</v>
      </c>
    </row>
    <row r="9" spans="1:17" x14ac:dyDescent="0.25">
      <c r="A9" s="9" t="str">
        <f t="shared" si="0"/>
        <v>CUSTO DE DROPCOPY USD - HAITONG BANCO  - MATHEUS FERNANDES (632) -  MAIO 26</v>
      </c>
      <c r="B9" s="2">
        <v>46143</v>
      </c>
      <c r="C9" s="1">
        <v>817632</v>
      </c>
      <c r="D9" s="3" t="s">
        <v>15</v>
      </c>
      <c r="E9" s="58">
        <f t="shared" si="1"/>
        <v>-1357.8370568</v>
      </c>
      <c r="F9" s="1" t="s">
        <v>12</v>
      </c>
      <c r="G9" s="2">
        <v>46143</v>
      </c>
      <c r="H9" s="1">
        <v>80041</v>
      </c>
      <c r="J9" s="4" t="s">
        <v>36</v>
      </c>
      <c r="K9" s="4" t="s">
        <v>119</v>
      </c>
      <c r="L9" s="60">
        <v>2715.6741136000001</v>
      </c>
      <c r="M9" s="6" t="s">
        <v>1</v>
      </c>
      <c r="N9" s="7" t="s">
        <v>173</v>
      </c>
      <c r="O9" s="8">
        <v>0.5</v>
      </c>
      <c r="P9" s="5"/>
      <c r="Q9" s="64" t="s">
        <v>92</v>
      </c>
    </row>
    <row r="10" spans="1:17" x14ac:dyDescent="0.25">
      <c r="A10" s="18" t="str">
        <f t="shared" si="0"/>
        <v>CUSTO DE DROPCOPY USD - ITAU UNIBANCO S/A - EDUARDO MORGAO -  MAIO 26</v>
      </c>
      <c r="B10" s="2">
        <v>46143</v>
      </c>
      <c r="C10" s="1">
        <v>817632</v>
      </c>
      <c r="D10" s="3" t="s">
        <v>2</v>
      </c>
      <c r="E10" s="58">
        <f t="shared" si="1"/>
        <v>-2715.6741136000001</v>
      </c>
      <c r="F10" s="1" t="s">
        <v>12</v>
      </c>
      <c r="G10" s="2">
        <v>46143</v>
      </c>
      <c r="H10" s="1">
        <v>79806</v>
      </c>
      <c r="J10" s="4" t="s">
        <v>36</v>
      </c>
      <c r="K10" s="4" t="s">
        <v>42</v>
      </c>
      <c r="L10" s="60">
        <v>2715.6741136000001</v>
      </c>
      <c r="M10" s="6" t="s">
        <v>1</v>
      </c>
      <c r="N10" s="24" t="s">
        <v>173</v>
      </c>
      <c r="O10" s="8">
        <v>1</v>
      </c>
      <c r="P10" s="5"/>
      <c r="Q10" s="65" t="s">
        <v>8</v>
      </c>
    </row>
    <row r="11" spans="1:17" x14ac:dyDescent="0.25">
      <c r="A11" s="9" t="str">
        <f t="shared" si="0"/>
        <v>CUSTO DE DROPCOPY USD - BRAZA BANK S/A BANCO DE CAMBIO - GUSTAVO BEVILACQUA -  MAIO 26</v>
      </c>
      <c r="B11" s="10">
        <v>46143</v>
      </c>
      <c r="C11" s="9">
        <v>817632</v>
      </c>
      <c r="D11" s="11" t="s">
        <v>20</v>
      </c>
      <c r="E11" s="57">
        <f t="shared" si="1"/>
        <v>-1376.4274972000001</v>
      </c>
      <c r="F11" s="9" t="s">
        <v>12</v>
      </c>
      <c r="G11" s="10">
        <v>46143</v>
      </c>
      <c r="H11" s="9">
        <v>80213</v>
      </c>
      <c r="J11" s="12" t="s">
        <v>36</v>
      </c>
      <c r="K11" s="12" t="s">
        <v>51</v>
      </c>
      <c r="L11" s="61">
        <v>1376.4274972000001</v>
      </c>
      <c r="M11" s="14" t="s">
        <v>1</v>
      </c>
      <c r="N11" s="15" t="s">
        <v>173</v>
      </c>
      <c r="O11" s="16">
        <v>1</v>
      </c>
      <c r="P11" s="13"/>
      <c r="Q11" s="17" t="s">
        <v>131</v>
      </c>
    </row>
    <row r="12" spans="1:17" x14ac:dyDescent="0.25">
      <c r="A12" s="1" t="str">
        <f t="shared" si="0"/>
        <v>CUSTO DE DROPCOPY USD - BRAZA BANK S/A BANCO DE CAMBIO - BRUNO PEROTTONI -  MAIO 26</v>
      </c>
      <c r="B12" s="2">
        <v>46143</v>
      </c>
      <c r="C12" s="1">
        <v>817632</v>
      </c>
      <c r="D12" s="3" t="s">
        <v>20</v>
      </c>
      <c r="E12" s="58">
        <f t="shared" si="1"/>
        <v>-1376.4274972000001</v>
      </c>
      <c r="F12" s="1" t="s">
        <v>12</v>
      </c>
      <c r="G12" s="2">
        <v>46143</v>
      </c>
      <c r="H12" s="1">
        <v>80213</v>
      </c>
      <c r="I12" s="34"/>
      <c r="J12" s="4" t="s">
        <v>36</v>
      </c>
      <c r="K12" s="4" t="s">
        <v>51</v>
      </c>
      <c r="L12" s="60">
        <v>1376.4274972000001</v>
      </c>
      <c r="M12" s="6" t="s">
        <v>1</v>
      </c>
      <c r="N12" s="7" t="s">
        <v>173</v>
      </c>
      <c r="O12" s="8">
        <v>1</v>
      </c>
      <c r="P12" s="5"/>
      <c r="Q12" s="64" t="s">
        <v>21</v>
      </c>
    </row>
    <row r="13" spans="1:17" x14ac:dyDescent="0.25">
      <c r="A13" s="1" t="str">
        <f t="shared" si="0"/>
        <v>CUSTO DE DROPCOPY USD - BANCO DA CHINA BRASIL S/A - ANDRE F LOURETTI -  MAIO 26</v>
      </c>
      <c r="B13" s="2">
        <v>46143</v>
      </c>
      <c r="C13" s="1">
        <v>817632</v>
      </c>
      <c r="D13" s="3" t="s">
        <v>43</v>
      </c>
      <c r="E13" s="58">
        <f t="shared" si="1"/>
        <v>-2752.8549944000001</v>
      </c>
      <c r="F13" s="1" t="s">
        <v>12</v>
      </c>
      <c r="G13" s="2">
        <v>46143</v>
      </c>
      <c r="H13" s="1">
        <v>80320</v>
      </c>
      <c r="J13" s="4" t="s">
        <v>36</v>
      </c>
      <c r="K13" s="4" t="s">
        <v>177</v>
      </c>
      <c r="L13" s="60">
        <v>2752.8549944000001</v>
      </c>
      <c r="M13" s="6" t="s">
        <v>1</v>
      </c>
      <c r="N13" s="7" t="s">
        <v>173</v>
      </c>
      <c r="O13" s="8">
        <v>1</v>
      </c>
      <c r="P13" s="5"/>
      <c r="Q13" s="64" t="s">
        <v>178</v>
      </c>
    </row>
    <row r="14" spans="1:17" x14ac:dyDescent="0.25">
      <c r="A14" s="1" t="str">
        <f t="shared" si="0"/>
        <v>CUSTO DE DROPCOPY USD - BANCO BRADESCO S/A - CAOE MARTINS -  MAIO 26</v>
      </c>
      <c r="B14" s="2">
        <v>46143</v>
      </c>
      <c r="C14" s="1">
        <v>817632</v>
      </c>
      <c r="D14" s="3" t="s">
        <v>2</v>
      </c>
      <c r="E14" s="58">
        <f t="shared" si="1"/>
        <v>-1376.4274972000001</v>
      </c>
      <c r="F14" s="1" t="s">
        <v>12</v>
      </c>
      <c r="G14" s="2">
        <v>46143</v>
      </c>
      <c r="H14" s="1">
        <v>81502</v>
      </c>
      <c r="J14" s="4" t="s">
        <v>36</v>
      </c>
      <c r="K14" s="4" t="s">
        <v>3</v>
      </c>
      <c r="L14" s="60">
        <v>1376.4274972000001</v>
      </c>
      <c r="M14" s="6" t="s">
        <v>1</v>
      </c>
      <c r="N14" s="7" t="s">
        <v>173</v>
      </c>
      <c r="O14" s="8">
        <v>1</v>
      </c>
      <c r="P14" s="5"/>
      <c r="Q14" s="64" t="s">
        <v>128</v>
      </c>
    </row>
    <row r="15" spans="1:17" x14ac:dyDescent="0.25">
      <c r="A15" s="1" t="str">
        <f t="shared" si="0"/>
        <v>CUSTO DE DROPCOPY USD - BANCO BRADESCO S/A - JOAO VITOR CAIRES ALVES -  MAIO 26</v>
      </c>
      <c r="B15" s="2">
        <v>46143</v>
      </c>
      <c r="C15" s="1">
        <v>817632</v>
      </c>
      <c r="D15" s="3" t="s">
        <v>2</v>
      </c>
      <c r="E15" s="58">
        <f t="shared" si="1"/>
        <v>-1376.4274972000001</v>
      </c>
      <c r="F15" s="1" t="s">
        <v>12</v>
      </c>
      <c r="G15" s="2">
        <v>46143</v>
      </c>
      <c r="H15" s="1">
        <v>81502</v>
      </c>
      <c r="J15" s="4" t="s">
        <v>36</v>
      </c>
      <c r="K15" s="4" t="s">
        <v>3</v>
      </c>
      <c r="L15" s="60">
        <v>1376.4274972000001</v>
      </c>
      <c r="M15" s="6" t="s">
        <v>1</v>
      </c>
      <c r="N15" s="7" t="s">
        <v>173</v>
      </c>
      <c r="O15" s="8">
        <v>1</v>
      </c>
      <c r="P15" s="5"/>
      <c r="Q15" s="64" t="s">
        <v>5</v>
      </c>
    </row>
    <row r="16" spans="1:17" x14ac:dyDescent="0.25">
      <c r="A16" s="1" t="str">
        <f t="shared" si="0"/>
        <v>CUSTO DE DROPCOPY USD - BANCO BRADESCO S/A - ALESSANDRO DRAGO -  MAIO 26</v>
      </c>
      <c r="B16" s="2">
        <v>46143</v>
      </c>
      <c r="C16" s="1">
        <v>817632</v>
      </c>
      <c r="D16" s="3" t="s">
        <v>2</v>
      </c>
      <c r="E16" s="58">
        <f t="shared" si="1"/>
        <v>-917.61833146666663</v>
      </c>
      <c r="F16" s="1" t="s">
        <v>12</v>
      </c>
      <c r="G16" s="2">
        <v>46143</v>
      </c>
      <c r="H16" s="1">
        <v>81502</v>
      </c>
      <c r="J16" s="4" t="s">
        <v>36</v>
      </c>
      <c r="K16" s="4" t="s">
        <v>3</v>
      </c>
      <c r="L16" s="60">
        <v>917.61833146666663</v>
      </c>
      <c r="M16" s="6" t="s">
        <v>1</v>
      </c>
      <c r="N16" s="7" t="s">
        <v>173</v>
      </c>
      <c r="O16" s="8">
        <v>1</v>
      </c>
      <c r="P16" s="5"/>
      <c r="Q16" s="64" t="s">
        <v>137</v>
      </c>
    </row>
    <row r="17" spans="1:17" x14ac:dyDescent="0.25">
      <c r="A17" s="1" t="str">
        <f t="shared" si="0"/>
        <v>CUSTO DE DROPCOPY USD - BANCO BRADESCO S/A - LUCAS HORI -  MAIO 26</v>
      </c>
      <c r="B17" s="2">
        <v>46143</v>
      </c>
      <c r="C17" s="1">
        <v>817632</v>
      </c>
      <c r="D17" s="3" t="s">
        <v>2</v>
      </c>
      <c r="E17" s="58">
        <f t="shared" si="1"/>
        <v>-917.61833146666663</v>
      </c>
      <c r="F17" s="1" t="s">
        <v>12</v>
      </c>
      <c r="G17" s="2">
        <v>46143</v>
      </c>
      <c r="H17" s="1">
        <v>81502</v>
      </c>
      <c r="J17" s="4" t="s">
        <v>36</v>
      </c>
      <c r="K17" s="4" t="s">
        <v>3</v>
      </c>
      <c r="L17" s="60">
        <v>917.61833146666663</v>
      </c>
      <c r="M17" s="6" t="s">
        <v>1</v>
      </c>
      <c r="N17" s="7" t="s">
        <v>173</v>
      </c>
      <c r="O17" s="8">
        <v>1</v>
      </c>
      <c r="P17" s="5"/>
      <c r="Q17" s="64" t="s">
        <v>138</v>
      </c>
    </row>
    <row r="18" spans="1:17" x14ac:dyDescent="0.25">
      <c r="A18" s="1" t="str">
        <f t="shared" si="0"/>
        <v>CUSTO DE DROPCOPY USD - BANCO BRADESCO S/A - GLAYSON PATRICIO -  MAIO 26</v>
      </c>
      <c r="B18" s="2">
        <v>46143</v>
      </c>
      <c r="C18" s="1">
        <v>817632</v>
      </c>
      <c r="D18" s="3" t="s">
        <v>107</v>
      </c>
      <c r="E18" s="58">
        <f t="shared" si="1"/>
        <v>-917.61833146666663</v>
      </c>
      <c r="F18" s="1" t="s">
        <v>12</v>
      </c>
      <c r="G18" s="2">
        <v>46143</v>
      </c>
      <c r="H18" s="1">
        <v>81502</v>
      </c>
      <c r="J18" s="4" t="s">
        <v>36</v>
      </c>
      <c r="K18" s="4" t="s">
        <v>3</v>
      </c>
      <c r="L18" s="60">
        <v>917.61833146666663</v>
      </c>
      <c r="M18" s="6" t="s">
        <v>1</v>
      </c>
      <c r="N18" s="7" t="s">
        <v>173</v>
      </c>
      <c r="O18" s="8">
        <v>1</v>
      </c>
      <c r="P18" s="5"/>
      <c r="Q18" s="64" t="s">
        <v>140</v>
      </c>
    </row>
    <row r="19" spans="1:17" x14ac:dyDescent="0.25">
      <c r="A19" s="9" t="str">
        <f t="shared" si="0"/>
        <v>CUSTO DE DROPCOPY USD - BANCO BRADESCO S/A - GABRIEL BORINI -  MAIO 26</v>
      </c>
      <c r="B19" s="10">
        <v>46143</v>
      </c>
      <c r="C19" s="9">
        <v>817632</v>
      </c>
      <c r="D19" s="11" t="s">
        <v>2</v>
      </c>
      <c r="E19" s="57">
        <f>-L19*O19</f>
        <v>-79.144151252499995</v>
      </c>
      <c r="F19" s="9" t="s">
        <v>0</v>
      </c>
      <c r="G19" s="10">
        <v>46143</v>
      </c>
      <c r="H19" s="9">
        <v>81503</v>
      </c>
      <c r="J19" s="12" t="s">
        <v>36</v>
      </c>
      <c r="K19" s="12" t="s">
        <v>3</v>
      </c>
      <c r="L19" s="61">
        <v>158.28830250499999</v>
      </c>
      <c r="M19" s="14" t="s">
        <v>1</v>
      </c>
      <c r="N19" s="15" t="s">
        <v>173</v>
      </c>
      <c r="O19" s="16">
        <v>0.5</v>
      </c>
      <c r="P19" s="13"/>
      <c r="Q19" s="17" t="s">
        <v>4</v>
      </c>
    </row>
    <row r="20" spans="1:17" x14ac:dyDescent="0.25">
      <c r="A20" s="9" t="str">
        <f t="shared" si="0"/>
        <v>CUSTO DE DROPCOPY USD - BANCO BRADESCO S/A - GABRIEL BORINI -  MAIO 26</v>
      </c>
      <c r="B20" s="10">
        <v>46143</v>
      </c>
      <c r="C20" s="9">
        <v>817632</v>
      </c>
      <c r="D20" s="11" t="s">
        <v>91</v>
      </c>
      <c r="E20" s="57">
        <f>-L20*O20</f>
        <v>-79.144151252499995</v>
      </c>
      <c r="F20" s="9" t="s">
        <v>0</v>
      </c>
      <c r="G20" s="10">
        <v>46143</v>
      </c>
      <c r="H20" s="9">
        <v>81503</v>
      </c>
      <c r="J20" s="12" t="s">
        <v>36</v>
      </c>
      <c r="K20" s="12" t="s">
        <v>3</v>
      </c>
      <c r="L20" s="61">
        <v>158.28830250499999</v>
      </c>
      <c r="M20" s="14" t="s">
        <v>1</v>
      </c>
      <c r="N20" s="15" t="s">
        <v>173</v>
      </c>
      <c r="O20" s="16">
        <v>0.5</v>
      </c>
      <c r="P20" s="13"/>
      <c r="Q20" s="17" t="s">
        <v>4</v>
      </c>
    </row>
    <row r="21" spans="1:17" x14ac:dyDescent="0.25">
      <c r="A21" s="9" t="str">
        <f t="shared" si="0"/>
        <v>CUSTO DE DROPCOPY USD - BANCO BRADESCO S/A - JOAO VITOR CAIRES ALVES -  MAIO 26</v>
      </c>
      <c r="B21" s="10">
        <v>46143</v>
      </c>
      <c r="C21" s="9">
        <v>817632</v>
      </c>
      <c r="D21" s="11" t="s">
        <v>2</v>
      </c>
      <c r="E21" s="57">
        <f>-L21*O21</f>
        <v>-79.144151252499995</v>
      </c>
      <c r="F21" s="9" t="s">
        <v>0</v>
      </c>
      <c r="G21" s="10">
        <v>46143</v>
      </c>
      <c r="H21" s="9">
        <v>81503</v>
      </c>
      <c r="J21" s="12" t="s">
        <v>36</v>
      </c>
      <c r="K21" s="12" t="s">
        <v>3</v>
      </c>
      <c r="L21" s="61">
        <v>158.28830250499999</v>
      </c>
      <c r="M21" s="14" t="s">
        <v>1</v>
      </c>
      <c r="N21" s="15" t="s">
        <v>173</v>
      </c>
      <c r="O21" s="16">
        <v>0.5</v>
      </c>
      <c r="P21" s="13"/>
      <c r="Q21" s="17" t="s">
        <v>5</v>
      </c>
    </row>
    <row r="22" spans="1:17" x14ac:dyDescent="0.25">
      <c r="A22" s="9" t="str">
        <f t="shared" si="0"/>
        <v>CUSTO DE DROPCOPY USD - BANCO BRADESCO S/A - JOAO VITOR CAIRES ALVES -  MAIO 26</v>
      </c>
      <c r="B22" s="10">
        <v>46143</v>
      </c>
      <c r="C22" s="9">
        <v>817632</v>
      </c>
      <c r="D22" s="11" t="s">
        <v>91</v>
      </c>
      <c r="E22" s="57">
        <f t="shared" si="1"/>
        <v>-79.144151252499995</v>
      </c>
      <c r="F22" s="9" t="s">
        <v>0</v>
      </c>
      <c r="G22" s="10">
        <v>46143</v>
      </c>
      <c r="H22" s="9">
        <v>81503</v>
      </c>
      <c r="J22" s="12" t="s">
        <v>36</v>
      </c>
      <c r="K22" s="12" t="s">
        <v>3</v>
      </c>
      <c r="L22" s="61">
        <v>158.28830250499999</v>
      </c>
      <c r="M22" s="14" t="s">
        <v>1</v>
      </c>
      <c r="N22" s="15" t="s">
        <v>173</v>
      </c>
      <c r="O22" s="16">
        <v>0.5</v>
      </c>
      <c r="P22" s="13"/>
      <c r="Q22" s="17" t="s">
        <v>5</v>
      </c>
    </row>
    <row r="23" spans="1:17" x14ac:dyDescent="0.25">
      <c r="A23" s="9" t="str">
        <f t="shared" si="0"/>
        <v>CUSTO DE DROPCOPY USD - BANCO BRADESCO S/A - MARCELO CAIRES -  MAIO 26</v>
      </c>
      <c r="B23" s="10">
        <v>46143</v>
      </c>
      <c r="C23" s="9">
        <v>817632</v>
      </c>
      <c r="D23" s="11" t="s">
        <v>2</v>
      </c>
      <c r="E23" s="57">
        <f t="shared" si="1"/>
        <v>-79.144151252499995</v>
      </c>
      <c r="F23" s="9" t="s">
        <v>0</v>
      </c>
      <c r="G23" s="10">
        <v>46143</v>
      </c>
      <c r="H23" s="9">
        <v>81503</v>
      </c>
      <c r="J23" s="12" t="s">
        <v>36</v>
      </c>
      <c r="K23" s="12" t="s">
        <v>3</v>
      </c>
      <c r="L23" s="61">
        <v>158.28830250499999</v>
      </c>
      <c r="M23" s="14" t="s">
        <v>1</v>
      </c>
      <c r="N23" s="15" t="s">
        <v>173</v>
      </c>
      <c r="O23" s="16">
        <v>0.5</v>
      </c>
      <c r="P23" s="13"/>
      <c r="Q23" s="17" t="s">
        <v>6</v>
      </c>
    </row>
    <row r="24" spans="1:17" x14ac:dyDescent="0.25">
      <c r="A24" s="9" t="str">
        <f t="shared" si="0"/>
        <v>CUSTO DE DROPCOPY USD - BANCO BRADESCO S/A - MARCELO CAIRES -  MAIO 26</v>
      </c>
      <c r="B24" s="10">
        <v>46143</v>
      </c>
      <c r="C24" s="9">
        <v>817632</v>
      </c>
      <c r="D24" s="11" t="s">
        <v>91</v>
      </c>
      <c r="E24" s="57">
        <f t="shared" si="1"/>
        <v>-79.144151252499995</v>
      </c>
      <c r="F24" s="9" t="s">
        <v>0</v>
      </c>
      <c r="G24" s="10">
        <v>46143</v>
      </c>
      <c r="H24" s="9">
        <v>81503</v>
      </c>
      <c r="J24" s="12" t="s">
        <v>36</v>
      </c>
      <c r="K24" s="12" t="s">
        <v>3</v>
      </c>
      <c r="L24" s="61">
        <v>158.28830250499999</v>
      </c>
      <c r="M24" s="14" t="s">
        <v>1</v>
      </c>
      <c r="N24" s="15" t="s">
        <v>173</v>
      </c>
      <c r="O24" s="16">
        <v>0.5</v>
      </c>
      <c r="P24" s="13"/>
      <c r="Q24" s="17" t="s">
        <v>6</v>
      </c>
    </row>
    <row r="25" spans="1:17" x14ac:dyDescent="0.25">
      <c r="A25" s="9" t="str">
        <f t="shared" si="0"/>
        <v>CUSTO DE DROPCOPY USD - BANCO BRADESCO S/A - RONALDO SASAKI -  MAIO 26</v>
      </c>
      <c r="B25" s="10">
        <v>46143</v>
      </c>
      <c r="C25" s="9">
        <v>817632</v>
      </c>
      <c r="D25" s="11" t="s">
        <v>2</v>
      </c>
      <c r="E25" s="57">
        <f t="shared" si="1"/>
        <v>-79.144151252499995</v>
      </c>
      <c r="F25" s="9" t="s">
        <v>0</v>
      </c>
      <c r="G25" s="10">
        <v>46143</v>
      </c>
      <c r="H25" s="9">
        <v>81503</v>
      </c>
      <c r="J25" s="12" t="s">
        <v>36</v>
      </c>
      <c r="K25" s="12" t="s">
        <v>3</v>
      </c>
      <c r="L25" s="61">
        <v>158.28830250499999</v>
      </c>
      <c r="M25" s="14" t="s">
        <v>1</v>
      </c>
      <c r="N25" s="15" t="s">
        <v>173</v>
      </c>
      <c r="O25" s="16">
        <v>0.5</v>
      </c>
      <c r="P25" s="13"/>
      <c r="Q25" s="17" t="s">
        <v>7</v>
      </c>
    </row>
    <row r="26" spans="1:17" x14ac:dyDescent="0.25">
      <c r="A26" s="1" t="str">
        <f t="shared" si="0"/>
        <v>CUSTO DE DROPCOPY USD - BANCO BRADESCO S/A - RONALDO SASAKI -  MAIO 26</v>
      </c>
      <c r="B26" s="2">
        <v>46143</v>
      </c>
      <c r="C26" s="1">
        <v>817632</v>
      </c>
      <c r="D26" s="3" t="s">
        <v>91</v>
      </c>
      <c r="E26" s="58">
        <f t="shared" si="1"/>
        <v>-79.144151252499995</v>
      </c>
      <c r="F26" s="1" t="s">
        <v>0</v>
      </c>
      <c r="G26" s="2">
        <v>46143</v>
      </c>
      <c r="H26" s="1">
        <v>81503</v>
      </c>
      <c r="J26" s="4" t="s">
        <v>36</v>
      </c>
      <c r="K26" s="4" t="s">
        <v>3</v>
      </c>
      <c r="L26" s="60">
        <v>158.28830250499999</v>
      </c>
      <c r="M26" s="6" t="s">
        <v>1</v>
      </c>
      <c r="N26" s="7" t="s">
        <v>173</v>
      </c>
      <c r="O26" s="8">
        <v>0.5</v>
      </c>
      <c r="P26" s="5"/>
      <c r="Q26" s="64" t="s">
        <v>7</v>
      </c>
    </row>
    <row r="27" spans="1:17" x14ac:dyDescent="0.25">
      <c r="A27" s="9" t="str">
        <f t="shared" si="0"/>
        <v>CUSTO DE DROPCOPY USD - SPX EQUITIES GESTAO DE RECURSOS LTDA - LUCAS ROSSI -  MAIO 26</v>
      </c>
      <c r="B27" s="10">
        <v>46143</v>
      </c>
      <c r="C27" s="9">
        <v>817632</v>
      </c>
      <c r="D27" s="11" t="s">
        <v>2</v>
      </c>
      <c r="E27" s="57">
        <f t="shared" si="1"/>
        <v>-75.978385202399991</v>
      </c>
      <c r="F27" s="9" t="s">
        <v>0</v>
      </c>
      <c r="G27" s="10">
        <v>46143</v>
      </c>
      <c r="H27" s="9">
        <v>79931</v>
      </c>
      <c r="J27" s="12" t="s">
        <v>36</v>
      </c>
      <c r="K27" s="12" t="s">
        <v>9</v>
      </c>
      <c r="L27" s="61">
        <v>126.63064200399999</v>
      </c>
      <c r="M27" s="14" t="s">
        <v>1</v>
      </c>
      <c r="N27" s="15" t="s">
        <v>173</v>
      </c>
      <c r="O27" s="16">
        <v>0.6</v>
      </c>
      <c r="P27" s="13"/>
      <c r="Q27" s="17" t="s">
        <v>10</v>
      </c>
    </row>
    <row r="28" spans="1:17" x14ac:dyDescent="0.25">
      <c r="A28" s="1" t="str">
        <f t="shared" si="0"/>
        <v>CUSTO DE DROPCOPY USD - SPX EQUITIES GESTAO DE RECURSOS LTDA - LUCAS ROSSI -  MAIO 26</v>
      </c>
      <c r="B28" s="2">
        <v>46143</v>
      </c>
      <c r="C28" s="1">
        <v>817632</v>
      </c>
      <c r="D28" s="3" t="s">
        <v>91</v>
      </c>
      <c r="E28" s="58">
        <f t="shared" si="1"/>
        <v>-50.652256801600004</v>
      </c>
      <c r="F28" s="1" t="s">
        <v>0</v>
      </c>
      <c r="G28" s="2">
        <v>46143</v>
      </c>
      <c r="H28" s="1">
        <v>79931</v>
      </c>
      <c r="I28" s="34"/>
      <c r="J28" s="4" t="s">
        <v>36</v>
      </c>
      <c r="K28" s="4" t="s">
        <v>9</v>
      </c>
      <c r="L28" s="60">
        <v>126.63064200399999</v>
      </c>
      <c r="M28" s="6" t="s">
        <v>1</v>
      </c>
      <c r="N28" s="7" t="s">
        <v>173</v>
      </c>
      <c r="O28" s="8">
        <v>0.4</v>
      </c>
      <c r="P28" s="5"/>
      <c r="Q28" s="64" t="s">
        <v>10</v>
      </c>
    </row>
    <row r="29" spans="1:17" x14ac:dyDescent="0.25">
      <c r="A29" s="9" t="str">
        <f t="shared" si="0"/>
        <v>CUSTO DE DROPCOPY USD - SPX EQUITIES GESTAO DE RECURSOS LTDA - THIAGO SANTOS -  MAIO 26</v>
      </c>
      <c r="B29" s="10">
        <v>46143</v>
      </c>
      <c r="C29" s="9">
        <v>817632</v>
      </c>
      <c r="D29" s="11" t="s">
        <v>2</v>
      </c>
      <c r="E29" s="57">
        <f t="shared" si="1"/>
        <v>-151.95677040479998</v>
      </c>
      <c r="F29" s="9" t="s">
        <v>0</v>
      </c>
      <c r="G29" s="10">
        <v>46143</v>
      </c>
      <c r="H29" s="9">
        <v>81564</v>
      </c>
      <c r="J29" s="12" t="s">
        <v>36</v>
      </c>
      <c r="K29" s="12" t="s">
        <v>9</v>
      </c>
      <c r="L29" s="61">
        <v>253.26128400799999</v>
      </c>
      <c r="M29" s="14" t="s">
        <v>1</v>
      </c>
      <c r="N29" s="15" t="s">
        <v>173</v>
      </c>
      <c r="O29" s="16">
        <v>0.6</v>
      </c>
      <c r="P29" s="13"/>
      <c r="Q29" s="17" t="s">
        <v>90</v>
      </c>
    </row>
    <row r="30" spans="1:17" x14ac:dyDescent="0.25">
      <c r="A30" s="1" t="str">
        <f t="shared" si="0"/>
        <v>CUSTO DE DROPCOPY USD - SPX EQUITIES GESTAO DE RECURSOS LTDA - THIAGO SANTOS -  MAIO 26</v>
      </c>
      <c r="B30" s="2">
        <v>46143</v>
      </c>
      <c r="C30" s="1">
        <v>817632</v>
      </c>
      <c r="D30" s="3" t="s">
        <v>91</v>
      </c>
      <c r="E30" s="58">
        <f t="shared" si="1"/>
        <v>-101.30451360320001</v>
      </c>
      <c r="F30" s="1" t="s">
        <v>0</v>
      </c>
      <c r="G30" s="2">
        <v>46143</v>
      </c>
      <c r="H30" s="1">
        <v>81564</v>
      </c>
      <c r="I30" s="34"/>
      <c r="J30" s="4" t="s">
        <v>36</v>
      </c>
      <c r="K30" s="4" t="s">
        <v>9</v>
      </c>
      <c r="L30" s="60">
        <v>253.26128400799999</v>
      </c>
      <c r="M30" s="6" t="s">
        <v>1</v>
      </c>
      <c r="N30" s="7" t="s">
        <v>173</v>
      </c>
      <c r="O30" s="8">
        <v>0.4</v>
      </c>
      <c r="P30" s="5"/>
      <c r="Q30" s="64" t="s">
        <v>90</v>
      </c>
    </row>
    <row r="31" spans="1:17" x14ac:dyDescent="0.25">
      <c r="A31" s="9" t="str">
        <f t="shared" si="0"/>
        <v>CUSTO DE DROPCOPY USD - SPX EQUITIES GESTAO DE RECURSOS LTDA - GABRIEL FERREIRA -  MAIO 26</v>
      </c>
      <c r="B31" s="10">
        <v>46143</v>
      </c>
      <c r="C31" s="9">
        <v>817632</v>
      </c>
      <c r="D31" s="11" t="s">
        <v>2</v>
      </c>
      <c r="E31" s="57">
        <f t="shared" si="1"/>
        <v>-75.978385202399991</v>
      </c>
      <c r="F31" s="9" t="s">
        <v>0</v>
      </c>
      <c r="G31" s="10">
        <v>46143</v>
      </c>
      <c r="H31" s="9">
        <v>81564</v>
      </c>
      <c r="J31" s="12" t="s">
        <v>36</v>
      </c>
      <c r="K31" s="12" t="s">
        <v>9</v>
      </c>
      <c r="L31" s="61">
        <v>126.63064200399999</v>
      </c>
      <c r="M31" s="14" t="s">
        <v>1</v>
      </c>
      <c r="N31" s="15" t="s">
        <v>173</v>
      </c>
      <c r="O31" s="16">
        <v>0.6</v>
      </c>
      <c r="P31" s="13"/>
      <c r="Q31" s="17" t="s">
        <v>123</v>
      </c>
    </row>
    <row r="32" spans="1:17" x14ac:dyDescent="0.25">
      <c r="A32" s="1" t="str">
        <f t="shared" si="0"/>
        <v>CUSTO DE DROPCOPY USD - SPX EQUITIES GESTAO DE RECURSOS LTDA - GABRIEL FERREIRA -  MAIO 26</v>
      </c>
      <c r="B32" s="2">
        <v>46143</v>
      </c>
      <c r="C32" s="1">
        <v>817632</v>
      </c>
      <c r="D32" s="3" t="s">
        <v>91</v>
      </c>
      <c r="E32" s="58">
        <f t="shared" si="1"/>
        <v>-50.652256801600004</v>
      </c>
      <c r="F32" s="1" t="s">
        <v>0</v>
      </c>
      <c r="G32" s="2">
        <v>46143</v>
      </c>
      <c r="H32" s="1">
        <v>81564</v>
      </c>
      <c r="I32" s="34"/>
      <c r="J32" s="4" t="s">
        <v>36</v>
      </c>
      <c r="K32" s="4" t="s">
        <v>9</v>
      </c>
      <c r="L32" s="60">
        <v>126.63064200399999</v>
      </c>
      <c r="M32" s="6" t="s">
        <v>1</v>
      </c>
      <c r="N32" s="7" t="s">
        <v>173</v>
      </c>
      <c r="O32" s="8">
        <v>0.4</v>
      </c>
      <c r="P32" s="5"/>
      <c r="Q32" s="64" t="s">
        <v>123</v>
      </c>
    </row>
    <row r="33" spans="1:17" x14ac:dyDescent="0.25">
      <c r="A33" s="9" t="str">
        <f t="shared" si="0"/>
        <v>CUSTO DE DROPCOPY USD - SPX EQUITIES GESTAO DE RECURSOS LTDA - MURILO ORTIZ -  MAIO 26</v>
      </c>
      <c r="B33" s="10">
        <v>46143</v>
      </c>
      <c r="C33" s="9">
        <v>817632</v>
      </c>
      <c r="D33" s="11" t="s">
        <v>2</v>
      </c>
      <c r="E33" s="57">
        <f t="shared" si="1"/>
        <v>-75.978385202399991</v>
      </c>
      <c r="F33" s="9" t="s">
        <v>0</v>
      </c>
      <c r="G33" s="10">
        <v>46143</v>
      </c>
      <c r="H33" s="9">
        <v>81564</v>
      </c>
      <c r="J33" s="12" t="s">
        <v>36</v>
      </c>
      <c r="K33" s="12" t="s">
        <v>9</v>
      </c>
      <c r="L33" s="61">
        <v>126.63064200399999</v>
      </c>
      <c r="M33" s="14" t="s">
        <v>1</v>
      </c>
      <c r="N33" s="15" t="s">
        <v>173</v>
      </c>
      <c r="O33" s="16">
        <v>0.6</v>
      </c>
      <c r="P33" s="13"/>
      <c r="Q33" s="17" t="s">
        <v>124</v>
      </c>
    </row>
    <row r="34" spans="1:17" x14ac:dyDescent="0.25">
      <c r="A34" s="1" t="str">
        <f t="shared" si="0"/>
        <v>CUSTO DE DROPCOPY USD - SPX EQUITIES GESTAO DE RECURSOS LTDA - MURILO ORTIZ -  MAIO 26</v>
      </c>
      <c r="B34" s="2">
        <v>46143</v>
      </c>
      <c r="C34" s="1">
        <v>817632</v>
      </c>
      <c r="D34" s="3" t="s">
        <v>91</v>
      </c>
      <c r="E34" s="58">
        <f t="shared" si="1"/>
        <v>-50.652256801600004</v>
      </c>
      <c r="F34" s="1" t="s">
        <v>0</v>
      </c>
      <c r="G34" s="2">
        <v>46143</v>
      </c>
      <c r="H34" s="1">
        <v>81564</v>
      </c>
      <c r="I34" s="34"/>
      <c r="J34" s="4" t="s">
        <v>36</v>
      </c>
      <c r="K34" s="4" t="s">
        <v>9</v>
      </c>
      <c r="L34" s="60">
        <v>126.63064200399999</v>
      </c>
      <c r="M34" s="6" t="s">
        <v>1</v>
      </c>
      <c r="N34" s="7" t="s">
        <v>173</v>
      </c>
      <c r="O34" s="8">
        <v>0.4</v>
      </c>
      <c r="P34" s="5"/>
      <c r="Q34" s="64" t="s">
        <v>124</v>
      </c>
    </row>
    <row r="35" spans="1:17" x14ac:dyDescent="0.25">
      <c r="A35" s="1" t="str">
        <f t="shared" si="0"/>
        <v>CUSTO DE DROPCOPY USD - KAPITALO INVESTIMENTO LTDA - RAFAEL POPPE -  MAIO 26</v>
      </c>
      <c r="B35" s="2">
        <v>46143</v>
      </c>
      <c r="C35" s="1">
        <v>817632</v>
      </c>
      <c r="D35" s="3" t="s">
        <v>2</v>
      </c>
      <c r="E35" s="58">
        <f t="shared" si="1"/>
        <v>-633.15321001999996</v>
      </c>
      <c r="F35" s="1" t="s">
        <v>0</v>
      </c>
      <c r="G35" s="2">
        <v>46143</v>
      </c>
      <c r="H35" s="1">
        <v>81778</v>
      </c>
      <c r="J35" s="4" t="s">
        <v>36</v>
      </c>
      <c r="K35" s="4" t="s">
        <v>37</v>
      </c>
      <c r="L35" s="60">
        <v>633.15321001999996</v>
      </c>
      <c r="M35" s="6" t="s">
        <v>1</v>
      </c>
      <c r="N35" s="7" t="s">
        <v>173</v>
      </c>
      <c r="O35" s="8">
        <v>1</v>
      </c>
      <c r="P35" s="5"/>
      <c r="Q35" s="64" t="s">
        <v>38</v>
      </c>
    </row>
    <row r="36" spans="1:17" x14ac:dyDescent="0.25">
      <c r="A36" s="9" t="str">
        <f t="shared" si="0"/>
        <v>CUSTO DE DROPCOPY USD - DAHLIA CAPITAL GESTAO DE RECURSOS LTDA - ARTHUR LAZARETTI -  MAIO 26</v>
      </c>
      <c r="B36" s="10">
        <v>46143</v>
      </c>
      <c r="C36" s="9">
        <v>817632</v>
      </c>
      <c r="D36" s="11" t="s">
        <v>2</v>
      </c>
      <c r="E36" s="57">
        <f t="shared" si="1"/>
        <v>-105.52553500333335</v>
      </c>
      <c r="F36" s="9" t="s">
        <v>0</v>
      </c>
      <c r="G36" s="10">
        <v>46143</v>
      </c>
      <c r="H36" s="9">
        <v>124633</v>
      </c>
      <c r="J36" s="12" t="s">
        <v>36</v>
      </c>
      <c r="K36" s="12" t="s">
        <v>163</v>
      </c>
      <c r="L36" s="61">
        <v>211.05107000666669</v>
      </c>
      <c r="M36" s="14" t="s">
        <v>1</v>
      </c>
      <c r="N36" s="15" t="s">
        <v>173</v>
      </c>
      <c r="O36" s="16">
        <v>0.5</v>
      </c>
      <c r="P36" s="13"/>
      <c r="Q36" s="17" t="s">
        <v>160</v>
      </c>
    </row>
    <row r="37" spans="1:17" x14ac:dyDescent="0.25">
      <c r="A37" s="9" t="str">
        <f t="shared" si="0"/>
        <v>CUSTO DE DROPCOPY USD - DAHLIA CAPITAL GESTAO DE RECURSOS LTDA - ARTHUR LAZARETTI -  MAIO 26</v>
      </c>
      <c r="B37" s="10">
        <v>46143</v>
      </c>
      <c r="C37" s="9">
        <v>817632</v>
      </c>
      <c r="D37" s="11" t="s">
        <v>91</v>
      </c>
      <c r="E37" s="57">
        <f t="shared" si="1"/>
        <v>-105.52553500333335</v>
      </c>
      <c r="F37" s="9" t="s">
        <v>0</v>
      </c>
      <c r="G37" s="10">
        <v>46143</v>
      </c>
      <c r="H37" s="9">
        <v>124633</v>
      </c>
      <c r="J37" s="12" t="s">
        <v>36</v>
      </c>
      <c r="K37" s="12" t="s">
        <v>163</v>
      </c>
      <c r="L37" s="61">
        <v>211.05107000666669</v>
      </c>
      <c r="M37" s="14" t="s">
        <v>1</v>
      </c>
      <c r="N37" s="15" t="s">
        <v>173</v>
      </c>
      <c r="O37" s="16">
        <v>0.5</v>
      </c>
      <c r="P37" s="13"/>
      <c r="Q37" s="17" t="s">
        <v>160</v>
      </c>
    </row>
    <row r="38" spans="1:17" x14ac:dyDescent="0.25">
      <c r="A38" s="9" t="str">
        <f t="shared" si="0"/>
        <v>CUSTO DE DROPCOPY USD - DAHLIA CAPITAL GESTAO DE RECURSOS LTDA - RAFAEL CAMARGO -  MAIO 26</v>
      </c>
      <c r="B38" s="10">
        <v>46143</v>
      </c>
      <c r="C38" s="9">
        <v>817632</v>
      </c>
      <c r="D38" s="11" t="s">
        <v>2</v>
      </c>
      <c r="E38" s="57">
        <f t="shared" si="1"/>
        <v>-105.52553500333335</v>
      </c>
      <c r="F38" s="9" t="s">
        <v>0</v>
      </c>
      <c r="G38" s="10">
        <v>46143</v>
      </c>
      <c r="H38" s="9">
        <v>124633</v>
      </c>
      <c r="J38" s="12" t="s">
        <v>36</v>
      </c>
      <c r="K38" s="12" t="s">
        <v>163</v>
      </c>
      <c r="L38" s="61">
        <v>211.05107000666669</v>
      </c>
      <c r="M38" s="14" t="s">
        <v>1</v>
      </c>
      <c r="N38" s="15" t="s">
        <v>173</v>
      </c>
      <c r="O38" s="16">
        <v>0.5</v>
      </c>
      <c r="P38" s="13"/>
      <c r="Q38" s="17" t="s">
        <v>161</v>
      </c>
    </row>
    <row r="39" spans="1:17" x14ac:dyDescent="0.25">
      <c r="A39" s="9" t="str">
        <f t="shared" si="0"/>
        <v>CUSTO DE DROPCOPY USD - DAHLIA CAPITAL GESTAO DE RECURSOS LTDA - RAFAEL CAMARGO -  MAIO 26</v>
      </c>
      <c r="B39" s="10">
        <v>46143</v>
      </c>
      <c r="C39" s="9">
        <v>817632</v>
      </c>
      <c r="D39" s="11" t="s">
        <v>91</v>
      </c>
      <c r="E39" s="57">
        <f t="shared" si="1"/>
        <v>-105.52553500333335</v>
      </c>
      <c r="F39" s="9" t="s">
        <v>0</v>
      </c>
      <c r="G39" s="10">
        <v>46143</v>
      </c>
      <c r="H39" s="9">
        <v>124633</v>
      </c>
      <c r="J39" s="12" t="s">
        <v>36</v>
      </c>
      <c r="K39" s="12" t="s">
        <v>163</v>
      </c>
      <c r="L39" s="61">
        <v>211.05107000666669</v>
      </c>
      <c r="M39" s="14" t="s">
        <v>1</v>
      </c>
      <c r="N39" s="15" t="s">
        <v>173</v>
      </c>
      <c r="O39" s="16">
        <v>0.5</v>
      </c>
      <c r="P39" s="13"/>
      <c r="Q39" s="17" t="s">
        <v>161</v>
      </c>
    </row>
    <row r="40" spans="1:17" x14ac:dyDescent="0.25">
      <c r="A40" s="9" t="str">
        <f t="shared" si="0"/>
        <v>CUSTO DE DROPCOPY USD - DAHLIA CAPITAL GESTAO DE RECURSOS LTDA - SERGIO GUIMARAES -  MAIO 26</v>
      </c>
      <c r="B40" s="10">
        <v>46143</v>
      </c>
      <c r="C40" s="9">
        <v>817632</v>
      </c>
      <c r="D40" s="11" t="s">
        <v>2</v>
      </c>
      <c r="E40" s="57">
        <f t="shared" si="1"/>
        <v>-105.52553500333335</v>
      </c>
      <c r="F40" s="9" t="s">
        <v>0</v>
      </c>
      <c r="G40" s="10">
        <v>46143</v>
      </c>
      <c r="H40" s="9">
        <v>124633</v>
      </c>
      <c r="J40" s="12" t="s">
        <v>36</v>
      </c>
      <c r="K40" s="12" t="s">
        <v>163</v>
      </c>
      <c r="L40" s="61">
        <v>211.05107000666669</v>
      </c>
      <c r="M40" s="14" t="s">
        <v>1</v>
      </c>
      <c r="N40" s="15" t="s">
        <v>173</v>
      </c>
      <c r="O40" s="16">
        <v>0.5</v>
      </c>
      <c r="P40" s="13"/>
      <c r="Q40" s="17" t="s">
        <v>162</v>
      </c>
    </row>
    <row r="41" spans="1:17" x14ac:dyDescent="0.25">
      <c r="A41" s="9" t="str">
        <f t="shared" si="0"/>
        <v>CUSTO DE DROPCOPY USD - DAHLIA CAPITAL GESTAO DE RECURSOS LTDA - SERGIO GUIMARAES -  MAIO 26</v>
      </c>
      <c r="B41" s="10">
        <v>46143</v>
      </c>
      <c r="C41" s="9">
        <v>817632</v>
      </c>
      <c r="D41" s="11" t="s">
        <v>91</v>
      </c>
      <c r="E41" s="57">
        <f t="shared" si="1"/>
        <v>-105.52553500333335</v>
      </c>
      <c r="F41" s="9" t="s">
        <v>0</v>
      </c>
      <c r="G41" s="10">
        <v>46143</v>
      </c>
      <c r="H41" s="9">
        <v>124633</v>
      </c>
      <c r="J41" s="12" t="s">
        <v>36</v>
      </c>
      <c r="K41" s="12" t="s">
        <v>163</v>
      </c>
      <c r="L41" s="61">
        <v>211.05107000666669</v>
      </c>
      <c r="M41" s="14" t="s">
        <v>1</v>
      </c>
      <c r="N41" s="15" t="s">
        <v>173</v>
      </c>
      <c r="O41" s="16">
        <v>0.5</v>
      </c>
      <c r="P41" s="13"/>
      <c r="Q41" s="17" t="s">
        <v>162</v>
      </c>
    </row>
    <row r="42" spans="1:17" x14ac:dyDescent="0.25">
      <c r="A42" s="9" t="str">
        <f t="shared" si="0"/>
        <v>CUSTO DE DROPCOPY USD - TRUXT INVESTIMENTOS LTDA - ULISSES GORITO -  MAIO 26</v>
      </c>
      <c r="B42" s="10">
        <v>46143</v>
      </c>
      <c r="C42" s="9">
        <v>817632</v>
      </c>
      <c r="D42" s="11" t="s">
        <v>166</v>
      </c>
      <c r="E42" s="57">
        <f t="shared" si="1"/>
        <v>-316.57660500999998</v>
      </c>
      <c r="F42" s="9" t="s">
        <v>0</v>
      </c>
      <c r="G42" s="10">
        <v>46143</v>
      </c>
      <c r="H42" s="9">
        <v>12402</v>
      </c>
      <c r="J42" s="12" t="s">
        <v>36</v>
      </c>
      <c r="K42" s="12" t="s">
        <v>167</v>
      </c>
      <c r="L42" s="61">
        <v>316.57660500999998</v>
      </c>
      <c r="M42" s="14" t="s">
        <v>1</v>
      </c>
      <c r="N42" s="15" t="s">
        <v>173</v>
      </c>
      <c r="O42" s="16">
        <v>1</v>
      </c>
      <c r="P42" s="13"/>
      <c r="Q42" s="17" t="s">
        <v>164</v>
      </c>
    </row>
    <row r="43" spans="1:17" x14ac:dyDescent="0.25">
      <c r="A43" s="1" t="str">
        <f t="shared" si="0"/>
        <v>CUSTO DE DROPCOPY USD - TRUXT INVESTIMENTOS LTDA - DANILO GALVAO -  MAIO 26</v>
      </c>
      <c r="B43" s="2">
        <v>46143</v>
      </c>
      <c r="C43" s="1">
        <v>817632</v>
      </c>
      <c r="D43" s="3" t="s">
        <v>166</v>
      </c>
      <c r="E43" s="58">
        <f t="shared" si="1"/>
        <v>-316.57660500999998</v>
      </c>
      <c r="F43" s="1" t="s">
        <v>0</v>
      </c>
      <c r="G43" s="2">
        <v>46143</v>
      </c>
      <c r="H43" s="1">
        <v>12402</v>
      </c>
      <c r="I43" s="34"/>
      <c r="J43" s="4" t="s">
        <v>36</v>
      </c>
      <c r="K43" s="4" t="s">
        <v>167</v>
      </c>
      <c r="L43" s="60">
        <v>316.57660500999998</v>
      </c>
      <c r="M43" s="6" t="s">
        <v>1</v>
      </c>
      <c r="N43" s="7" t="s">
        <v>173</v>
      </c>
      <c r="O43" s="8">
        <v>1</v>
      </c>
      <c r="P43" s="5"/>
      <c r="Q43" s="64" t="s">
        <v>165</v>
      </c>
    </row>
    <row r="44" spans="1:17" x14ac:dyDescent="0.25">
      <c r="A44" s="9" t="str">
        <f t="shared" ref="A44:A107" si="2">CONCATENATE(J44,P44,M44,K44,M44,N44)</f>
        <v>CUSTO DE DROPCOPY USD - BGC LIQUIDEZ -  MAIO 26</v>
      </c>
      <c r="B44" s="10">
        <v>46143</v>
      </c>
      <c r="C44" s="9">
        <v>817632</v>
      </c>
      <c r="D44" s="11" t="s">
        <v>2</v>
      </c>
      <c r="E44" s="57">
        <f t="shared" si="1"/>
        <v>-4611.8927999999996</v>
      </c>
      <c r="F44" s="9" t="s">
        <v>48</v>
      </c>
      <c r="G44" s="10">
        <v>46143</v>
      </c>
      <c r="H44" s="9">
        <v>1170</v>
      </c>
      <c r="J44" s="12" t="s">
        <v>36</v>
      </c>
      <c r="K44" s="12" t="s">
        <v>47</v>
      </c>
      <c r="L44" s="61">
        <v>4611.8927999999996</v>
      </c>
      <c r="M44" s="14" t="s">
        <v>1</v>
      </c>
      <c r="N44" s="15" t="s">
        <v>173</v>
      </c>
      <c r="O44" s="16">
        <v>1</v>
      </c>
      <c r="P44" s="13"/>
      <c r="Q44" s="17"/>
    </row>
    <row r="45" spans="1:17" x14ac:dyDescent="0.25">
      <c r="A45" s="1" t="str">
        <f t="shared" si="2"/>
        <v>CUSTO DE DROPCOPY USD - BGC LIQUIDEZ -  MAIO 26</v>
      </c>
      <c r="B45" s="2">
        <v>46143</v>
      </c>
      <c r="C45" s="1">
        <v>817632</v>
      </c>
      <c r="D45" s="3" t="s">
        <v>93</v>
      </c>
      <c r="E45" s="58">
        <f t="shared" si="1"/>
        <v>-1152.9731999999999</v>
      </c>
      <c r="F45" s="3" t="s">
        <v>48</v>
      </c>
      <c r="G45" s="2">
        <v>46143</v>
      </c>
      <c r="H45" s="1">
        <v>1170</v>
      </c>
      <c r="J45" s="4" t="s">
        <v>36</v>
      </c>
      <c r="K45" s="4" t="s">
        <v>47</v>
      </c>
      <c r="L45" s="60">
        <v>1152.9731999999999</v>
      </c>
      <c r="M45" s="6" t="s">
        <v>1</v>
      </c>
      <c r="N45" s="7" t="s">
        <v>173</v>
      </c>
      <c r="O45" s="8">
        <v>1</v>
      </c>
      <c r="P45" s="5"/>
      <c r="Q45" s="64"/>
    </row>
    <row r="46" spans="1:17" x14ac:dyDescent="0.25">
      <c r="A46" s="9" t="str">
        <f t="shared" si="2"/>
        <v>CUSTO DE DROPCOPY USD - BGC LIQUIDEZ -  MAIO 26</v>
      </c>
      <c r="B46" s="10">
        <v>46143</v>
      </c>
      <c r="C46" s="9">
        <v>817632</v>
      </c>
      <c r="D46" s="11" t="s">
        <v>40</v>
      </c>
      <c r="E46" s="57">
        <f t="shared" si="1"/>
        <v>-159.29235</v>
      </c>
      <c r="F46" s="9" t="s">
        <v>94</v>
      </c>
      <c r="G46" s="10">
        <v>46143</v>
      </c>
      <c r="H46" s="9">
        <v>1170</v>
      </c>
      <c r="J46" s="12" t="s">
        <v>36</v>
      </c>
      <c r="K46" s="12" t="s">
        <v>47</v>
      </c>
      <c r="L46" s="61">
        <v>159.29235</v>
      </c>
      <c r="M46" s="14" t="s">
        <v>1</v>
      </c>
      <c r="N46" s="15" t="s">
        <v>173</v>
      </c>
      <c r="O46" s="16">
        <v>1</v>
      </c>
      <c r="P46" s="13"/>
      <c r="Q46" s="17"/>
    </row>
    <row r="47" spans="1:17" x14ac:dyDescent="0.25">
      <c r="A47" s="9" t="str">
        <f t="shared" si="2"/>
        <v>CUSTO DE DROPCOPY USD - BGC LIQUIDEZ -  MAIO 26</v>
      </c>
      <c r="B47" s="10">
        <v>46143</v>
      </c>
      <c r="C47" s="9">
        <v>817632</v>
      </c>
      <c r="D47" s="11" t="s">
        <v>95</v>
      </c>
      <c r="E47" s="57">
        <f t="shared" si="1"/>
        <v>-159.29235</v>
      </c>
      <c r="F47" s="9" t="s">
        <v>94</v>
      </c>
      <c r="G47" s="10">
        <v>46143</v>
      </c>
      <c r="H47" s="9">
        <v>1170</v>
      </c>
      <c r="J47" s="12" t="s">
        <v>36</v>
      </c>
      <c r="K47" s="12" t="s">
        <v>47</v>
      </c>
      <c r="L47" s="61">
        <v>159.29235</v>
      </c>
      <c r="M47" s="14" t="s">
        <v>1</v>
      </c>
      <c r="N47" s="15" t="s">
        <v>173</v>
      </c>
      <c r="O47" s="16">
        <v>1</v>
      </c>
      <c r="P47" s="13"/>
      <c r="Q47" s="17"/>
    </row>
    <row r="48" spans="1:17" x14ac:dyDescent="0.25">
      <c r="A48" s="9" t="str">
        <f t="shared" si="2"/>
        <v>CUSTO DE DROPCOPY USD - BGC LIQUIDEZ -  MAIO 26</v>
      </c>
      <c r="B48" s="10">
        <v>46143</v>
      </c>
      <c r="C48" s="9">
        <v>817632</v>
      </c>
      <c r="D48" s="11" t="s">
        <v>2</v>
      </c>
      <c r="E48" s="57">
        <f t="shared" si="1"/>
        <v>-637.1694</v>
      </c>
      <c r="F48" s="9" t="s">
        <v>94</v>
      </c>
      <c r="G48" s="10">
        <v>46143</v>
      </c>
      <c r="H48" s="9">
        <v>1170</v>
      </c>
      <c r="J48" s="12" t="s">
        <v>36</v>
      </c>
      <c r="K48" s="12" t="s">
        <v>47</v>
      </c>
      <c r="L48" s="61">
        <v>637.1694</v>
      </c>
      <c r="M48" s="14" t="s">
        <v>1</v>
      </c>
      <c r="N48" s="15" t="s">
        <v>173</v>
      </c>
      <c r="O48" s="16">
        <v>1</v>
      </c>
      <c r="P48" s="13"/>
      <c r="Q48" s="17"/>
    </row>
    <row r="49" spans="1:17" x14ac:dyDescent="0.25">
      <c r="A49" s="1" t="str">
        <f t="shared" si="2"/>
        <v>CUSTO DE DROPCOPY USD - BGC LIQUIDEZ -  MAIO 26</v>
      </c>
      <c r="B49" s="2">
        <v>46143</v>
      </c>
      <c r="C49" s="1">
        <v>817632</v>
      </c>
      <c r="D49" s="3" t="s">
        <v>93</v>
      </c>
      <c r="E49" s="58">
        <f t="shared" si="1"/>
        <v>-159.29235</v>
      </c>
      <c r="F49" s="1" t="s">
        <v>94</v>
      </c>
      <c r="G49" s="2">
        <v>46143</v>
      </c>
      <c r="H49" s="1">
        <v>1170</v>
      </c>
      <c r="I49" s="34"/>
      <c r="J49" s="4" t="s">
        <v>36</v>
      </c>
      <c r="K49" s="4" t="s">
        <v>47</v>
      </c>
      <c r="L49" s="60">
        <v>159.29235</v>
      </c>
      <c r="M49" s="6" t="s">
        <v>1</v>
      </c>
      <c r="N49" s="7" t="s">
        <v>173</v>
      </c>
      <c r="O49" s="8">
        <v>1</v>
      </c>
      <c r="P49" s="5"/>
      <c r="Q49" s="17"/>
    </row>
    <row r="50" spans="1:17" x14ac:dyDescent="0.25">
      <c r="A50" s="9" t="str">
        <f t="shared" si="2"/>
        <v>CUSTO DE DROPCOPY USD - BGC LIQUIDEZ -  MAIO 26</v>
      </c>
      <c r="B50" s="10">
        <v>46143</v>
      </c>
      <c r="C50" s="9">
        <v>817632</v>
      </c>
      <c r="D50" s="11" t="s">
        <v>95</v>
      </c>
      <c r="E50" s="57">
        <f t="shared" si="1"/>
        <v>-65.739699999999999</v>
      </c>
      <c r="F50" s="9" t="s">
        <v>96</v>
      </c>
      <c r="G50" s="10">
        <v>46143</v>
      </c>
      <c r="H50" s="9">
        <v>1170</v>
      </c>
      <c r="J50" s="12" t="s">
        <v>36</v>
      </c>
      <c r="K50" s="12" t="s">
        <v>47</v>
      </c>
      <c r="L50" s="61">
        <v>65.739699999999999</v>
      </c>
      <c r="M50" s="14" t="s">
        <v>1</v>
      </c>
      <c r="N50" s="15" t="s">
        <v>173</v>
      </c>
      <c r="O50" s="16">
        <v>1</v>
      </c>
      <c r="P50" s="13"/>
      <c r="Q50" s="17"/>
    </row>
    <row r="51" spans="1:17" x14ac:dyDescent="0.25">
      <c r="A51" s="1" t="str">
        <f t="shared" si="2"/>
        <v>CUSTO DE DROPCOPY USD - BGC LIQUIDEZ -  MAIO 26</v>
      </c>
      <c r="B51" s="2">
        <v>46143</v>
      </c>
      <c r="C51" s="1">
        <v>817632</v>
      </c>
      <c r="D51" s="3" t="s">
        <v>40</v>
      </c>
      <c r="E51" s="58">
        <f t="shared" si="1"/>
        <v>-65.739699999999999</v>
      </c>
      <c r="F51" s="1" t="s">
        <v>96</v>
      </c>
      <c r="G51" s="2">
        <v>46143</v>
      </c>
      <c r="H51" s="1">
        <v>1170</v>
      </c>
      <c r="J51" s="4" t="s">
        <v>36</v>
      </c>
      <c r="K51" s="4" t="s">
        <v>47</v>
      </c>
      <c r="L51" s="60">
        <v>65.739699999999999</v>
      </c>
      <c r="M51" s="6" t="s">
        <v>1</v>
      </c>
      <c r="N51" s="7" t="s">
        <v>173</v>
      </c>
      <c r="O51" s="8">
        <v>1</v>
      </c>
      <c r="P51" s="5"/>
      <c r="Q51" s="17"/>
    </row>
    <row r="52" spans="1:17" x14ac:dyDescent="0.25">
      <c r="A52" s="18" t="str">
        <f t="shared" si="2"/>
        <v>CUSTO DE DROPCOPY BRL - AGUILA CAPITAL ADM -  MAIO 26</v>
      </c>
      <c r="B52" s="10">
        <v>46143</v>
      </c>
      <c r="C52" s="9">
        <v>817632</v>
      </c>
      <c r="D52" s="11" t="s">
        <v>133</v>
      </c>
      <c r="E52" s="57">
        <f t="shared" si="1"/>
        <v>-2816</v>
      </c>
      <c r="F52" s="9" t="s">
        <v>132</v>
      </c>
      <c r="G52" s="10">
        <v>46143</v>
      </c>
      <c r="H52" s="9">
        <v>12397</v>
      </c>
      <c r="J52" s="12" t="s">
        <v>52</v>
      </c>
      <c r="K52" s="12" t="s">
        <v>134</v>
      </c>
      <c r="L52" s="63">
        <v>2816</v>
      </c>
      <c r="M52" s="14" t="s">
        <v>1</v>
      </c>
      <c r="N52" s="15" t="s">
        <v>173</v>
      </c>
      <c r="O52" s="16">
        <v>1</v>
      </c>
      <c r="P52" s="68"/>
      <c r="Q52" s="17" t="s">
        <v>136</v>
      </c>
    </row>
    <row r="53" spans="1:17" x14ac:dyDescent="0.25">
      <c r="A53" s="9" t="str">
        <f t="shared" ref="A53:A55" si="3">CONCATENATE(J53,P53,M53,K53,M53,Q53,M53,N53)</f>
        <v>CUSTO DE DROPCOPY USD - BANCO DO BRASIL S/A - 10349918 -  MAIO 26</v>
      </c>
      <c r="B53" s="46">
        <v>46143</v>
      </c>
      <c r="C53" s="45">
        <v>817632</v>
      </c>
      <c r="D53" s="47" t="s">
        <v>139</v>
      </c>
      <c r="E53" s="56">
        <f t="shared" si="1"/>
        <v>-718.66666666666663</v>
      </c>
      <c r="F53" s="45" t="s">
        <v>132</v>
      </c>
      <c r="G53" s="46">
        <v>46143</v>
      </c>
      <c r="H53" s="45">
        <v>18857</v>
      </c>
      <c r="J53" s="48" t="s">
        <v>36</v>
      </c>
      <c r="K53" s="48" t="s">
        <v>159</v>
      </c>
      <c r="L53" s="61">
        <v>718.66666666666663</v>
      </c>
      <c r="M53" s="50" t="s">
        <v>1</v>
      </c>
      <c r="N53" s="51" t="s">
        <v>173</v>
      </c>
      <c r="O53" s="52">
        <v>1</v>
      </c>
      <c r="P53" s="49"/>
      <c r="Q53" s="17">
        <v>10349918</v>
      </c>
    </row>
    <row r="54" spans="1:17" x14ac:dyDescent="0.25">
      <c r="A54" s="9" t="str">
        <f t="shared" si="3"/>
        <v>CUSTO DE DROPCOPY USD - BANCO DO BRASIL S/A - 28861711 -  MAIO 26</v>
      </c>
      <c r="B54" s="10">
        <v>46143</v>
      </c>
      <c r="C54" s="9">
        <v>817632</v>
      </c>
      <c r="D54" s="11" t="s">
        <v>139</v>
      </c>
      <c r="E54" s="57">
        <f t="shared" si="1"/>
        <v>-718.66666666666663</v>
      </c>
      <c r="F54" s="9" t="s">
        <v>132</v>
      </c>
      <c r="G54" s="10">
        <v>46143</v>
      </c>
      <c r="H54" s="9">
        <v>18857</v>
      </c>
      <c r="J54" s="12" t="s">
        <v>36</v>
      </c>
      <c r="K54" s="12" t="s">
        <v>159</v>
      </c>
      <c r="L54" s="61">
        <v>718.66666666666663</v>
      </c>
      <c r="M54" s="14" t="s">
        <v>1</v>
      </c>
      <c r="N54" s="15" t="s">
        <v>173</v>
      </c>
      <c r="O54" s="16">
        <v>1</v>
      </c>
      <c r="P54" s="13"/>
      <c r="Q54" s="17">
        <v>28861711</v>
      </c>
    </row>
    <row r="55" spans="1:17" x14ac:dyDescent="0.25">
      <c r="A55" s="9" t="str">
        <f t="shared" si="3"/>
        <v>CUSTO DE DROPCOPY USD - BANCO DO BRASIL S/A - 13107976 -  MAIO 26</v>
      </c>
      <c r="B55" s="2">
        <v>46143</v>
      </c>
      <c r="C55" s="1">
        <v>817632</v>
      </c>
      <c r="D55" s="3" t="s">
        <v>139</v>
      </c>
      <c r="E55" s="58">
        <f t="shared" si="1"/>
        <v>-718.66666666666663</v>
      </c>
      <c r="F55" s="1" t="s">
        <v>132</v>
      </c>
      <c r="G55" s="2">
        <v>46143</v>
      </c>
      <c r="H55" s="1">
        <v>18857</v>
      </c>
      <c r="J55" s="4" t="s">
        <v>36</v>
      </c>
      <c r="K55" s="4" t="s">
        <v>159</v>
      </c>
      <c r="L55" s="60">
        <v>718.66666666666663</v>
      </c>
      <c r="M55" s="6" t="s">
        <v>1</v>
      </c>
      <c r="N55" s="7" t="s">
        <v>173</v>
      </c>
      <c r="O55" s="8">
        <v>1</v>
      </c>
      <c r="P55" s="5"/>
      <c r="Q55" s="17">
        <v>13107976</v>
      </c>
    </row>
    <row r="56" spans="1:17" x14ac:dyDescent="0.25">
      <c r="A56" s="18" t="str">
        <f t="shared" si="2"/>
        <v>CUSTO DE DROPCOPY BRL - VINLAND CAPITAL -  MAIO 26</v>
      </c>
      <c r="B56" s="19">
        <v>46143</v>
      </c>
      <c r="C56" s="18">
        <v>817632</v>
      </c>
      <c r="D56" s="20" t="s">
        <v>95</v>
      </c>
      <c r="E56" s="55">
        <f t="shared" si="1"/>
        <v>-318.0443874685165</v>
      </c>
      <c r="F56" s="18" t="s">
        <v>46</v>
      </c>
      <c r="G56" s="19">
        <v>46143</v>
      </c>
      <c r="H56" s="18">
        <v>80359</v>
      </c>
      <c r="J56" s="21" t="s">
        <v>52</v>
      </c>
      <c r="K56" s="21" t="s">
        <v>121</v>
      </c>
      <c r="L56" s="63">
        <v>318.0443874685165</v>
      </c>
      <c r="M56" s="23" t="s">
        <v>1</v>
      </c>
      <c r="N56" s="24" t="s">
        <v>173</v>
      </c>
      <c r="O56" s="25">
        <v>1</v>
      </c>
      <c r="P56" s="22"/>
      <c r="Q56" s="17"/>
    </row>
    <row r="57" spans="1:17" x14ac:dyDescent="0.25">
      <c r="A57" s="9" t="str">
        <f t="shared" si="2"/>
        <v>CUSTO DE DROPCOPY BRL - RPS CAPITAL ADMINISTRADORA -  MAIO 26</v>
      </c>
      <c r="B57" s="10">
        <v>46143</v>
      </c>
      <c r="C57" s="9">
        <v>817632</v>
      </c>
      <c r="D57" s="11" t="s">
        <v>91</v>
      </c>
      <c r="E57" s="57">
        <f t="shared" si="1"/>
        <v>-318.0443874685165</v>
      </c>
      <c r="F57" s="9" t="s">
        <v>46</v>
      </c>
      <c r="G57" s="10">
        <v>46143</v>
      </c>
      <c r="H57" s="9">
        <v>12339</v>
      </c>
      <c r="J57" s="12" t="s">
        <v>52</v>
      </c>
      <c r="K57" s="12" t="s">
        <v>114</v>
      </c>
      <c r="L57" s="61">
        <v>318.0443874685165</v>
      </c>
      <c r="M57" s="14" t="s">
        <v>1</v>
      </c>
      <c r="N57" s="15" t="s">
        <v>173</v>
      </c>
      <c r="O57" s="16">
        <v>1</v>
      </c>
      <c r="P57" s="13"/>
      <c r="Q57" s="17"/>
    </row>
    <row r="58" spans="1:17" x14ac:dyDescent="0.25">
      <c r="A58" s="45" t="str">
        <f t="shared" si="2"/>
        <v>CUSTO DE DROPCOPY BRL - BANCO BRADESCO S/A -  MAIO 26</v>
      </c>
      <c r="B58" s="46">
        <v>46143</v>
      </c>
      <c r="C58" s="45">
        <v>817632</v>
      </c>
      <c r="D58" s="47" t="s">
        <v>2</v>
      </c>
      <c r="E58" s="56">
        <f t="shared" si="1"/>
        <v>-238.53329060138736</v>
      </c>
      <c r="F58" s="45" t="s">
        <v>46</v>
      </c>
      <c r="G58" s="46">
        <v>46143</v>
      </c>
      <c r="H58" s="45">
        <v>81503</v>
      </c>
      <c r="J58" s="48" t="s">
        <v>52</v>
      </c>
      <c r="K58" s="48" t="s">
        <v>3</v>
      </c>
      <c r="L58" s="62">
        <v>318.0443874685165</v>
      </c>
      <c r="M58" s="50" t="s">
        <v>1</v>
      </c>
      <c r="N58" s="51" t="s">
        <v>173</v>
      </c>
      <c r="O58" s="52">
        <v>0.75</v>
      </c>
      <c r="P58" s="49"/>
      <c r="Q58" s="17"/>
    </row>
    <row r="59" spans="1:17" x14ac:dyDescent="0.25">
      <c r="A59" s="1" t="str">
        <f t="shared" si="2"/>
        <v>CUSTO DE DROPCOPY BRL - BANCO BRADESCO S/A -  MAIO 26</v>
      </c>
      <c r="B59" s="2">
        <v>46143</v>
      </c>
      <c r="C59" s="1">
        <v>817632</v>
      </c>
      <c r="D59" s="3" t="s">
        <v>91</v>
      </c>
      <c r="E59" s="58">
        <f t="shared" si="1"/>
        <v>-79.511096867129126</v>
      </c>
      <c r="F59" s="1" t="s">
        <v>46</v>
      </c>
      <c r="G59" s="2">
        <v>46143</v>
      </c>
      <c r="H59" s="1">
        <v>81503</v>
      </c>
      <c r="J59" s="4" t="s">
        <v>52</v>
      </c>
      <c r="K59" s="4" t="s">
        <v>3</v>
      </c>
      <c r="L59" s="60">
        <v>318.0443874685165</v>
      </c>
      <c r="M59" s="6" t="s">
        <v>1</v>
      </c>
      <c r="N59" s="7" t="s">
        <v>173</v>
      </c>
      <c r="O59" s="8">
        <v>0.25</v>
      </c>
      <c r="P59" s="5"/>
      <c r="Q59" s="17"/>
    </row>
    <row r="60" spans="1:17" x14ac:dyDescent="0.25">
      <c r="A60" s="9" t="str">
        <f t="shared" si="2"/>
        <v>CUSTO DE DROPCOPY BRL - KAPITALO INVESTIMENTOS LTDA -  MAIO 26</v>
      </c>
      <c r="B60" s="10">
        <v>46143</v>
      </c>
      <c r="C60" s="9">
        <v>817632</v>
      </c>
      <c r="D60" s="11" t="s">
        <v>2</v>
      </c>
      <c r="E60" s="57">
        <f t="shared" si="1"/>
        <v>-318.0443874685165</v>
      </c>
      <c r="F60" s="9" t="s">
        <v>46</v>
      </c>
      <c r="G60" s="10">
        <v>46143</v>
      </c>
      <c r="H60" s="9">
        <v>12413</v>
      </c>
      <c r="J60" s="12" t="s">
        <v>52</v>
      </c>
      <c r="K60" s="12" t="s">
        <v>113</v>
      </c>
      <c r="L60" s="61">
        <v>318.0443874685165</v>
      </c>
      <c r="M60" s="14" t="s">
        <v>1</v>
      </c>
      <c r="N60" s="15" t="s">
        <v>173</v>
      </c>
      <c r="O60" s="16">
        <v>1</v>
      </c>
      <c r="P60" s="13"/>
      <c r="Q60" s="17"/>
    </row>
    <row r="61" spans="1:17" x14ac:dyDescent="0.25">
      <c r="A61" s="18" t="str">
        <f t="shared" si="2"/>
        <v>CUSTO DE DROPCOPY BRL - FITPART -  MAIO 26</v>
      </c>
      <c r="B61" s="19">
        <v>46143</v>
      </c>
      <c r="C61" s="18">
        <v>817632</v>
      </c>
      <c r="D61" s="20" t="s">
        <v>2</v>
      </c>
      <c r="E61" s="55">
        <f t="shared" si="1"/>
        <v>-318.0443874685165</v>
      </c>
      <c r="F61" s="18" t="s">
        <v>46</v>
      </c>
      <c r="G61" s="19">
        <v>46143</v>
      </c>
      <c r="H61" s="18">
        <v>1170</v>
      </c>
      <c r="J61" s="21" t="s">
        <v>52</v>
      </c>
      <c r="K61" s="21" t="s">
        <v>88</v>
      </c>
      <c r="L61" s="63">
        <v>318.0443874685165</v>
      </c>
      <c r="M61" s="23" t="s">
        <v>1</v>
      </c>
      <c r="N61" s="24" t="s">
        <v>173</v>
      </c>
      <c r="O61" s="25">
        <v>1</v>
      </c>
      <c r="P61" s="22"/>
      <c r="Q61" s="17"/>
    </row>
    <row r="62" spans="1:17" x14ac:dyDescent="0.25">
      <c r="A62" s="9" t="str">
        <f t="shared" si="2"/>
        <v>CUSTO DE DROPCOPY BRL - SPX EQUITIES GESTAO DE RECURSOS LTDA -  MAIO 26</v>
      </c>
      <c r="B62" s="10">
        <v>46143</v>
      </c>
      <c r="C62" s="9">
        <v>817632</v>
      </c>
      <c r="D62" s="11" t="s">
        <v>2</v>
      </c>
      <c r="E62" s="57">
        <f t="shared" si="1"/>
        <v>-190.8266324811099</v>
      </c>
      <c r="F62" s="9" t="s">
        <v>46</v>
      </c>
      <c r="G62" s="10">
        <v>46143</v>
      </c>
      <c r="H62" s="9">
        <v>79931</v>
      </c>
      <c r="J62" s="12" t="s">
        <v>52</v>
      </c>
      <c r="K62" s="12" t="s">
        <v>9</v>
      </c>
      <c r="L62" s="61">
        <v>318.0443874685165</v>
      </c>
      <c r="M62" s="14" t="s">
        <v>1</v>
      </c>
      <c r="N62" s="15" t="s">
        <v>173</v>
      </c>
      <c r="O62" s="16">
        <v>0.6</v>
      </c>
      <c r="P62" s="13"/>
      <c r="Q62" s="17"/>
    </row>
    <row r="63" spans="1:17" x14ac:dyDescent="0.25">
      <c r="A63" s="9" t="str">
        <f t="shared" si="2"/>
        <v>CUSTO DE DROPCOPY BRL - SPX EQUITIES GESTAO DE RECURSOS LTDA -  MAIO 26</v>
      </c>
      <c r="B63" s="10">
        <v>46143</v>
      </c>
      <c r="C63" s="9">
        <v>817632</v>
      </c>
      <c r="D63" s="11" t="s">
        <v>91</v>
      </c>
      <c r="E63" s="57">
        <f t="shared" si="1"/>
        <v>-127.21775498740661</v>
      </c>
      <c r="F63" s="9" t="s">
        <v>46</v>
      </c>
      <c r="G63" s="10">
        <v>46143</v>
      </c>
      <c r="H63" s="9">
        <v>79931</v>
      </c>
      <c r="J63" s="12" t="s">
        <v>52</v>
      </c>
      <c r="K63" s="12" t="s">
        <v>9</v>
      </c>
      <c r="L63" s="61">
        <v>318.0443874685165</v>
      </c>
      <c r="M63" s="14" t="s">
        <v>1</v>
      </c>
      <c r="N63" s="15" t="s">
        <v>173</v>
      </c>
      <c r="O63" s="16">
        <v>0.4</v>
      </c>
      <c r="P63" s="13"/>
      <c r="Q63" s="17"/>
    </row>
    <row r="64" spans="1:17" x14ac:dyDescent="0.25">
      <c r="A64" s="45" t="str">
        <f t="shared" si="2"/>
        <v>CUSTO DE DROPCOPY BRL - ITAU BBA -  MAIO 26</v>
      </c>
      <c r="B64" s="46">
        <v>46143</v>
      </c>
      <c r="C64" s="45">
        <v>817632</v>
      </c>
      <c r="D64" s="47" t="s">
        <v>2</v>
      </c>
      <c r="E64" s="56">
        <f t="shared" si="1"/>
        <v>-318.0443874685165</v>
      </c>
      <c r="F64" s="45" t="s">
        <v>46</v>
      </c>
      <c r="G64" s="46">
        <v>46143</v>
      </c>
      <c r="H64" s="45">
        <v>80922</v>
      </c>
      <c r="J64" s="48" t="s">
        <v>52</v>
      </c>
      <c r="K64" s="48" t="s">
        <v>57</v>
      </c>
      <c r="L64" s="63">
        <v>318.0443874685165</v>
      </c>
      <c r="M64" s="50" t="s">
        <v>1</v>
      </c>
      <c r="N64" s="51" t="s">
        <v>173</v>
      </c>
      <c r="O64" s="52">
        <v>1</v>
      </c>
      <c r="P64" s="49"/>
      <c r="Q64" s="17"/>
    </row>
    <row r="65" spans="1:17" x14ac:dyDescent="0.25">
      <c r="A65" s="45" t="str">
        <f t="shared" si="2"/>
        <v>CUSTO DE DROPCOPY USD - BGC LIQUIDEZ -  MAIO 26</v>
      </c>
      <c r="B65" s="46">
        <v>46143</v>
      </c>
      <c r="C65" s="45">
        <v>817632</v>
      </c>
      <c r="D65" s="47" t="s">
        <v>2</v>
      </c>
      <c r="E65" s="56">
        <f t="shared" si="1"/>
        <v>-1797.306541666667</v>
      </c>
      <c r="F65" s="45" t="s">
        <v>45</v>
      </c>
      <c r="G65" s="46">
        <v>46143</v>
      </c>
      <c r="H65" s="45">
        <v>1170</v>
      </c>
      <c r="J65" s="48" t="s">
        <v>36</v>
      </c>
      <c r="K65" s="48" t="s">
        <v>47</v>
      </c>
      <c r="L65" s="61">
        <v>1797.306541666667</v>
      </c>
      <c r="M65" s="50" t="s">
        <v>1</v>
      </c>
      <c r="N65" s="51" t="s">
        <v>173</v>
      </c>
      <c r="O65" s="52">
        <v>1</v>
      </c>
      <c r="P65" s="49"/>
      <c r="Q65" s="17"/>
    </row>
    <row r="66" spans="1:17" x14ac:dyDescent="0.25">
      <c r="A66" s="9" t="str">
        <f t="shared" si="2"/>
        <v>CUSTO DE DROPCOPY USD - BGC LIQUIDEZ -  MAIO 26</v>
      </c>
      <c r="B66" s="10">
        <v>46143</v>
      </c>
      <c r="C66" s="9">
        <v>817632</v>
      </c>
      <c r="D66" s="11" t="s">
        <v>141</v>
      </c>
      <c r="E66" s="57">
        <f t="shared" si="1"/>
        <v>-1797.306541666667</v>
      </c>
      <c r="F66" s="9" t="s">
        <v>45</v>
      </c>
      <c r="G66" s="10">
        <v>46143</v>
      </c>
      <c r="H66" s="9">
        <v>1170</v>
      </c>
      <c r="J66" s="12" t="s">
        <v>36</v>
      </c>
      <c r="K66" s="12" t="s">
        <v>47</v>
      </c>
      <c r="L66" s="61">
        <v>1797.306541666667</v>
      </c>
      <c r="M66" s="14" t="s">
        <v>1</v>
      </c>
      <c r="N66" s="15" t="s">
        <v>173</v>
      </c>
      <c r="O66" s="16">
        <v>1</v>
      </c>
      <c r="P66" s="13"/>
      <c r="Q66" s="17"/>
    </row>
    <row r="67" spans="1:17" x14ac:dyDescent="0.25">
      <c r="A67" s="1" t="str">
        <f t="shared" si="2"/>
        <v>CUSTO DE DROPCOPY USD - BGC LIQUIDEZ -  MAIO 26</v>
      </c>
      <c r="B67" s="2">
        <v>46143</v>
      </c>
      <c r="C67" s="1">
        <v>817632</v>
      </c>
      <c r="D67" s="3" t="s">
        <v>95</v>
      </c>
      <c r="E67" s="58">
        <f t="shared" si="1"/>
        <v>-1797.306541666667</v>
      </c>
      <c r="F67" s="1" t="s">
        <v>45</v>
      </c>
      <c r="G67" s="2">
        <v>46143</v>
      </c>
      <c r="H67" s="1">
        <v>1170</v>
      </c>
      <c r="J67" s="4" t="s">
        <v>36</v>
      </c>
      <c r="K67" s="4" t="s">
        <v>47</v>
      </c>
      <c r="L67" s="60">
        <v>1797.306541666667</v>
      </c>
      <c r="M67" s="6" t="s">
        <v>1</v>
      </c>
      <c r="N67" s="7" t="s">
        <v>173</v>
      </c>
      <c r="O67" s="8">
        <v>1</v>
      </c>
      <c r="P67" s="5"/>
      <c r="Q67" s="17"/>
    </row>
    <row r="68" spans="1:17" x14ac:dyDescent="0.25">
      <c r="A68" s="1" t="str">
        <f t="shared" si="2"/>
        <v>CUSTO DE DROPCOPY USD - SCHONFELD -  MAIO 26</v>
      </c>
      <c r="B68" s="2">
        <v>46143</v>
      </c>
      <c r="C68" s="1">
        <v>817632</v>
      </c>
      <c r="D68" s="3" t="s">
        <v>95</v>
      </c>
      <c r="E68" s="58">
        <f t="shared" si="1"/>
        <v>-1300.3312659999999</v>
      </c>
      <c r="F68" s="1" t="s">
        <v>115</v>
      </c>
      <c r="G68" s="2">
        <v>46143</v>
      </c>
      <c r="H68" s="1">
        <v>83063</v>
      </c>
      <c r="J68" s="4" t="s">
        <v>36</v>
      </c>
      <c r="K68" s="4" t="s">
        <v>143</v>
      </c>
      <c r="L68" s="60">
        <v>1300.3312659999999</v>
      </c>
      <c r="M68" s="6" t="s">
        <v>1</v>
      </c>
      <c r="N68" s="7" t="s">
        <v>173</v>
      </c>
      <c r="O68" s="8">
        <v>1</v>
      </c>
      <c r="P68" s="54"/>
      <c r="Q68" s="17"/>
    </row>
    <row r="69" spans="1:17" x14ac:dyDescent="0.25">
      <c r="A69" s="1" t="str">
        <f t="shared" si="2"/>
        <v>CUSTO DE DROPCOPY USD - VINLAND CAPITAL MANAGEMENT -  MAIO 26</v>
      </c>
      <c r="B69" s="2">
        <v>46143</v>
      </c>
      <c r="C69" s="1">
        <v>817632</v>
      </c>
      <c r="D69" s="3" t="s">
        <v>95</v>
      </c>
      <c r="E69" s="58">
        <f t="shared" si="1"/>
        <v>-2615.125266</v>
      </c>
      <c r="F69" s="1" t="s">
        <v>115</v>
      </c>
      <c r="G69" s="2">
        <v>46143</v>
      </c>
      <c r="H69" s="1">
        <v>80359</v>
      </c>
      <c r="J69" s="4" t="s">
        <v>36</v>
      </c>
      <c r="K69" s="4" t="s">
        <v>116</v>
      </c>
      <c r="L69" s="60">
        <v>2615.125266</v>
      </c>
      <c r="M69" s="6" t="s">
        <v>1</v>
      </c>
      <c r="N69" s="7" t="s">
        <v>173</v>
      </c>
      <c r="O69" s="8">
        <v>1</v>
      </c>
      <c r="P69" s="54"/>
      <c r="Q69" s="17"/>
    </row>
    <row r="70" spans="1:17" x14ac:dyDescent="0.25">
      <c r="A70" s="1" t="str">
        <f t="shared" si="2"/>
        <v>CUSTO DE DROPCOPY USD - BGC LIQUIDEZ -  MAIO 26</v>
      </c>
      <c r="B70" s="2">
        <v>46143</v>
      </c>
      <c r="C70" s="1">
        <v>817632</v>
      </c>
      <c r="D70" s="3" t="s">
        <v>2</v>
      </c>
      <c r="E70" s="58">
        <f t="shared" si="1"/>
        <v>-11125.18</v>
      </c>
      <c r="F70" s="1" t="s">
        <v>117</v>
      </c>
      <c r="G70" s="2">
        <v>46143</v>
      </c>
      <c r="H70" s="1">
        <v>1170</v>
      </c>
      <c r="J70" s="4" t="s">
        <v>36</v>
      </c>
      <c r="K70" s="4" t="s">
        <v>47</v>
      </c>
      <c r="L70" s="60">
        <v>11125.18</v>
      </c>
      <c r="M70" s="6" t="s">
        <v>1</v>
      </c>
      <c r="N70" s="7" t="s">
        <v>173</v>
      </c>
      <c r="O70" s="8">
        <v>1</v>
      </c>
      <c r="P70" s="5"/>
      <c r="Q70" s="17"/>
    </row>
    <row r="71" spans="1:17" x14ac:dyDescent="0.25">
      <c r="A71" s="1" t="str">
        <f t="shared" si="2"/>
        <v>CUSTO DE DROPCOPY USD - BGC LIQUIDEZ -  MAIO 26</v>
      </c>
      <c r="B71" s="2">
        <v>46143</v>
      </c>
      <c r="C71" s="1">
        <v>817632</v>
      </c>
      <c r="D71" s="3" t="s">
        <v>95</v>
      </c>
      <c r="E71" s="66">
        <f t="shared" si="1"/>
        <v>-2705.4414999999999</v>
      </c>
      <c r="F71" s="1" t="s">
        <v>118</v>
      </c>
      <c r="G71" s="2">
        <v>46143</v>
      </c>
      <c r="H71" s="1">
        <v>1170</v>
      </c>
      <c r="J71" s="4" t="s">
        <v>36</v>
      </c>
      <c r="K71" s="4" t="s">
        <v>47</v>
      </c>
      <c r="L71" s="69">
        <v>2705.4414999999999</v>
      </c>
      <c r="M71" s="23" t="s">
        <v>1</v>
      </c>
      <c r="N71" s="24" t="s">
        <v>173</v>
      </c>
      <c r="O71" s="25">
        <v>1</v>
      </c>
      <c r="P71" s="5"/>
      <c r="Q71" s="17"/>
    </row>
    <row r="72" spans="1:17" x14ac:dyDescent="0.25">
      <c r="A72" s="9" t="str">
        <f t="shared" si="2"/>
        <v>CUSTO DE DROPCOPY BRL - BANCO CITIBANK -  MAIO 26</v>
      </c>
      <c r="B72" s="10">
        <v>46143</v>
      </c>
      <c r="C72" s="9">
        <v>817632</v>
      </c>
      <c r="D72" s="11" t="s">
        <v>97</v>
      </c>
      <c r="E72" s="57">
        <f t="shared" si="1"/>
        <v>-53.070206488008921</v>
      </c>
      <c r="F72" s="9" t="s">
        <v>49</v>
      </c>
      <c r="G72" s="10">
        <v>46143</v>
      </c>
      <c r="H72" s="9">
        <v>80961</v>
      </c>
      <c r="J72" s="12" t="s">
        <v>52</v>
      </c>
      <c r="K72" s="12" t="s">
        <v>53</v>
      </c>
      <c r="L72" s="75">
        <v>756.71</v>
      </c>
      <c r="M72" s="14" t="s">
        <v>1</v>
      </c>
      <c r="N72" s="15" t="s">
        <v>173</v>
      </c>
      <c r="O72" s="16">
        <v>7.0132820351269207E-2</v>
      </c>
      <c r="P72" s="13"/>
    </row>
    <row r="73" spans="1:17" x14ac:dyDescent="0.25">
      <c r="A73" s="9" t="str">
        <f t="shared" si="2"/>
        <v>CUSTO DE DROPCOPY BRL - BANCO CITIBANK -  MAIO 26</v>
      </c>
      <c r="B73" s="10">
        <v>46143</v>
      </c>
      <c r="C73" s="9">
        <v>817632</v>
      </c>
      <c r="D73" s="11" t="s">
        <v>98</v>
      </c>
      <c r="E73" s="57">
        <f t="shared" si="1"/>
        <v>-79.67950776512609</v>
      </c>
      <c r="F73" s="9" t="s">
        <v>49</v>
      </c>
      <c r="G73" s="10">
        <v>46143</v>
      </c>
      <c r="H73" s="9">
        <v>80961</v>
      </c>
      <c r="J73" s="12" t="s">
        <v>52</v>
      </c>
      <c r="K73" s="12" t="s">
        <v>53</v>
      </c>
      <c r="L73" s="75">
        <v>756.71</v>
      </c>
      <c r="M73" s="14" t="s">
        <v>1</v>
      </c>
      <c r="N73" s="15" t="s">
        <v>173</v>
      </c>
      <c r="O73" s="16">
        <v>0.10529728398610576</v>
      </c>
      <c r="P73" s="13"/>
    </row>
    <row r="74" spans="1:17" x14ac:dyDescent="0.25">
      <c r="A74" s="9" t="str">
        <f t="shared" si="2"/>
        <v>CUSTO DE DROPCOPY BRL - BANCO CITIBANK -  MAIO 26</v>
      </c>
      <c r="B74" s="10">
        <v>46143</v>
      </c>
      <c r="C74" s="9">
        <v>817632</v>
      </c>
      <c r="D74" s="11" t="s">
        <v>100</v>
      </c>
      <c r="E74" s="57">
        <f t="shared" si="1"/>
        <v>-3.2820240125181006</v>
      </c>
      <c r="F74" s="9" t="s">
        <v>49</v>
      </c>
      <c r="G74" s="10">
        <v>46143</v>
      </c>
      <c r="H74" s="9">
        <v>80961</v>
      </c>
      <c r="J74" s="12" t="s">
        <v>52</v>
      </c>
      <c r="K74" s="12" t="s">
        <v>53</v>
      </c>
      <c r="L74" s="75">
        <v>756.71</v>
      </c>
      <c r="M74" s="14" t="s">
        <v>1</v>
      </c>
      <c r="N74" s="15" t="s">
        <v>173</v>
      </c>
      <c r="O74" s="16">
        <v>4.3372282810034231E-3</v>
      </c>
      <c r="P74" s="13"/>
    </row>
    <row r="75" spans="1:17" x14ac:dyDescent="0.25">
      <c r="A75" s="9" t="str">
        <f t="shared" si="2"/>
        <v>CUSTO DE DROPCOPY BRL - BANCO CITIBANK -  MAIO 26</v>
      </c>
      <c r="B75" s="10">
        <v>46143</v>
      </c>
      <c r="C75" s="9">
        <v>817632</v>
      </c>
      <c r="D75" s="11" t="s">
        <v>91</v>
      </c>
      <c r="E75" s="57">
        <f t="shared" ref="E75:E127" si="4">-L75*O75</f>
        <v>-571.0094667184735</v>
      </c>
      <c r="F75" s="9" t="s">
        <v>49</v>
      </c>
      <c r="G75" s="10">
        <v>46143</v>
      </c>
      <c r="H75" s="9">
        <v>80961</v>
      </c>
      <c r="J75" s="12" t="s">
        <v>52</v>
      </c>
      <c r="K75" s="12" t="s">
        <v>53</v>
      </c>
      <c r="L75" s="75">
        <v>756.71</v>
      </c>
      <c r="M75" s="14" t="s">
        <v>1</v>
      </c>
      <c r="N75" s="15" t="s">
        <v>173</v>
      </c>
      <c r="O75" s="16">
        <v>0.75459484705960478</v>
      </c>
      <c r="P75" s="13"/>
    </row>
    <row r="76" spans="1:17" x14ac:dyDescent="0.25">
      <c r="A76" s="9" t="str">
        <f t="shared" si="2"/>
        <v>CUSTO DE DROPCOPY BRL - BANCO CITIBANK -  MAIO 26</v>
      </c>
      <c r="B76" s="10">
        <v>46143</v>
      </c>
      <c r="C76" s="9">
        <v>817632</v>
      </c>
      <c r="D76" s="11" t="s">
        <v>40</v>
      </c>
      <c r="E76" s="57">
        <f t="shared" si="4"/>
        <v>-45.560672669565754</v>
      </c>
      <c r="F76" s="9" t="s">
        <v>49</v>
      </c>
      <c r="G76" s="10">
        <v>46143</v>
      </c>
      <c r="H76" s="9">
        <v>80961</v>
      </c>
      <c r="J76" s="12" t="s">
        <v>52</v>
      </c>
      <c r="K76" s="12" t="s">
        <v>53</v>
      </c>
      <c r="L76" s="75">
        <v>756.71</v>
      </c>
      <c r="M76" s="14" t="s">
        <v>1</v>
      </c>
      <c r="N76" s="15" t="s">
        <v>173</v>
      </c>
      <c r="O76" s="16">
        <v>6.0208894648631252E-2</v>
      </c>
      <c r="P76" s="13"/>
    </row>
    <row r="77" spans="1:17" x14ac:dyDescent="0.25">
      <c r="A77" s="9" t="str">
        <f t="shared" si="2"/>
        <v>CUSTO DE DROPCOPY BRL - BANCO CITIBANK -  MAIO 26</v>
      </c>
      <c r="B77" s="10">
        <v>46143</v>
      </c>
      <c r="C77" s="9">
        <v>817632</v>
      </c>
      <c r="D77" s="11" t="s">
        <v>41</v>
      </c>
      <c r="E77" s="57">
        <f t="shared" si="4"/>
        <v>-4.1081223463076002</v>
      </c>
      <c r="F77" s="9" t="s">
        <v>49</v>
      </c>
      <c r="G77" s="10">
        <v>46143</v>
      </c>
      <c r="H77" s="9">
        <v>80961</v>
      </c>
      <c r="J77" s="12" t="s">
        <v>52</v>
      </c>
      <c r="K77" s="12" t="s">
        <v>53</v>
      </c>
      <c r="L77" s="75">
        <v>756.71</v>
      </c>
      <c r="M77" s="14" t="s">
        <v>1</v>
      </c>
      <c r="N77" s="15" t="s">
        <v>173</v>
      </c>
      <c r="O77" s="16">
        <v>5.4289256733855776E-3</v>
      </c>
      <c r="P77" s="13"/>
    </row>
    <row r="78" spans="1:17" x14ac:dyDescent="0.25">
      <c r="A78" s="45" t="str">
        <f t="shared" si="2"/>
        <v>CUSTO DE DROPCOPY BRL - BANCO SANTANDER -  MAIO 26</v>
      </c>
      <c r="B78" s="46">
        <v>46143</v>
      </c>
      <c r="C78" s="45">
        <v>817632</v>
      </c>
      <c r="D78" s="47" t="s">
        <v>106</v>
      </c>
      <c r="E78" s="56">
        <f t="shared" si="4"/>
        <v>-2.0235870351693808</v>
      </c>
      <c r="F78" s="45" t="s">
        <v>49</v>
      </c>
      <c r="G78" s="46">
        <v>46143</v>
      </c>
      <c r="H78" s="45">
        <v>80015</v>
      </c>
      <c r="J78" s="48" t="s">
        <v>52</v>
      </c>
      <c r="K78" s="48" t="s">
        <v>54</v>
      </c>
      <c r="L78" s="62">
        <v>1513.42</v>
      </c>
      <c r="M78" s="50" t="s">
        <v>1</v>
      </c>
      <c r="N78" s="51" t="s">
        <v>173</v>
      </c>
      <c r="O78" s="52">
        <v>1.3370954759216746E-3</v>
      </c>
      <c r="P78" s="49"/>
    </row>
    <row r="79" spans="1:17" x14ac:dyDescent="0.25">
      <c r="A79" s="9" t="str">
        <f t="shared" si="2"/>
        <v>CUSTO DE DROPCOPY BRL - BANCO SANTANDER -  MAIO 26</v>
      </c>
      <c r="B79" s="10">
        <v>46143</v>
      </c>
      <c r="C79" s="9">
        <v>817632</v>
      </c>
      <c r="D79" s="11" t="s">
        <v>97</v>
      </c>
      <c r="E79" s="57">
        <f t="shared" si="4"/>
        <v>-1.9895486991395308</v>
      </c>
      <c r="F79" s="9" t="s">
        <v>49</v>
      </c>
      <c r="G79" s="10">
        <v>46143</v>
      </c>
      <c r="H79" s="9">
        <v>80015</v>
      </c>
      <c r="J79" s="12" t="s">
        <v>52</v>
      </c>
      <c r="K79" s="12" t="s">
        <v>54</v>
      </c>
      <c r="L79" s="61">
        <v>1513.42</v>
      </c>
      <c r="M79" s="14" t="s">
        <v>1</v>
      </c>
      <c r="N79" s="15" t="s">
        <v>173</v>
      </c>
      <c r="O79" s="16">
        <v>1.3146044714220314E-3</v>
      </c>
      <c r="P79" s="13"/>
    </row>
    <row r="80" spans="1:17" x14ac:dyDescent="0.25">
      <c r="A80" s="9" t="str">
        <f t="shared" si="2"/>
        <v>CUSTO DE DROPCOPY BRL - BANCO SANTANDER -  MAIO 26</v>
      </c>
      <c r="B80" s="10">
        <v>46143</v>
      </c>
      <c r="C80" s="9">
        <v>817632</v>
      </c>
      <c r="D80" s="11" t="s">
        <v>44</v>
      </c>
      <c r="E80" s="57">
        <f t="shared" si="4"/>
        <v>-25.886870788232638</v>
      </c>
      <c r="F80" s="9" t="s">
        <v>49</v>
      </c>
      <c r="G80" s="10">
        <v>46143</v>
      </c>
      <c r="H80" s="9">
        <v>80015</v>
      </c>
      <c r="J80" s="12" t="s">
        <v>52</v>
      </c>
      <c r="K80" s="12" t="s">
        <v>54</v>
      </c>
      <c r="L80" s="61">
        <v>1513.42</v>
      </c>
      <c r="M80" s="14" t="s">
        <v>1</v>
      </c>
      <c r="N80" s="15" t="s">
        <v>173</v>
      </c>
      <c r="O80" s="16">
        <v>1.7104882179588374E-2</v>
      </c>
      <c r="P80" s="13"/>
    </row>
    <row r="81" spans="1:16" x14ac:dyDescent="0.25">
      <c r="A81" s="9" t="str">
        <f t="shared" si="2"/>
        <v>CUSTO DE DROPCOPY BRL - BANCO SANTANDER -  MAIO 26</v>
      </c>
      <c r="B81" s="10">
        <v>46143</v>
      </c>
      <c r="C81" s="9">
        <v>817632</v>
      </c>
      <c r="D81" s="11" t="s">
        <v>103</v>
      </c>
      <c r="E81" s="57">
        <f t="shared" si="4"/>
        <v>-6.8781540741680924</v>
      </c>
      <c r="F81" s="9" t="s">
        <v>49</v>
      </c>
      <c r="G81" s="10">
        <v>46143</v>
      </c>
      <c r="H81" s="9">
        <v>80015</v>
      </c>
      <c r="J81" s="12" t="s">
        <v>52</v>
      </c>
      <c r="K81" s="12" t="s">
        <v>54</v>
      </c>
      <c r="L81" s="61">
        <v>1513.42</v>
      </c>
      <c r="M81" s="14" t="s">
        <v>1</v>
      </c>
      <c r="N81" s="15" t="s">
        <v>173</v>
      </c>
      <c r="O81" s="16">
        <v>4.5447754583447372E-3</v>
      </c>
      <c r="P81" s="13"/>
    </row>
    <row r="82" spans="1:16" x14ac:dyDescent="0.25">
      <c r="A82" s="9" t="str">
        <f t="shared" si="2"/>
        <v>CUSTO DE DROPCOPY BRL - BANCO SANTANDER -  MAIO 26</v>
      </c>
      <c r="B82" s="10">
        <v>46143</v>
      </c>
      <c r="C82" s="9">
        <v>817632</v>
      </c>
      <c r="D82" s="11" t="s">
        <v>104</v>
      </c>
      <c r="E82" s="57">
        <f t="shared" si="4"/>
        <v>-141.52231750119861</v>
      </c>
      <c r="F82" s="9" t="s">
        <v>49</v>
      </c>
      <c r="G82" s="10">
        <v>46143</v>
      </c>
      <c r="H82" s="9">
        <v>80015</v>
      </c>
      <c r="J82" s="12" t="s">
        <v>52</v>
      </c>
      <c r="K82" s="12" t="s">
        <v>54</v>
      </c>
      <c r="L82" s="61">
        <v>1513.42</v>
      </c>
      <c r="M82" s="14" t="s">
        <v>1</v>
      </c>
      <c r="N82" s="15" t="s">
        <v>173</v>
      </c>
      <c r="O82" s="16">
        <v>9.3511594601101228E-2</v>
      </c>
      <c r="P82" s="13"/>
    </row>
    <row r="83" spans="1:16" x14ac:dyDescent="0.25">
      <c r="A83" s="9" t="str">
        <f t="shared" si="2"/>
        <v>CUSTO DE DROPCOPY BRL - BANCO SANTANDER -  MAIO 26</v>
      </c>
      <c r="B83" s="10">
        <v>46143</v>
      </c>
      <c r="C83" s="9">
        <v>817632</v>
      </c>
      <c r="D83" s="11" t="s">
        <v>172</v>
      </c>
      <c r="E83" s="57">
        <f t="shared" si="4"/>
        <v>-15.161009111876661</v>
      </c>
      <c r="F83" s="9" t="s">
        <v>49</v>
      </c>
      <c r="G83" s="10">
        <v>46143</v>
      </c>
      <c r="H83" s="9">
        <v>80015</v>
      </c>
      <c r="J83" s="12" t="s">
        <v>52</v>
      </c>
      <c r="K83" s="12" t="s">
        <v>54</v>
      </c>
      <c r="L83" s="61">
        <v>1513.42</v>
      </c>
      <c r="M83" s="14" t="s">
        <v>1</v>
      </c>
      <c r="N83" s="15" t="s">
        <v>173</v>
      </c>
      <c r="O83" s="16">
        <v>1.0017714257692286E-2</v>
      </c>
      <c r="P83" s="13"/>
    </row>
    <row r="84" spans="1:16" x14ac:dyDescent="0.25">
      <c r="A84" s="9" t="str">
        <f t="shared" si="2"/>
        <v>CUSTO DE DROPCOPY BRL - BANCO SANTANDER -  MAIO 26</v>
      </c>
      <c r="B84" s="10">
        <v>46143</v>
      </c>
      <c r="C84" s="9">
        <v>817632</v>
      </c>
      <c r="D84" s="11" t="s">
        <v>15</v>
      </c>
      <c r="E84" s="57">
        <f t="shared" si="4"/>
        <v>-438.63551747804962</v>
      </c>
      <c r="F84" s="9" t="s">
        <v>49</v>
      </c>
      <c r="G84" s="10">
        <v>46143</v>
      </c>
      <c r="H84" s="9">
        <v>80015</v>
      </c>
      <c r="J84" s="12" t="s">
        <v>52</v>
      </c>
      <c r="K84" s="12" t="s">
        <v>54</v>
      </c>
      <c r="L84" s="61">
        <v>1513.42</v>
      </c>
      <c r="M84" s="14" t="s">
        <v>1</v>
      </c>
      <c r="N84" s="15" t="s">
        <v>173</v>
      </c>
      <c r="O84" s="16">
        <v>0.2898306600137765</v>
      </c>
      <c r="P84" s="13"/>
    </row>
    <row r="85" spans="1:16" x14ac:dyDescent="0.25">
      <c r="A85" s="9" t="str">
        <f t="shared" si="2"/>
        <v>CUSTO DE DROPCOPY BRL - BANCO SANTANDER -  MAIO 26</v>
      </c>
      <c r="B85" s="10">
        <v>46143</v>
      </c>
      <c r="C85" s="9">
        <v>817632</v>
      </c>
      <c r="D85" s="11" t="s">
        <v>100</v>
      </c>
      <c r="E85" s="57">
        <f t="shared" si="4"/>
        <v>-0.6937272092656811</v>
      </c>
      <c r="F85" s="9" t="s">
        <v>49</v>
      </c>
      <c r="G85" s="10">
        <v>46143</v>
      </c>
      <c r="H85" s="9">
        <v>80015</v>
      </c>
      <c r="J85" s="12" t="s">
        <v>52</v>
      </c>
      <c r="K85" s="12" t="s">
        <v>54</v>
      </c>
      <c r="L85" s="61">
        <v>1513.42</v>
      </c>
      <c r="M85" s="14" t="s">
        <v>1</v>
      </c>
      <c r="N85" s="15" t="s">
        <v>173</v>
      </c>
      <c r="O85" s="16">
        <v>4.5838379912098497E-4</v>
      </c>
      <c r="P85" s="13"/>
    </row>
    <row r="86" spans="1:16" x14ac:dyDescent="0.25">
      <c r="A86" s="9" t="str">
        <f t="shared" si="2"/>
        <v>CUSTO DE DROPCOPY BRL - BANCO SANTANDER -  MAIO 26</v>
      </c>
      <c r="B86" s="10">
        <v>46143</v>
      </c>
      <c r="C86" s="9">
        <v>817632</v>
      </c>
      <c r="D86" s="11" t="s">
        <v>11</v>
      </c>
      <c r="E86" s="57">
        <f t="shared" si="4"/>
        <v>-267.48520455245585</v>
      </c>
      <c r="F86" s="9" t="s">
        <v>49</v>
      </c>
      <c r="G86" s="10">
        <v>46143</v>
      </c>
      <c r="H86" s="9">
        <v>80015</v>
      </c>
      <c r="J86" s="12" t="s">
        <v>52</v>
      </c>
      <c r="K86" s="12" t="s">
        <v>54</v>
      </c>
      <c r="L86" s="61">
        <v>1513.42</v>
      </c>
      <c r="M86" s="14" t="s">
        <v>1</v>
      </c>
      <c r="N86" s="15" t="s">
        <v>173</v>
      </c>
      <c r="O86" s="16">
        <v>0.17674221600907603</v>
      </c>
      <c r="P86" s="13"/>
    </row>
    <row r="87" spans="1:16" x14ac:dyDescent="0.25">
      <c r="A87" s="9" t="str">
        <f t="shared" ref="A87:A89" si="5">CONCATENATE(J87,P87,M87,K87,M87,N87)</f>
        <v>CUSTO DE DROPCOPY BRL - BANCO SANTANDER -  MAIO 26</v>
      </c>
      <c r="B87" s="10">
        <v>46143</v>
      </c>
      <c r="C87" s="9">
        <v>817632</v>
      </c>
      <c r="D87" s="11" t="s">
        <v>129</v>
      </c>
      <c r="E87" s="57">
        <f t="shared" ref="E87:E89" si="6">-L87*O87</f>
        <v>-25.454854499276628</v>
      </c>
      <c r="F87" s="9" t="s">
        <v>49</v>
      </c>
      <c r="G87" s="10">
        <v>46143</v>
      </c>
      <c r="H87" s="9">
        <v>80015</v>
      </c>
      <c r="J87" s="12" t="s">
        <v>52</v>
      </c>
      <c r="K87" s="12" t="s">
        <v>54</v>
      </c>
      <c r="L87" s="61">
        <v>1513.42</v>
      </c>
      <c r="M87" s="14" t="s">
        <v>1</v>
      </c>
      <c r="N87" s="15" t="s">
        <v>173</v>
      </c>
      <c r="O87" s="16">
        <v>1.6819425208651019E-2</v>
      </c>
      <c r="P87" s="13"/>
    </row>
    <row r="88" spans="1:16" x14ac:dyDescent="0.25">
      <c r="A88" s="9" t="str">
        <f t="shared" si="5"/>
        <v>CUSTO DE DROPCOPY BRL - BANCO SANTANDER -  MAIO 26</v>
      </c>
      <c r="B88" s="10">
        <v>46143</v>
      </c>
      <c r="C88" s="9">
        <v>817632</v>
      </c>
      <c r="D88" s="11" t="s">
        <v>107</v>
      </c>
      <c r="E88" s="57">
        <f t="shared" si="6"/>
        <v>-2.1600814447800625</v>
      </c>
      <c r="F88" s="9" t="s">
        <v>49</v>
      </c>
      <c r="G88" s="10">
        <v>46143</v>
      </c>
      <c r="H88" s="9">
        <v>80015</v>
      </c>
      <c r="J88" s="12" t="s">
        <v>52</v>
      </c>
      <c r="K88" s="12" t="s">
        <v>54</v>
      </c>
      <c r="L88" s="61">
        <v>1513.42</v>
      </c>
      <c r="M88" s="14" t="s">
        <v>1</v>
      </c>
      <c r="N88" s="15" t="s">
        <v>173</v>
      </c>
      <c r="O88" s="16">
        <v>1.4272848546867771E-3</v>
      </c>
      <c r="P88" s="13"/>
    </row>
    <row r="89" spans="1:16" x14ac:dyDescent="0.25">
      <c r="A89" s="9" t="str">
        <f t="shared" si="5"/>
        <v>CUSTO DE DROPCOPY BRL - BANCO SANTANDER -  MAIO 26</v>
      </c>
      <c r="B89" s="10">
        <v>46143</v>
      </c>
      <c r="C89" s="9">
        <v>817632</v>
      </c>
      <c r="D89" s="11" t="s">
        <v>101</v>
      </c>
      <c r="E89" s="57">
        <f t="shared" si="6"/>
        <v>-7.4715170781994669</v>
      </c>
      <c r="F89" s="9" t="s">
        <v>49</v>
      </c>
      <c r="G89" s="10">
        <v>46143</v>
      </c>
      <c r="H89" s="9">
        <v>80015</v>
      </c>
      <c r="J89" s="12" t="s">
        <v>52</v>
      </c>
      <c r="K89" s="12" t="s">
        <v>54</v>
      </c>
      <c r="L89" s="61">
        <v>1513.42</v>
      </c>
      <c r="M89" s="14" t="s">
        <v>1</v>
      </c>
      <c r="N89" s="15" t="s">
        <v>173</v>
      </c>
      <c r="O89" s="16">
        <v>4.9368430959016441E-3</v>
      </c>
      <c r="P89" s="13"/>
    </row>
    <row r="90" spans="1:16" x14ac:dyDescent="0.25">
      <c r="A90" s="9" t="str">
        <f t="shared" si="2"/>
        <v>CUSTO DE DROPCOPY BRL - BANCO SANTANDER -  MAIO 26</v>
      </c>
      <c r="B90" s="10">
        <v>46143</v>
      </c>
      <c r="C90" s="9">
        <v>817632</v>
      </c>
      <c r="D90" s="11" t="s">
        <v>20</v>
      </c>
      <c r="E90" s="57">
        <f t="shared" si="4"/>
        <v>-16.216709127038932</v>
      </c>
      <c r="F90" s="9" t="s">
        <v>49</v>
      </c>
      <c r="G90" s="10">
        <v>46143</v>
      </c>
      <c r="H90" s="9">
        <v>80015</v>
      </c>
      <c r="J90" s="12" t="s">
        <v>52</v>
      </c>
      <c r="K90" s="12" t="s">
        <v>54</v>
      </c>
      <c r="L90" s="61">
        <v>1513.42</v>
      </c>
      <c r="M90" s="14" t="s">
        <v>1</v>
      </c>
      <c r="N90" s="15" t="s">
        <v>173</v>
      </c>
      <c r="O90" s="16">
        <v>1.071527343833102E-2</v>
      </c>
      <c r="P90" s="13"/>
    </row>
    <row r="91" spans="1:16" x14ac:dyDescent="0.25">
      <c r="A91" s="9" t="str">
        <f t="shared" si="2"/>
        <v>CUSTO DE DROPCOPY BRL - BANCO SANTANDER -  MAIO 26</v>
      </c>
      <c r="B91" s="10">
        <v>46143</v>
      </c>
      <c r="C91" s="9">
        <v>817632</v>
      </c>
      <c r="D91" s="11" t="s">
        <v>40</v>
      </c>
      <c r="E91" s="57">
        <f t="shared" si="4"/>
        <v>-403.79250563462023</v>
      </c>
      <c r="F91" s="9" t="s">
        <v>49</v>
      </c>
      <c r="G91" s="10">
        <v>46143</v>
      </c>
      <c r="H91" s="9">
        <v>80015</v>
      </c>
      <c r="J91" s="12" t="s">
        <v>52</v>
      </c>
      <c r="K91" s="12" t="s">
        <v>54</v>
      </c>
      <c r="L91" s="61">
        <v>1513.42</v>
      </c>
      <c r="M91" s="14" t="s">
        <v>1</v>
      </c>
      <c r="N91" s="15" t="s">
        <v>173</v>
      </c>
      <c r="O91" s="16">
        <v>0.26680796185766026</v>
      </c>
      <c r="P91" s="13"/>
    </row>
    <row r="92" spans="1:16" x14ac:dyDescent="0.25">
      <c r="A92" s="9" t="str">
        <f t="shared" si="2"/>
        <v>CUSTO DE DROPCOPY BRL - BANCO SANTANDER -  MAIO 26</v>
      </c>
      <c r="B92" s="10">
        <v>46143</v>
      </c>
      <c r="C92" s="9">
        <v>817632</v>
      </c>
      <c r="D92" s="11" t="s">
        <v>168</v>
      </c>
      <c r="E92" s="57">
        <f t="shared" si="4"/>
        <v>-21.247118164492452</v>
      </c>
      <c r="F92" s="9" t="s">
        <v>49</v>
      </c>
      <c r="G92" s="10">
        <v>46143</v>
      </c>
      <c r="H92" s="9">
        <v>80015</v>
      </c>
      <c r="J92" s="12" t="s">
        <v>52</v>
      </c>
      <c r="K92" s="12" t="s">
        <v>54</v>
      </c>
      <c r="L92" s="61">
        <v>1513.42</v>
      </c>
      <c r="M92" s="14" t="s">
        <v>1</v>
      </c>
      <c r="N92" s="15" t="s">
        <v>173</v>
      </c>
      <c r="O92" s="16">
        <v>1.4039141919951138E-2</v>
      </c>
      <c r="P92" s="13"/>
    </row>
    <row r="93" spans="1:16" x14ac:dyDescent="0.25">
      <c r="A93" s="9" t="str">
        <f t="shared" si="2"/>
        <v>CUSTO DE DROPCOPY BRL - BANCO SANTANDER -  MAIO 26</v>
      </c>
      <c r="B93" s="10">
        <v>46143</v>
      </c>
      <c r="C93" s="9">
        <v>817632</v>
      </c>
      <c r="D93" s="11" t="s">
        <v>120</v>
      </c>
      <c r="E93" s="57">
        <f t="shared" si="4"/>
        <v>-66.89426621452688</v>
      </c>
      <c r="F93" s="9" t="s">
        <v>49</v>
      </c>
      <c r="G93" s="10">
        <v>46143</v>
      </c>
      <c r="H93" s="9">
        <v>80015</v>
      </c>
      <c r="J93" s="12" t="s">
        <v>52</v>
      </c>
      <c r="K93" s="12" t="s">
        <v>54</v>
      </c>
      <c r="L93" s="61">
        <v>1513.42</v>
      </c>
      <c r="M93" s="14" t="s">
        <v>1</v>
      </c>
      <c r="N93" s="15" t="s">
        <v>173</v>
      </c>
      <c r="O93" s="16">
        <v>4.4200728293881983E-2</v>
      </c>
      <c r="P93" s="13"/>
    </row>
    <row r="94" spans="1:16" x14ac:dyDescent="0.25">
      <c r="A94" s="9" t="str">
        <f t="shared" si="2"/>
        <v>CUSTO DE DROPCOPY BRL - BANCO SANTANDER -  MAIO 26</v>
      </c>
      <c r="B94" s="10">
        <v>46143</v>
      </c>
      <c r="C94" s="9">
        <v>817632</v>
      </c>
      <c r="D94" s="11" t="s">
        <v>41</v>
      </c>
      <c r="E94" s="57">
        <f t="shared" si="4"/>
        <v>-69.907011387509598</v>
      </c>
      <c r="F94" s="9" t="s">
        <v>49</v>
      </c>
      <c r="G94" s="10">
        <v>46143</v>
      </c>
      <c r="H94" s="9">
        <v>80015</v>
      </c>
      <c r="J94" s="12" t="s">
        <v>52</v>
      </c>
      <c r="K94" s="12" t="s">
        <v>54</v>
      </c>
      <c r="L94" s="61">
        <v>1513.42</v>
      </c>
      <c r="M94" s="14" t="s">
        <v>1</v>
      </c>
      <c r="N94" s="15" t="s">
        <v>173</v>
      </c>
      <c r="O94" s="16">
        <v>4.6191415064892494E-2</v>
      </c>
      <c r="P94" s="13"/>
    </row>
    <row r="95" spans="1:16" x14ac:dyDescent="0.25">
      <c r="A95" s="45" t="str">
        <f t="shared" si="2"/>
        <v>CUSTO DE DROPCOPY BRL - GOLDMAN SACHS -  MAIO 26</v>
      </c>
      <c r="B95" s="46">
        <v>46143</v>
      </c>
      <c r="C95" s="45">
        <v>817632</v>
      </c>
      <c r="D95" s="47" t="s">
        <v>2</v>
      </c>
      <c r="E95" s="56">
        <f t="shared" si="4"/>
        <v>-248.56988611769955</v>
      </c>
      <c r="F95" s="45" t="s">
        <v>49</v>
      </c>
      <c r="G95" s="46">
        <v>46143</v>
      </c>
      <c r="H95" s="45">
        <v>27645</v>
      </c>
      <c r="J95" s="48" t="s">
        <v>52</v>
      </c>
      <c r="K95" s="48" t="s">
        <v>55</v>
      </c>
      <c r="L95" s="62">
        <v>756.71</v>
      </c>
      <c r="M95" s="50" t="s">
        <v>1</v>
      </c>
      <c r="N95" s="51" t="s">
        <v>173</v>
      </c>
      <c r="O95" s="52">
        <v>0.32848764535647679</v>
      </c>
      <c r="P95" s="49"/>
    </row>
    <row r="96" spans="1:16" x14ac:dyDescent="0.25">
      <c r="A96" s="9" t="str">
        <f t="shared" si="2"/>
        <v>CUSTO DE DROPCOPY BRL - GOLDMAN SACHS -  MAIO 26</v>
      </c>
      <c r="B96" s="10">
        <v>46143</v>
      </c>
      <c r="C96" s="9">
        <v>817632</v>
      </c>
      <c r="D96" s="11" t="s">
        <v>44</v>
      </c>
      <c r="E96" s="57">
        <f t="shared" si="4"/>
        <v>-182.26644264287972</v>
      </c>
      <c r="F96" s="9" t="s">
        <v>49</v>
      </c>
      <c r="G96" s="10">
        <v>46143</v>
      </c>
      <c r="H96" s="9">
        <v>27645</v>
      </c>
      <c r="J96" s="12" t="s">
        <v>52</v>
      </c>
      <c r="K96" s="12" t="s">
        <v>55</v>
      </c>
      <c r="L96" s="61">
        <v>756.71</v>
      </c>
      <c r="M96" s="14" t="s">
        <v>1</v>
      </c>
      <c r="N96" s="15" t="s">
        <v>173</v>
      </c>
      <c r="O96" s="16">
        <v>0.24086696705855573</v>
      </c>
      <c r="P96" s="13"/>
    </row>
    <row r="97" spans="1:16" x14ac:dyDescent="0.25">
      <c r="A97" s="9" t="str">
        <f t="shared" si="2"/>
        <v>CUSTO DE DROPCOPY BRL - GOLDMAN SACHS -  MAIO 26</v>
      </c>
      <c r="B97" s="10">
        <v>46143</v>
      </c>
      <c r="C97" s="9">
        <v>817632</v>
      </c>
      <c r="D97" s="11" t="s">
        <v>103</v>
      </c>
      <c r="E97" s="57">
        <f t="shared" si="4"/>
        <v>-15.571381850167857</v>
      </c>
      <c r="F97" s="9" t="s">
        <v>49</v>
      </c>
      <c r="G97" s="10">
        <v>46143</v>
      </c>
      <c r="H97" s="9">
        <v>27645</v>
      </c>
      <c r="J97" s="12" t="s">
        <v>52</v>
      </c>
      <c r="K97" s="12" t="s">
        <v>55</v>
      </c>
      <c r="L97" s="61">
        <v>756.71</v>
      </c>
      <c r="M97" s="14" t="s">
        <v>1</v>
      </c>
      <c r="N97" s="15" t="s">
        <v>173</v>
      </c>
      <c r="O97" s="16">
        <v>2.0577740283817918E-2</v>
      </c>
      <c r="P97" s="13"/>
    </row>
    <row r="98" spans="1:16" x14ac:dyDescent="0.25">
      <c r="A98" s="9" t="str">
        <f t="shared" si="2"/>
        <v>CUSTO DE DROPCOPY BRL - GOLDMAN SACHS -  MAIO 26</v>
      </c>
      <c r="B98" s="10">
        <v>46143</v>
      </c>
      <c r="C98" s="9">
        <v>817632</v>
      </c>
      <c r="D98" s="11" t="s">
        <v>11</v>
      </c>
      <c r="E98" s="57">
        <f t="shared" si="4"/>
        <v>-88.227378355541376</v>
      </c>
      <c r="F98" s="9" t="s">
        <v>49</v>
      </c>
      <c r="G98" s="10">
        <v>46143</v>
      </c>
      <c r="H98" s="9">
        <v>27645</v>
      </c>
      <c r="J98" s="12" t="s">
        <v>52</v>
      </c>
      <c r="K98" s="12" t="s">
        <v>55</v>
      </c>
      <c r="L98" s="61">
        <v>756.71</v>
      </c>
      <c r="M98" s="14" t="s">
        <v>1</v>
      </c>
      <c r="N98" s="15" t="s">
        <v>173</v>
      </c>
      <c r="O98" s="16">
        <v>0.11659338234666038</v>
      </c>
      <c r="P98" s="13"/>
    </row>
    <row r="99" spans="1:16" x14ac:dyDescent="0.25">
      <c r="A99" s="9" t="str">
        <f t="shared" si="2"/>
        <v>CUSTO DE DROPCOPY BRL - GOLDMAN SACHS -  MAIO 26</v>
      </c>
      <c r="B99" s="10">
        <v>46143</v>
      </c>
      <c r="C99" s="9">
        <v>817632</v>
      </c>
      <c r="D99" s="11" t="s">
        <v>129</v>
      </c>
      <c r="E99" s="57">
        <f t="shared" si="4"/>
        <v>-116.46629854763404</v>
      </c>
      <c r="F99" s="9" t="s">
        <v>49</v>
      </c>
      <c r="G99" s="10">
        <v>46143</v>
      </c>
      <c r="H99" s="9">
        <v>27645</v>
      </c>
      <c r="J99" s="12" t="s">
        <v>52</v>
      </c>
      <c r="K99" s="12" t="s">
        <v>55</v>
      </c>
      <c r="L99" s="61">
        <v>756.71</v>
      </c>
      <c r="M99" s="14" t="s">
        <v>1</v>
      </c>
      <c r="N99" s="15" t="s">
        <v>173</v>
      </c>
      <c r="O99" s="16">
        <v>0.15391140403540859</v>
      </c>
      <c r="P99" s="13"/>
    </row>
    <row r="100" spans="1:16" x14ac:dyDescent="0.25">
      <c r="A100" s="9" t="str">
        <f t="shared" si="2"/>
        <v>CUSTO DE DROPCOPY BRL - GOLDMAN SACHS -  MAIO 26</v>
      </c>
      <c r="B100" s="10">
        <v>46143</v>
      </c>
      <c r="C100" s="9">
        <v>817632</v>
      </c>
      <c r="D100" s="11" t="s">
        <v>171</v>
      </c>
      <c r="E100" s="57">
        <f t="shared" si="4"/>
        <v>-74.384730749223863</v>
      </c>
      <c r="F100" s="9" t="s">
        <v>49</v>
      </c>
      <c r="G100" s="10">
        <v>46143</v>
      </c>
      <c r="H100" s="9">
        <v>27645</v>
      </c>
      <c r="J100" s="12" t="s">
        <v>52</v>
      </c>
      <c r="K100" s="12" t="s">
        <v>55</v>
      </c>
      <c r="L100" s="61">
        <v>756.71</v>
      </c>
      <c r="M100" s="14" t="s">
        <v>1</v>
      </c>
      <c r="N100" s="15" t="s">
        <v>173</v>
      </c>
      <c r="O100" s="16">
        <v>9.8300182037007383E-2</v>
      </c>
      <c r="P100" s="13"/>
    </row>
    <row r="101" spans="1:16" x14ac:dyDescent="0.25">
      <c r="A101" s="9" t="str">
        <f t="shared" si="2"/>
        <v>CUSTO DE DROPCOPY BRL - GOLDMAN SACHS -  MAIO 26</v>
      </c>
      <c r="B101" s="10">
        <v>46143</v>
      </c>
      <c r="C101" s="9">
        <v>817632</v>
      </c>
      <c r="D101" s="11" t="s">
        <v>91</v>
      </c>
      <c r="E101" s="57">
        <f t="shared" si="4"/>
        <v>-7.850351887053324</v>
      </c>
      <c r="F101" s="9" t="s">
        <v>49</v>
      </c>
      <c r="G101" s="10">
        <v>46143</v>
      </c>
      <c r="H101" s="9">
        <v>27645</v>
      </c>
      <c r="J101" s="12" t="s">
        <v>52</v>
      </c>
      <c r="K101" s="12" t="s">
        <v>55</v>
      </c>
      <c r="L101" s="61">
        <v>756.71</v>
      </c>
      <c r="M101" s="14" t="s">
        <v>1</v>
      </c>
      <c r="N101" s="15" t="s">
        <v>173</v>
      </c>
      <c r="O101" s="16">
        <v>1.037432026410821E-2</v>
      </c>
      <c r="P101" s="13"/>
    </row>
    <row r="102" spans="1:16" x14ac:dyDescent="0.25">
      <c r="A102" s="9" t="str">
        <f t="shared" si="2"/>
        <v>CUSTO DE DROPCOPY BRL - GOLDMAN SACHS -  MAIO 26</v>
      </c>
      <c r="B102" s="10">
        <v>46143</v>
      </c>
      <c r="C102" s="9">
        <v>817632</v>
      </c>
      <c r="D102" s="11" t="s">
        <v>101</v>
      </c>
      <c r="E102" s="57">
        <f t="shared" si="4"/>
        <v>-15.998106339612631</v>
      </c>
      <c r="F102" s="9" t="s">
        <v>49</v>
      </c>
      <c r="G102" s="10">
        <v>46143</v>
      </c>
      <c r="H102" s="9">
        <v>27645</v>
      </c>
      <c r="J102" s="12" t="s">
        <v>52</v>
      </c>
      <c r="K102" s="12" t="s">
        <v>55</v>
      </c>
      <c r="L102" s="61">
        <v>756.71</v>
      </c>
      <c r="M102" s="14" t="s">
        <v>1</v>
      </c>
      <c r="N102" s="15" t="s">
        <v>173</v>
      </c>
      <c r="O102" s="16">
        <v>2.1141661058546379E-2</v>
      </c>
      <c r="P102" s="13"/>
    </row>
    <row r="103" spans="1:16" x14ac:dyDescent="0.25">
      <c r="A103" s="9" t="str">
        <f t="shared" si="2"/>
        <v>CUSTO DE DROPCOPY BRL - GOLDMAN SACHS -  MAIO 26</v>
      </c>
      <c r="B103" s="10">
        <v>46143</v>
      </c>
      <c r="C103" s="9">
        <v>817632</v>
      </c>
      <c r="D103" s="11" t="s">
        <v>120</v>
      </c>
      <c r="E103" s="57">
        <f t="shared" si="4"/>
        <v>-1.7253466025761561</v>
      </c>
      <c r="F103" s="9" t="s">
        <v>49</v>
      </c>
      <c r="G103" s="10">
        <v>46143</v>
      </c>
      <c r="H103" s="9">
        <v>27645</v>
      </c>
      <c r="J103" s="12" t="s">
        <v>52</v>
      </c>
      <c r="K103" s="12" t="s">
        <v>55</v>
      </c>
      <c r="L103" s="61">
        <v>756.71</v>
      </c>
      <c r="M103" s="14" t="s">
        <v>1</v>
      </c>
      <c r="N103" s="15" t="s">
        <v>173</v>
      </c>
      <c r="O103" s="16">
        <v>2.2800631715930225E-3</v>
      </c>
      <c r="P103" s="13"/>
    </row>
    <row r="104" spans="1:16" x14ac:dyDescent="0.25">
      <c r="A104" s="9" t="str">
        <f t="shared" si="2"/>
        <v>CUSTO DE DROPCOPY BRL - GOLDMAN SACHS -  MAIO 26</v>
      </c>
      <c r="B104" s="10">
        <v>46143</v>
      </c>
      <c r="C104" s="9">
        <v>817632</v>
      </c>
      <c r="D104" s="11" t="s">
        <v>41</v>
      </c>
      <c r="E104" s="57">
        <f t="shared" si="4"/>
        <v>-5.6500769076115693</v>
      </c>
      <c r="F104" s="9" t="s">
        <v>49</v>
      </c>
      <c r="G104" s="10">
        <v>46143</v>
      </c>
      <c r="H104" s="9">
        <v>27645</v>
      </c>
      <c r="J104" s="12" t="s">
        <v>52</v>
      </c>
      <c r="K104" s="12" t="s">
        <v>55</v>
      </c>
      <c r="L104" s="61">
        <v>756.71</v>
      </c>
      <c r="M104" s="14" t="s">
        <v>1</v>
      </c>
      <c r="N104" s="15" t="s">
        <v>173</v>
      </c>
      <c r="O104" s="16">
        <v>7.4666343878256785E-3</v>
      </c>
      <c r="P104" s="13"/>
    </row>
    <row r="105" spans="1:16" x14ac:dyDescent="0.25">
      <c r="A105" s="45" t="str">
        <f t="shared" si="2"/>
        <v>CUSTO DE DROPCOPY BRL - BANCO BTG PACTUAL -  MAIO 26</v>
      </c>
      <c r="B105" s="46">
        <v>46143</v>
      </c>
      <c r="C105" s="45">
        <v>817632</v>
      </c>
      <c r="D105" s="47" t="s">
        <v>106</v>
      </c>
      <c r="E105" s="56">
        <f t="shared" si="4"/>
        <v>-139.08792583860452</v>
      </c>
      <c r="F105" s="45" t="s">
        <v>49</v>
      </c>
      <c r="G105" s="46">
        <v>46143</v>
      </c>
      <c r="H105" s="45">
        <v>15501</v>
      </c>
      <c r="J105" s="48" t="s">
        <v>52</v>
      </c>
      <c r="K105" s="48" t="s">
        <v>56</v>
      </c>
      <c r="L105" s="62">
        <v>756.71</v>
      </c>
      <c r="M105" s="50" t="s">
        <v>1</v>
      </c>
      <c r="N105" s="51" t="s">
        <v>173</v>
      </c>
      <c r="O105" s="52">
        <v>0.1838061157360211</v>
      </c>
      <c r="P105" s="49"/>
    </row>
    <row r="106" spans="1:16" x14ac:dyDescent="0.25">
      <c r="A106" s="9" t="str">
        <f t="shared" si="2"/>
        <v>CUSTO DE DROPCOPY BRL - BANCO BTG PACTUAL -  MAIO 26</v>
      </c>
      <c r="B106" s="10">
        <v>46143</v>
      </c>
      <c r="C106" s="9">
        <v>817632</v>
      </c>
      <c r="D106" s="11" t="s">
        <v>98</v>
      </c>
      <c r="E106" s="57">
        <f t="shared" si="4"/>
        <v>-201.85428835904457</v>
      </c>
      <c r="F106" s="9" t="s">
        <v>49</v>
      </c>
      <c r="G106" s="10">
        <v>46143</v>
      </c>
      <c r="H106" s="9">
        <v>15501</v>
      </c>
      <c r="J106" s="12" t="s">
        <v>52</v>
      </c>
      <c r="K106" s="12" t="s">
        <v>56</v>
      </c>
      <c r="L106" s="61">
        <v>756.71</v>
      </c>
      <c r="M106" s="14" t="s">
        <v>1</v>
      </c>
      <c r="N106" s="15" t="s">
        <v>173</v>
      </c>
      <c r="O106" s="16">
        <v>0.26675250539710665</v>
      </c>
      <c r="P106" s="13"/>
    </row>
    <row r="107" spans="1:16" x14ac:dyDescent="0.25">
      <c r="A107" s="9" t="str">
        <f t="shared" si="2"/>
        <v>CUSTO DE DROPCOPY BRL - BANCO BTG PACTUAL -  MAIO 26</v>
      </c>
      <c r="B107" s="10">
        <v>46143</v>
      </c>
      <c r="C107" s="9">
        <v>817632</v>
      </c>
      <c r="D107" s="11" t="s">
        <v>103</v>
      </c>
      <c r="E107" s="57">
        <f t="shared" si="4"/>
        <v>-10.125057830157335</v>
      </c>
      <c r="F107" s="9" t="s">
        <v>49</v>
      </c>
      <c r="G107" s="10">
        <v>46143</v>
      </c>
      <c r="H107" s="9">
        <v>15501</v>
      </c>
      <c r="J107" s="12" t="s">
        <v>52</v>
      </c>
      <c r="K107" s="12" t="s">
        <v>56</v>
      </c>
      <c r="L107" s="61">
        <v>756.71</v>
      </c>
      <c r="M107" s="14" t="s">
        <v>1</v>
      </c>
      <c r="N107" s="15" t="s">
        <v>173</v>
      </c>
      <c r="O107" s="16">
        <v>1.338036741969491E-2</v>
      </c>
      <c r="P107" s="13"/>
    </row>
    <row r="108" spans="1:16" x14ac:dyDescent="0.25">
      <c r="A108" s="9" t="str">
        <f t="shared" ref="A108:A127" si="7">CONCATENATE(J108,P108,M108,K108,M108,N108)</f>
        <v>CUSTO DE DROPCOPY BRL - BANCO BTG PACTUAL -  MAIO 26</v>
      </c>
      <c r="B108" s="10">
        <v>46143</v>
      </c>
      <c r="C108" s="9">
        <v>817632</v>
      </c>
      <c r="D108" s="11" t="s">
        <v>166</v>
      </c>
      <c r="E108" s="57">
        <f t="shared" si="4"/>
        <v>-35.995598104952101</v>
      </c>
      <c r="F108" s="9" t="s">
        <v>49</v>
      </c>
      <c r="G108" s="10">
        <v>46143</v>
      </c>
      <c r="H108" s="9">
        <v>15501</v>
      </c>
      <c r="J108" s="12" t="s">
        <v>52</v>
      </c>
      <c r="K108" s="12" t="s">
        <v>56</v>
      </c>
      <c r="L108" s="61">
        <v>756.71</v>
      </c>
      <c r="M108" s="14" t="s">
        <v>1</v>
      </c>
      <c r="N108" s="15" t="s">
        <v>173</v>
      </c>
      <c r="O108" s="16">
        <v>4.7568550838434934E-2</v>
      </c>
      <c r="P108" s="13"/>
    </row>
    <row r="109" spans="1:16" x14ac:dyDescent="0.25">
      <c r="A109" s="9" t="str">
        <f t="shared" si="7"/>
        <v>CUSTO DE DROPCOPY BRL - BANCO BTG PACTUAL -  MAIO 26</v>
      </c>
      <c r="B109" s="10">
        <v>46143</v>
      </c>
      <c r="C109" s="9">
        <v>817632</v>
      </c>
      <c r="D109" s="11" t="s">
        <v>100</v>
      </c>
      <c r="E109" s="57">
        <f t="shared" si="4"/>
        <v>-48.506550663336355</v>
      </c>
      <c r="F109" s="9" t="s">
        <v>49</v>
      </c>
      <c r="G109" s="10">
        <v>46143</v>
      </c>
      <c r="H109" s="9">
        <v>15501</v>
      </c>
      <c r="J109" s="12" t="s">
        <v>52</v>
      </c>
      <c r="K109" s="12" t="s">
        <v>56</v>
      </c>
      <c r="L109" s="61">
        <v>756.71</v>
      </c>
      <c r="M109" s="14" t="s">
        <v>1</v>
      </c>
      <c r="N109" s="15" t="s">
        <v>173</v>
      </c>
      <c r="O109" s="16">
        <v>6.4101902529815055E-2</v>
      </c>
      <c r="P109" s="13"/>
    </row>
    <row r="110" spans="1:16" x14ac:dyDescent="0.25">
      <c r="A110" s="9" t="str">
        <f t="shared" si="7"/>
        <v>CUSTO DE DROPCOPY BRL - BANCO BTG PACTUAL -  MAIO 26</v>
      </c>
      <c r="B110" s="10">
        <v>46143</v>
      </c>
      <c r="C110" s="9">
        <v>817632</v>
      </c>
      <c r="D110" s="11" t="s">
        <v>11</v>
      </c>
      <c r="E110" s="57">
        <f t="shared" si="4"/>
        <v>-66.391707943880846</v>
      </c>
      <c r="F110" s="9" t="s">
        <v>49</v>
      </c>
      <c r="G110" s="10">
        <v>46143</v>
      </c>
      <c r="H110" s="9">
        <v>15501</v>
      </c>
      <c r="J110" s="12" t="s">
        <v>52</v>
      </c>
      <c r="K110" s="12" t="s">
        <v>56</v>
      </c>
      <c r="L110" s="61">
        <v>756.71</v>
      </c>
      <c r="M110" s="14" t="s">
        <v>1</v>
      </c>
      <c r="N110" s="15" t="s">
        <v>173</v>
      </c>
      <c r="O110" s="16">
        <v>8.7737320696014115E-2</v>
      </c>
      <c r="P110" s="13"/>
    </row>
    <row r="111" spans="1:16" x14ac:dyDescent="0.25">
      <c r="A111" s="9" t="str">
        <f t="shared" si="7"/>
        <v>CUSTO DE DROPCOPY BRL - BANCO BTG PACTUAL -  MAIO 26</v>
      </c>
      <c r="B111" s="10">
        <v>46143</v>
      </c>
      <c r="C111" s="9">
        <v>817632</v>
      </c>
      <c r="D111" s="11" t="s">
        <v>129</v>
      </c>
      <c r="E111" s="57">
        <f t="shared" si="4"/>
        <v>-7.5003289185413342</v>
      </c>
      <c r="F111" s="9" t="s">
        <v>49</v>
      </c>
      <c r="G111" s="10">
        <v>46143</v>
      </c>
      <c r="H111" s="9">
        <v>15501</v>
      </c>
      <c r="J111" s="12" t="s">
        <v>52</v>
      </c>
      <c r="K111" s="12" t="s">
        <v>56</v>
      </c>
      <c r="L111" s="61">
        <v>756.71</v>
      </c>
      <c r="M111" s="14" t="s">
        <v>1</v>
      </c>
      <c r="N111" s="15" t="s">
        <v>173</v>
      </c>
      <c r="O111" s="16">
        <v>9.9117613333262865E-3</v>
      </c>
      <c r="P111" s="13"/>
    </row>
    <row r="112" spans="1:16" x14ac:dyDescent="0.25">
      <c r="A112" s="9" t="str">
        <f t="shared" si="7"/>
        <v>CUSTO DE DROPCOPY BRL - BANCO BTG PACTUAL -  MAIO 26</v>
      </c>
      <c r="B112" s="10">
        <v>46143</v>
      </c>
      <c r="C112" s="9">
        <v>817632</v>
      </c>
      <c r="D112" s="11" t="s">
        <v>107</v>
      </c>
      <c r="E112" s="57">
        <f t="shared" si="4"/>
        <v>-51.92072363067588</v>
      </c>
      <c r="F112" s="9" t="s">
        <v>49</v>
      </c>
      <c r="G112" s="10">
        <v>46143</v>
      </c>
      <c r="H112" s="9">
        <v>15501</v>
      </c>
      <c r="J112" s="12" t="s">
        <v>52</v>
      </c>
      <c r="K112" s="12" t="s">
        <v>56</v>
      </c>
      <c r="L112" s="61">
        <v>756.71</v>
      </c>
      <c r="M112" s="14" t="s">
        <v>1</v>
      </c>
      <c r="N112" s="15" t="s">
        <v>173</v>
      </c>
      <c r="O112" s="16">
        <v>6.8613767005425957E-2</v>
      </c>
      <c r="P112" s="13"/>
    </row>
    <row r="113" spans="1:17" x14ac:dyDescent="0.25">
      <c r="A113" s="9" t="str">
        <f t="shared" si="7"/>
        <v>CUSTO DE DROPCOPY BRL - BANCO BTG PACTUAL -  MAIO 26</v>
      </c>
      <c r="B113" s="10">
        <v>46143</v>
      </c>
      <c r="C113" s="9">
        <v>817632</v>
      </c>
      <c r="D113" s="11" t="s">
        <v>101</v>
      </c>
      <c r="E113" s="57">
        <f t="shared" si="4"/>
        <v>-195.32781871080715</v>
      </c>
      <c r="F113" s="9" t="s">
        <v>49</v>
      </c>
      <c r="G113" s="10">
        <v>46143</v>
      </c>
      <c r="H113" s="9">
        <v>15501</v>
      </c>
      <c r="J113" s="12" t="s">
        <v>52</v>
      </c>
      <c r="K113" s="12" t="s">
        <v>56</v>
      </c>
      <c r="L113" s="61">
        <v>756.71</v>
      </c>
      <c r="M113" s="14" t="s">
        <v>1</v>
      </c>
      <c r="N113" s="15" t="s">
        <v>173</v>
      </c>
      <c r="O113" s="16">
        <v>0.2581277090441611</v>
      </c>
      <c r="P113" s="13"/>
    </row>
    <row r="114" spans="1:17" x14ac:dyDescent="0.25">
      <c r="A114" s="18" t="str">
        <f t="shared" si="7"/>
        <v>CUSTO DE DROPCOPY BRL - LAKESIDE TRADING LLC -  MAIO 26</v>
      </c>
      <c r="B114" s="19">
        <v>46143</v>
      </c>
      <c r="C114" s="18">
        <v>817632</v>
      </c>
      <c r="D114" s="20" t="s">
        <v>40</v>
      </c>
      <c r="E114" s="55">
        <f t="shared" si="4"/>
        <v>-1275</v>
      </c>
      <c r="F114" s="18" t="s">
        <v>49</v>
      </c>
      <c r="G114" s="19">
        <v>46143</v>
      </c>
      <c r="H114" s="18">
        <v>81772</v>
      </c>
      <c r="J114" s="21" t="s">
        <v>52</v>
      </c>
      <c r="K114" s="21" t="s">
        <v>108</v>
      </c>
      <c r="L114" s="63">
        <v>1275</v>
      </c>
      <c r="M114" s="23" t="s">
        <v>1</v>
      </c>
      <c r="N114" s="24" t="s">
        <v>173</v>
      </c>
      <c r="O114" s="25">
        <v>1</v>
      </c>
      <c r="P114" s="22"/>
    </row>
    <row r="115" spans="1:17" x14ac:dyDescent="0.25">
      <c r="A115" s="18" t="str">
        <f t="shared" si="7"/>
        <v>CUSTO DE DROPCOPY BRL - GOLDMAN SACHS INTERNATIONAL -  MAIO 26</v>
      </c>
      <c r="B115" s="46">
        <v>46143</v>
      </c>
      <c r="C115" s="18">
        <v>817632</v>
      </c>
      <c r="D115" s="3" t="s">
        <v>2</v>
      </c>
      <c r="E115" s="55">
        <f t="shared" si="4"/>
        <v>-1503.11</v>
      </c>
      <c r="F115" s="18" t="s">
        <v>49</v>
      </c>
      <c r="G115" s="19">
        <v>46143</v>
      </c>
      <c r="H115" s="77">
        <v>79791</v>
      </c>
      <c r="J115" s="21" t="s">
        <v>52</v>
      </c>
      <c r="K115" s="77" t="s">
        <v>179</v>
      </c>
      <c r="L115" s="62">
        <v>1503.11</v>
      </c>
      <c r="M115" s="23" t="s">
        <v>1</v>
      </c>
      <c r="N115" s="24" t="s">
        <v>173</v>
      </c>
      <c r="O115" s="25">
        <v>1</v>
      </c>
      <c r="P115" s="49"/>
    </row>
    <row r="116" spans="1:17" x14ac:dyDescent="0.25">
      <c r="A116" s="45" t="str">
        <f t="shared" si="7"/>
        <v>CUSTO DE DROPCOPY BRL - MORGAN STANLEY URUGUAY LTDA - CITIBANK -  MAIO 26</v>
      </c>
      <c r="B116" s="46">
        <v>46143</v>
      </c>
      <c r="C116" s="45">
        <v>817632</v>
      </c>
      <c r="D116" s="47" t="s">
        <v>20</v>
      </c>
      <c r="E116" s="56">
        <f t="shared" si="4"/>
        <v>-255</v>
      </c>
      <c r="F116" s="45" t="s">
        <v>49</v>
      </c>
      <c r="G116" s="46">
        <v>46143</v>
      </c>
      <c r="H116" s="45">
        <v>80754</v>
      </c>
      <c r="J116" s="48" t="s">
        <v>52</v>
      </c>
      <c r="K116" s="48" t="s">
        <v>109</v>
      </c>
      <c r="L116" s="62">
        <v>255</v>
      </c>
      <c r="M116" s="50" t="s">
        <v>1</v>
      </c>
      <c r="N116" s="51" t="s">
        <v>173</v>
      </c>
      <c r="O116" s="52">
        <v>1</v>
      </c>
      <c r="P116" s="49"/>
    </row>
    <row r="117" spans="1:17" x14ac:dyDescent="0.25">
      <c r="A117" s="1" t="str">
        <f t="shared" si="7"/>
        <v>CUSTO DE DROPCOPY BRL - MORGAN STANLEY URUGUAY LTDA - CITIBANK -  MAIO 26</v>
      </c>
      <c r="B117" s="2">
        <v>46143</v>
      </c>
      <c r="C117" s="1">
        <v>817632</v>
      </c>
      <c r="D117" s="3" t="s">
        <v>126</v>
      </c>
      <c r="E117" s="58">
        <f t="shared" si="4"/>
        <v>-170</v>
      </c>
      <c r="F117" s="1" t="s">
        <v>49</v>
      </c>
      <c r="G117" s="2">
        <v>46143</v>
      </c>
      <c r="H117" s="1">
        <v>80754</v>
      </c>
      <c r="J117" s="4" t="s">
        <v>52</v>
      </c>
      <c r="K117" s="4" t="s">
        <v>109</v>
      </c>
      <c r="L117" s="60">
        <v>170</v>
      </c>
      <c r="M117" s="6" t="s">
        <v>1</v>
      </c>
      <c r="N117" s="7" t="s">
        <v>173</v>
      </c>
      <c r="O117" s="8">
        <v>1</v>
      </c>
      <c r="P117" s="5"/>
    </row>
    <row r="118" spans="1:17" x14ac:dyDescent="0.25">
      <c r="A118" s="45" t="str">
        <f t="shared" si="7"/>
        <v>CUSTO DE DROPCOPY BRL - ITAU FACIL -  MAIO 26</v>
      </c>
      <c r="B118" s="46">
        <v>46143</v>
      </c>
      <c r="C118" s="45">
        <v>817632</v>
      </c>
      <c r="D118" s="47" t="s">
        <v>110</v>
      </c>
      <c r="E118" s="56">
        <f t="shared" si="4"/>
        <v>-571.64499999999998</v>
      </c>
      <c r="F118" s="45" t="s">
        <v>49</v>
      </c>
      <c r="G118" s="46">
        <v>46143</v>
      </c>
      <c r="H118" s="45">
        <v>81200</v>
      </c>
      <c r="J118" s="48" t="s">
        <v>52</v>
      </c>
      <c r="K118" s="48" t="s">
        <v>127</v>
      </c>
      <c r="L118" s="62">
        <v>1143.29</v>
      </c>
      <c r="M118" s="50" t="s">
        <v>1</v>
      </c>
      <c r="N118" s="51" t="s">
        <v>173</v>
      </c>
      <c r="O118" s="16">
        <v>0.5</v>
      </c>
      <c r="P118" s="49"/>
    </row>
    <row r="119" spans="1:17" x14ac:dyDescent="0.25">
      <c r="A119" s="1" t="str">
        <f t="shared" si="7"/>
        <v>CUSTO DE DROPCOPY BRL - ITAU FACIL -  MAIO 26</v>
      </c>
      <c r="B119" s="2">
        <v>46143</v>
      </c>
      <c r="C119" s="1">
        <v>817632</v>
      </c>
      <c r="D119" s="3" t="s">
        <v>2</v>
      </c>
      <c r="E119" s="58">
        <f t="shared" si="4"/>
        <v>-571.64499999999998</v>
      </c>
      <c r="F119" s="1" t="s">
        <v>49</v>
      </c>
      <c r="G119" s="2">
        <v>46143</v>
      </c>
      <c r="H119" s="1">
        <v>81200</v>
      </c>
      <c r="J119" s="4" t="s">
        <v>52</v>
      </c>
      <c r="K119" s="4" t="s">
        <v>127</v>
      </c>
      <c r="L119" s="60">
        <v>1143.29</v>
      </c>
      <c r="M119" s="6" t="s">
        <v>1</v>
      </c>
      <c r="N119" s="7" t="s">
        <v>173</v>
      </c>
      <c r="O119" s="8">
        <v>0.5</v>
      </c>
      <c r="P119" s="5"/>
    </row>
    <row r="120" spans="1:17" x14ac:dyDescent="0.25">
      <c r="A120" s="1" t="str">
        <f t="shared" si="7"/>
        <v>CUSTO DE DROPCOPY BRL - ITAU CV S/A -  MAIO 26</v>
      </c>
      <c r="B120" s="2">
        <v>46143</v>
      </c>
      <c r="C120" s="1">
        <v>817632</v>
      </c>
      <c r="D120" s="3" t="s">
        <v>2</v>
      </c>
      <c r="E120" s="58">
        <f t="shared" si="4"/>
        <v>-2286.58</v>
      </c>
      <c r="F120" s="1" t="s">
        <v>49</v>
      </c>
      <c r="G120" s="2">
        <v>46143</v>
      </c>
      <c r="H120" s="1">
        <v>81200</v>
      </c>
      <c r="J120" s="4" t="s">
        <v>52</v>
      </c>
      <c r="K120" s="4" t="s">
        <v>111</v>
      </c>
      <c r="L120" s="60">
        <v>2286.58</v>
      </c>
      <c r="M120" s="6" t="s">
        <v>1</v>
      </c>
      <c r="N120" s="7" t="s">
        <v>173</v>
      </c>
      <c r="O120" s="8">
        <v>1</v>
      </c>
      <c r="P120" s="5"/>
    </row>
    <row r="121" spans="1:17" x14ac:dyDescent="0.25">
      <c r="A121" s="9" t="str">
        <f t="shared" si="7"/>
        <v>CUSTO DE DROPCOPY BRL - CREDIT SUISSE (BRASIL) -  MAIO 26</v>
      </c>
      <c r="B121" s="10">
        <v>46143</v>
      </c>
      <c r="C121" s="9">
        <v>817632</v>
      </c>
      <c r="D121" s="11" t="s">
        <v>98</v>
      </c>
      <c r="E121" s="57">
        <f t="shared" si="4"/>
        <v>-60.173157894736832</v>
      </c>
      <c r="F121" s="9" t="s">
        <v>49</v>
      </c>
      <c r="G121" s="10">
        <v>46143</v>
      </c>
      <c r="H121" s="9">
        <v>79978</v>
      </c>
      <c r="J121" s="12" t="s">
        <v>52</v>
      </c>
      <c r="K121" s="12" t="s">
        <v>112</v>
      </c>
      <c r="L121" s="61">
        <v>60.173157894736832</v>
      </c>
      <c r="M121" s="14" t="s">
        <v>1</v>
      </c>
      <c r="N121" s="15" t="s">
        <v>173</v>
      </c>
      <c r="O121" s="16">
        <v>1</v>
      </c>
      <c r="P121" s="13"/>
      <c r="Q121" s="76"/>
    </row>
    <row r="122" spans="1:17" x14ac:dyDescent="0.25">
      <c r="A122" s="9" t="str">
        <f t="shared" si="7"/>
        <v>CUSTO DE DROPCOPY BRL - CREDIT SUISSE (BRASIL) -  MAIO 26</v>
      </c>
      <c r="B122" s="10">
        <v>46143</v>
      </c>
      <c r="C122" s="9">
        <v>817632</v>
      </c>
      <c r="D122" s="11" t="s">
        <v>40</v>
      </c>
      <c r="E122" s="57">
        <f t="shared" si="4"/>
        <v>-962.77052631578977</v>
      </c>
      <c r="F122" s="9" t="s">
        <v>49</v>
      </c>
      <c r="G122" s="10">
        <v>46143</v>
      </c>
      <c r="H122" s="9">
        <v>79978</v>
      </c>
      <c r="J122" s="12" t="s">
        <v>52</v>
      </c>
      <c r="K122" s="12" t="s">
        <v>112</v>
      </c>
      <c r="L122" s="61">
        <v>962.77052631578977</v>
      </c>
      <c r="M122" s="14" t="s">
        <v>1</v>
      </c>
      <c r="N122" s="15" t="s">
        <v>173</v>
      </c>
      <c r="O122" s="16">
        <v>1</v>
      </c>
      <c r="P122" s="13"/>
    </row>
    <row r="123" spans="1:17" x14ac:dyDescent="0.25">
      <c r="A123" s="9" t="str">
        <f t="shared" si="7"/>
        <v>CUSTO DE DROPCOPY BRL - CREDIT SUISSE (BRASIL) -  MAIO 26</v>
      </c>
      <c r="B123" s="10">
        <v>46143</v>
      </c>
      <c r="C123" s="9">
        <v>817632</v>
      </c>
      <c r="D123" s="11" t="s">
        <v>41</v>
      </c>
      <c r="E123" s="57">
        <f t="shared" si="4"/>
        <v>-120.34631578947366</v>
      </c>
      <c r="F123" s="9" t="s">
        <v>49</v>
      </c>
      <c r="G123" s="10">
        <v>46143</v>
      </c>
      <c r="H123" s="9">
        <v>79978</v>
      </c>
      <c r="J123" s="12" t="s">
        <v>52</v>
      </c>
      <c r="K123" s="12" t="s">
        <v>112</v>
      </c>
      <c r="L123" s="61">
        <v>120.34631578947366</v>
      </c>
      <c r="M123" s="14" t="s">
        <v>1</v>
      </c>
      <c r="N123" s="15" t="s">
        <v>173</v>
      </c>
      <c r="O123" s="16">
        <v>1</v>
      </c>
      <c r="P123" s="13"/>
    </row>
    <row r="124" spans="1:17" x14ac:dyDescent="0.25">
      <c r="A124" s="18" t="str">
        <f t="shared" si="7"/>
        <v>CUSTO DE DROPCOPY BRL - KAPITALO INVESTIMENTOS LTDA -  MAIO 26</v>
      </c>
      <c r="B124" s="19">
        <v>46143</v>
      </c>
      <c r="C124" s="18">
        <v>817632</v>
      </c>
      <c r="D124" s="20" t="s">
        <v>2</v>
      </c>
      <c r="E124" s="55">
        <f t="shared" si="4"/>
        <v>-2286.58</v>
      </c>
      <c r="F124" s="18" t="s">
        <v>49</v>
      </c>
      <c r="G124" s="19">
        <v>46143</v>
      </c>
      <c r="H124" s="18">
        <v>80392</v>
      </c>
      <c r="J124" s="21" t="s">
        <v>52</v>
      </c>
      <c r="K124" s="21" t="s">
        <v>113</v>
      </c>
      <c r="L124" s="63">
        <v>2286.58</v>
      </c>
      <c r="M124" s="23" t="s">
        <v>1</v>
      </c>
      <c r="N124" s="24" t="s">
        <v>173</v>
      </c>
      <c r="O124" s="25">
        <v>1</v>
      </c>
      <c r="P124" s="22"/>
    </row>
    <row r="125" spans="1:17" x14ac:dyDescent="0.25">
      <c r="A125" s="18" t="str">
        <f t="shared" si="7"/>
        <v>CUSTO DE DROPCOPY BRL - VINLAND CAPITAL -  MAIO 26</v>
      </c>
      <c r="B125" s="19">
        <v>46143</v>
      </c>
      <c r="C125" s="18">
        <v>817632</v>
      </c>
      <c r="D125" s="20" t="s">
        <v>95</v>
      </c>
      <c r="E125" s="55">
        <f t="shared" si="4"/>
        <v>-756.71</v>
      </c>
      <c r="F125" s="18" t="s">
        <v>49</v>
      </c>
      <c r="G125" s="19">
        <v>46143</v>
      </c>
      <c r="H125" s="18">
        <v>80359</v>
      </c>
      <c r="J125" s="21" t="s">
        <v>52</v>
      </c>
      <c r="K125" s="21" t="s">
        <v>121</v>
      </c>
      <c r="L125" s="63">
        <v>756.71</v>
      </c>
      <c r="M125" s="23" t="s">
        <v>1</v>
      </c>
      <c r="N125" s="24" t="s">
        <v>173</v>
      </c>
      <c r="O125" s="25">
        <v>1</v>
      </c>
      <c r="P125" s="22"/>
    </row>
    <row r="126" spans="1:17" x14ac:dyDescent="0.25">
      <c r="A126" s="18" t="str">
        <f t="shared" si="7"/>
        <v>CUSTO DE DROPCOPY BRL - SCHONFELD -  MAIO 26</v>
      </c>
      <c r="B126" s="19">
        <v>46143</v>
      </c>
      <c r="C126" s="18">
        <v>817632</v>
      </c>
      <c r="D126" s="20" t="s">
        <v>95</v>
      </c>
      <c r="E126" s="55">
        <f t="shared" si="4"/>
        <v>-661.75</v>
      </c>
      <c r="F126" s="18" t="s">
        <v>49</v>
      </c>
      <c r="G126" s="19">
        <v>46143</v>
      </c>
      <c r="H126" s="18">
        <v>83063</v>
      </c>
      <c r="J126" s="21" t="s">
        <v>52</v>
      </c>
      <c r="K126" s="4" t="s">
        <v>143</v>
      </c>
      <c r="L126" s="63">
        <v>661.75</v>
      </c>
      <c r="M126" s="23" t="s">
        <v>1</v>
      </c>
      <c r="N126" s="24" t="s">
        <v>173</v>
      </c>
      <c r="O126" s="25">
        <v>1</v>
      </c>
      <c r="P126" s="5"/>
    </row>
    <row r="127" spans="1:17" x14ac:dyDescent="0.25">
      <c r="A127" s="18" t="str">
        <f t="shared" si="7"/>
        <v>CUSTO DE DROPCOPY BRL - AGUILA CAPITAL ADM -  MAIO 26</v>
      </c>
      <c r="B127" s="19">
        <v>46143</v>
      </c>
      <c r="C127" s="18">
        <v>817632</v>
      </c>
      <c r="D127" s="20" t="s">
        <v>133</v>
      </c>
      <c r="E127" s="55">
        <f t="shared" si="4"/>
        <v>-425</v>
      </c>
      <c r="F127" s="18" t="s">
        <v>49</v>
      </c>
      <c r="G127" s="19">
        <v>46143</v>
      </c>
      <c r="H127" s="18">
        <v>12397</v>
      </c>
      <c r="J127" s="21" t="s">
        <v>52</v>
      </c>
      <c r="K127" s="21" t="s">
        <v>134</v>
      </c>
      <c r="L127" s="63">
        <v>425</v>
      </c>
      <c r="M127" s="6" t="s">
        <v>1</v>
      </c>
      <c r="N127" s="7" t="s">
        <v>173</v>
      </c>
      <c r="O127" s="25">
        <v>1</v>
      </c>
      <c r="P127" s="67"/>
      <c r="Q127" s="17" t="s">
        <v>135</v>
      </c>
    </row>
  </sheetData>
  <autoFilter ref="A1:P127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45FD-4BB0-4118-BC98-E4B0BE27EEA1}">
  <sheetPr codeName="Sheet8"/>
  <dimension ref="A1:Q129"/>
  <sheetViews>
    <sheetView tabSelected="1" zoomScaleNormal="100" workbookViewId="0"/>
  </sheetViews>
  <sheetFormatPr defaultRowHeight="15" x14ac:dyDescent="0.25"/>
  <cols>
    <col min="1" max="1" width="40" customWidth="1"/>
    <col min="2" max="2" width="14.7109375" bestFit="1" customWidth="1"/>
    <col min="3" max="3" width="10.7109375" bestFit="1" customWidth="1"/>
    <col min="4" max="4" width="29" bestFit="1" customWidth="1"/>
    <col min="5" max="5" width="9.7109375" customWidth="1"/>
    <col min="6" max="6" width="15.140625" bestFit="1" customWidth="1"/>
    <col min="7" max="7" width="14.5703125" bestFit="1" customWidth="1"/>
    <col min="8" max="8" width="14.140625" bestFit="1" customWidth="1"/>
    <col min="9" max="9" width="3.28515625" customWidth="1"/>
    <col min="10" max="10" width="18" bestFit="1" customWidth="1"/>
    <col min="11" max="11" width="34" bestFit="1" customWidth="1"/>
    <col min="12" max="12" width="10.28515625" bestFit="1" customWidth="1"/>
    <col min="13" max="13" width="6" bestFit="1" customWidth="1"/>
    <col min="14" max="14" width="10.140625" bestFit="1" customWidth="1"/>
    <col min="15" max="15" width="9.28515625" bestFit="1" customWidth="1"/>
    <col min="16" max="16" width="8.85546875" bestFit="1" customWidth="1"/>
    <col min="17" max="17" width="17.7109375" bestFit="1" customWidth="1"/>
  </cols>
  <sheetData>
    <row r="1" spans="1:17" x14ac:dyDescent="0.25">
      <c r="A1" s="26" t="s">
        <v>23</v>
      </c>
      <c r="B1" s="27" t="s">
        <v>24</v>
      </c>
      <c r="C1" s="26" t="s">
        <v>25</v>
      </c>
      <c r="D1" s="26" t="s">
        <v>26</v>
      </c>
      <c r="E1" s="28" t="s">
        <v>27</v>
      </c>
      <c r="F1" s="26" t="s">
        <v>28</v>
      </c>
      <c r="G1" s="27" t="s">
        <v>29</v>
      </c>
      <c r="H1" s="26" t="s">
        <v>30</v>
      </c>
      <c r="J1" s="29" t="s">
        <v>31</v>
      </c>
      <c r="K1" s="29" t="s">
        <v>32</v>
      </c>
      <c r="L1" s="30" t="s">
        <v>27</v>
      </c>
      <c r="M1" s="31" t="s">
        <v>33</v>
      </c>
      <c r="N1" s="29" t="s">
        <v>34</v>
      </c>
      <c r="O1" s="32" t="s">
        <v>35</v>
      </c>
      <c r="P1" s="33"/>
    </row>
    <row r="2" spans="1:17" x14ac:dyDescent="0.25">
      <c r="A2" s="9" t="str">
        <f t="shared" ref="A2:A45" si="0">CONCATENATE(J2,P2,M2,K2,M2,Q2,M2,N2)</f>
        <v>CUSTO DE DROPCOPY USD - BANCO SANTANDER S.A (HISPANO) - ROGERIO ENDO -  JUNHO 26</v>
      </c>
      <c r="B2" s="10">
        <v>46174</v>
      </c>
      <c r="C2" s="9">
        <v>817632</v>
      </c>
      <c r="D2" s="11" t="s">
        <v>40</v>
      </c>
      <c r="E2" s="57">
        <f>-L2*O2</f>
        <v>-352.25210019999997</v>
      </c>
      <c r="F2" s="9" t="s">
        <v>12</v>
      </c>
      <c r="G2" s="10">
        <v>46174</v>
      </c>
      <c r="H2" s="9">
        <v>80195</v>
      </c>
      <c r="J2" s="12" t="s">
        <v>36</v>
      </c>
      <c r="K2" s="12" t="s">
        <v>39</v>
      </c>
      <c r="L2" s="78">
        <v>352.25210019999997</v>
      </c>
      <c r="M2" s="14" t="s">
        <v>1</v>
      </c>
      <c r="N2" s="15" t="s">
        <v>174</v>
      </c>
      <c r="O2" s="16">
        <v>1</v>
      </c>
      <c r="P2" s="13"/>
      <c r="Q2" s="17" t="s">
        <v>14</v>
      </c>
    </row>
    <row r="3" spans="1:17" x14ac:dyDescent="0.25">
      <c r="A3" s="9" t="str">
        <f t="shared" si="0"/>
        <v>CUSTO DE DROPCOPY USD - BANCO SANTANDER (BRASIL) S/A - BRUNO BERNARDES -  JUNHO 26</v>
      </c>
      <c r="B3" s="10">
        <v>46174</v>
      </c>
      <c r="C3" s="9">
        <v>817632</v>
      </c>
      <c r="D3" s="11" t="s">
        <v>40</v>
      </c>
      <c r="E3" s="57">
        <f t="shared" ref="E3:E76" si="1">-L3*O3</f>
        <v>-352.25210019999997</v>
      </c>
      <c r="F3" s="9" t="s">
        <v>12</v>
      </c>
      <c r="G3" s="10">
        <v>46174</v>
      </c>
      <c r="H3" s="9">
        <v>80015</v>
      </c>
      <c r="J3" s="12" t="s">
        <v>36</v>
      </c>
      <c r="K3" s="12" t="s">
        <v>13</v>
      </c>
      <c r="L3" s="78">
        <v>352.25210019999997</v>
      </c>
      <c r="M3" s="14" t="s">
        <v>1</v>
      </c>
      <c r="N3" s="15" t="s">
        <v>174</v>
      </c>
      <c r="O3" s="16">
        <v>1</v>
      </c>
      <c r="P3" s="13"/>
      <c r="Q3" s="17" t="s">
        <v>16</v>
      </c>
    </row>
    <row r="4" spans="1:17" x14ac:dyDescent="0.25">
      <c r="A4" s="9" t="str">
        <f t="shared" si="0"/>
        <v>CUSTO DE DROPCOPY USD - BANCO SANTANDER (BRASIL) S/A - LUDMILA TRECHAU -  JUNHO 26</v>
      </c>
      <c r="B4" s="10">
        <v>46174</v>
      </c>
      <c r="C4" s="9">
        <v>817632</v>
      </c>
      <c r="D4" s="11" t="s">
        <v>15</v>
      </c>
      <c r="E4" s="57">
        <f t="shared" si="1"/>
        <v>-352.25210019999997</v>
      </c>
      <c r="F4" s="9" t="s">
        <v>12</v>
      </c>
      <c r="G4" s="10">
        <v>46174</v>
      </c>
      <c r="H4" s="9">
        <v>14479</v>
      </c>
      <c r="J4" s="12" t="s">
        <v>36</v>
      </c>
      <c r="K4" s="12" t="s">
        <v>13</v>
      </c>
      <c r="L4" s="78">
        <v>352.25210019999997</v>
      </c>
      <c r="M4" s="14" t="s">
        <v>1</v>
      </c>
      <c r="N4" s="15" t="s">
        <v>174</v>
      </c>
      <c r="O4" s="16">
        <v>1</v>
      </c>
      <c r="P4" s="13"/>
      <c r="Q4" s="17" t="s">
        <v>175</v>
      </c>
    </row>
    <row r="5" spans="1:17" x14ac:dyDescent="0.25">
      <c r="A5" s="9" t="str">
        <f t="shared" si="0"/>
        <v>CUSTO DE DROPCOPY USD - BANCO SANTANDER S.A (HISPANO) - RODRIGO FERNANDEZ -  JUNHO 26</v>
      </c>
      <c r="B5" s="10">
        <v>46174</v>
      </c>
      <c r="C5" s="9">
        <v>817632</v>
      </c>
      <c r="D5" s="11" t="s">
        <v>15</v>
      </c>
      <c r="E5" s="57">
        <f t="shared" si="1"/>
        <v>-352.25210019999997</v>
      </c>
      <c r="F5" s="9" t="s">
        <v>12</v>
      </c>
      <c r="G5" s="10">
        <v>46174</v>
      </c>
      <c r="H5" s="9">
        <v>80195</v>
      </c>
      <c r="J5" s="12" t="s">
        <v>36</v>
      </c>
      <c r="K5" s="12" t="s">
        <v>39</v>
      </c>
      <c r="L5" s="78">
        <v>352.25210019999997</v>
      </c>
      <c r="M5" s="14" t="s">
        <v>1</v>
      </c>
      <c r="N5" s="15" t="s">
        <v>174</v>
      </c>
      <c r="O5" s="16">
        <v>1</v>
      </c>
      <c r="P5" s="13"/>
      <c r="Q5" s="17" t="s">
        <v>17</v>
      </c>
    </row>
    <row r="6" spans="1:17" x14ac:dyDescent="0.25">
      <c r="A6" s="9" t="str">
        <f t="shared" si="0"/>
        <v>CUSTO DE DROPCOPY USD - BANCO SANTANDER (BRASIL) S/A - GIOVANNE TELES -  JUNHO 26</v>
      </c>
      <c r="B6" s="10">
        <v>46174</v>
      </c>
      <c r="C6" s="9">
        <v>817632</v>
      </c>
      <c r="D6" s="11" t="s">
        <v>11</v>
      </c>
      <c r="E6" s="57">
        <f t="shared" si="1"/>
        <v>-352.25210019999997</v>
      </c>
      <c r="F6" s="9" t="s">
        <v>12</v>
      </c>
      <c r="G6" s="10">
        <v>46174</v>
      </c>
      <c r="H6" s="9">
        <v>14479</v>
      </c>
      <c r="J6" s="12" t="s">
        <v>36</v>
      </c>
      <c r="K6" s="12" t="s">
        <v>13</v>
      </c>
      <c r="L6" s="78">
        <v>352.25210019999997</v>
      </c>
      <c r="M6" s="14" t="s">
        <v>1</v>
      </c>
      <c r="N6" s="15" t="s">
        <v>174</v>
      </c>
      <c r="O6" s="16">
        <v>1</v>
      </c>
      <c r="P6" s="13"/>
      <c r="Q6" s="17" t="s">
        <v>87</v>
      </c>
    </row>
    <row r="7" spans="1:17" x14ac:dyDescent="0.25">
      <c r="A7" s="9" t="str">
        <f t="shared" ref="A7" si="2">CONCATENATE(J7,P7,M7,K7,M7,Q7,M7,N7)</f>
        <v>CUSTO DE DROPCOPY USD - BANCO SANTANDER (BRASIL) S/A - MARCELO MACHADO -  JUNHO 26</v>
      </c>
      <c r="B7" s="10">
        <v>46174</v>
      </c>
      <c r="C7" s="9">
        <v>817632</v>
      </c>
      <c r="D7" s="11" t="s">
        <v>107</v>
      </c>
      <c r="E7" s="57">
        <f t="shared" ref="E7" si="3">-L7*O7</f>
        <v>-352.25210019999997</v>
      </c>
      <c r="F7" s="9" t="s">
        <v>12</v>
      </c>
      <c r="G7" s="10">
        <v>46174</v>
      </c>
      <c r="H7" s="9">
        <v>14479</v>
      </c>
      <c r="J7" s="12" t="s">
        <v>36</v>
      </c>
      <c r="K7" s="12" t="s">
        <v>13</v>
      </c>
      <c r="L7" s="78">
        <v>352.25210019999997</v>
      </c>
      <c r="M7" s="14" t="s">
        <v>1</v>
      </c>
      <c r="N7" s="15" t="s">
        <v>174</v>
      </c>
      <c r="O7" s="16">
        <v>1</v>
      </c>
      <c r="P7" s="13"/>
      <c r="Q7" s="17" t="s">
        <v>176</v>
      </c>
    </row>
    <row r="8" spans="1:17" x14ac:dyDescent="0.25">
      <c r="A8" s="9" t="str">
        <f t="shared" ref="A8" si="4">CONCATENATE(J8,P8,M8,K8,M8,Q8,M8,N8)</f>
        <v>CUSTO DE DROPCOPY USD - BANCO SANTANDER (BRASIL) S/A - ALESSANDRO ORTENBLAD -  JUNHO 26</v>
      </c>
      <c r="B8" s="10">
        <v>46174</v>
      </c>
      <c r="C8" s="9">
        <v>817632</v>
      </c>
      <c r="D8" s="11" t="s">
        <v>107</v>
      </c>
      <c r="E8" s="57">
        <f t="shared" ref="E8" si="5">-L8*O8</f>
        <v>-352.25210019999997</v>
      </c>
      <c r="F8" s="9" t="s">
        <v>12</v>
      </c>
      <c r="G8" s="10">
        <v>46174</v>
      </c>
      <c r="H8" s="9">
        <v>14479</v>
      </c>
      <c r="J8" s="12" t="s">
        <v>36</v>
      </c>
      <c r="K8" s="12" t="s">
        <v>13</v>
      </c>
      <c r="L8" s="78">
        <v>352.25210019999997</v>
      </c>
      <c r="M8" s="14" t="s">
        <v>1</v>
      </c>
      <c r="N8" s="15" t="s">
        <v>174</v>
      </c>
      <c r="O8" s="16">
        <v>1</v>
      </c>
      <c r="P8" s="13"/>
      <c r="Q8" s="17" t="s">
        <v>180</v>
      </c>
    </row>
    <row r="9" spans="1:17" x14ac:dyDescent="0.25">
      <c r="A9" s="1" t="str">
        <f t="shared" si="0"/>
        <v>CUSTO DE DROPCOPY USD - BANCO SANTANDER (BRASIL) S/A - ALESSANDRO EZEQUIEL -  JUNHO 26</v>
      </c>
      <c r="B9" s="2">
        <v>46174</v>
      </c>
      <c r="C9" s="1">
        <v>817632</v>
      </c>
      <c r="D9" s="3" t="s">
        <v>105</v>
      </c>
      <c r="E9" s="58">
        <f t="shared" si="1"/>
        <v>-352.25210019999997</v>
      </c>
      <c r="F9" s="1" t="s">
        <v>12</v>
      </c>
      <c r="G9" s="2">
        <v>46174</v>
      </c>
      <c r="H9" s="1">
        <v>14479</v>
      </c>
      <c r="J9" s="4" t="s">
        <v>36</v>
      </c>
      <c r="K9" s="4" t="s">
        <v>13</v>
      </c>
      <c r="L9" s="79">
        <v>352.25210019999997</v>
      </c>
      <c r="M9" s="6" t="s">
        <v>1</v>
      </c>
      <c r="N9" s="7" t="s">
        <v>174</v>
      </c>
      <c r="O9" s="8">
        <v>1</v>
      </c>
      <c r="P9" s="5"/>
      <c r="Q9" s="64" t="s">
        <v>125</v>
      </c>
    </row>
    <row r="10" spans="1:17" x14ac:dyDescent="0.25">
      <c r="A10" s="9" t="str">
        <f t="shared" si="0"/>
        <v>CUSTO DE DROPCOPY USD - HAITONG BANCO  - MATHEUS FERNANDES (632) -  JUNHO 26</v>
      </c>
      <c r="B10" s="10">
        <v>46174</v>
      </c>
      <c r="C10" s="9">
        <v>817632</v>
      </c>
      <c r="D10" s="44" t="s">
        <v>41</v>
      </c>
      <c r="E10" s="57">
        <f t="shared" si="1"/>
        <v>-1409.0084007999999</v>
      </c>
      <c r="F10" s="9" t="s">
        <v>12</v>
      </c>
      <c r="G10" s="10">
        <v>46174</v>
      </c>
      <c r="H10" s="9">
        <v>80041</v>
      </c>
      <c r="J10" s="12" t="s">
        <v>36</v>
      </c>
      <c r="K10" s="12" t="s">
        <v>119</v>
      </c>
      <c r="L10" s="80">
        <v>2818.0168015999998</v>
      </c>
      <c r="M10" s="14" t="s">
        <v>1</v>
      </c>
      <c r="N10" s="15" t="s">
        <v>174</v>
      </c>
      <c r="O10" s="16">
        <v>0.5</v>
      </c>
      <c r="P10" s="13"/>
      <c r="Q10" s="17" t="s">
        <v>92</v>
      </c>
    </row>
    <row r="11" spans="1:17" x14ac:dyDescent="0.25">
      <c r="A11" s="9" t="str">
        <f t="shared" si="0"/>
        <v>CUSTO DE DROPCOPY USD - HAITONG BANCO  - MATHEUS FERNANDES (632) -  JUNHO 26</v>
      </c>
      <c r="B11" s="2">
        <v>46174</v>
      </c>
      <c r="C11" s="1">
        <v>817632</v>
      </c>
      <c r="D11" s="3" t="s">
        <v>15</v>
      </c>
      <c r="E11" s="58">
        <f t="shared" si="1"/>
        <v>-1409.0084007999999</v>
      </c>
      <c r="F11" s="1" t="s">
        <v>12</v>
      </c>
      <c r="G11" s="2">
        <v>46174</v>
      </c>
      <c r="H11" s="1">
        <v>80041</v>
      </c>
      <c r="J11" s="4" t="s">
        <v>36</v>
      </c>
      <c r="K11" s="4" t="s">
        <v>119</v>
      </c>
      <c r="L11" s="79">
        <v>2818.0168015999998</v>
      </c>
      <c r="M11" s="6" t="s">
        <v>1</v>
      </c>
      <c r="N11" s="7" t="s">
        <v>174</v>
      </c>
      <c r="O11" s="8">
        <v>0.5</v>
      </c>
      <c r="P11" s="5"/>
      <c r="Q11" s="64" t="s">
        <v>92</v>
      </c>
    </row>
    <row r="12" spans="1:17" x14ac:dyDescent="0.25">
      <c r="A12" s="18" t="str">
        <f t="shared" si="0"/>
        <v>CUSTO DE DROPCOPY USD - ITAU UNIBANCO S/A - EDUARDO MORGAO -  JUNHO 26</v>
      </c>
      <c r="B12" s="2">
        <v>46174</v>
      </c>
      <c r="C12" s="1">
        <v>817632</v>
      </c>
      <c r="D12" s="3" t="s">
        <v>2</v>
      </c>
      <c r="E12" s="58">
        <f t="shared" si="1"/>
        <v>-2818.0168015999998</v>
      </c>
      <c r="F12" s="1" t="s">
        <v>12</v>
      </c>
      <c r="G12" s="2">
        <v>46174</v>
      </c>
      <c r="H12" s="1">
        <v>79806</v>
      </c>
      <c r="J12" s="4" t="s">
        <v>36</v>
      </c>
      <c r="K12" s="4" t="s">
        <v>42</v>
      </c>
      <c r="L12" s="79">
        <v>2818.0168015999998</v>
      </c>
      <c r="M12" s="6" t="s">
        <v>1</v>
      </c>
      <c r="N12" s="24" t="s">
        <v>174</v>
      </c>
      <c r="O12" s="8">
        <v>1</v>
      </c>
      <c r="P12" s="5"/>
      <c r="Q12" s="65" t="s">
        <v>8</v>
      </c>
    </row>
    <row r="13" spans="1:17" x14ac:dyDescent="0.25">
      <c r="A13" s="9" t="str">
        <f t="shared" si="0"/>
        <v>CUSTO DE DROPCOPY USD - BRAZA BANK S/A BANCO DE CAMBIO - GUSTAVO BEVILACQUA -  JUNHO 26</v>
      </c>
      <c r="B13" s="10">
        <v>46174</v>
      </c>
      <c r="C13" s="9">
        <v>817632</v>
      </c>
      <c r="D13" s="11" t="s">
        <v>20</v>
      </c>
      <c r="E13" s="57">
        <f t="shared" si="1"/>
        <v>-1409.0084007999999</v>
      </c>
      <c r="F13" s="9" t="s">
        <v>12</v>
      </c>
      <c r="G13" s="10">
        <v>46174</v>
      </c>
      <c r="H13" s="9">
        <v>80213</v>
      </c>
      <c r="J13" s="12" t="s">
        <v>36</v>
      </c>
      <c r="K13" s="12" t="s">
        <v>51</v>
      </c>
      <c r="L13" s="80">
        <v>1409.0084007999999</v>
      </c>
      <c r="M13" s="14" t="s">
        <v>1</v>
      </c>
      <c r="N13" s="15" t="s">
        <v>174</v>
      </c>
      <c r="O13" s="16">
        <v>1</v>
      </c>
      <c r="P13" s="13"/>
      <c r="Q13" s="17" t="s">
        <v>131</v>
      </c>
    </row>
    <row r="14" spans="1:17" x14ac:dyDescent="0.25">
      <c r="A14" s="1" t="str">
        <f t="shared" si="0"/>
        <v>CUSTO DE DROPCOPY USD - BRAZA BANK S/A BANCO DE CAMBIO - BRUNO PEROTTONI -  JUNHO 26</v>
      </c>
      <c r="B14" s="2">
        <v>46174</v>
      </c>
      <c r="C14" s="1">
        <v>817632</v>
      </c>
      <c r="D14" s="3" t="s">
        <v>20</v>
      </c>
      <c r="E14" s="58">
        <f t="shared" si="1"/>
        <v>-1409.0084007999999</v>
      </c>
      <c r="F14" s="1" t="s">
        <v>12</v>
      </c>
      <c r="G14" s="2">
        <v>46174</v>
      </c>
      <c r="H14" s="1">
        <v>80213</v>
      </c>
      <c r="I14" s="34"/>
      <c r="J14" s="4" t="s">
        <v>36</v>
      </c>
      <c r="K14" s="4" t="s">
        <v>51</v>
      </c>
      <c r="L14" s="79">
        <v>1409.0084007999999</v>
      </c>
      <c r="M14" s="6" t="s">
        <v>1</v>
      </c>
      <c r="N14" s="7" t="s">
        <v>174</v>
      </c>
      <c r="O14" s="8">
        <v>1</v>
      </c>
      <c r="P14" s="5"/>
      <c r="Q14" s="64" t="s">
        <v>21</v>
      </c>
    </row>
    <row r="15" spans="1:17" x14ac:dyDescent="0.25">
      <c r="A15" s="1" t="str">
        <f t="shared" si="0"/>
        <v>CUSTO DE DROPCOPY USD - BANCO DA CHINA BRASIL S/A - ANDRE F LOURETTI -  JUNHO 26</v>
      </c>
      <c r="B15" s="2">
        <v>46174</v>
      </c>
      <c r="C15" s="1">
        <v>817632</v>
      </c>
      <c r="D15" s="3" t="s">
        <v>43</v>
      </c>
      <c r="E15" s="58">
        <f t="shared" si="1"/>
        <v>-2818.0168015999998</v>
      </c>
      <c r="F15" s="1" t="s">
        <v>12</v>
      </c>
      <c r="G15" s="2">
        <v>46174</v>
      </c>
      <c r="H15" s="1">
        <v>80320</v>
      </c>
      <c r="J15" s="4" t="s">
        <v>36</v>
      </c>
      <c r="K15" s="4" t="s">
        <v>177</v>
      </c>
      <c r="L15" s="79">
        <v>2818.0168015999998</v>
      </c>
      <c r="M15" s="6" t="s">
        <v>1</v>
      </c>
      <c r="N15" s="7" t="s">
        <v>174</v>
      </c>
      <c r="O15" s="8">
        <v>1</v>
      </c>
      <c r="P15" s="5"/>
      <c r="Q15" s="64" t="s">
        <v>178</v>
      </c>
    </row>
    <row r="16" spans="1:17" x14ac:dyDescent="0.25">
      <c r="A16" s="1" t="str">
        <f t="shared" si="0"/>
        <v>CUSTO DE DROPCOPY USD - BANCO BRADESCO S/A - CAOE MARTINS -  JUNHO 26</v>
      </c>
      <c r="B16" s="2">
        <v>46174</v>
      </c>
      <c r="C16" s="1">
        <v>817632</v>
      </c>
      <c r="D16" s="3" t="s">
        <v>2</v>
      </c>
      <c r="E16" s="58">
        <f t="shared" si="1"/>
        <v>-1409.0084007999999</v>
      </c>
      <c r="F16" s="1" t="s">
        <v>12</v>
      </c>
      <c r="G16" s="2">
        <v>46174</v>
      </c>
      <c r="H16" s="1">
        <v>81502</v>
      </c>
      <c r="J16" s="4" t="s">
        <v>36</v>
      </c>
      <c r="K16" s="4" t="s">
        <v>3</v>
      </c>
      <c r="L16" s="79">
        <v>1409.0084007999999</v>
      </c>
      <c r="M16" s="6" t="s">
        <v>1</v>
      </c>
      <c r="N16" s="7" t="s">
        <v>174</v>
      </c>
      <c r="O16" s="8">
        <v>1</v>
      </c>
      <c r="P16" s="5"/>
      <c r="Q16" s="64" t="s">
        <v>128</v>
      </c>
    </row>
    <row r="17" spans="1:17" x14ac:dyDescent="0.25">
      <c r="A17" s="1" t="str">
        <f t="shared" si="0"/>
        <v>CUSTO DE DROPCOPY USD - BANCO BRADESCO S/A - JOAO VITOR CAIRES ALVES -  JUNHO 26</v>
      </c>
      <c r="B17" s="2">
        <v>46174</v>
      </c>
      <c r="C17" s="1">
        <v>817632</v>
      </c>
      <c r="D17" s="3" t="s">
        <v>2</v>
      </c>
      <c r="E17" s="58">
        <f t="shared" si="1"/>
        <v>-1409.0084007999999</v>
      </c>
      <c r="F17" s="1" t="s">
        <v>12</v>
      </c>
      <c r="G17" s="2">
        <v>46174</v>
      </c>
      <c r="H17" s="1">
        <v>81502</v>
      </c>
      <c r="J17" s="4" t="s">
        <v>36</v>
      </c>
      <c r="K17" s="4" t="s">
        <v>3</v>
      </c>
      <c r="L17" s="79">
        <v>1409.0084007999999</v>
      </c>
      <c r="M17" s="6" t="s">
        <v>1</v>
      </c>
      <c r="N17" s="7" t="s">
        <v>174</v>
      </c>
      <c r="O17" s="8">
        <v>1</v>
      </c>
      <c r="P17" s="5"/>
      <c r="Q17" s="64" t="s">
        <v>5</v>
      </c>
    </row>
    <row r="18" spans="1:17" x14ac:dyDescent="0.25">
      <c r="A18" s="1" t="str">
        <f t="shared" si="0"/>
        <v>CUSTO DE DROPCOPY USD - BANCO BRADESCO S/A - ALESSANDRO DRAGO -  JUNHO 26</v>
      </c>
      <c r="B18" s="2">
        <v>46174</v>
      </c>
      <c r="C18" s="1">
        <v>817632</v>
      </c>
      <c r="D18" s="3" t="s">
        <v>2</v>
      </c>
      <c r="E18" s="58">
        <f t="shared" si="1"/>
        <v>-939.33893386666659</v>
      </c>
      <c r="F18" s="1" t="s">
        <v>12</v>
      </c>
      <c r="G18" s="2">
        <v>46174</v>
      </c>
      <c r="H18" s="1">
        <v>81502</v>
      </c>
      <c r="J18" s="4" t="s">
        <v>36</v>
      </c>
      <c r="K18" s="4" t="s">
        <v>3</v>
      </c>
      <c r="L18" s="79">
        <v>939.33893386666659</v>
      </c>
      <c r="M18" s="6" t="s">
        <v>1</v>
      </c>
      <c r="N18" s="7" t="s">
        <v>174</v>
      </c>
      <c r="O18" s="8">
        <v>1</v>
      </c>
      <c r="P18" s="5"/>
      <c r="Q18" s="64" t="s">
        <v>137</v>
      </c>
    </row>
    <row r="19" spans="1:17" x14ac:dyDescent="0.25">
      <c r="A19" s="1" t="str">
        <f t="shared" si="0"/>
        <v>CUSTO DE DROPCOPY USD - BANCO BRADESCO S/A - LUCAS HORI -  JUNHO 26</v>
      </c>
      <c r="B19" s="2">
        <v>46174</v>
      </c>
      <c r="C19" s="1">
        <v>817632</v>
      </c>
      <c r="D19" s="3" t="s">
        <v>2</v>
      </c>
      <c r="E19" s="58">
        <f t="shared" si="1"/>
        <v>-939.33893386666659</v>
      </c>
      <c r="F19" s="1" t="s">
        <v>12</v>
      </c>
      <c r="G19" s="2">
        <v>46174</v>
      </c>
      <c r="H19" s="1">
        <v>81502</v>
      </c>
      <c r="J19" s="4" t="s">
        <v>36</v>
      </c>
      <c r="K19" s="4" t="s">
        <v>3</v>
      </c>
      <c r="L19" s="79">
        <v>939.33893386666659</v>
      </c>
      <c r="M19" s="6" t="s">
        <v>1</v>
      </c>
      <c r="N19" s="7" t="s">
        <v>174</v>
      </c>
      <c r="O19" s="8">
        <v>1</v>
      </c>
      <c r="P19" s="5"/>
      <c r="Q19" s="64" t="s">
        <v>138</v>
      </c>
    </row>
    <row r="20" spans="1:17" x14ac:dyDescent="0.25">
      <c r="A20" s="1" t="str">
        <f t="shared" si="0"/>
        <v>CUSTO DE DROPCOPY USD - BANCO BRADESCO S/A - GLAYSON PATRICIO -  JUNHO 26</v>
      </c>
      <c r="B20" s="2">
        <v>46174</v>
      </c>
      <c r="C20" s="1">
        <v>817632</v>
      </c>
      <c r="D20" s="3" t="s">
        <v>107</v>
      </c>
      <c r="E20" s="58">
        <f t="shared" si="1"/>
        <v>-939.33893386666659</v>
      </c>
      <c r="F20" s="1" t="s">
        <v>12</v>
      </c>
      <c r="G20" s="2">
        <v>46174</v>
      </c>
      <c r="H20" s="1">
        <v>81502</v>
      </c>
      <c r="J20" s="4" t="s">
        <v>36</v>
      </c>
      <c r="K20" s="4" t="s">
        <v>3</v>
      </c>
      <c r="L20" s="79">
        <v>939.33893386666659</v>
      </c>
      <c r="M20" s="6" t="s">
        <v>1</v>
      </c>
      <c r="N20" s="7" t="s">
        <v>174</v>
      </c>
      <c r="O20" s="8">
        <v>1</v>
      </c>
      <c r="P20" s="5"/>
      <c r="Q20" s="64" t="s">
        <v>140</v>
      </c>
    </row>
    <row r="21" spans="1:17" x14ac:dyDescent="0.25">
      <c r="A21" s="9" t="str">
        <f t="shared" si="0"/>
        <v>CUSTO DE DROPCOPY USD - BANCO BRADESCO S/A - GABRIEL BORINI -  JUNHO 26</v>
      </c>
      <c r="B21" s="10">
        <v>46174</v>
      </c>
      <c r="C21" s="9">
        <v>817632</v>
      </c>
      <c r="D21" s="11" t="s">
        <v>2</v>
      </c>
      <c r="E21" s="57">
        <f>-L21*O21</f>
        <v>-81.017543034999989</v>
      </c>
      <c r="F21" s="9" t="s">
        <v>0</v>
      </c>
      <c r="G21" s="10">
        <v>46174</v>
      </c>
      <c r="H21" s="9">
        <v>81503</v>
      </c>
      <c r="J21" s="12" t="s">
        <v>36</v>
      </c>
      <c r="K21" s="12" t="s">
        <v>3</v>
      </c>
      <c r="L21" s="80">
        <v>162.03508606999998</v>
      </c>
      <c r="M21" s="14" t="s">
        <v>1</v>
      </c>
      <c r="N21" s="15" t="s">
        <v>174</v>
      </c>
      <c r="O21" s="16">
        <v>0.5</v>
      </c>
      <c r="P21" s="13"/>
      <c r="Q21" s="17" t="s">
        <v>4</v>
      </c>
    </row>
    <row r="22" spans="1:17" x14ac:dyDescent="0.25">
      <c r="A22" s="9" t="str">
        <f t="shared" si="0"/>
        <v>CUSTO DE DROPCOPY USD - BANCO BRADESCO S/A - GABRIEL BORINI -  JUNHO 26</v>
      </c>
      <c r="B22" s="10">
        <v>46174</v>
      </c>
      <c r="C22" s="9">
        <v>817632</v>
      </c>
      <c r="D22" s="11" t="s">
        <v>91</v>
      </c>
      <c r="E22" s="57">
        <f>-L22*O22</f>
        <v>-81.017543034999989</v>
      </c>
      <c r="F22" s="9" t="s">
        <v>0</v>
      </c>
      <c r="G22" s="10">
        <v>46174</v>
      </c>
      <c r="H22" s="9">
        <v>81503</v>
      </c>
      <c r="J22" s="12" t="s">
        <v>36</v>
      </c>
      <c r="K22" s="12" t="s">
        <v>3</v>
      </c>
      <c r="L22" s="80">
        <v>162.03508606999998</v>
      </c>
      <c r="M22" s="14" t="s">
        <v>1</v>
      </c>
      <c r="N22" s="15" t="s">
        <v>174</v>
      </c>
      <c r="O22" s="16">
        <v>0.5</v>
      </c>
      <c r="P22" s="13"/>
      <c r="Q22" s="17" t="s">
        <v>4</v>
      </c>
    </row>
    <row r="23" spans="1:17" x14ac:dyDescent="0.25">
      <c r="A23" s="9" t="str">
        <f t="shared" si="0"/>
        <v>CUSTO DE DROPCOPY USD - BANCO BRADESCO S/A - JOAO VITOR CAIRES ALVES -  JUNHO 26</v>
      </c>
      <c r="B23" s="10">
        <v>46174</v>
      </c>
      <c r="C23" s="9">
        <v>817632</v>
      </c>
      <c r="D23" s="11" t="s">
        <v>2</v>
      </c>
      <c r="E23" s="57">
        <f>-L23*O23</f>
        <v>-81.017543034999989</v>
      </c>
      <c r="F23" s="9" t="s">
        <v>0</v>
      </c>
      <c r="G23" s="10">
        <v>46174</v>
      </c>
      <c r="H23" s="9">
        <v>81503</v>
      </c>
      <c r="J23" s="12" t="s">
        <v>36</v>
      </c>
      <c r="K23" s="12" t="s">
        <v>3</v>
      </c>
      <c r="L23" s="80">
        <v>162.03508606999998</v>
      </c>
      <c r="M23" s="14" t="s">
        <v>1</v>
      </c>
      <c r="N23" s="15" t="s">
        <v>174</v>
      </c>
      <c r="O23" s="16">
        <v>0.5</v>
      </c>
      <c r="P23" s="13"/>
      <c r="Q23" s="17" t="s">
        <v>5</v>
      </c>
    </row>
    <row r="24" spans="1:17" x14ac:dyDescent="0.25">
      <c r="A24" s="9" t="str">
        <f t="shared" si="0"/>
        <v>CUSTO DE DROPCOPY USD - BANCO BRADESCO S/A - JOAO VITOR CAIRES ALVES -  JUNHO 26</v>
      </c>
      <c r="B24" s="10">
        <v>46174</v>
      </c>
      <c r="C24" s="9">
        <v>817632</v>
      </c>
      <c r="D24" s="11" t="s">
        <v>91</v>
      </c>
      <c r="E24" s="57">
        <f t="shared" si="1"/>
        <v>-81.017543034999989</v>
      </c>
      <c r="F24" s="9" t="s">
        <v>0</v>
      </c>
      <c r="G24" s="10">
        <v>46174</v>
      </c>
      <c r="H24" s="9">
        <v>81503</v>
      </c>
      <c r="J24" s="12" t="s">
        <v>36</v>
      </c>
      <c r="K24" s="12" t="s">
        <v>3</v>
      </c>
      <c r="L24" s="80">
        <v>162.03508606999998</v>
      </c>
      <c r="M24" s="14" t="s">
        <v>1</v>
      </c>
      <c r="N24" s="15" t="s">
        <v>174</v>
      </c>
      <c r="O24" s="16">
        <v>0.5</v>
      </c>
      <c r="P24" s="13"/>
      <c r="Q24" s="17" t="s">
        <v>5</v>
      </c>
    </row>
    <row r="25" spans="1:17" x14ac:dyDescent="0.25">
      <c r="A25" s="9" t="str">
        <f t="shared" si="0"/>
        <v>CUSTO DE DROPCOPY USD - BANCO BRADESCO S/A - MARCELO CAIRES -  JUNHO 26</v>
      </c>
      <c r="B25" s="10">
        <v>46174</v>
      </c>
      <c r="C25" s="9">
        <v>817632</v>
      </c>
      <c r="D25" s="11" t="s">
        <v>2</v>
      </c>
      <c r="E25" s="57">
        <f t="shared" si="1"/>
        <v>-81.017543034999989</v>
      </c>
      <c r="F25" s="9" t="s">
        <v>0</v>
      </c>
      <c r="G25" s="10">
        <v>46174</v>
      </c>
      <c r="H25" s="9">
        <v>81503</v>
      </c>
      <c r="J25" s="12" t="s">
        <v>36</v>
      </c>
      <c r="K25" s="12" t="s">
        <v>3</v>
      </c>
      <c r="L25" s="80">
        <v>162.03508606999998</v>
      </c>
      <c r="M25" s="14" t="s">
        <v>1</v>
      </c>
      <c r="N25" s="15" t="s">
        <v>174</v>
      </c>
      <c r="O25" s="16">
        <v>0.5</v>
      </c>
      <c r="P25" s="13"/>
      <c r="Q25" s="17" t="s">
        <v>6</v>
      </c>
    </row>
    <row r="26" spans="1:17" x14ac:dyDescent="0.25">
      <c r="A26" s="9" t="str">
        <f t="shared" si="0"/>
        <v>CUSTO DE DROPCOPY USD - BANCO BRADESCO S/A - MARCELO CAIRES -  JUNHO 26</v>
      </c>
      <c r="B26" s="10">
        <v>46174</v>
      </c>
      <c r="C26" s="9">
        <v>817632</v>
      </c>
      <c r="D26" s="11" t="s">
        <v>91</v>
      </c>
      <c r="E26" s="57">
        <f t="shared" si="1"/>
        <v>-81.017543034999989</v>
      </c>
      <c r="F26" s="9" t="s">
        <v>0</v>
      </c>
      <c r="G26" s="10">
        <v>46174</v>
      </c>
      <c r="H26" s="9">
        <v>81503</v>
      </c>
      <c r="J26" s="12" t="s">
        <v>36</v>
      </c>
      <c r="K26" s="12" t="s">
        <v>3</v>
      </c>
      <c r="L26" s="80">
        <v>162.03508606999998</v>
      </c>
      <c r="M26" s="14" t="s">
        <v>1</v>
      </c>
      <c r="N26" s="15" t="s">
        <v>174</v>
      </c>
      <c r="O26" s="16">
        <v>0.5</v>
      </c>
      <c r="P26" s="13"/>
      <c r="Q26" s="17" t="s">
        <v>6</v>
      </c>
    </row>
    <row r="27" spans="1:17" x14ac:dyDescent="0.25">
      <c r="A27" s="9" t="str">
        <f t="shared" si="0"/>
        <v>CUSTO DE DROPCOPY USD - BANCO BRADESCO S/A - RONALDO SASAKI -  JUNHO 26</v>
      </c>
      <c r="B27" s="10">
        <v>46174</v>
      </c>
      <c r="C27" s="9">
        <v>817632</v>
      </c>
      <c r="D27" s="11" t="s">
        <v>2</v>
      </c>
      <c r="E27" s="57">
        <f t="shared" si="1"/>
        <v>-81.017543034999989</v>
      </c>
      <c r="F27" s="9" t="s">
        <v>0</v>
      </c>
      <c r="G27" s="10">
        <v>46174</v>
      </c>
      <c r="H27" s="9">
        <v>81503</v>
      </c>
      <c r="J27" s="12" t="s">
        <v>36</v>
      </c>
      <c r="K27" s="12" t="s">
        <v>3</v>
      </c>
      <c r="L27" s="80">
        <v>162.03508606999998</v>
      </c>
      <c r="M27" s="14" t="s">
        <v>1</v>
      </c>
      <c r="N27" s="15" t="s">
        <v>174</v>
      </c>
      <c r="O27" s="16">
        <v>0.5</v>
      </c>
      <c r="P27" s="13"/>
      <c r="Q27" s="17" t="s">
        <v>7</v>
      </c>
    </row>
    <row r="28" spans="1:17" x14ac:dyDescent="0.25">
      <c r="A28" s="1" t="str">
        <f t="shared" si="0"/>
        <v>CUSTO DE DROPCOPY USD - BANCO BRADESCO S/A - RONALDO SASAKI -  JUNHO 26</v>
      </c>
      <c r="B28" s="2">
        <v>46174</v>
      </c>
      <c r="C28" s="1">
        <v>817632</v>
      </c>
      <c r="D28" s="3" t="s">
        <v>91</v>
      </c>
      <c r="E28" s="58">
        <f t="shared" si="1"/>
        <v>-81.017543034999989</v>
      </c>
      <c r="F28" s="1" t="s">
        <v>0</v>
      </c>
      <c r="G28" s="2">
        <v>46174</v>
      </c>
      <c r="H28" s="1">
        <v>81503</v>
      </c>
      <c r="J28" s="4" t="s">
        <v>36</v>
      </c>
      <c r="K28" s="4" t="s">
        <v>3</v>
      </c>
      <c r="L28" s="79">
        <v>162.03508606999998</v>
      </c>
      <c r="M28" s="6" t="s">
        <v>1</v>
      </c>
      <c r="N28" s="7" t="s">
        <v>174</v>
      </c>
      <c r="O28" s="8">
        <v>0.5</v>
      </c>
      <c r="P28" s="5"/>
      <c r="Q28" s="64" t="s">
        <v>7</v>
      </c>
    </row>
    <row r="29" spans="1:17" x14ac:dyDescent="0.25">
      <c r="A29" s="9" t="str">
        <f t="shared" si="0"/>
        <v>CUSTO DE DROPCOPY USD - SPX EQUITIES GESTAO DE RECURSOS LTDA - LUCAS ROSSI -  JUNHO 26</v>
      </c>
      <c r="B29" s="10">
        <v>46174</v>
      </c>
      <c r="C29" s="9">
        <v>817632</v>
      </c>
      <c r="D29" s="11" t="s">
        <v>2</v>
      </c>
      <c r="E29" s="57">
        <f t="shared" si="1"/>
        <v>-77.776841313599974</v>
      </c>
      <c r="F29" s="9" t="s">
        <v>0</v>
      </c>
      <c r="G29" s="10">
        <v>46174</v>
      </c>
      <c r="H29" s="9">
        <v>79931</v>
      </c>
      <c r="J29" s="12" t="s">
        <v>36</v>
      </c>
      <c r="K29" s="12" t="s">
        <v>9</v>
      </c>
      <c r="L29" s="80">
        <v>129.62806885599997</v>
      </c>
      <c r="M29" s="14" t="s">
        <v>1</v>
      </c>
      <c r="N29" s="15" t="s">
        <v>174</v>
      </c>
      <c r="O29" s="16">
        <v>0.6</v>
      </c>
      <c r="P29" s="13"/>
      <c r="Q29" s="17" t="s">
        <v>10</v>
      </c>
    </row>
    <row r="30" spans="1:17" x14ac:dyDescent="0.25">
      <c r="A30" s="1" t="str">
        <f t="shared" si="0"/>
        <v>CUSTO DE DROPCOPY USD - SPX EQUITIES GESTAO DE RECURSOS LTDA - LUCAS ROSSI -  JUNHO 26</v>
      </c>
      <c r="B30" s="2">
        <v>46174</v>
      </c>
      <c r="C30" s="1">
        <v>817632</v>
      </c>
      <c r="D30" s="3" t="s">
        <v>91</v>
      </c>
      <c r="E30" s="58">
        <f t="shared" si="1"/>
        <v>-51.85122754239999</v>
      </c>
      <c r="F30" s="1" t="s">
        <v>0</v>
      </c>
      <c r="G30" s="2">
        <v>46174</v>
      </c>
      <c r="H30" s="1">
        <v>79931</v>
      </c>
      <c r="I30" s="34"/>
      <c r="J30" s="4" t="s">
        <v>36</v>
      </c>
      <c r="K30" s="4" t="s">
        <v>9</v>
      </c>
      <c r="L30" s="79">
        <v>129.62806885599997</v>
      </c>
      <c r="M30" s="6" t="s">
        <v>1</v>
      </c>
      <c r="N30" s="7" t="s">
        <v>174</v>
      </c>
      <c r="O30" s="8">
        <v>0.4</v>
      </c>
      <c r="P30" s="5"/>
      <c r="Q30" s="64" t="s">
        <v>10</v>
      </c>
    </row>
    <row r="31" spans="1:17" x14ac:dyDescent="0.25">
      <c r="A31" s="9" t="str">
        <f t="shared" si="0"/>
        <v>CUSTO DE DROPCOPY USD - SPX EQUITIES GESTAO DE RECURSOS LTDA - THIAGO SANTOS -  JUNHO 26</v>
      </c>
      <c r="B31" s="10">
        <v>46174</v>
      </c>
      <c r="C31" s="9">
        <v>817632</v>
      </c>
      <c r="D31" s="11" t="s">
        <v>2</v>
      </c>
      <c r="E31" s="57">
        <f t="shared" si="1"/>
        <v>-155.55368262719995</v>
      </c>
      <c r="F31" s="9" t="s">
        <v>0</v>
      </c>
      <c r="G31" s="10">
        <v>46174</v>
      </c>
      <c r="H31" s="9">
        <v>81564</v>
      </c>
      <c r="J31" s="12" t="s">
        <v>36</v>
      </c>
      <c r="K31" s="12" t="s">
        <v>9</v>
      </c>
      <c r="L31" s="80">
        <v>259.25613771199994</v>
      </c>
      <c r="M31" s="14" t="s">
        <v>1</v>
      </c>
      <c r="N31" s="15" t="s">
        <v>174</v>
      </c>
      <c r="O31" s="16">
        <v>0.6</v>
      </c>
      <c r="P31" s="13"/>
      <c r="Q31" s="17" t="s">
        <v>90</v>
      </c>
    </row>
    <row r="32" spans="1:17" x14ac:dyDescent="0.25">
      <c r="A32" s="1" t="str">
        <f t="shared" si="0"/>
        <v>CUSTO DE DROPCOPY USD - SPX EQUITIES GESTAO DE RECURSOS LTDA - THIAGO SANTOS -  JUNHO 26</v>
      </c>
      <c r="B32" s="2">
        <v>46174</v>
      </c>
      <c r="C32" s="1">
        <v>817632</v>
      </c>
      <c r="D32" s="3" t="s">
        <v>91</v>
      </c>
      <c r="E32" s="58">
        <f t="shared" si="1"/>
        <v>-103.70245508479998</v>
      </c>
      <c r="F32" s="1" t="s">
        <v>0</v>
      </c>
      <c r="G32" s="2">
        <v>46174</v>
      </c>
      <c r="H32" s="1">
        <v>81564</v>
      </c>
      <c r="I32" s="34"/>
      <c r="J32" s="4" t="s">
        <v>36</v>
      </c>
      <c r="K32" s="4" t="s">
        <v>9</v>
      </c>
      <c r="L32" s="79">
        <v>259.25613771199994</v>
      </c>
      <c r="M32" s="6" t="s">
        <v>1</v>
      </c>
      <c r="N32" s="7" t="s">
        <v>174</v>
      </c>
      <c r="O32" s="8">
        <v>0.4</v>
      </c>
      <c r="P32" s="5"/>
      <c r="Q32" s="64" t="s">
        <v>90</v>
      </c>
    </row>
    <row r="33" spans="1:17" x14ac:dyDescent="0.25">
      <c r="A33" s="9" t="str">
        <f t="shared" si="0"/>
        <v>CUSTO DE DROPCOPY USD - SPX EQUITIES GESTAO DE RECURSOS LTDA - GABRIEL FERREIRA -  JUNHO 26</v>
      </c>
      <c r="B33" s="10">
        <v>46174</v>
      </c>
      <c r="C33" s="9">
        <v>817632</v>
      </c>
      <c r="D33" s="11" t="s">
        <v>2</v>
      </c>
      <c r="E33" s="57">
        <f t="shared" si="1"/>
        <v>-77.776841313599974</v>
      </c>
      <c r="F33" s="9" t="s">
        <v>0</v>
      </c>
      <c r="G33" s="10">
        <v>46174</v>
      </c>
      <c r="H33" s="9">
        <v>81564</v>
      </c>
      <c r="J33" s="12" t="s">
        <v>36</v>
      </c>
      <c r="K33" s="12" t="s">
        <v>9</v>
      </c>
      <c r="L33" s="80">
        <v>129.62806885599997</v>
      </c>
      <c r="M33" s="14" t="s">
        <v>1</v>
      </c>
      <c r="N33" s="15" t="s">
        <v>174</v>
      </c>
      <c r="O33" s="16">
        <v>0.6</v>
      </c>
      <c r="P33" s="13"/>
      <c r="Q33" s="17" t="s">
        <v>123</v>
      </c>
    </row>
    <row r="34" spans="1:17" x14ac:dyDescent="0.25">
      <c r="A34" s="1" t="str">
        <f t="shared" si="0"/>
        <v>CUSTO DE DROPCOPY USD - SPX EQUITIES GESTAO DE RECURSOS LTDA - GABRIEL FERREIRA -  JUNHO 26</v>
      </c>
      <c r="B34" s="2">
        <v>46174</v>
      </c>
      <c r="C34" s="1">
        <v>817632</v>
      </c>
      <c r="D34" s="3" t="s">
        <v>91</v>
      </c>
      <c r="E34" s="58">
        <f t="shared" si="1"/>
        <v>-51.85122754239999</v>
      </c>
      <c r="F34" s="1" t="s">
        <v>0</v>
      </c>
      <c r="G34" s="2">
        <v>46174</v>
      </c>
      <c r="H34" s="1">
        <v>81564</v>
      </c>
      <c r="I34" s="34"/>
      <c r="J34" s="4" t="s">
        <v>36</v>
      </c>
      <c r="K34" s="4" t="s">
        <v>9</v>
      </c>
      <c r="L34" s="79">
        <v>129.62806885599997</v>
      </c>
      <c r="M34" s="6" t="s">
        <v>1</v>
      </c>
      <c r="N34" s="7" t="s">
        <v>174</v>
      </c>
      <c r="O34" s="8">
        <v>0.4</v>
      </c>
      <c r="P34" s="5"/>
      <c r="Q34" s="64" t="s">
        <v>123</v>
      </c>
    </row>
    <row r="35" spans="1:17" x14ac:dyDescent="0.25">
      <c r="A35" s="9" t="str">
        <f t="shared" si="0"/>
        <v>CUSTO DE DROPCOPY USD - SPX EQUITIES GESTAO DE RECURSOS LTDA - MURILO ORTIZ -  JUNHO 26</v>
      </c>
      <c r="B35" s="10">
        <v>46174</v>
      </c>
      <c r="C35" s="9">
        <v>817632</v>
      </c>
      <c r="D35" s="11" t="s">
        <v>2</v>
      </c>
      <c r="E35" s="57">
        <f t="shared" si="1"/>
        <v>-77.776841313599974</v>
      </c>
      <c r="F35" s="9" t="s">
        <v>0</v>
      </c>
      <c r="G35" s="10">
        <v>46174</v>
      </c>
      <c r="H35" s="9">
        <v>81564</v>
      </c>
      <c r="J35" s="12" t="s">
        <v>36</v>
      </c>
      <c r="K35" s="12" t="s">
        <v>9</v>
      </c>
      <c r="L35" s="80">
        <v>129.62806885599997</v>
      </c>
      <c r="M35" s="14" t="s">
        <v>1</v>
      </c>
      <c r="N35" s="15" t="s">
        <v>174</v>
      </c>
      <c r="O35" s="16">
        <v>0.6</v>
      </c>
      <c r="P35" s="13"/>
      <c r="Q35" s="17" t="s">
        <v>124</v>
      </c>
    </row>
    <row r="36" spans="1:17" x14ac:dyDescent="0.25">
      <c r="A36" s="1" t="str">
        <f t="shared" si="0"/>
        <v>CUSTO DE DROPCOPY USD - SPX EQUITIES GESTAO DE RECURSOS LTDA - MURILO ORTIZ -  JUNHO 26</v>
      </c>
      <c r="B36" s="2">
        <v>46174</v>
      </c>
      <c r="C36" s="1">
        <v>817632</v>
      </c>
      <c r="D36" s="3" t="s">
        <v>91</v>
      </c>
      <c r="E36" s="58">
        <f t="shared" si="1"/>
        <v>-51.85122754239999</v>
      </c>
      <c r="F36" s="1" t="s">
        <v>0</v>
      </c>
      <c r="G36" s="2">
        <v>46174</v>
      </c>
      <c r="H36" s="1">
        <v>81564</v>
      </c>
      <c r="I36" s="34"/>
      <c r="J36" s="4" t="s">
        <v>36</v>
      </c>
      <c r="K36" s="4" t="s">
        <v>9</v>
      </c>
      <c r="L36" s="79">
        <v>129.62806885599997</v>
      </c>
      <c r="M36" s="6" t="s">
        <v>1</v>
      </c>
      <c r="N36" s="7" t="s">
        <v>174</v>
      </c>
      <c r="O36" s="8">
        <v>0.4</v>
      </c>
      <c r="P36" s="5"/>
      <c r="Q36" s="64" t="s">
        <v>124</v>
      </c>
    </row>
    <row r="37" spans="1:17" x14ac:dyDescent="0.25">
      <c r="A37" s="1" t="str">
        <f t="shared" si="0"/>
        <v>CUSTO DE DROPCOPY USD - KAPITALO INVESTIMENTO LTDA - RAFAEL POPPE -  JUNHO 26</v>
      </c>
      <c r="B37" s="2">
        <v>46174</v>
      </c>
      <c r="C37" s="1">
        <v>817632</v>
      </c>
      <c r="D37" s="3" t="s">
        <v>2</v>
      </c>
      <c r="E37" s="58">
        <f t="shared" si="1"/>
        <v>-648.14034427999991</v>
      </c>
      <c r="F37" s="1" t="s">
        <v>0</v>
      </c>
      <c r="G37" s="2">
        <v>46174</v>
      </c>
      <c r="H37" s="1">
        <v>81778</v>
      </c>
      <c r="J37" s="4" t="s">
        <v>36</v>
      </c>
      <c r="K37" s="4" t="s">
        <v>37</v>
      </c>
      <c r="L37" s="79">
        <v>648.14034427999991</v>
      </c>
      <c r="M37" s="6" t="s">
        <v>1</v>
      </c>
      <c r="N37" s="7" t="s">
        <v>174</v>
      </c>
      <c r="O37" s="8">
        <v>1</v>
      </c>
      <c r="P37" s="5"/>
      <c r="Q37" s="64" t="s">
        <v>38</v>
      </c>
    </row>
    <row r="38" spans="1:17" x14ac:dyDescent="0.25">
      <c r="A38" s="9" t="str">
        <f t="shared" si="0"/>
        <v>CUSTO DE DROPCOPY USD - DAHLIA CAPITAL GESTAO DE RECURSOS LTDA - ARTHUR LAZARETTI -  JUNHO 26</v>
      </c>
      <c r="B38" s="10">
        <v>46174</v>
      </c>
      <c r="C38" s="9">
        <v>817632</v>
      </c>
      <c r="D38" s="11" t="s">
        <v>2</v>
      </c>
      <c r="E38" s="57">
        <f t="shared" si="1"/>
        <v>-108.02339071333333</v>
      </c>
      <c r="F38" s="9" t="s">
        <v>0</v>
      </c>
      <c r="G38" s="10">
        <v>46174</v>
      </c>
      <c r="H38" s="9">
        <v>124633</v>
      </c>
      <c r="J38" s="12" t="s">
        <v>36</v>
      </c>
      <c r="K38" s="12" t="s">
        <v>163</v>
      </c>
      <c r="L38" s="80">
        <v>216.04678142666666</v>
      </c>
      <c r="M38" s="14" t="s">
        <v>1</v>
      </c>
      <c r="N38" s="15" t="s">
        <v>174</v>
      </c>
      <c r="O38" s="16">
        <v>0.5</v>
      </c>
      <c r="P38" s="13"/>
      <c r="Q38" s="17" t="s">
        <v>160</v>
      </c>
    </row>
    <row r="39" spans="1:17" x14ac:dyDescent="0.25">
      <c r="A39" s="9" t="str">
        <f t="shared" si="0"/>
        <v>CUSTO DE DROPCOPY USD - DAHLIA CAPITAL GESTAO DE RECURSOS LTDA - ARTHUR LAZARETTI -  JUNHO 26</v>
      </c>
      <c r="B39" s="10">
        <v>46174</v>
      </c>
      <c r="C39" s="9">
        <v>817632</v>
      </c>
      <c r="D39" s="11" t="s">
        <v>91</v>
      </c>
      <c r="E39" s="57">
        <f t="shared" si="1"/>
        <v>-108.02339071333333</v>
      </c>
      <c r="F39" s="9" t="s">
        <v>0</v>
      </c>
      <c r="G39" s="10">
        <v>46174</v>
      </c>
      <c r="H39" s="9">
        <v>124633</v>
      </c>
      <c r="J39" s="12" t="s">
        <v>36</v>
      </c>
      <c r="K39" s="12" t="s">
        <v>163</v>
      </c>
      <c r="L39" s="80">
        <v>216.04678142666666</v>
      </c>
      <c r="M39" s="14" t="s">
        <v>1</v>
      </c>
      <c r="N39" s="15" t="s">
        <v>174</v>
      </c>
      <c r="O39" s="16">
        <v>0.5</v>
      </c>
      <c r="P39" s="13"/>
      <c r="Q39" s="17" t="s">
        <v>160</v>
      </c>
    </row>
    <row r="40" spans="1:17" x14ac:dyDescent="0.25">
      <c r="A40" s="9" t="str">
        <f t="shared" si="0"/>
        <v>CUSTO DE DROPCOPY USD - DAHLIA CAPITAL GESTAO DE RECURSOS LTDA - RAFAEL CAMARGO -  JUNHO 26</v>
      </c>
      <c r="B40" s="10">
        <v>46174</v>
      </c>
      <c r="C40" s="9">
        <v>817632</v>
      </c>
      <c r="D40" s="11" t="s">
        <v>2</v>
      </c>
      <c r="E40" s="57">
        <f t="shared" si="1"/>
        <v>-108.02339071333333</v>
      </c>
      <c r="F40" s="9" t="s">
        <v>0</v>
      </c>
      <c r="G40" s="10">
        <v>46174</v>
      </c>
      <c r="H40" s="9">
        <v>124633</v>
      </c>
      <c r="J40" s="12" t="s">
        <v>36</v>
      </c>
      <c r="K40" s="12" t="s">
        <v>163</v>
      </c>
      <c r="L40" s="80">
        <v>216.04678142666666</v>
      </c>
      <c r="M40" s="14" t="s">
        <v>1</v>
      </c>
      <c r="N40" s="15" t="s">
        <v>174</v>
      </c>
      <c r="O40" s="16">
        <v>0.5</v>
      </c>
      <c r="P40" s="13"/>
      <c r="Q40" s="17" t="s">
        <v>161</v>
      </c>
    </row>
    <row r="41" spans="1:17" x14ac:dyDescent="0.25">
      <c r="A41" s="9" t="str">
        <f t="shared" si="0"/>
        <v>CUSTO DE DROPCOPY USD - DAHLIA CAPITAL GESTAO DE RECURSOS LTDA - RAFAEL CAMARGO -  JUNHO 26</v>
      </c>
      <c r="B41" s="10">
        <v>46174</v>
      </c>
      <c r="C41" s="9">
        <v>817632</v>
      </c>
      <c r="D41" s="11" t="s">
        <v>91</v>
      </c>
      <c r="E41" s="57">
        <f t="shared" si="1"/>
        <v>-108.02339071333333</v>
      </c>
      <c r="F41" s="9" t="s">
        <v>0</v>
      </c>
      <c r="G41" s="10">
        <v>46174</v>
      </c>
      <c r="H41" s="9">
        <v>124633</v>
      </c>
      <c r="J41" s="12" t="s">
        <v>36</v>
      </c>
      <c r="K41" s="12" t="s">
        <v>163</v>
      </c>
      <c r="L41" s="80">
        <v>216.04678142666666</v>
      </c>
      <c r="M41" s="14" t="s">
        <v>1</v>
      </c>
      <c r="N41" s="15" t="s">
        <v>174</v>
      </c>
      <c r="O41" s="16">
        <v>0.5</v>
      </c>
      <c r="P41" s="13"/>
      <c r="Q41" s="17" t="s">
        <v>161</v>
      </c>
    </row>
    <row r="42" spans="1:17" x14ac:dyDescent="0.25">
      <c r="A42" s="9" t="str">
        <f t="shared" si="0"/>
        <v>CUSTO DE DROPCOPY USD - DAHLIA CAPITAL GESTAO DE RECURSOS LTDA - SERGIO GUIMARAES -  JUNHO 26</v>
      </c>
      <c r="B42" s="10">
        <v>46174</v>
      </c>
      <c r="C42" s="9">
        <v>817632</v>
      </c>
      <c r="D42" s="11" t="s">
        <v>2</v>
      </c>
      <c r="E42" s="57">
        <f t="shared" si="1"/>
        <v>-108.02339071333333</v>
      </c>
      <c r="F42" s="9" t="s">
        <v>0</v>
      </c>
      <c r="G42" s="10">
        <v>46174</v>
      </c>
      <c r="H42" s="9">
        <v>124633</v>
      </c>
      <c r="J42" s="12" t="s">
        <v>36</v>
      </c>
      <c r="K42" s="12" t="s">
        <v>163</v>
      </c>
      <c r="L42" s="80">
        <v>216.04678142666666</v>
      </c>
      <c r="M42" s="14" t="s">
        <v>1</v>
      </c>
      <c r="N42" s="15" t="s">
        <v>174</v>
      </c>
      <c r="O42" s="16">
        <v>0.5</v>
      </c>
      <c r="P42" s="13"/>
      <c r="Q42" s="17" t="s">
        <v>162</v>
      </c>
    </row>
    <row r="43" spans="1:17" x14ac:dyDescent="0.25">
      <c r="A43" s="1" t="str">
        <f t="shared" si="0"/>
        <v>CUSTO DE DROPCOPY USD - DAHLIA CAPITAL GESTAO DE RECURSOS LTDA - SERGIO GUIMARAES -  JUNHO 26</v>
      </c>
      <c r="B43" s="2">
        <v>46174</v>
      </c>
      <c r="C43" s="1">
        <v>817632</v>
      </c>
      <c r="D43" s="3" t="s">
        <v>91</v>
      </c>
      <c r="E43" s="58">
        <f t="shared" si="1"/>
        <v>-108.02339071333333</v>
      </c>
      <c r="F43" s="1" t="s">
        <v>0</v>
      </c>
      <c r="G43" s="2">
        <v>46174</v>
      </c>
      <c r="H43" s="1">
        <v>124633</v>
      </c>
      <c r="I43" s="34"/>
      <c r="J43" s="4" t="s">
        <v>36</v>
      </c>
      <c r="K43" s="4" t="s">
        <v>163</v>
      </c>
      <c r="L43" s="79">
        <v>216.04678142666666</v>
      </c>
      <c r="M43" s="6" t="s">
        <v>1</v>
      </c>
      <c r="N43" s="7" t="s">
        <v>174</v>
      </c>
      <c r="O43" s="8">
        <v>0.5</v>
      </c>
      <c r="P43" s="5"/>
      <c r="Q43" s="64" t="s">
        <v>162</v>
      </c>
    </row>
    <row r="44" spans="1:17" x14ac:dyDescent="0.25">
      <c r="A44" s="9" t="str">
        <f t="shared" si="0"/>
        <v>CUSTO DE DROPCOPY USD - TRUXT INVESTIMENTOS LTDA - ULISSES GORITO -  JUNHO 26</v>
      </c>
      <c r="B44" s="10">
        <v>46174</v>
      </c>
      <c r="C44" s="9">
        <v>817632</v>
      </c>
      <c r="D44" s="11" t="s">
        <v>166</v>
      </c>
      <c r="E44" s="57">
        <f t="shared" si="1"/>
        <v>-324.07017213999995</v>
      </c>
      <c r="F44" s="9" t="s">
        <v>0</v>
      </c>
      <c r="G44" s="10">
        <v>46174</v>
      </c>
      <c r="H44" s="9">
        <v>12402</v>
      </c>
      <c r="J44" s="12" t="s">
        <v>36</v>
      </c>
      <c r="K44" s="12" t="s">
        <v>167</v>
      </c>
      <c r="L44" s="80">
        <v>324.07017213999995</v>
      </c>
      <c r="M44" s="14" t="s">
        <v>1</v>
      </c>
      <c r="N44" s="15" t="s">
        <v>174</v>
      </c>
      <c r="O44" s="16">
        <v>1</v>
      </c>
      <c r="P44" s="13"/>
      <c r="Q44" s="17" t="s">
        <v>164</v>
      </c>
    </row>
    <row r="45" spans="1:17" x14ac:dyDescent="0.25">
      <c r="A45" s="1" t="str">
        <f t="shared" si="0"/>
        <v>CUSTO DE DROPCOPY USD - TRUXT INVESTIMENTOS LTDA - DANILO GALVAO -  JUNHO 26</v>
      </c>
      <c r="B45" s="2">
        <v>46174</v>
      </c>
      <c r="C45" s="1">
        <v>817632</v>
      </c>
      <c r="D45" s="3" t="s">
        <v>166</v>
      </c>
      <c r="E45" s="58">
        <f t="shared" si="1"/>
        <v>-324.07017213999995</v>
      </c>
      <c r="F45" s="1" t="s">
        <v>0</v>
      </c>
      <c r="G45" s="2">
        <v>46174</v>
      </c>
      <c r="H45" s="1">
        <v>12402</v>
      </c>
      <c r="I45" s="34"/>
      <c r="J45" s="4" t="s">
        <v>36</v>
      </c>
      <c r="K45" s="4" t="s">
        <v>167</v>
      </c>
      <c r="L45" s="79">
        <v>324.07017213999995</v>
      </c>
      <c r="M45" s="6" t="s">
        <v>1</v>
      </c>
      <c r="N45" s="7" t="s">
        <v>174</v>
      </c>
      <c r="O45" s="8">
        <v>1</v>
      </c>
      <c r="P45" s="5"/>
      <c r="Q45" s="64" t="s">
        <v>165</v>
      </c>
    </row>
    <row r="46" spans="1:17" x14ac:dyDescent="0.25">
      <c r="A46" s="9" t="str">
        <f t="shared" ref="A46:A108" si="6">CONCATENATE(J46,P46,M46,K46,M46,N46)</f>
        <v>CUSTO DE DROPCOPY USD - BGC LIQUIDEZ -  JUNHO 26</v>
      </c>
      <c r="B46" s="10">
        <v>46174</v>
      </c>
      <c r="C46" s="9">
        <v>817632</v>
      </c>
      <c r="D46" s="11" t="s">
        <v>2</v>
      </c>
      <c r="E46" s="57">
        <f t="shared" si="1"/>
        <v>-4721.0591999999997</v>
      </c>
      <c r="F46" s="9" t="s">
        <v>48</v>
      </c>
      <c r="G46" s="10">
        <v>46174</v>
      </c>
      <c r="H46" s="9">
        <v>1170</v>
      </c>
      <c r="J46" s="12" t="s">
        <v>36</v>
      </c>
      <c r="K46" s="12" t="s">
        <v>47</v>
      </c>
      <c r="L46" s="80">
        <v>4721.0591999999997</v>
      </c>
      <c r="M46" s="14" t="s">
        <v>1</v>
      </c>
      <c r="N46" s="15" t="s">
        <v>174</v>
      </c>
      <c r="O46" s="16">
        <v>1</v>
      </c>
      <c r="P46" s="13"/>
      <c r="Q46" s="17"/>
    </row>
    <row r="47" spans="1:17" x14ac:dyDescent="0.25">
      <c r="A47" s="1" t="str">
        <f t="shared" si="6"/>
        <v>CUSTO DE DROPCOPY USD - BGC LIQUIDEZ -  JUNHO 26</v>
      </c>
      <c r="B47" s="2">
        <v>46174</v>
      </c>
      <c r="C47" s="1">
        <v>817632</v>
      </c>
      <c r="D47" s="3" t="s">
        <v>93</v>
      </c>
      <c r="E47" s="58">
        <f t="shared" si="1"/>
        <v>-1180.2647999999999</v>
      </c>
      <c r="F47" s="3" t="s">
        <v>48</v>
      </c>
      <c r="G47" s="2">
        <v>46174</v>
      </c>
      <c r="H47" s="1">
        <v>1170</v>
      </c>
      <c r="J47" s="4" t="s">
        <v>36</v>
      </c>
      <c r="K47" s="4" t="s">
        <v>47</v>
      </c>
      <c r="L47" s="79">
        <v>1180.2647999999999</v>
      </c>
      <c r="M47" s="6" t="s">
        <v>1</v>
      </c>
      <c r="N47" s="7" t="s">
        <v>174</v>
      </c>
      <c r="O47" s="8">
        <v>1</v>
      </c>
      <c r="P47" s="5"/>
      <c r="Q47" s="64"/>
    </row>
    <row r="48" spans="1:17" x14ac:dyDescent="0.25">
      <c r="A48" s="9" t="str">
        <f t="shared" si="6"/>
        <v>CUSTO DE DROPCOPY USD - BGC LIQUIDEZ -  JUNHO 26</v>
      </c>
      <c r="B48" s="10">
        <v>46174</v>
      </c>
      <c r="C48" s="9">
        <v>817632</v>
      </c>
      <c r="D48" s="11" t="s">
        <v>40</v>
      </c>
      <c r="E48" s="57">
        <f t="shared" si="1"/>
        <v>-163.06289999999998</v>
      </c>
      <c r="F48" s="9" t="s">
        <v>94</v>
      </c>
      <c r="G48" s="10">
        <v>46174</v>
      </c>
      <c r="H48" s="9">
        <v>1170</v>
      </c>
      <c r="J48" s="12" t="s">
        <v>36</v>
      </c>
      <c r="K48" s="12" t="s">
        <v>47</v>
      </c>
      <c r="L48" s="80">
        <v>163.06289999999998</v>
      </c>
      <c r="M48" s="14" t="s">
        <v>1</v>
      </c>
      <c r="N48" s="15" t="s">
        <v>174</v>
      </c>
      <c r="O48" s="16">
        <v>1</v>
      </c>
      <c r="P48" s="13"/>
      <c r="Q48" s="17"/>
    </row>
    <row r="49" spans="1:17" x14ac:dyDescent="0.25">
      <c r="A49" s="9" t="str">
        <f t="shared" si="6"/>
        <v>CUSTO DE DROPCOPY USD - BGC LIQUIDEZ -  JUNHO 26</v>
      </c>
      <c r="B49" s="10">
        <v>46174</v>
      </c>
      <c r="C49" s="9">
        <v>817632</v>
      </c>
      <c r="D49" s="11" t="s">
        <v>95</v>
      </c>
      <c r="E49" s="57">
        <f t="shared" si="1"/>
        <v>-163.06289999999998</v>
      </c>
      <c r="F49" s="9" t="s">
        <v>94</v>
      </c>
      <c r="G49" s="10">
        <v>46174</v>
      </c>
      <c r="H49" s="9">
        <v>1170</v>
      </c>
      <c r="J49" s="12" t="s">
        <v>36</v>
      </c>
      <c r="K49" s="12" t="s">
        <v>47</v>
      </c>
      <c r="L49" s="80">
        <v>163.06289999999998</v>
      </c>
      <c r="M49" s="14" t="s">
        <v>1</v>
      </c>
      <c r="N49" s="15" t="s">
        <v>174</v>
      </c>
      <c r="O49" s="16">
        <v>1</v>
      </c>
      <c r="P49" s="13"/>
      <c r="Q49" s="17"/>
    </row>
    <row r="50" spans="1:17" x14ac:dyDescent="0.25">
      <c r="A50" s="9" t="str">
        <f t="shared" si="6"/>
        <v>CUSTO DE DROPCOPY USD - BGC LIQUIDEZ -  JUNHO 26</v>
      </c>
      <c r="B50" s="10">
        <v>46174</v>
      </c>
      <c r="C50" s="9">
        <v>817632</v>
      </c>
      <c r="D50" s="11" t="s">
        <v>2</v>
      </c>
      <c r="E50" s="57">
        <f t="shared" si="1"/>
        <v>-652.25159999999994</v>
      </c>
      <c r="F50" s="9" t="s">
        <v>94</v>
      </c>
      <c r="G50" s="10">
        <v>46174</v>
      </c>
      <c r="H50" s="9">
        <v>1170</v>
      </c>
      <c r="J50" s="12" t="s">
        <v>36</v>
      </c>
      <c r="K50" s="12" t="s">
        <v>47</v>
      </c>
      <c r="L50" s="80">
        <v>652.25159999999994</v>
      </c>
      <c r="M50" s="14" t="s">
        <v>1</v>
      </c>
      <c r="N50" s="15" t="s">
        <v>174</v>
      </c>
      <c r="O50" s="16">
        <v>1</v>
      </c>
      <c r="P50" s="13"/>
      <c r="Q50" s="17"/>
    </row>
    <row r="51" spans="1:17" x14ac:dyDescent="0.25">
      <c r="A51" s="1" t="str">
        <f t="shared" si="6"/>
        <v>CUSTO DE DROPCOPY USD - BGC LIQUIDEZ -  JUNHO 26</v>
      </c>
      <c r="B51" s="2">
        <v>46174</v>
      </c>
      <c r="C51" s="1">
        <v>817632</v>
      </c>
      <c r="D51" s="3" t="s">
        <v>93</v>
      </c>
      <c r="E51" s="58">
        <f t="shared" si="1"/>
        <v>-163.06289999999998</v>
      </c>
      <c r="F51" s="1" t="s">
        <v>94</v>
      </c>
      <c r="G51" s="2">
        <v>46174</v>
      </c>
      <c r="H51" s="1">
        <v>1170</v>
      </c>
      <c r="I51" s="34"/>
      <c r="J51" s="4" t="s">
        <v>36</v>
      </c>
      <c r="K51" s="4" t="s">
        <v>47</v>
      </c>
      <c r="L51" s="79">
        <v>163.06289999999998</v>
      </c>
      <c r="M51" s="6" t="s">
        <v>1</v>
      </c>
      <c r="N51" s="7" t="s">
        <v>174</v>
      </c>
      <c r="O51" s="8">
        <v>1</v>
      </c>
      <c r="P51" s="5"/>
      <c r="Q51" s="17"/>
    </row>
    <row r="52" spans="1:17" x14ac:dyDescent="0.25">
      <c r="A52" s="9" t="str">
        <f t="shared" si="6"/>
        <v>CUSTO DE DROPCOPY USD - BGC LIQUIDEZ -  JUNHO 26</v>
      </c>
      <c r="B52" s="10">
        <v>46174</v>
      </c>
      <c r="C52" s="9">
        <v>817632</v>
      </c>
      <c r="D52" s="11" t="s">
        <v>95</v>
      </c>
      <c r="E52" s="57">
        <f t="shared" si="1"/>
        <v>-67.2958</v>
      </c>
      <c r="F52" s="9" t="s">
        <v>96</v>
      </c>
      <c r="G52" s="10">
        <v>46174</v>
      </c>
      <c r="H52" s="9">
        <v>1170</v>
      </c>
      <c r="J52" s="12" t="s">
        <v>36</v>
      </c>
      <c r="K52" s="12" t="s">
        <v>47</v>
      </c>
      <c r="L52" s="80">
        <v>67.2958</v>
      </c>
      <c r="M52" s="14" t="s">
        <v>1</v>
      </c>
      <c r="N52" s="15" t="s">
        <v>174</v>
      </c>
      <c r="O52" s="16">
        <v>1</v>
      </c>
      <c r="P52" s="13"/>
      <c r="Q52" s="17"/>
    </row>
    <row r="53" spans="1:17" x14ac:dyDescent="0.25">
      <c r="A53" s="1" t="str">
        <f t="shared" si="6"/>
        <v>CUSTO DE DROPCOPY USD - BGC LIQUIDEZ -  JUNHO 26</v>
      </c>
      <c r="B53" s="2">
        <v>46174</v>
      </c>
      <c r="C53" s="1">
        <v>817632</v>
      </c>
      <c r="D53" s="3" t="s">
        <v>40</v>
      </c>
      <c r="E53" s="58">
        <f t="shared" si="1"/>
        <v>-67.2958</v>
      </c>
      <c r="F53" s="1" t="s">
        <v>96</v>
      </c>
      <c r="G53" s="2">
        <v>46174</v>
      </c>
      <c r="H53" s="1">
        <v>1170</v>
      </c>
      <c r="J53" s="4" t="s">
        <v>36</v>
      </c>
      <c r="K53" s="4" t="s">
        <v>47</v>
      </c>
      <c r="L53" s="79">
        <v>67.2958</v>
      </c>
      <c r="M53" s="6" t="s">
        <v>1</v>
      </c>
      <c r="N53" s="7" t="s">
        <v>174</v>
      </c>
      <c r="O53" s="8">
        <v>1</v>
      </c>
      <c r="P53" s="5"/>
      <c r="Q53" s="17"/>
    </row>
    <row r="54" spans="1:17" x14ac:dyDescent="0.25">
      <c r="A54" s="18" t="str">
        <f t="shared" si="6"/>
        <v>CUSTO DE DROPCOPY BRL - AGUILA CAPITAL ADM -  JUNHO 26</v>
      </c>
      <c r="B54" s="10">
        <v>46174</v>
      </c>
      <c r="C54" s="9">
        <v>817632</v>
      </c>
      <c r="D54" s="11" t="s">
        <v>133</v>
      </c>
      <c r="E54" s="57">
        <f t="shared" si="1"/>
        <v>-2818</v>
      </c>
      <c r="F54" s="9" t="s">
        <v>132</v>
      </c>
      <c r="G54" s="10">
        <v>46174</v>
      </c>
      <c r="H54" s="9">
        <v>12397</v>
      </c>
      <c r="J54" s="12" t="s">
        <v>52</v>
      </c>
      <c r="K54" s="12" t="s">
        <v>134</v>
      </c>
      <c r="L54" s="81">
        <v>2818</v>
      </c>
      <c r="M54" s="14" t="s">
        <v>1</v>
      </c>
      <c r="N54" s="15" t="s">
        <v>174</v>
      </c>
      <c r="O54" s="16">
        <v>1</v>
      </c>
      <c r="P54" s="68"/>
      <c r="Q54" s="17" t="s">
        <v>136</v>
      </c>
    </row>
    <row r="55" spans="1:17" x14ac:dyDescent="0.25">
      <c r="A55" s="9" t="str">
        <f t="shared" ref="A55:A57" si="7">CONCATENATE(J55,P55,M55,K55,M55,Q55,M55,N55)</f>
        <v>CUSTO DE DROPCOPY USD - BANCO DO BRASIL S/A - 10349918 -  JUNHO 26</v>
      </c>
      <c r="B55" s="46">
        <v>46174</v>
      </c>
      <c r="C55" s="45">
        <v>817632</v>
      </c>
      <c r="D55" s="47" t="s">
        <v>139</v>
      </c>
      <c r="E55" s="56">
        <f t="shared" si="1"/>
        <v>-718.66666666666663</v>
      </c>
      <c r="F55" s="45" t="s">
        <v>132</v>
      </c>
      <c r="G55" s="46">
        <v>46174</v>
      </c>
      <c r="H55" s="45">
        <v>18857</v>
      </c>
      <c r="J55" s="48" t="s">
        <v>36</v>
      </c>
      <c r="K55" s="48" t="s">
        <v>159</v>
      </c>
      <c r="L55" s="80">
        <v>718.66666666666663</v>
      </c>
      <c r="M55" s="50" t="s">
        <v>1</v>
      </c>
      <c r="N55" s="51" t="s">
        <v>174</v>
      </c>
      <c r="O55" s="52">
        <v>1</v>
      </c>
      <c r="P55" s="49"/>
      <c r="Q55" s="17">
        <v>10349918</v>
      </c>
    </row>
    <row r="56" spans="1:17" x14ac:dyDescent="0.25">
      <c r="A56" s="9" t="str">
        <f t="shared" si="7"/>
        <v>CUSTO DE DROPCOPY USD - BANCO DO BRASIL S/A - 28861711 -  JUNHO 26</v>
      </c>
      <c r="B56" s="10">
        <v>46174</v>
      </c>
      <c r="C56" s="9">
        <v>817632</v>
      </c>
      <c r="D56" s="11" t="s">
        <v>139</v>
      </c>
      <c r="E56" s="57">
        <f t="shared" si="1"/>
        <v>-718.66666666666663</v>
      </c>
      <c r="F56" s="9" t="s">
        <v>132</v>
      </c>
      <c r="G56" s="10">
        <v>46174</v>
      </c>
      <c r="H56" s="9">
        <v>18857</v>
      </c>
      <c r="J56" s="12" t="s">
        <v>36</v>
      </c>
      <c r="K56" s="12" t="s">
        <v>159</v>
      </c>
      <c r="L56" s="80">
        <v>718.66666666666663</v>
      </c>
      <c r="M56" s="14" t="s">
        <v>1</v>
      </c>
      <c r="N56" s="15" t="s">
        <v>174</v>
      </c>
      <c r="O56" s="16">
        <v>1</v>
      </c>
      <c r="P56" s="13"/>
      <c r="Q56" s="17">
        <v>28861711</v>
      </c>
    </row>
    <row r="57" spans="1:17" x14ac:dyDescent="0.25">
      <c r="A57" s="9" t="str">
        <f t="shared" si="7"/>
        <v>CUSTO DE DROPCOPY USD - BANCO DO BRASIL S/A - 13107976 -  JUNHO 26</v>
      </c>
      <c r="B57" s="2">
        <v>46174</v>
      </c>
      <c r="C57" s="1">
        <v>817632</v>
      </c>
      <c r="D57" s="3" t="s">
        <v>139</v>
      </c>
      <c r="E57" s="58">
        <f t="shared" si="1"/>
        <v>-718.66666666666663</v>
      </c>
      <c r="F57" s="1" t="s">
        <v>132</v>
      </c>
      <c r="G57" s="2">
        <v>46174</v>
      </c>
      <c r="H57" s="1">
        <v>18857</v>
      </c>
      <c r="J57" s="4" t="s">
        <v>36</v>
      </c>
      <c r="K57" s="4" t="s">
        <v>159</v>
      </c>
      <c r="L57" s="79">
        <v>718.66666666666663</v>
      </c>
      <c r="M57" s="6" t="s">
        <v>1</v>
      </c>
      <c r="N57" s="7" t="s">
        <v>174</v>
      </c>
      <c r="O57" s="8">
        <v>1</v>
      </c>
      <c r="P57" s="5"/>
      <c r="Q57" s="17">
        <v>13107976</v>
      </c>
    </row>
    <row r="58" spans="1:17" x14ac:dyDescent="0.25">
      <c r="A58" s="18" t="str">
        <f t="shared" si="6"/>
        <v>CUSTO DE DROPCOPY BRL - VINLAND CAPITAL -  JUNHO 26</v>
      </c>
      <c r="B58" s="19">
        <v>46174</v>
      </c>
      <c r="C58" s="18">
        <v>817632</v>
      </c>
      <c r="D58" s="20" t="s">
        <v>95</v>
      </c>
      <c r="E58" s="55">
        <f t="shared" si="1"/>
        <v>-318.0443874685165</v>
      </c>
      <c r="F58" s="18" t="s">
        <v>46</v>
      </c>
      <c r="G58" s="19">
        <v>46174</v>
      </c>
      <c r="H58" s="18">
        <v>80359</v>
      </c>
      <c r="J58" s="21" t="s">
        <v>52</v>
      </c>
      <c r="K58" s="21" t="s">
        <v>121</v>
      </c>
      <c r="L58" s="81">
        <v>318.0443874685165</v>
      </c>
      <c r="M58" s="23" t="s">
        <v>1</v>
      </c>
      <c r="N58" s="24" t="s">
        <v>174</v>
      </c>
      <c r="O58" s="25">
        <v>1</v>
      </c>
      <c r="P58" s="22"/>
      <c r="Q58" s="17"/>
    </row>
    <row r="59" spans="1:17" x14ac:dyDescent="0.25">
      <c r="A59" s="9" t="str">
        <f t="shared" si="6"/>
        <v>CUSTO DE DROPCOPY BRL - RPS CAPITAL ADMINISTRADORA -  JUNHO 26</v>
      </c>
      <c r="B59" s="10">
        <v>46174</v>
      </c>
      <c r="C59" s="9">
        <v>817632</v>
      </c>
      <c r="D59" s="11" t="s">
        <v>91</v>
      </c>
      <c r="E59" s="57">
        <f t="shared" si="1"/>
        <v>-318.0443874685165</v>
      </c>
      <c r="F59" s="9" t="s">
        <v>46</v>
      </c>
      <c r="G59" s="10">
        <v>46174</v>
      </c>
      <c r="H59" s="9">
        <v>12339</v>
      </c>
      <c r="J59" s="12" t="s">
        <v>52</v>
      </c>
      <c r="K59" s="12" t="s">
        <v>114</v>
      </c>
      <c r="L59" s="80">
        <v>318.0443874685165</v>
      </c>
      <c r="M59" s="14" t="s">
        <v>1</v>
      </c>
      <c r="N59" s="15" t="s">
        <v>174</v>
      </c>
      <c r="O59" s="16">
        <v>1</v>
      </c>
      <c r="P59" s="13"/>
      <c r="Q59" s="17"/>
    </row>
    <row r="60" spans="1:17" x14ac:dyDescent="0.25">
      <c r="A60" s="45" t="str">
        <f t="shared" si="6"/>
        <v>CUSTO DE DROPCOPY BRL - BANCO BRADESCO S/A -  JUNHO 26</v>
      </c>
      <c r="B60" s="46">
        <v>46174</v>
      </c>
      <c r="C60" s="45">
        <v>817632</v>
      </c>
      <c r="D60" s="47" t="s">
        <v>2</v>
      </c>
      <c r="E60" s="56">
        <f t="shared" si="1"/>
        <v>-238.53329060138736</v>
      </c>
      <c r="F60" s="45" t="s">
        <v>46</v>
      </c>
      <c r="G60" s="46">
        <v>46174</v>
      </c>
      <c r="H60" s="45">
        <v>81503</v>
      </c>
      <c r="J60" s="48" t="s">
        <v>52</v>
      </c>
      <c r="K60" s="48" t="s">
        <v>3</v>
      </c>
      <c r="L60" s="82">
        <v>318.0443874685165</v>
      </c>
      <c r="M60" s="50" t="s">
        <v>1</v>
      </c>
      <c r="N60" s="51" t="s">
        <v>174</v>
      </c>
      <c r="O60" s="52">
        <v>0.75</v>
      </c>
      <c r="P60" s="49"/>
      <c r="Q60" s="17"/>
    </row>
    <row r="61" spans="1:17" x14ac:dyDescent="0.25">
      <c r="A61" s="1" t="str">
        <f t="shared" si="6"/>
        <v>CUSTO DE DROPCOPY BRL - BANCO BRADESCO S/A -  JUNHO 26</v>
      </c>
      <c r="B61" s="2">
        <v>46174</v>
      </c>
      <c r="C61" s="1">
        <v>817632</v>
      </c>
      <c r="D61" s="3" t="s">
        <v>91</v>
      </c>
      <c r="E61" s="58">
        <f t="shared" si="1"/>
        <v>-79.511096867129126</v>
      </c>
      <c r="F61" s="1" t="s">
        <v>46</v>
      </c>
      <c r="G61" s="2">
        <v>46174</v>
      </c>
      <c r="H61" s="1">
        <v>81503</v>
      </c>
      <c r="J61" s="4" t="s">
        <v>52</v>
      </c>
      <c r="K61" s="4" t="s">
        <v>3</v>
      </c>
      <c r="L61" s="79">
        <v>318.0443874685165</v>
      </c>
      <c r="M61" s="6" t="s">
        <v>1</v>
      </c>
      <c r="N61" s="7" t="s">
        <v>174</v>
      </c>
      <c r="O61" s="8">
        <v>0.25</v>
      </c>
      <c r="P61" s="5"/>
      <c r="Q61" s="17"/>
    </row>
    <row r="62" spans="1:17" x14ac:dyDescent="0.25">
      <c r="A62" s="9" t="str">
        <f t="shared" si="6"/>
        <v>CUSTO DE DROPCOPY BRL - KAPITALO INVESTIMENTOS LTDA -  JUNHO 26</v>
      </c>
      <c r="B62" s="10">
        <v>46174</v>
      </c>
      <c r="C62" s="9">
        <v>817632</v>
      </c>
      <c r="D62" s="11" t="s">
        <v>2</v>
      </c>
      <c r="E62" s="57">
        <f t="shared" si="1"/>
        <v>-318.0443874685165</v>
      </c>
      <c r="F62" s="9" t="s">
        <v>46</v>
      </c>
      <c r="G62" s="10">
        <v>46174</v>
      </c>
      <c r="H62" s="9">
        <v>12413</v>
      </c>
      <c r="J62" s="12" t="s">
        <v>52</v>
      </c>
      <c r="K62" s="12" t="s">
        <v>113</v>
      </c>
      <c r="L62" s="80">
        <v>318.0443874685165</v>
      </c>
      <c r="M62" s="14" t="s">
        <v>1</v>
      </c>
      <c r="N62" s="15" t="s">
        <v>174</v>
      </c>
      <c r="O62" s="16">
        <v>1</v>
      </c>
      <c r="P62" s="13"/>
      <c r="Q62" s="17"/>
    </row>
    <row r="63" spans="1:17" x14ac:dyDescent="0.25">
      <c r="A63" s="18" t="str">
        <f t="shared" si="6"/>
        <v>CUSTO DE DROPCOPY BRL - FITPART -  JUNHO 26</v>
      </c>
      <c r="B63" s="19">
        <v>46174</v>
      </c>
      <c r="C63" s="18">
        <v>817632</v>
      </c>
      <c r="D63" s="20" t="s">
        <v>2</v>
      </c>
      <c r="E63" s="55">
        <f t="shared" si="1"/>
        <v>-318.0443874685165</v>
      </c>
      <c r="F63" s="18" t="s">
        <v>46</v>
      </c>
      <c r="G63" s="19">
        <v>46174</v>
      </c>
      <c r="H63" s="18">
        <v>1170</v>
      </c>
      <c r="J63" s="21" t="s">
        <v>52</v>
      </c>
      <c r="K63" s="21" t="s">
        <v>88</v>
      </c>
      <c r="L63" s="81">
        <v>318.0443874685165</v>
      </c>
      <c r="M63" s="23" t="s">
        <v>1</v>
      </c>
      <c r="N63" s="24" t="s">
        <v>174</v>
      </c>
      <c r="O63" s="25">
        <v>1</v>
      </c>
      <c r="P63" s="22"/>
      <c r="Q63" s="17"/>
    </row>
    <row r="64" spans="1:17" x14ac:dyDescent="0.25">
      <c r="A64" s="9" t="str">
        <f t="shared" si="6"/>
        <v>CUSTO DE DROPCOPY BRL - SPX EQUITIES GESTAO DE RECURSOS LTDA -  JUNHO 26</v>
      </c>
      <c r="B64" s="10">
        <v>46174</v>
      </c>
      <c r="C64" s="9">
        <v>817632</v>
      </c>
      <c r="D64" s="11" t="s">
        <v>2</v>
      </c>
      <c r="E64" s="57">
        <f t="shared" si="1"/>
        <v>-190.8266324811099</v>
      </c>
      <c r="F64" s="9" t="s">
        <v>46</v>
      </c>
      <c r="G64" s="10">
        <v>46174</v>
      </c>
      <c r="H64" s="9">
        <v>79931</v>
      </c>
      <c r="J64" s="12" t="s">
        <v>52</v>
      </c>
      <c r="K64" s="12" t="s">
        <v>9</v>
      </c>
      <c r="L64" s="80">
        <v>318.0443874685165</v>
      </c>
      <c r="M64" s="14" t="s">
        <v>1</v>
      </c>
      <c r="N64" s="15" t="s">
        <v>174</v>
      </c>
      <c r="O64" s="16">
        <v>0.6</v>
      </c>
      <c r="P64" s="13"/>
      <c r="Q64" s="17"/>
    </row>
    <row r="65" spans="1:17" x14ac:dyDescent="0.25">
      <c r="A65" s="9" t="str">
        <f t="shared" si="6"/>
        <v>CUSTO DE DROPCOPY BRL - SPX EQUITIES GESTAO DE RECURSOS LTDA -  JUNHO 26</v>
      </c>
      <c r="B65" s="10">
        <v>46174</v>
      </c>
      <c r="C65" s="9">
        <v>817632</v>
      </c>
      <c r="D65" s="11" t="s">
        <v>91</v>
      </c>
      <c r="E65" s="57">
        <f t="shared" si="1"/>
        <v>-127.21775498740661</v>
      </c>
      <c r="F65" s="9" t="s">
        <v>46</v>
      </c>
      <c r="G65" s="10">
        <v>46174</v>
      </c>
      <c r="H65" s="9">
        <v>79931</v>
      </c>
      <c r="J65" s="12" t="s">
        <v>52</v>
      </c>
      <c r="K65" s="12" t="s">
        <v>9</v>
      </c>
      <c r="L65" s="80">
        <v>318.0443874685165</v>
      </c>
      <c r="M65" s="14" t="s">
        <v>1</v>
      </c>
      <c r="N65" s="15" t="s">
        <v>174</v>
      </c>
      <c r="O65" s="16">
        <v>0.4</v>
      </c>
      <c r="P65" s="13"/>
      <c r="Q65" s="17"/>
    </row>
    <row r="66" spans="1:17" x14ac:dyDescent="0.25">
      <c r="A66" s="45" t="str">
        <f t="shared" si="6"/>
        <v>CUSTO DE DROPCOPY BRL - ITAU BBA -  JUNHO 26</v>
      </c>
      <c r="B66" s="46">
        <v>46174</v>
      </c>
      <c r="C66" s="45">
        <v>817632</v>
      </c>
      <c r="D66" s="47" t="s">
        <v>2</v>
      </c>
      <c r="E66" s="56">
        <f t="shared" si="1"/>
        <v>-318.0443874685165</v>
      </c>
      <c r="F66" s="45" t="s">
        <v>46</v>
      </c>
      <c r="G66" s="46">
        <v>46174</v>
      </c>
      <c r="H66" s="45">
        <v>80922</v>
      </c>
      <c r="J66" s="48" t="s">
        <v>52</v>
      </c>
      <c r="K66" s="48" t="s">
        <v>57</v>
      </c>
      <c r="L66" s="81">
        <v>318.0443874685165</v>
      </c>
      <c r="M66" s="50" t="s">
        <v>1</v>
      </c>
      <c r="N66" s="51" t="s">
        <v>174</v>
      </c>
      <c r="O66" s="52">
        <v>1</v>
      </c>
      <c r="P66" s="49"/>
      <c r="Q66" s="17"/>
    </row>
    <row r="67" spans="1:17" x14ac:dyDescent="0.25">
      <c r="A67" s="45" t="str">
        <f t="shared" si="6"/>
        <v>CUSTO DE DROPCOPY USD - BGC LIQUIDEZ -  JUNHO 26</v>
      </c>
      <c r="B67" s="46">
        <v>46174</v>
      </c>
      <c r="C67" s="45">
        <v>817632</v>
      </c>
      <c r="D67" s="47" t="s">
        <v>2</v>
      </c>
      <c r="E67" s="56">
        <f t="shared" si="1"/>
        <v>-1839.8499166666666</v>
      </c>
      <c r="F67" s="45" t="s">
        <v>45</v>
      </c>
      <c r="G67" s="46">
        <v>46174</v>
      </c>
      <c r="H67" s="45">
        <v>1170</v>
      </c>
      <c r="J67" s="48" t="s">
        <v>36</v>
      </c>
      <c r="K67" s="48" t="s">
        <v>47</v>
      </c>
      <c r="L67" s="80">
        <v>1839.8499166666666</v>
      </c>
      <c r="M67" s="50" t="s">
        <v>1</v>
      </c>
      <c r="N67" s="51" t="s">
        <v>174</v>
      </c>
      <c r="O67" s="52">
        <v>1</v>
      </c>
      <c r="P67" s="49"/>
      <c r="Q67" s="17"/>
    </row>
    <row r="68" spans="1:17" x14ac:dyDescent="0.25">
      <c r="A68" s="9" t="str">
        <f t="shared" si="6"/>
        <v>CUSTO DE DROPCOPY USD - BGC LIQUIDEZ -  JUNHO 26</v>
      </c>
      <c r="B68" s="10">
        <v>46174</v>
      </c>
      <c r="C68" s="9">
        <v>817632</v>
      </c>
      <c r="D68" s="11" t="s">
        <v>141</v>
      </c>
      <c r="E68" s="57">
        <f t="shared" si="1"/>
        <v>-1839.8499166666666</v>
      </c>
      <c r="F68" s="9" t="s">
        <v>45</v>
      </c>
      <c r="G68" s="10">
        <v>46174</v>
      </c>
      <c r="H68" s="9">
        <v>1170</v>
      </c>
      <c r="J68" s="12" t="s">
        <v>36</v>
      </c>
      <c r="K68" s="12" t="s">
        <v>47</v>
      </c>
      <c r="L68" s="80">
        <v>1839.8499166666666</v>
      </c>
      <c r="M68" s="14" t="s">
        <v>1</v>
      </c>
      <c r="N68" s="15" t="s">
        <v>174</v>
      </c>
      <c r="O68" s="16">
        <v>1</v>
      </c>
      <c r="P68" s="13"/>
      <c r="Q68" s="17"/>
    </row>
    <row r="69" spans="1:17" x14ac:dyDescent="0.25">
      <c r="A69" s="1" t="str">
        <f t="shared" si="6"/>
        <v>CUSTO DE DROPCOPY USD - BGC LIQUIDEZ -  JUNHO 26</v>
      </c>
      <c r="B69" s="2">
        <v>46174</v>
      </c>
      <c r="C69" s="1">
        <v>817632</v>
      </c>
      <c r="D69" s="3" t="s">
        <v>95</v>
      </c>
      <c r="E69" s="58">
        <f t="shared" si="1"/>
        <v>-1839.8499166666666</v>
      </c>
      <c r="F69" s="1" t="s">
        <v>45</v>
      </c>
      <c r="G69" s="2">
        <v>46174</v>
      </c>
      <c r="H69" s="1">
        <v>1170</v>
      </c>
      <c r="J69" s="4" t="s">
        <v>36</v>
      </c>
      <c r="K69" s="4" t="s">
        <v>47</v>
      </c>
      <c r="L69" s="79">
        <v>1839.8499166666666</v>
      </c>
      <c r="M69" s="6" t="s">
        <v>1</v>
      </c>
      <c r="N69" s="7" t="s">
        <v>174</v>
      </c>
      <c r="O69" s="8">
        <v>1</v>
      </c>
      <c r="P69" s="5"/>
      <c r="Q69" s="17"/>
    </row>
    <row r="70" spans="1:17" x14ac:dyDescent="0.25">
      <c r="A70" s="1" t="str">
        <f t="shared" si="6"/>
        <v>CUSTO DE DROPCOPY USD - SCHONFELD -  JUNHO 26</v>
      </c>
      <c r="B70" s="2">
        <v>46174</v>
      </c>
      <c r="C70" s="1">
        <v>817632</v>
      </c>
      <c r="D70" s="3" t="s">
        <v>95</v>
      </c>
      <c r="E70" s="58">
        <f t="shared" si="1"/>
        <v>-1331.1109239999998</v>
      </c>
      <c r="F70" s="1" t="s">
        <v>115</v>
      </c>
      <c r="G70" s="2">
        <v>46174</v>
      </c>
      <c r="H70" s="1">
        <v>83063</v>
      </c>
      <c r="J70" s="4" t="s">
        <v>36</v>
      </c>
      <c r="K70" s="4" t="s">
        <v>143</v>
      </c>
      <c r="L70" s="79">
        <v>1331.1109239999998</v>
      </c>
      <c r="M70" s="6" t="s">
        <v>1</v>
      </c>
      <c r="N70" s="7" t="s">
        <v>174</v>
      </c>
      <c r="O70" s="8">
        <v>1</v>
      </c>
      <c r="P70" s="54"/>
      <c r="Q70" s="17"/>
    </row>
    <row r="71" spans="1:17" x14ac:dyDescent="0.25">
      <c r="A71" s="1" t="str">
        <f t="shared" si="6"/>
        <v>CUSTO DE DROPCOPY USD - VINLAND CAPITAL MANAGEMENT -  JUNHO 26</v>
      </c>
      <c r="B71" s="2">
        <v>46174</v>
      </c>
      <c r="C71" s="1">
        <v>817632</v>
      </c>
      <c r="D71" s="3" t="s">
        <v>95</v>
      </c>
      <c r="E71" s="58">
        <f t="shared" si="1"/>
        <v>-2677.0269239999998</v>
      </c>
      <c r="F71" s="1" t="s">
        <v>115</v>
      </c>
      <c r="G71" s="2">
        <v>46174</v>
      </c>
      <c r="H71" s="1">
        <v>80359</v>
      </c>
      <c r="J71" s="4" t="s">
        <v>36</v>
      </c>
      <c r="K71" s="4" t="s">
        <v>116</v>
      </c>
      <c r="L71" s="79">
        <v>2677.0269239999998</v>
      </c>
      <c r="M71" s="6" t="s">
        <v>1</v>
      </c>
      <c r="N71" s="7" t="s">
        <v>174</v>
      </c>
      <c r="O71" s="8">
        <v>1</v>
      </c>
      <c r="P71" s="54"/>
      <c r="Q71" s="17"/>
    </row>
    <row r="72" spans="1:17" x14ac:dyDescent="0.25">
      <c r="A72" s="1" t="str">
        <f t="shared" si="6"/>
        <v>CUSTO DE DROPCOPY USD - BGC LIQUIDEZ -  JUNHO 26</v>
      </c>
      <c r="B72" s="2">
        <v>46174</v>
      </c>
      <c r="C72" s="1">
        <v>817632</v>
      </c>
      <c r="D72" s="3" t="s">
        <v>2</v>
      </c>
      <c r="E72" s="58">
        <f t="shared" si="1"/>
        <v>-11388.519999999999</v>
      </c>
      <c r="F72" s="1" t="s">
        <v>117</v>
      </c>
      <c r="G72" s="2">
        <v>46174</v>
      </c>
      <c r="H72" s="1">
        <v>1170</v>
      </c>
      <c r="J72" s="4" t="s">
        <v>36</v>
      </c>
      <c r="K72" s="4" t="s">
        <v>47</v>
      </c>
      <c r="L72" s="79">
        <v>11388.519999999999</v>
      </c>
      <c r="M72" s="6" t="s">
        <v>1</v>
      </c>
      <c r="N72" s="7" t="s">
        <v>174</v>
      </c>
      <c r="O72" s="8">
        <v>1</v>
      </c>
      <c r="P72" s="5"/>
      <c r="Q72" s="17"/>
    </row>
    <row r="73" spans="1:17" x14ac:dyDescent="0.25">
      <c r="A73" s="1" t="str">
        <f t="shared" si="6"/>
        <v>CUSTO DE DROPCOPY USD - BGC LIQUIDEZ -  JUNHO 26</v>
      </c>
      <c r="B73" s="2">
        <v>46174</v>
      </c>
      <c r="C73" s="1">
        <v>817632</v>
      </c>
      <c r="D73" s="3" t="s">
        <v>95</v>
      </c>
      <c r="E73" s="66">
        <f t="shared" si="1"/>
        <v>-2769.4809999999998</v>
      </c>
      <c r="F73" s="1" t="s">
        <v>118</v>
      </c>
      <c r="G73" s="2">
        <v>46174</v>
      </c>
      <c r="H73" s="1">
        <v>1170</v>
      </c>
      <c r="J73" s="4" t="s">
        <v>36</v>
      </c>
      <c r="K73" s="4" t="s">
        <v>47</v>
      </c>
      <c r="L73" s="83">
        <v>2769.4809999999998</v>
      </c>
      <c r="M73" s="23" t="s">
        <v>1</v>
      </c>
      <c r="N73" s="24" t="s">
        <v>174</v>
      </c>
      <c r="O73" s="25">
        <v>1</v>
      </c>
      <c r="P73" s="5"/>
      <c r="Q73" s="17"/>
    </row>
    <row r="74" spans="1:17" x14ac:dyDescent="0.25">
      <c r="A74" s="9" t="str">
        <f t="shared" si="6"/>
        <v>CUSTO DE DROPCOPY BRL - BANCO CITIBANK -  JUNHO 26</v>
      </c>
      <c r="B74" s="10">
        <v>46174</v>
      </c>
      <c r="C74" s="9">
        <v>817632</v>
      </c>
      <c r="D74" s="11" t="s">
        <v>2</v>
      </c>
      <c r="E74" s="57">
        <f t="shared" si="1"/>
        <v>-3.8294577852011479E-2</v>
      </c>
      <c r="F74" s="9" t="s">
        <v>49</v>
      </c>
      <c r="G74" s="10">
        <v>46174</v>
      </c>
      <c r="H74" s="9">
        <v>80961</v>
      </c>
      <c r="J74" s="12" t="s">
        <v>52</v>
      </c>
      <c r="K74" s="12" t="s">
        <v>53</v>
      </c>
      <c r="L74" s="75">
        <v>718.29</v>
      </c>
      <c r="M74" s="14" t="s">
        <v>1</v>
      </c>
      <c r="N74" s="15" t="s">
        <v>174</v>
      </c>
      <c r="O74" s="16">
        <v>5.3313533324996148E-5</v>
      </c>
      <c r="P74" s="13"/>
    </row>
    <row r="75" spans="1:17" x14ac:dyDescent="0.25">
      <c r="A75" s="9" t="str">
        <f t="shared" si="6"/>
        <v>CUSTO DE DROPCOPY BRL - BANCO CITIBANK -  JUNHO 26</v>
      </c>
      <c r="B75" s="10">
        <v>46174</v>
      </c>
      <c r="C75" s="9">
        <v>817632</v>
      </c>
      <c r="D75" s="11" t="s">
        <v>97</v>
      </c>
      <c r="E75" s="57">
        <f t="shared" si="1"/>
        <v>-145.52455333175052</v>
      </c>
      <c r="F75" s="9" t="s">
        <v>49</v>
      </c>
      <c r="G75" s="10">
        <v>46174</v>
      </c>
      <c r="H75" s="9">
        <v>80961</v>
      </c>
      <c r="J75" s="12" t="s">
        <v>52</v>
      </c>
      <c r="K75" s="12" t="s">
        <v>53</v>
      </c>
      <c r="L75" s="75">
        <v>718.29</v>
      </c>
      <c r="M75" s="14" t="s">
        <v>1</v>
      </c>
      <c r="N75" s="15" t="s">
        <v>174</v>
      </c>
      <c r="O75" s="16">
        <v>0.20259860687431333</v>
      </c>
      <c r="P75" s="13"/>
    </row>
    <row r="76" spans="1:17" x14ac:dyDescent="0.25">
      <c r="A76" s="9" t="str">
        <f t="shared" si="6"/>
        <v>CUSTO DE DROPCOPY BRL - BANCO CITIBANK -  JUNHO 26</v>
      </c>
      <c r="B76" s="10">
        <v>46174</v>
      </c>
      <c r="C76" s="9">
        <v>817632</v>
      </c>
      <c r="D76" s="11" t="s">
        <v>98</v>
      </c>
      <c r="E76" s="57">
        <f t="shared" si="1"/>
        <v>-82.401155696770957</v>
      </c>
      <c r="F76" s="9" t="s">
        <v>49</v>
      </c>
      <c r="G76" s="10">
        <v>46174</v>
      </c>
      <c r="H76" s="9">
        <v>80961</v>
      </c>
      <c r="J76" s="12" t="s">
        <v>52</v>
      </c>
      <c r="K76" s="12" t="s">
        <v>53</v>
      </c>
      <c r="L76" s="75">
        <v>718.29</v>
      </c>
      <c r="M76" s="14" t="s">
        <v>1</v>
      </c>
      <c r="N76" s="15" t="s">
        <v>174</v>
      </c>
      <c r="O76" s="16">
        <v>0.11471850603067139</v>
      </c>
      <c r="P76" s="13"/>
    </row>
    <row r="77" spans="1:17" x14ac:dyDescent="0.25">
      <c r="A77" s="9" t="str">
        <f t="shared" si="6"/>
        <v>CUSTO DE DROPCOPY BRL - BANCO CITIBANK -  JUNHO 26</v>
      </c>
      <c r="B77" s="10">
        <v>46174</v>
      </c>
      <c r="C77" s="9">
        <v>817632</v>
      </c>
      <c r="D77" s="11" t="s">
        <v>100</v>
      </c>
      <c r="E77" s="57">
        <f t="shared" ref="E77:E129" si="8">-L77*O77</f>
        <v>-0.89150513673672205</v>
      </c>
      <c r="F77" s="9" t="s">
        <v>49</v>
      </c>
      <c r="G77" s="10">
        <v>46174</v>
      </c>
      <c r="H77" s="9">
        <v>80961</v>
      </c>
      <c r="J77" s="12" t="s">
        <v>52</v>
      </c>
      <c r="K77" s="12" t="s">
        <v>53</v>
      </c>
      <c r="L77" s="75">
        <v>718.29</v>
      </c>
      <c r="M77" s="14" t="s">
        <v>1</v>
      </c>
      <c r="N77" s="15" t="s">
        <v>174</v>
      </c>
      <c r="O77" s="16">
        <v>1.241149308408473E-3</v>
      </c>
      <c r="P77" s="13"/>
    </row>
    <row r="78" spans="1:17" x14ac:dyDescent="0.25">
      <c r="A78" s="9" t="str">
        <f t="shared" si="6"/>
        <v>CUSTO DE DROPCOPY BRL - BANCO CITIBANK -  JUNHO 26</v>
      </c>
      <c r="B78" s="10">
        <v>46174</v>
      </c>
      <c r="C78" s="9">
        <v>817632</v>
      </c>
      <c r="D78" s="11" t="s">
        <v>11</v>
      </c>
      <c r="E78" s="57">
        <f t="shared" si="8"/>
        <v>-43.442260200691074</v>
      </c>
      <c r="F78" s="9" t="s">
        <v>49</v>
      </c>
      <c r="G78" s="10">
        <v>46174</v>
      </c>
      <c r="H78" s="9">
        <v>80961</v>
      </c>
      <c r="J78" s="12" t="s">
        <v>52</v>
      </c>
      <c r="K78" s="12" t="s">
        <v>53</v>
      </c>
      <c r="L78" s="75">
        <v>718.29</v>
      </c>
      <c r="M78" s="14" t="s">
        <v>1</v>
      </c>
      <c r="N78" s="15" t="s">
        <v>174</v>
      </c>
      <c r="O78" s="16">
        <v>6.048011276878569E-2</v>
      </c>
      <c r="P78" s="13"/>
    </row>
    <row r="79" spans="1:17" x14ac:dyDescent="0.25">
      <c r="A79" s="9" t="str">
        <f t="shared" si="6"/>
        <v>CUSTO DE DROPCOPY BRL - BANCO CITIBANK -  JUNHO 26</v>
      </c>
      <c r="B79" s="10">
        <v>46174</v>
      </c>
      <c r="C79" s="9">
        <v>817632</v>
      </c>
      <c r="D79" s="11" t="s">
        <v>91</v>
      </c>
      <c r="E79" s="57">
        <f t="shared" si="8"/>
        <v>-401.69648045163092</v>
      </c>
      <c r="F79" s="9" t="s">
        <v>49</v>
      </c>
      <c r="G79" s="10">
        <v>46174</v>
      </c>
      <c r="H79" s="9">
        <v>80961</v>
      </c>
      <c r="J79" s="12" t="s">
        <v>52</v>
      </c>
      <c r="K79" s="12" t="s">
        <v>53</v>
      </c>
      <c r="L79" s="75">
        <v>718.29</v>
      </c>
      <c r="M79" s="14" t="s">
        <v>1</v>
      </c>
      <c r="N79" s="15" t="s">
        <v>174</v>
      </c>
      <c r="O79" s="16">
        <v>0.55923997334172959</v>
      </c>
      <c r="P79" s="13"/>
    </row>
    <row r="80" spans="1:17" x14ac:dyDescent="0.25">
      <c r="A80" s="9" t="str">
        <f t="shared" si="6"/>
        <v>CUSTO DE DROPCOPY BRL - BANCO CITIBANK -  JUNHO 26</v>
      </c>
      <c r="B80" s="10">
        <v>46174</v>
      </c>
      <c r="C80" s="9">
        <v>817632</v>
      </c>
      <c r="D80" s="11" t="s">
        <v>40</v>
      </c>
      <c r="E80" s="57">
        <f t="shared" si="8"/>
        <v>-42.566558941660197</v>
      </c>
      <c r="F80" s="9" t="s">
        <v>49</v>
      </c>
      <c r="G80" s="10">
        <v>46174</v>
      </c>
      <c r="H80" s="9">
        <v>80961</v>
      </c>
      <c r="J80" s="12" t="s">
        <v>52</v>
      </c>
      <c r="K80" s="12" t="s">
        <v>53</v>
      </c>
      <c r="L80" s="75">
        <v>718.29</v>
      </c>
      <c r="M80" s="14" t="s">
        <v>1</v>
      </c>
      <c r="N80" s="15" t="s">
        <v>174</v>
      </c>
      <c r="O80" s="16">
        <v>5.9260965545476343E-2</v>
      </c>
      <c r="P80" s="13"/>
    </row>
    <row r="81" spans="1:16" x14ac:dyDescent="0.25">
      <c r="A81" s="9" t="str">
        <f t="shared" si="6"/>
        <v>CUSTO DE DROPCOPY BRL - BANCO CITIBANK -  JUNHO 26</v>
      </c>
      <c r="B81" s="10">
        <v>46174</v>
      </c>
      <c r="C81" s="9">
        <v>817632</v>
      </c>
      <c r="D81" s="11" t="s">
        <v>41</v>
      </c>
      <c r="E81" s="57">
        <f t="shared" si="8"/>
        <v>-1.7291916629075783</v>
      </c>
      <c r="F81" s="9" t="s">
        <v>49</v>
      </c>
      <c r="G81" s="10">
        <v>46174</v>
      </c>
      <c r="H81" s="9">
        <v>80961</v>
      </c>
      <c r="J81" s="12" t="s">
        <v>52</v>
      </c>
      <c r="K81" s="12" t="s">
        <v>53</v>
      </c>
      <c r="L81" s="75">
        <v>718.29</v>
      </c>
      <c r="M81" s="14" t="s">
        <v>1</v>
      </c>
      <c r="N81" s="15" t="s">
        <v>174</v>
      </c>
      <c r="O81" s="16">
        <v>2.4073725972902009E-3</v>
      </c>
      <c r="P81" s="13"/>
    </row>
    <row r="82" spans="1:16" x14ac:dyDescent="0.25">
      <c r="A82" s="45" t="str">
        <f t="shared" si="6"/>
        <v>CUSTO DE DROPCOPY BRL - BANCO SANTANDER -  JUNHO 26</v>
      </c>
      <c r="B82" s="46">
        <v>46174</v>
      </c>
      <c r="C82" s="45">
        <v>817632</v>
      </c>
      <c r="D82" s="47" t="s">
        <v>97</v>
      </c>
      <c r="E82" s="56">
        <f t="shared" si="8"/>
        <v>-0.87802058874244471</v>
      </c>
      <c r="F82" s="45" t="s">
        <v>49</v>
      </c>
      <c r="G82" s="46">
        <v>46174</v>
      </c>
      <c r="H82" s="45">
        <v>80015</v>
      </c>
      <c r="J82" s="48" t="s">
        <v>52</v>
      </c>
      <c r="K82" s="48" t="s">
        <v>54</v>
      </c>
      <c r="L82" s="62">
        <v>1436.58</v>
      </c>
      <c r="M82" s="50" t="s">
        <v>1</v>
      </c>
      <c r="N82" s="51" t="s">
        <v>174</v>
      </c>
      <c r="O82" s="52">
        <v>6.1118809167776578E-4</v>
      </c>
      <c r="P82" s="49"/>
    </row>
    <row r="83" spans="1:16" x14ac:dyDescent="0.25">
      <c r="A83" s="9" t="str">
        <f t="shared" si="6"/>
        <v>CUSTO DE DROPCOPY BRL - BANCO SANTANDER -  JUNHO 26</v>
      </c>
      <c r="B83" s="10">
        <v>46174</v>
      </c>
      <c r="C83" s="9">
        <v>817632</v>
      </c>
      <c r="D83" s="11" t="s">
        <v>44</v>
      </c>
      <c r="E83" s="57">
        <f t="shared" si="8"/>
        <v>-10.684315625732767</v>
      </c>
      <c r="F83" s="9" t="s">
        <v>49</v>
      </c>
      <c r="G83" s="10">
        <v>46174</v>
      </c>
      <c r="H83" s="9">
        <v>80015</v>
      </c>
      <c r="J83" s="12" t="s">
        <v>52</v>
      </c>
      <c r="K83" s="12" t="s">
        <v>54</v>
      </c>
      <c r="L83" s="61">
        <v>1436.58</v>
      </c>
      <c r="M83" s="14" t="s">
        <v>1</v>
      </c>
      <c r="N83" s="15" t="s">
        <v>174</v>
      </c>
      <c r="O83" s="16">
        <v>7.4373272812741139E-3</v>
      </c>
      <c r="P83" s="13"/>
    </row>
    <row r="84" spans="1:16" x14ac:dyDescent="0.25">
      <c r="A84" s="9" t="str">
        <f t="shared" si="6"/>
        <v>CUSTO DE DROPCOPY BRL - BANCO SANTANDER -  JUNHO 26</v>
      </c>
      <c r="B84" s="10">
        <v>46174</v>
      </c>
      <c r="C84" s="9">
        <v>817632</v>
      </c>
      <c r="D84" s="11" t="s">
        <v>104</v>
      </c>
      <c r="E84" s="57">
        <f t="shared" si="8"/>
        <v>-80.836705957586361</v>
      </c>
      <c r="F84" s="9" t="s">
        <v>49</v>
      </c>
      <c r="G84" s="10">
        <v>46174</v>
      </c>
      <c r="H84" s="9">
        <v>80015</v>
      </c>
      <c r="J84" s="12" t="s">
        <v>52</v>
      </c>
      <c r="K84" s="12" t="s">
        <v>54</v>
      </c>
      <c r="L84" s="61">
        <v>1436.58</v>
      </c>
      <c r="M84" s="14" t="s">
        <v>1</v>
      </c>
      <c r="N84" s="15" t="s">
        <v>174</v>
      </c>
      <c r="O84" s="16">
        <v>5.6270243187004111E-2</v>
      </c>
      <c r="P84" s="13"/>
    </row>
    <row r="85" spans="1:16" x14ac:dyDescent="0.25">
      <c r="A85" s="9" t="str">
        <f t="shared" si="6"/>
        <v>CUSTO DE DROPCOPY BRL - BANCO SANTANDER -  JUNHO 26</v>
      </c>
      <c r="B85" s="10">
        <v>46174</v>
      </c>
      <c r="C85" s="9">
        <v>817632</v>
      </c>
      <c r="D85" s="11" t="s">
        <v>100</v>
      </c>
      <c r="E85" s="57">
        <f t="shared" si="8"/>
        <v>-0.78450879834732479</v>
      </c>
      <c r="F85" s="9" t="s">
        <v>49</v>
      </c>
      <c r="G85" s="10">
        <v>46174</v>
      </c>
      <c r="H85" s="9">
        <v>80015</v>
      </c>
      <c r="J85" s="12" t="s">
        <v>52</v>
      </c>
      <c r="K85" s="12" t="s">
        <v>54</v>
      </c>
      <c r="L85" s="61">
        <v>1436.58</v>
      </c>
      <c r="M85" s="14" t="s">
        <v>1</v>
      </c>
      <c r="N85" s="15" t="s">
        <v>174</v>
      </c>
      <c r="O85" s="16">
        <v>5.4609475166529176E-4</v>
      </c>
      <c r="P85" s="13"/>
    </row>
    <row r="86" spans="1:16" x14ac:dyDescent="0.25">
      <c r="A86" s="9" t="str">
        <f t="shared" si="6"/>
        <v>CUSTO DE DROPCOPY BRL - BANCO SANTANDER -  JUNHO 26</v>
      </c>
      <c r="B86" s="10">
        <v>46174</v>
      </c>
      <c r="C86" s="9">
        <v>817632</v>
      </c>
      <c r="D86" s="11" t="s">
        <v>11</v>
      </c>
      <c r="E86" s="57">
        <f t="shared" si="8"/>
        <v>-1138.0776675302634</v>
      </c>
      <c r="F86" s="9" t="s">
        <v>49</v>
      </c>
      <c r="G86" s="10">
        <v>46174</v>
      </c>
      <c r="H86" s="9">
        <v>80015</v>
      </c>
      <c r="J86" s="12" t="s">
        <v>52</v>
      </c>
      <c r="K86" s="12" t="s">
        <v>54</v>
      </c>
      <c r="L86" s="61">
        <v>1436.58</v>
      </c>
      <c r="M86" s="14" t="s">
        <v>1</v>
      </c>
      <c r="N86" s="15" t="s">
        <v>174</v>
      </c>
      <c r="O86" s="16">
        <v>0.7922132199600882</v>
      </c>
      <c r="P86" s="13"/>
    </row>
    <row r="87" spans="1:16" x14ac:dyDescent="0.25">
      <c r="A87" s="9" t="str">
        <f t="shared" si="6"/>
        <v>CUSTO DE DROPCOPY BRL - BANCO SANTANDER -  JUNHO 26</v>
      </c>
      <c r="B87" s="10">
        <v>46174</v>
      </c>
      <c r="C87" s="9">
        <v>817632</v>
      </c>
      <c r="D87" s="11" t="s">
        <v>129</v>
      </c>
      <c r="E87" s="57">
        <f t="shared" si="8"/>
        <v>-19.100844346222473</v>
      </c>
      <c r="F87" s="9" t="s">
        <v>49</v>
      </c>
      <c r="G87" s="10">
        <v>46174</v>
      </c>
      <c r="H87" s="9">
        <v>80015</v>
      </c>
      <c r="J87" s="12" t="s">
        <v>52</v>
      </c>
      <c r="K87" s="12" t="s">
        <v>54</v>
      </c>
      <c r="L87" s="61">
        <v>1436.58</v>
      </c>
      <c r="M87" s="14" t="s">
        <v>1</v>
      </c>
      <c r="N87" s="15" t="s">
        <v>174</v>
      </c>
      <c r="O87" s="16">
        <v>1.3296053367179324E-2</v>
      </c>
      <c r="P87" s="13"/>
    </row>
    <row r="88" spans="1:16" x14ac:dyDescent="0.25">
      <c r="A88" s="9" t="str">
        <f t="shared" si="6"/>
        <v>CUSTO DE DROPCOPY BRL - BANCO SANTANDER -  JUNHO 26</v>
      </c>
      <c r="B88" s="10">
        <v>46174</v>
      </c>
      <c r="C88" s="9">
        <v>817632</v>
      </c>
      <c r="D88" s="11" t="s">
        <v>107</v>
      </c>
      <c r="E88" s="57">
        <f t="shared" si="8"/>
        <v>-48.823249225329079</v>
      </c>
      <c r="F88" s="9" t="s">
        <v>49</v>
      </c>
      <c r="G88" s="10">
        <v>46174</v>
      </c>
      <c r="H88" s="9">
        <v>80015</v>
      </c>
      <c r="J88" s="12" t="s">
        <v>52</v>
      </c>
      <c r="K88" s="12" t="s">
        <v>54</v>
      </c>
      <c r="L88" s="61">
        <v>1436.58</v>
      </c>
      <c r="M88" s="14" t="s">
        <v>1</v>
      </c>
      <c r="N88" s="15" t="s">
        <v>174</v>
      </c>
      <c r="O88" s="16">
        <v>3.3985750341316935E-2</v>
      </c>
      <c r="P88" s="13"/>
    </row>
    <row r="89" spans="1:16" x14ac:dyDescent="0.25">
      <c r="A89" s="9" t="str">
        <f t="shared" si="6"/>
        <v>CUSTO DE DROPCOPY BRL - BANCO SANTANDER -  JUNHO 26</v>
      </c>
      <c r="B89" s="10">
        <v>46174</v>
      </c>
      <c r="C89" s="9">
        <v>817632</v>
      </c>
      <c r="D89" s="11" t="s">
        <v>20</v>
      </c>
      <c r="E89" s="57">
        <f t="shared" si="8"/>
        <v>-25.461822960704133</v>
      </c>
      <c r="F89" s="9" t="s">
        <v>49</v>
      </c>
      <c r="G89" s="10">
        <v>46174</v>
      </c>
      <c r="H89" s="9">
        <v>80015</v>
      </c>
      <c r="J89" s="12" t="s">
        <v>52</v>
      </c>
      <c r="K89" s="12" t="s">
        <v>54</v>
      </c>
      <c r="L89" s="61">
        <v>1436.58</v>
      </c>
      <c r="M89" s="14" t="s">
        <v>1</v>
      </c>
      <c r="N89" s="15" t="s">
        <v>174</v>
      </c>
      <c r="O89" s="16">
        <v>1.7723915800515206E-2</v>
      </c>
      <c r="P89" s="13"/>
    </row>
    <row r="90" spans="1:16" x14ac:dyDescent="0.25">
      <c r="A90" s="9" t="str">
        <f t="shared" si="6"/>
        <v>CUSTO DE DROPCOPY BRL - BANCO SANTANDER -  JUNHO 26</v>
      </c>
      <c r="B90" s="10">
        <v>46174</v>
      </c>
      <c r="C90" s="9">
        <v>817632</v>
      </c>
      <c r="D90" s="11" t="s">
        <v>40</v>
      </c>
      <c r="E90" s="57">
        <f t="shared" si="8"/>
        <v>-67.722928144355635</v>
      </c>
      <c r="F90" s="9" t="s">
        <v>49</v>
      </c>
      <c r="G90" s="10">
        <v>46174</v>
      </c>
      <c r="H90" s="9">
        <v>80015</v>
      </c>
      <c r="J90" s="12" t="s">
        <v>52</v>
      </c>
      <c r="K90" s="12" t="s">
        <v>54</v>
      </c>
      <c r="L90" s="61">
        <v>1436.58</v>
      </c>
      <c r="M90" s="14" t="s">
        <v>1</v>
      </c>
      <c r="N90" s="15" t="s">
        <v>174</v>
      </c>
      <c r="O90" s="16">
        <v>4.714177292204795E-2</v>
      </c>
      <c r="P90" s="13"/>
    </row>
    <row r="91" spans="1:16" x14ac:dyDescent="0.25">
      <c r="A91" s="9" t="str">
        <f t="shared" si="6"/>
        <v>CUSTO DE DROPCOPY BRL - BANCO SANTANDER -  JUNHO 26</v>
      </c>
      <c r="B91" s="10">
        <v>46174</v>
      </c>
      <c r="C91" s="9">
        <v>817632</v>
      </c>
      <c r="D91" s="11" t="s">
        <v>168</v>
      </c>
      <c r="E91" s="57">
        <f t="shared" si="8"/>
        <v>-21.837244867225245</v>
      </c>
      <c r="F91" s="9" t="s">
        <v>49</v>
      </c>
      <c r="G91" s="10">
        <v>46174</v>
      </c>
      <c r="H91" s="9">
        <v>80015</v>
      </c>
      <c r="J91" s="12" t="s">
        <v>52</v>
      </c>
      <c r="K91" s="12" t="s">
        <v>54</v>
      </c>
      <c r="L91" s="61">
        <v>1436.58</v>
      </c>
      <c r="M91" s="14" t="s">
        <v>1</v>
      </c>
      <c r="N91" s="15" t="s">
        <v>174</v>
      </c>
      <c r="O91" s="16">
        <v>1.520085541162013E-2</v>
      </c>
      <c r="P91" s="13"/>
    </row>
    <row r="92" spans="1:16" x14ac:dyDescent="0.25">
      <c r="A92" s="9" t="str">
        <f t="shared" si="6"/>
        <v>CUSTO DE DROPCOPY BRL - BANCO SANTANDER -  JUNHO 26</v>
      </c>
      <c r="B92" s="10">
        <v>46174</v>
      </c>
      <c r="C92" s="9">
        <v>817632</v>
      </c>
      <c r="D92" s="11" t="s">
        <v>120</v>
      </c>
      <c r="E92" s="57">
        <f t="shared" si="8"/>
        <v>-10.769005647135669</v>
      </c>
      <c r="F92" s="9" t="s">
        <v>49</v>
      </c>
      <c r="G92" s="10">
        <v>46174</v>
      </c>
      <c r="H92" s="9">
        <v>80015</v>
      </c>
      <c r="J92" s="12" t="s">
        <v>52</v>
      </c>
      <c r="K92" s="12" t="s">
        <v>54</v>
      </c>
      <c r="L92" s="61">
        <v>1436.58</v>
      </c>
      <c r="M92" s="14" t="s">
        <v>1</v>
      </c>
      <c r="N92" s="15" t="s">
        <v>174</v>
      </c>
      <c r="O92" s="16">
        <v>7.4962798083891393E-3</v>
      </c>
      <c r="P92" s="13"/>
    </row>
    <row r="93" spans="1:16" x14ac:dyDescent="0.25">
      <c r="A93" s="9" t="str">
        <f t="shared" si="6"/>
        <v>CUSTO DE DROPCOPY BRL - BANCO SANTANDER -  JUNHO 26</v>
      </c>
      <c r="B93" s="10">
        <v>46174</v>
      </c>
      <c r="C93" s="9">
        <v>817632</v>
      </c>
      <c r="D93" s="11" t="s">
        <v>41</v>
      </c>
      <c r="E93" s="57">
        <f t="shared" si="8"/>
        <v>-10.769005647135669</v>
      </c>
      <c r="F93" s="9" t="s">
        <v>49</v>
      </c>
      <c r="G93" s="10">
        <v>46174</v>
      </c>
      <c r="H93" s="9">
        <v>80015</v>
      </c>
      <c r="J93" s="12" t="s">
        <v>52</v>
      </c>
      <c r="K93" s="12" t="s">
        <v>54</v>
      </c>
      <c r="L93" s="61">
        <v>1436.58</v>
      </c>
      <c r="M93" s="14" t="s">
        <v>1</v>
      </c>
      <c r="N93" s="15" t="s">
        <v>174</v>
      </c>
      <c r="O93" s="16">
        <v>7.4962798083891393E-3</v>
      </c>
      <c r="P93" s="13"/>
    </row>
    <row r="94" spans="1:16" x14ac:dyDescent="0.25">
      <c r="A94" s="9" t="str">
        <f t="shared" si="6"/>
        <v>CUSTO DE DROPCOPY BRL - BANCO SANTANDER -  JUNHO 26</v>
      </c>
      <c r="B94" s="10">
        <v>46174</v>
      </c>
      <c r="C94" s="9">
        <v>817632</v>
      </c>
      <c r="D94" s="11" t="s">
        <v>105</v>
      </c>
      <c r="E94" s="57">
        <f t="shared" si="8"/>
        <v>-0.83468066122002171</v>
      </c>
      <c r="F94" s="9" t="s">
        <v>49</v>
      </c>
      <c r="G94" s="10">
        <v>46174</v>
      </c>
      <c r="H94" s="9">
        <v>80015</v>
      </c>
      <c r="J94" s="12" t="s">
        <v>52</v>
      </c>
      <c r="K94" s="12" t="s">
        <v>54</v>
      </c>
      <c r="L94" s="61">
        <v>1436.58</v>
      </c>
      <c r="M94" s="14" t="s">
        <v>1</v>
      </c>
      <c r="N94" s="15" t="s">
        <v>174</v>
      </c>
      <c r="O94" s="16">
        <v>5.8101926883293779E-4</v>
      </c>
      <c r="P94" s="13"/>
    </row>
    <row r="95" spans="1:16" x14ac:dyDescent="0.25">
      <c r="A95" s="45" t="str">
        <f t="shared" si="6"/>
        <v>CUSTO DE DROPCOPY BRL - GOLDMAN SACHS -  JUNHO 26</v>
      </c>
      <c r="B95" s="46">
        <v>46174</v>
      </c>
      <c r="C95" s="45">
        <v>817632</v>
      </c>
      <c r="D95" s="47" t="s">
        <v>2</v>
      </c>
      <c r="E95" s="56">
        <f t="shared" si="8"/>
        <v>-142.67625521462486</v>
      </c>
      <c r="F95" s="45" t="s">
        <v>49</v>
      </c>
      <c r="G95" s="46">
        <v>46174</v>
      </c>
      <c r="H95" s="45">
        <v>27645</v>
      </c>
      <c r="J95" s="48" t="s">
        <v>52</v>
      </c>
      <c r="K95" s="48" t="s">
        <v>55</v>
      </c>
      <c r="L95" s="62">
        <v>718.29</v>
      </c>
      <c r="M95" s="50" t="s">
        <v>1</v>
      </c>
      <c r="N95" s="51" t="s">
        <v>174</v>
      </c>
      <c r="O95" s="52">
        <v>0.19863321947211413</v>
      </c>
      <c r="P95" s="49"/>
    </row>
    <row r="96" spans="1:16" x14ac:dyDescent="0.25">
      <c r="A96" s="9" t="str">
        <f t="shared" si="6"/>
        <v>CUSTO DE DROPCOPY BRL - GOLDMAN SACHS -  JUNHO 26</v>
      </c>
      <c r="B96" s="10">
        <v>46174</v>
      </c>
      <c r="C96" s="9">
        <v>817632</v>
      </c>
      <c r="D96" s="11" t="s">
        <v>44</v>
      </c>
      <c r="E96" s="57">
        <f t="shared" si="8"/>
        <v>-68.743780581737482</v>
      </c>
      <c r="F96" s="9" t="s">
        <v>49</v>
      </c>
      <c r="G96" s="10">
        <v>46174</v>
      </c>
      <c r="H96" s="9">
        <v>27645</v>
      </c>
      <c r="J96" s="12" t="s">
        <v>52</v>
      </c>
      <c r="K96" s="12" t="s">
        <v>55</v>
      </c>
      <c r="L96" s="61">
        <v>718.29</v>
      </c>
      <c r="M96" s="14" t="s">
        <v>1</v>
      </c>
      <c r="N96" s="15" t="s">
        <v>174</v>
      </c>
      <c r="O96" s="16">
        <v>9.5704771863366456E-2</v>
      </c>
      <c r="P96" s="13"/>
    </row>
    <row r="97" spans="1:16" x14ac:dyDescent="0.25">
      <c r="A97" s="9" t="str">
        <f t="shared" si="6"/>
        <v>CUSTO DE DROPCOPY BRL - GOLDMAN SACHS -  JUNHO 26</v>
      </c>
      <c r="B97" s="10">
        <v>46174</v>
      </c>
      <c r="C97" s="9">
        <v>817632</v>
      </c>
      <c r="D97" s="11" t="s">
        <v>103</v>
      </c>
      <c r="E97" s="57">
        <f t="shared" si="8"/>
        <v>-16.552118561163962</v>
      </c>
      <c r="F97" s="9" t="s">
        <v>49</v>
      </c>
      <c r="G97" s="10">
        <v>46174</v>
      </c>
      <c r="H97" s="9">
        <v>27645</v>
      </c>
      <c r="J97" s="12" t="s">
        <v>52</v>
      </c>
      <c r="K97" s="12" t="s">
        <v>55</v>
      </c>
      <c r="L97" s="61">
        <v>718.29</v>
      </c>
      <c r="M97" s="14" t="s">
        <v>1</v>
      </c>
      <c r="N97" s="15" t="s">
        <v>174</v>
      </c>
      <c r="O97" s="16">
        <v>2.3043782540706347E-2</v>
      </c>
      <c r="P97" s="13"/>
    </row>
    <row r="98" spans="1:16" x14ac:dyDescent="0.25">
      <c r="A98" s="9" t="str">
        <f t="shared" si="6"/>
        <v>CUSTO DE DROPCOPY BRL - GOLDMAN SACHS -  JUNHO 26</v>
      </c>
      <c r="B98" s="10">
        <v>46174</v>
      </c>
      <c r="C98" s="9">
        <v>817632</v>
      </c>
      <c r="D98" s="11" t="s">
        <v>172</v>
      </c>
      <c r="E98" s="57">
        <f t="shared" si="8"/>
        <v>-1.0883484548781002</v>
      </c>
      <c r="F98" s="9" t="s">
        <v>49</v>
      </c>
      <c r="G98" s="10">
        <v>46174</v>
      </c>
      <c r="H98" s="9">
        <v>27645</v>
      </c>
      <c r="J98" s="12" t="s">
        <v>52</v>
      </c>
      <c r="K98" s="12" t="s">
        <v>55</v>
      </c>
      <c r="L98" s="61">
        <v>718.29</v>
      </c>
      <c r="M98" s="14" t="s">
        <v>1</v>
      </c>
      <c r="N98" s="15" t="s">
        <v>174</v>
      </c>
      <c r="O98" s="16">
        <v>1.51519366116485E-3</v>
      </c>
      <c r="P98" s="13"/>
    </row>
    <row r="99" spans="1:16" x14ac:dyDescent="0.25">
      <c r="A99" s="9" t="str">
        <f t="shared" si="6"/>
        <v>CUSTO DE DROPCOPY BRL - GOLDMAN SACHS -  JUNHO 26</v>
      </c>
      <c r="B99" s="10">
        <v>46174</v>
      </c>
      <c r="C99" s="9">
        <v>817632</v>
      </c>
      <c r="D99" s="11" t="s">
        <v>11</v>
      </c>
      <c r="E99" s="57">
        <f t="shared" si="8"/>
        <v>-295.98862009599918</v>
      </c>
      <c r="F99" s="9" t="s">
        <v>49</v>
      </c>
      <c r="G99" s="10">
        <v>46174</v>
      </c>
      <c r="H99" s="9">
        <v>27645</v>
      </c>
      <c r="J99" s="12" t="s">
        <v>52</v>
      </c>
      <c r="K99" s="12" t="s">
        <v>55</v>
      </c>
      <c r="L99" s="61">
        <v>718.29</v>
      </c>
      <c r="M99" s="14" t="s">
        <v>1</v>
      </c>
      <c r="N99" s="15" t="s">
        <v>174</v>
      </c>
      <c r="O99" s="16">
        <v>0.4120739813947002</v>
      </c>
      <c r="P99" s="13"/>
    </row>
    <row r="100" spans="1:16" x14ac:dyDescent="0.25">
      <c r="A100" s="9" t="str">
        <f t="shared" si="6"/>
        <v>CUSTO DE DROPCOPY BRL - GOLDMAN SACHS -  JUNHO 26</v>
      </c>
      <c r="B100" s="10">
        <v>46174</v>
      </c>
      <c r="C100" s="9">
        <v>817632</v>
      </c>
      <c r="D100" s="11" t="s">
        <v>129</v>
      </c>
      <c r="E100" s="57">
        <f t="shared" si="8"/>
        <v>-43.57173473541139</v>
      </c>
      <c r="F100" s="9" t="s">
        <v>49</v>
      </c>
      <c r="G100" s="10">
        <v>46174</v>
      </c>
      <c r="H100" s="9">
        <v>27645</v>
      </c>
      <c r="J100" s="12" t="s">
        <v>52</v>
      </c>
      <c r="K100" s="12" t="s">
        <v>55</v>
      </c>
      <c r="L100" s="61">
        <v>718.29</v>
      </c>
      <c r="M100" s="14" t="s">
        <v>1</v>
      </c>
      <c r="N100" s="15" t="s">
        <v>174</v>
      </c>
      <c r="O100" s="16">
        <v>6.0660366614335978E-2</v>
      </c>
      <c r="P100" s="13"/>
    </row>
    <row r="101" spans="1:16" x14ac:dyDescent="0.25">
      <c r="A101" s="9" t="str">
        <f t="shared" si="6"/>
        <v>CUSTO DE DROPCOPY BRL - GOLDMAN SACHS -  JUNHO 26</v>
      </c>
      <c r="B101" s="10">
        <v>46174</v>
      </c>
      <c r="C101" s="9">
        <v>817632</v>
      </c>
      <c r="D101" s="11" t="s">
        <v>171</v>
      </c>
      <c r="E101" s="57">
        <f t="shared" si="8"/>
        <v>-53.16463121470975</v>
      </c>
      <c r="F101" s="9" t="s">
        <v>49</v>
      </c>
      <c r="G101" s="10">
        <v>46174</v>
      </c>
      <c r="H101" s="9">
        <v>27645</v>
      </c>
      <c r="J101" s="12" t="s">
        <v>52</v>
      </c>
      <c r="K101" s="12" t="s">
        <v>55</v>
      </c>
      <c r="L101" s="61">
        <v>718.29</v>
      </c>
      <c r="M101" s="14" t="s">
        <v>1</v>
      </c>
      <c r="N101" s="15" t="s">
        <v>174</v>
      </c>
      <c r="O101" s="16">
        <v>7.401555251320463E-2</v>
      </c>
      <c r="P101" s="13"/>
    </row>
    <row r="102" spans="1:16" x14ac:dyDescent="0.25">
      <c r="A102" s="9" t="str">
        <f t="shared" si="6"/>
        <v>CUSTO DE DROPCOPY BRL - GOLDMAN SACHS -  JUNHO 26</v>
      </c>
      <c r="B102" s="10">
        <v>46174</v>
      </c>
      <c r="C102" s="9">
        <v>817632</v>
      </c>
      <c r="D102" s="11" t="s">
        <v>91</v>
      </c>
      <c r="E102" s="57">
        <f t="shared" si="8"/>
        <v>-1.5631444691050702</v>
      </c>
      <c r="F102" s="9" t="s">
        <v>49</v>
      </c>
      <c r="G102" s="10">
        <v>46174</v>
      </c>
      <c r="H102" s="9">
        <v>27645</v>
      </c>
      <c r="J102" s="12" t="s">
        <v>52</v>
      </c>
      <c r="K102" s="12" t="s">
        <v>55</v>
      </c>
      <c r="L102" s="61">
        <v>718.29</v>
      </c>
      <c r="M102" s="14" t="s">
        <v>1</v>
      </c>
      <c r="N102" s="15" t="s">
        <v>174</v>
      </c>
      <c r="O102" s="16">
        <v>2.1762024657242481E-3</v>
      </c>
      <c r="P102" s="13"/>
    </row>
    <row r="103" spans="1:16" x14ac:dyDescent="0.25">
      <c r="A103" s="9" t="str">
        <f t="shared" si="6"/>
        <v>CUSTO DE DROPCOPY BRL - GOLDMAN SACHS -  JUNHO 26</v>
      </c>
      <c r="B103" s="10">
        <v>46174</v>
      </c>
      <c r="C103" s="9">
        <v>817632</v>
      </c>
      <c r="D103" s="11" t="s">
        <v>101</v>
      </c>
      <c r="E103" s="57">
        <f t="shared" si="8"/>
        <v>-36.481022162558247</v>
      </c>
      <c r="F103" s="9" t="s">
        <v>49</v>
      </c>
      <c r="G103" s="10">
        <v>46174</v>
      </c>
      <c r="H103" s="9">
        <v>27645</v>
      </c>
      <c r="J103" s="12" t="s">
        <v>52</v>
      </c>
      <c r="K103" s="12" t="s">
        <v>55</v>
      </c>
      <c r="L103" s="61">
        <v>718.29</v>
      </c>
      <c r="M103" s="14" t="s">
        <v>1</v>
      </c>
      <c r="N103" s="15" t="s">
        <v>174</v>
      </c>
      <c r="O103" s="16">
        <v>5.0788709522001214E-2</v>
      </c>
      <c r="P103" s="13"/>
    </row>
    <row r="104" spans="1:16" x14ac:dyDescent="0.25">
      <c r="A104" s="9" t="str">
        <f t="shared" si="6"/>
        <v>CUSTO DE DROPCOPY BRL - GOLDMAN SACHS -  JUNHO 26</v>
      </c>
      <c r="B104" s="10">
        <v>46174</v>
      </c>
      <c r="C104" s="9">
        <v>817632</v>
      </c>
      <c r="D104" s="11" t="s">
        <v>120</v>
      </c>
      <c r="E104" s="57">
        <f t="shared" si="8"/>
        <v>-2.4056775490414588</v>
      </c>
      <c r="F104" s="9" t="s">
        <v>49</v>
      </c>
      <c r="G104" s="10">
        <v>46174</v>
      </c>
      <c r="H104" s="9">
        <v>27645</v>
      </c>
      <c r="J104" s="12" t="s">
        <v>52</v>
      </c>
      <c r="K104" s="12" t="s">
        <v>55</v>
      </c>
      <c r="L104" s="61">
        <v>718.29</v>
      </c>
      <c r="M104" s="14" t="s">
        <v>1</v>
      </c>
      <c r="N104" s="15" t="s">
        <v>174</v>
      </c>
      <c r="O104" s="16">
        <v>3.3491731042356973E-3</v>
      </c>
      <c r="P104" s="13"/>
    </row>
    <row r="105" spans="1:16" x14ac:dyDescent="0.25">
      <c r="A105" s="9" t="str">
        <f t="shared" si="6"/>
        <v>CUSTO DE DROPCOPY BRL - GOLDMAN SACHS -  JUNHO 26</v>
      </c>
      <c r="B105" s="10">
        <v>46174</v>
      </c>
      <c r="C105" s="9">
        <v>817632</v>
      </c>
      <c r="D105" s="11" t="s">
        <v>41</v>
      </c>
      <c r="E105" s="57">
        <f t="shared" si="8"/>
        <v>-56.054666960770462</v>
      </c>
      <c r="F105" s="9" t="s">
        <v>49</v>
      </c>
      <c r="G105" s="10">
        <v>46174</v>
      </c>
      <c r="H105" s="9">
        <v>27645</v>
      </c>
      <c r="J105" s="12" t="s">
        <v>52</v>
      </c>
      <c r="K105" s="12" t="s">
        <v>55</v>
      </c>
      <c r="L105" s="61">
        <v>718.29</v>
      </c>
      <c r="M105" s="14" t="s">
        <v>1</v>
      </c>
      <c r="N105" s="15" t="s">
        <v>174</v>
      </c>
      <c r="O105" s="16">
        <v>7.8039046848446258E-2</v>
      </c>
      <c r="P105" s="13"/>
    </row>
    <row r="106" spans="1:16" x14ac:dyDescent="0.25">
      <c r="A106" s="45" t="str">
        <f t="shared" si="6"/>
        <v>CUSTO DE DROPCOPY BRL - BANCO BTG PACTUAL -  JUNHO 26</v>
      </c>
      <c r="B106" s="46">
        <v>46174</v>
      </c>
      <c r="C106" s="45">
        <v>817632</v>
      </c>
      <c r="D106" s="47" t="s">
        <v>106</v>
      </c>
      <c r="E106" s="56">
        <f t="shared" si="8"/>
        <v>-44.920394695717981</v>
      </c>
      <c r="F106" s="45" t="s">
        <v>49</v>
      </c>
      <c r="G106" s="46">
        <v>46174</v>
      </c>
      <c r="H106" s="45">
        <v>15501</v>
      </c>
      <c r="J106" s="48" t="s">
        <v>52</v>
      </c>
      <c r="K106" s="48" t="s">
        <v>56</v>
      </c>
      <c r="L106" s="62">
        <v>718.29</v>
      </c>
      <c r="M106" s="50" t="s">
        <v>1</v>
      </c>
      <c r="N106" s="51" t="s">
        <v>174</v>
      </c>
      <c r="O106" s="52">
        <v>6.2537964743652266E-2</v>
      </c>
      <c r="P106" s="49"/>
    </row>
    <row r="107" spans="1:16" x14ac:dyDescent="0.25">
      <c r="A107" s="9" t="str">
        <f t="shared" si="6"/>
        <v>CUSTO DE DROPCOPY BRL - BANCO BTG PACTUAL -  JUNHO 26</v>
      </c>
      <c r="B107" s="10">
        <v>46174</v>
      </c>
      <c r="C107" s="9">
        <v>817632</v>
      </c>
      <c r="D107" s="11" t="s">
        <v>2</v>
      </c>
      <c r="E107" s="57">
        <f t="shared" si="8"/>
        <v>-29.221208956842723</v>
      </c>
      <c r="F107" s="9" t="s">
        <v>49</v>
      </c>
      <c r="G107" s="10">
        <v>46174</v>
      </c>
      <c r="H107" s="9">
        <v>15501</v>
      </c>
      <c r="J107" s="12" t="s">
        <v>52</v>
      </c>
      <c r="K107" s="12" t="s">
        <v>56</v>
      </c>
      <c r="L107" s="61">
        <v>718.29</v>
      </c>
      <c r="M107" s="14" t="s">
        <v>1</v>
      </c>
      <c r="N107" s="15" t="s">
        <v>174</v>
      </c>
      <c r="O107" s="16">
        <v>4.0681631314431116E-2</v>
      </c>
      <c r="P107" s="13"/>
    </row>
    <row r="108" spans="1:16" x14ac:dyDescent="0.25">
      <c r="A108" s="9" t="str">
        <f t="shared" si="6"/>
        <v>CUSTO DE DROPCOPY BRL - BANCO BTG PACTUAL -  JUNHO 26</v>
      </c>
      <c r="B108" s="10">
        <v>46174</v>
      </c>
      <c r="C108" s="9">
        <v>817632</v>
      </c>
      <c r="D108" s="11" t="s">
        <v>98</v>
      </c>
      <c r="E108" s="57">
        <f t="shared" si="8"/>
        <v>-183.4915290263927</v>
      </c>
      <c r="F108" s="9" t="s">
        <v>49</v>
      </c>
      <c r="G108" s="10">
        <v>46174</v>
      </c>
      <c r="H108" s="9">
        <v>15501</v>
      </c>
      <c r="J108" s="12" t="s">
        <v>52</v>
      </c>
      <c r="K108" s="12" t="s">
        <v>56</v>
      </c>
      <c r="L108" s="61">
        <v>718.29</v>
      </c>
      <c r="M108" s="14" t="s">
        <v>1</v>
      </c>
      <c r="N108" s="15" t="s">
        <v>174</v>
      </c>
      <c r="O108" s="16">
        <v>0.25545605399823568</v>
      </c>
      <c r="P108" s="13"/>
    </row>
    <row r="109" spans="1:16" x14ac:dyDescent="0.25">
      <c r="A109" s="9" t="str">
        <f t="shared" ref="A109:A129" si="9">CONCATENATE(J109,P109,M109,K109,M109,N109)</f>
        <v>CUSTO DE DROPCOPY BRL - BANCO BTG PACTUAL -  JUNHO 26</v>
      </c>
      <c r="B109" s="10">
        <v>46174</v>
      </c>
      <c r="C109" s="9">
        <v>817632</v>
      </c>
      <c r="D109" s="11" t="s">
        <v>103</v>
      </c>
      <c r="E109" s="57">
        <f t="shared" si="8"/>
        <v>-2.2659135779835755</v>
      </c>
      <c r="F109" s="9" t="s">
        <v>49</v>
      </c>
      <c r="G109" s="10">
        <v>46174</v>
      </c>
      <c r="H109" s="9">
        <v>15501</v>
      </c>
      <c r="J109" s="12" t="s">
        <v>52</v>
      </c>
      <c r="K109" s="12" t="s">
        <v>56</v>
      </c>
      <c r="L109" s="61">
        <v>718.29</v>
      </c>
      <c r="M109" s="14" t="s">
        <v>1</v>
      </c>
      <c r="N109" s="15" t="s">
        <v>174</v>
      </c>
      <c r="O109" s="16">
        <v>3.154594353232783E-3</v>
      </c>
      <c r="P109" s="13"/>
    </row>
    <row r="110" spans="1:16" x14ac:dyDescent="0.25">
      <c r="A110" s="9" t="str">
        <f t="shared" si="9"/>
        <v>CUSTO DE DROPCOPY BRL - BANCO BTG PACTUAL -  JUNHO 26</v>
      </c>
      <c r="B110" s="10">
        <v>46174</v>
      </c>
      <c r="C110" s="9">
        <v>817632</v>
      </c>
      <c r="D110" s="11" t="s">
        <v>166</v>
      </c>
      <c r="E110" s="57">
        <f t="shared" si="8"/>
        <v>-9.363595941893097</v>
      </c>
      <c r="F110" s="9" t="s">
        <v>49</v>
      </c>
      <c r="G110" s="10">
        <v>46174</v>
      </c>
      <c r="H110" s="9">
        <v>15501</v>
      </c>
      <c r="J110" s="12" t="s">
        <v>52</v>
      </c>
      <c r="K110" s="12" t="s">
        <v>56</v>
      </c>
      <c r="L110" s="61">
        <v>718.29</v>
      </c>
      <c r="M110" s="14" t="s">
        <v>1</v>
      </c>
      <c r="N110" s="15" t="s">
        <v>174</v>
      </c>
      <c r="O110" s="16">
        <v>1.3035954756286595E-2</v>
      </c>
      <c r="P110" s="13"/>
    </row>
    <row r="111" spans="1:16" x14ac:dyDescent="0.25">
      <c r="A111" s="9" t="str">
        <f t="shared" si="9"/>
        <v>CUSTO DE DROPCOPY BRL - BANCO BTG PACTUAL -  JUNHO 26</v>
      </c>
      <c r="B111" s="10">
        <v>46174</v>
      </c>
      <c r="C111" s="9">
        <v>817632</v>
      </c>
      <c r="D111" s="11" t="s">
        <v>100</v>
      </c>
      <c r="E111" s="57">
        <f t="shared" si="8"/>
        <v>-15.355986271658173</v>
      </c>
      <c r="F111" s="9" t="s">
        <v>49</v>
      </c>
      <c r="G111" s="10">
        <v>46174</v>
      </c>
      <c r="H111" s="9">
        <v>15501</v>
      </c>
      <c r="J111" s="12" t="s">
        <v>52</v>
      </c>
      <c r="K111" s="12" t="s">
        <v>56</v>
      </c>
      <c r="L111" s="61">
        <v>718.29</v>
      </c>
      <c r="M111" s="14" t="s">
        <v>1</v>
      </c>
      <c r="N111" s="15" t="s">
        <v>174</v>
      </c>
      <c r="O111" s="16">
        <v>2.137853272586027E-2</v>
      </c>
      <c r="P111" s="13"/>
    </row>
    <row r="112" spans="1:16" x14ac:dyDescent="0.25">
      <c r="A112" s="9" t="str">
        <f t="shared" ref="A112" si="10">CONCATENATE(J112,P112,M112,K112,M112,N112)</f>
        <v>CUSTO DE DROPCOPY BRL - BANCO BTG PACTUAL -  JUNHO 26</v>
      </c>
      <c r="B112" s="10">
        <v>46174</v>
      </c>
      <c r="C112" s="9">
        <v>817632</v>
      </c>
      <c r="D112" s="11" t="s">
        <v>11</v>
      </c>
      <c r="E112" s="57">
        <f t="shared" ref="E112" si="11">-L112*O112</f>
        <v>-18.938176206989382</v>
      </c>
      <c r="F112" s="9" t="s">
        <v>49</v>
      </c>
      <c r="G112" s="10">
        <v>46174</v>
      </c>
      <c r="H112" s="9">
        <v>15501</v>
      </c>
      <c r="J112" s="12" t="s">
        <v>52</v>
      </c>
      <c r="K112" s="12" t="s">
        <v>56</v>
      </c>
      <c r="L112" s="61">
        <v>718.29</v>
      </c>
      <c r="M112" s="14" t="s">
        <v>1</v>
      </c>
      <c r="N112" s="15" t="s">
        <v>174</v>
      </c>
      <c r="O112" s="16">
        <v>2.6365640906861273E-2</v>
      </c>
      <c r="P112" s="13"/>
    </row>
    <row r="113" spans="1:17" x14ac:dyDescent="0.25">
      <c r="A113" s="9" t="str">
        <f t="shared" si="9"/>
        <v>CUSTO DE DROPCOPY BRL - BANCO BTG PACTUAL -  JUNHO 26</v>
      </c>
      <c r="B113" s="10">
        <v>46174</v>
      </c>
      <c r="C113" s="9">
        <v>817632</v>
      </c>
      <c r="D113" s="11" t="s">
        <v>129</v>
      </c>
      <c r="E113" s="57">
        <f t="shared" si="8"/>
        <v>-3.7124881705562025</v>
      </c>
      <c r="F113" s="9" t="s">
        <v>49</v>
      </c>
      <c r="G113" s="10">
        <v>46174</v>
      </c>
      <c r="H113" s="9">
        <v>15501</v>
      </c>
      <c r="J113" s="12" t="s">
        <v>52</v>
      </c>
      <c r="K113" s="12" t="s">
        <v>56</v>
      </c>
      <c r="L113" s="61">
        <v>718.29</v>
      </c>
      <c r="M113" s="14" t="s">
        <v>1</v>
      </c>
      <c r="N113" s="15" t="s">
        <v>174</v>
      </c>
      <c r="O113" s="16">
        <v>5.1685087785660428E-3</v>
      </c>
      <c r="P113" s="13"/>
    </row>
    <row r="114" spans="1:17" x14ac:dyDescent="0.25">
      <c r="A114" s="9" t="str">
        <f t="shared" si="9"/>
        <v>CUSTO DE DROPCOPY BRL - BANCO BTG PACTUAL -  JUNHO 26</v>
      </c>
      <c r="B114" s="10">
        <v>46174</v>
      </c>
      <c r="C114" s="9">
        <v>817632</v>
      </c>
      <c r="D114" s="11" t="s">
        <v>122</v>
      </c>
      <c r="E114" s="57">
        <f t="shared" si="8"/>
        <v>-9.9012312285915058</v>
      </c>
      <c r="F114" s="9" t="s">
        <v>49</v>
      </c>
      <c r="G114" s="10">
        <v>46174</v>
      </c>
      <c r="H114" s="9">
        <v>15501</v>
      </c>
      <c r="J114" s="12" t="s">
        <v>52</v>
      </c>
      <c r="K114" s="12" t="s">
        <v>56</v>
      </c>
      <c r="L114" s="61">
        <v>718.29</v>
      </c>
      <c r="M114" s="14" t="s">
        <v>1</v>
      </c>
      <c r="N114" s="15" t="s">
        <v>174</v>
      </c>
      <c r="O114" s="16">
        <v>1.3784448103957325E-2</v>
      </c>
      <c r="P114" s="13"/>
    </row>
    <row r="115" spans="1:17" x14ac:dyDescent="0.25">
      <c r="A115" s="9" t="str">
        <f t="shared" si="9"/>
        <v>CUSTO DE DROPCOPY BRL - BANCO BTG PACTUAL -  JUNHO 26</v>
      </c>
      <c r="B115" s="10">
        <v>46174</v>
      </c>
      <c r="C115" s="9">
        <v>817632</v>
      </c>
      <c r="D115" s="11" t="s">
        <v>107</v>
      </c>
      <c r="E115" s="57">
        <f t="shared" si="8"/>
        <v>-31.874592889199604</v>
      </c>
      <c r="F115" s="9" t="s">
        <v>49</v>
      </c>
      <c r="G115" s="10">
        <v>46174</v>
      </c>
      <c r="H115" s="9">
        <v>15501</v>
      </c>
      <c r="J115" s="12" t="s">
        <v>52</v>
      </c>
      <c r="K115" s="12" t="s">
        <v>56</v>
      </c>
      <c r="L115" s="61">
        <v>718.29</v>
      </c>
      <c r="M115" s="14" t="s">
        <v>1</v>
      </c>
      <c r="N115" s="15" t="s">
        <v>174</v>
      </c>
      <c r="O115" s="16">
        <v>4.4375660094390298E-2</v>
      </c>
      <c r="P115" s="13"/>
    </row>
    <row r="116" spans="1:17" x14ac:dyDescent="0.25">
      <c r="A116" s="9" t="str">
        <f t="shared" si="9"/>
        <v>CUSTO DE DROPCOPY BRL - BANCO BTG PACTUAL -  JUNHO 26</v>
      </c>
      <c r="B116" s="10">
        <v>46174</v>
      </c>
      <c r="C116" s="9">
        <v>817632</v>
      </c>
      <c r="D116" s="11" t="s">
        <v>101</v>
      </c>
      <c r="E116" s="57">
        <f t="shared" si="8"/>
        <v>-369.24488303417502</v>
      </c>
      <c r="F116" s="9" t="s">
        <v>49</v>
      </c>
      <c r="G116" s="10">
        <v>46174</v>
      </c>
      <c r="H116" s="9">
        <v>15501</v>
      </c>
      <c r="J116" s="12" t="s">
        <v>52</v>
      </c>
      <c r="K116" s="12" t="s">
        <v>56</v>
      </c>
      <c r="L116" s="61">
        <v>718.29</v>
      </c>
      <c r="M116" s="14" t="s">
        <v>1</v>
      </c>
      <c r="N116" s="15" t="s">
        <v>174</v>
      </c>
      <c r="O116" s="16">
        <v>0.51406101022452633</v>
      </c>
      <c r="P116" s="13"/>
    </row>
    <row r="117" spans="1:17" x14ac:dyDescent="0.25">
      <c r="A117" s="18" t="str">
        <f t="shared" si="9"/>
        <v>CUSTO DE DROPCOPY BRL - LAKESIDE TRADING LLC -  JUNHO 26</v>
      </c>
      <c r="B117" s="19">
        <v>46174</v>
      </c>
      <c r="C117" s="18">
        <v>817632</v>
      </c>
      <c r="D117" s="20" t="s">
        <v>40</v>
      </c>
      <c r="E117" s="55">
        <f t="shared" si="8"/>
        <v>-1292.94</v>
      </c>
      <c r="F117" s="18" t="s">
        <v>49</v>
      </c>
      <c r="G117" s="19">
        <v>46174</v>
      </c>
      <c r="H117" s="18">
        <v>81772</v>
      </c>
      <c r="J117" s="21" t="s">
        <v>52</v>
      </c>
      <c r="K117" s="21" t="s">
        <v>108</v>
      </c>
      <c r="L117" s="63">
        <v>1292.94</v>
      </c>
      <c r="M117" s="23" t="s">
        <v>1</v>
      </c>
      <c r="N117" s="24" t="s">
        <v>174</v>
      </c>
      <c r="O117" s="25">
        <v>1</v>
      </c>
      <c r="P117" s="22"/>
    </row>
    <row r="118" spans="1:17" x14ac:dyDescent="0.25">
      <c r="A118" s="18" t="str">
        <f t="shared" si="9"/>
        <v>CUSTO DE DROPCOPY BRL - GOLDMAN SACHS INTERNATIONAL -  JUNHO 26</v>
      </c>
      <c r="B118" s="46">
        <v>46174</v>
      </c>
      <c r="C118" s="18">
        <v>817632</v>
      </c>
      <c r="D118" s="3" t="s">
        <v>2</v>
      </c>
      <c r="E118" s="55">
        <f t="shared" si="8"/>
        <v>-1503.11</v>
      </c>
      <c r="F118" s="18" t="s">
        <v>49</v>
      </c>
      <c r="G118" s="19">
        <v>46174</v>
      </c>
      <c r="H118" s="77">
        <v>79791</v>
      </c>
      <c r="J118" s="21" t="s">
        <v>52</v>
      </c>
      <c r="K118" s="77" t="s">
        <v>179</v>
      </c>
      <c r="L118" s="62">
        <v>1503.11</v>
      </c>
      <c r="M118" s="23" t="s">
        <v>1</v>
      </c>
      <c r="N118" s="24" t="s">
        <v>174</v>
      </c>
      <c r="O118" s="25">
        <v>1</v>
      </c>
      <c r="P118" s="49"/>
    </row>
    <row r="119" spans="1:17" x14ac:dyDescent="0.25">
      <c r="A119" s="45" t="str">
        <f t="shared" si="9"/>
        <v>CUSTO DE DROPCOPY BRL - MORGAN STANLEY URUGUAY LTDA - CITIBANK -  JUNHO 26</v>
      </c>
      <c r="B119" s="46">
        <v>46174</v>
      </c>
      <c r="C119" s="45">
        <v>817632</v>
      </c>
      <c r="D119" s="47" t="s">
        <v>20</v>
      </c>
      <c r="E119" s="56">
        <f t="shared" si="8"/>
        <v>-430.97399999999993</v>
      </c>
      <c r="F119" s="45" t="s">
        <v>49</v>
      </c>
      <c r="G119" s="46">
        <v>46174</v>
      </c>
      <c r="H119" s="45">
        <v>80754</v>
      </c>
      <c r="J119" s="48" t="s">
        <v>52</v>
      </c>
      <c r="K119" s="48" t="s">
        <v>109</v>
      </c>
      <c r="L119" s="62">
        <v>430.97399999999993</v>
      </c>
      <c r="M119" s="50" t="s">
        <v>1</v>
      </c>
      <c r="N119" s="51" t="s">
        <v>174</v>
      </c>
      <c r="O119" s="52">
        <v>1</v>
      </c>
      <c r="P119" s="49"/>
    </row>
    <row r="120" spans="1:17" x14ac:dyDescent="0.25">
      <c r="A120" s="1" t="str">
        <f t="shared" si="9"/>
        <v>CUSTO DE DROPCOPY BRL - MORGAN STANLEY URUGUAY LTDA - CITIBANK -  JUNHO 26</v>
      </c>
      <c r="B120" s="2">
        <v>46174</v>
      </c>
      <c r="C120" s="1">
        <v>817632</v>
      </c>
      <c r="D120" s="3" t="s">
        <v>126</v>
      </c>
      <c r="E120" s="58">
        <f t="shared" si="8"/>
        <v>-287.31599999999997</v>
      </c>
      <c r="F120" s="1" t="s">
        <v>49</v>
      </c>
      <c r="G120" s="2">
        <v>46174</v>
      </c>
      <c r="H120" s="1">
        <v>80754</v>
      </c>
      <c r="J120" s="4" t="s">
        <v>52</v>
      </c>
      <c r="K120" s="4" t="s">
        <v>109</v>
      </c>
      <c r="L120" s="60">
        <v>287.31599999999997</v>
      </c>
      <c r="M120" s="6" t="s">
        <v>1</v>
      </c>
      <c r="N120" s="7" t="s">
        <v>174</v>
      </c>
      <c r="O120" s="8">
        <v>1</v>
      </c>
      <c r="P120" s="5"/>
    </row>
    <row r="121" spans="1:17" x14ac:dyDescent="0.25">
      <c r="A121" s="45" t="str">
        <f t="shared" si="9"/>
        <v>CUSTO DE DROPCOPY BRL - ITAU FACIL -  JUNHO 26</v>
      </c>
      <c r="B121" s="46">
        <v>46174</v>
      </c>
      <c r="C121" s="45">
        <v>817632</v>
      </c>
      <c r="D121" s="47" t="s">
        <v>110</v>
      </c>
      <c r="E121" s="56">
        <f t="shared" si="8"/>
        <v>-571.64499999999998</v>
      </c>
      <c r="F121" s="45" t="s">
        <v>49</v>
      </c>
      <c r="G121" s="46">
        <v>46174</v>
      </c>
      <c r="H121" s="45">
        <v>81200</v>
      </c>
      <c r="J121" s="48" t="s">
        <v>52</v>
      </c>
      <c r="K121" s="48" t="s">
        <v>127</v>
      </c>
      <c r="L121" s="62">
        <v>1143.29</v>
      </c>
      <c r="M121" s="50" t="s">
        <v>1</v>
      </c>
      <c r="N121" s="51" t="s">
        <v>174</v>
      </c>
      <c r="O121" s="16">
        <v>0.5</v>
      </c>
      <c r="P121" s="49"/>
    </row>
    <row r="122" spans="1:17" x14ac:dyDescent="0.25">
      <c r="A122" s="1" t="str">
        <f t="shared" si="9"/>
        <v>CUSTO DE DROPCOPY BRL - ITAU FACIL -  JUNHO 26</v>
      </c>
      <c r="B122" s="2">
        <v>46174</v>
      </c>
      <c r="C122" s="1">
        <v>817632</v>
      </c>
      <c r="D122" s="3" t="s">
        <v>2</v>
      </c>
      <c r="E122" s="58">
        <f t="shared" si="8"/>
        <v>-571.64499999999998</v>
      </c>
      <c r="F122" s="1" t="s">
        <v>49</v>
      </c>
      <c r="G122" s="2">
        <v>46174</v>
      </c>
      <c r="H122" s="1">
        <v>81200</v>
      </c>
      <c r="J122" s="4" t="s">
        <v>52</v>
      </c>
      <c r="K122" s="4" t="s">
        <v>127</v>
      </c>
      <c r="L122" s="60">
        <v>1143.29</v>
      </c>
      <c r="M122" s="6" t="s">
        <v>1</v>
      </c>
      <c r="N122" s="7" t="s">
        <v>174</v>
      </c>
      <c r="O122" s="8">
        <v>0.5</v>
      </c>
      <c r="P122" s="5"/>
    </row>
    <row r="123" spans="1:17" x14ac:dyDescent="0.25">
      <c r="A123" s="1" t="str">
        <f t="shared" si="9"/>
        <v>CUSTO DE DROPCOPY BRL - ITAU CV S/A -  JUNHO 26</v>
      </c>
      <c r="B123" s="2">
        <v>46174</v>
      </c>
      <c r="C123" s="1">
        <v>817632</v>
      </c>
      <c r="D123" s="3" t="s">
        <v>2</v>
      </c>
      <c r="E123" s="58">
        <f t="shared" si="8"/>
        <v>-2286.58</v>
      </c>
      <c r="F123" s="1" t="s">
        <v>49</v>
      </c>
      <c r="G123" s="2">
        <v>46174</v>
      </c>
      <c r="H123" s="1">
        <v>81200</v>
      </c>
      <c r="J123" s="4" t="s">
        <v>52</v>
      </c>
      <c r="K123" s="4" t="s">
        <v>111</v>
      </c>
      <c r="L123" s="60">
        <v>2286.58</v>
      </c>
      <c r="M123" s="6" t="s">
        <v>1</v>
      </c>
      <c r="N123" s="7" t="s">
        <v>174</v>
      </c>
      <c r="O123" s="8">
        <v>1</v>
      </c>
      <c r="P123" s="5"/>
    </row>
    <row r="124" spans="1:17" x14ac:dyDescent="0.25">
      <c r="A124" s="9" t="str">
        <f t="shared" si="9"/>
        <v>CUSTO DE DROPCOPY BRL - CREDIT SUISSE (BRASIL) -  JUNHO 26</v>
      </c>
      <c r="B124" s="10">
        <v>46174</v>
      </c>
      <c r="C124" s="9">
        <v>817632</v>
      </c>
      <c r="D124" s="11" t="s">
        <v>98</v>
      </c>
      <c r="E124" s="57">
        <f t="shared" si="8"/>
        <v>-60.173157894736832</v>
      </c>
      <c r="F124" s="9" t="s">
        <v>49</v>
      </c>
      <c r="G124" s="10">
        <v>46174</v>
      </c>
      <c r="H124" s="9">
        <v>79978</v>
      </c>
      <c r="J124" s="12" t="s">
        <v>52</v>
      </c>
      <c r="K124" s="12" t="s">
        <v>112</v>
      </c>
      <c r="L124" s="61">
        <v>60.173157894736832</v>
      </c>
      <c r="M124" s="14" t="s">
        <v>1</v>
      </c>
      <c r="N124" s="15" t="s">
        <v>174</v>
      </c>
      <c r="O124" s="16">
        <v>1</v>
      </c>
      <c r="P124" s="13"/>
      <c r="Q124" s="76"/>
    </row>
    <row r="125" spans="1:17" x14ac:dyDescent="0.25">
      <c r="A125" s="9" t="str">
        <f t="shared" si="9"/>
        <v>CUSTO DE DROPCOPY BRL - CREDIT SUISSE (BRASIL) -  JUNHO 26</v>
      </c>
      <c r="B125" s="10">
        <v>46174</v>
      </c>
      <c r="C125" s="9">
        <v>817632</v>
      </c>
      <c r="D125" s="11" t="s">
        <v>40</v>
      </c>
      <c r="E125" s="57">
        <f t="shared" si="8"/>
        <v>-962.77052631578977</v>
      </c>
      <c r="F125" s="9" t="s">
        <v>49</v>
      </c>
      <c r="G125" s="10">
        <v>46174</v>
      </c>
      <c r="H125" s="9">
        <v>79978</v>
      </c>
      <c r="J125" s="12" t="s">
        <v>52</v>
      </c>
      <c r="K125" s="12" t="s">
        <v>112</v>
      </c>
      <c r="L125" s="61">
        <v>962.77052631578977</v>
      </c>
      <c r="M125" s="14" t="s">
        <v>1</v>
      </c>
      <c r="N125" s="15" t="s">
        <v>174</v>
      </c>
      <c r="O125" s="16">
        <v>1</v>
      </c>
      <c r="P125" s="13"/>
    </row>
    <row r="126" spans="1:17" x14ac:dyDescent="0.25">
      <c r="A126" s="9" t="str">
        <f t="shared" si="9"/>
        <v>CUSTO DE DROPCOPY BRL - CREDIT SUISSE (BRASIL) -  JUNHO 26</v>
      </c>
      <c r="B126" s="10">
        <v>46174</v>
      </c>
      <c r="C126" s="9">
        <v>817632</v>
      </c>
      <c r="D126" s="11" t="s">
        <v>41</v>
      </c>
      <c r="E126" s="57">
        <f t="shared" si="8"/>
        <v>-120.34631578947366</v>
      </c>
      <c r="F126" s="9" t="s">
        <v>49</v>
      </c>
      <c r="G126" s="10">
        <v>46174</v>
      </c>
      <c r="H126" s="9">
        <v>79978</v>
      </c>
      <c r="J126" s="12" t="s">
        <v>52</v>
      </c>
      <c r="K126" s="12" t="s">
        <v>112</v>
      </c>
      <c r="L126" s="61">
        <v>120.34631578947366</v>
      </c>
      <c r="M126" s="14" t="s">
        <v>1</v>
      </c>
      <c r="N126" s="15" t="s">
        <v>174</v>
      </c>
      <c r="O126" s="16">
        <v>1</v>
      </c>
      <c r="P126" s="13"/>
    </row>
    <row r="127" spans="1:17" x14ac:dyDescent="0.25">
      <c r="A127" s="18" t="str">
        <f t="shared" si="9"/>
        <v>CUSTO DE DROPCOPY BRL - KAPITALO INVESTIMENTOS LTDA -  JUNHO 26</v>
      </c>
      <c r="B127" s="19">
        <v>46174</v>
      </c>
      <c r="C127" s="18">
        <v>817632</v>
      </c>
      <c r="D127" s="20" t="s">
        <v>2</v>
      </c>
      <c r="E127" s="55">
        <f t="shared" si="8"/>
        <v>-2286.58</v>
      </c>
      <c r="F127" s="18" t="s">
        <v>49</v>
      </c>
      <c r="G127" s="19">
        <v>46174</v>
      </c>
      <c r="H127" s="18">
        <v>80392</v>
      </c>
      <c r="J127" s="21" t="s">
        <v>52</v>
      </c>
      <c r="K127" s="21" t="s">
        <v>113</v>
      </c>
      <c r="L127" s="63">
        <v>2286.58</v>
      </c>
      <c r="M127" s="23" t="s">
        <v>1</v>
      </c>
      <c r="N127" s="24" t="s">
        <v>174</v>
      </c>
      <c r="O127" s="25">
        <v>1</v>
      </c>
      <c r="P127" s="22"/>
    </row>
    <row r="128" spans="1:17" x14ac:dyDescent="0.25">
      <c r="A128" s="18" t="str">
        <f t="shared" si="9"/>
        <v>CUSTO DE DROPCOPY BRL - VINLAND CAPITAL -  JUNHO 26</v>
      </c>
      <c r="B128" s="19">
        <v>46174</v>
      </c>
      <c r="C128" s="18">
        <v>817632</v>
      </c>
      <c r="D128" s="20" t="s">
        <v>95</v>
      </c>
      <c r="E128" s="55">
        <f t="shared" si="8"/>
        <v>-718.29</v>
      </c>
      <c r="F128" s="18" t="s">
        <v>49</v>
      </c>
      <c r="G128" s="19">
        <v>46174</v>
      </c>
      <c r="H128" s="18">
        <v>80359</v>
      </c>
      <c r="J128" s="21" t="s">
        <v>52</v>
      </c>
      <c r="K128" s="21" t="s">
        <v>121</v>
      </c>
      <c r="L128" s="63">
        <v>718.29</v>
      </c>
      <c r="M128" s="23" t="s">
        <v>1</v>
      </c>
      <c r="N128" s="24" t="s">
        <v>174</v>
      </c>
      <c r="O128" s="25">
        <v>1</v>
      </c>
      <c r="P128" s="22"/>
    </row>
    <row r="129" spans="1:17" x14ac:dyDescent="0.25">
      <c r="A129" s="18" t="str">
        <f t="shared" si="9"/>
        <v>CUSTO DE DROPCOPY BRL - AGUILA CAPITAL ADM -  JUNHO 26</v>
      </c>
      <c r="B129" s="19">
        <v>46174</v>
      </c>
      <c r="C129" s="18">
        <v>817632</v>
      </c>
      <c r="D129" s="20" t="s">
        <v>133</v>
      </c>
      <c r="E129" s="55">
        <f t="shared" si="8"/>
        <v>-425</v>
      </c>
      <c r="F129" s="18" t="s">
        <v>49</v>
      </c>
      <c r="G129" s="19">
        <v>46174</v>
      </c>
      <c r="H129" s="18">
        <v>12397</v>
      </c>
      <c r="J129" s="21" t="s">
        <v>52</v>
      </c>
      <c r="K129" s="21" t="s">
        <v>134</v>
      </c>
      <c r="L129" s="63">
        <v>425</v>
      </c>
      <c r="M129" s="6" t="s">
        <v>1</v>
      </c>
      <c r="N129" s="7" t="s">
        <v>174</v>
      </c>
      <c r="O129" s="25">
        <v>1</v>
      </c>
      <c r="P129" s="67"/>
      <c r="Q129" s="17" t="s">
        <v>135</v>
      </c>
    </row>
  </sheetData>
  <autoFilter ref="A1:P129" xr:uid="{D04CF2E4-0465-4B2C-8114-9632AEA78BE3}"/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5C25-9056-4C88-9E09-16918466A9FA}">
  <sheetPr codeName="Sheet2"/>
  <dimension ref="A6:Q12"/>
  <sheetViews>
    <sheetView workbookViewId="0">
      <selection activeCell="K11" sqref="K11"/>
    </sheetView>
  </sheetViews>
  <sheetFormatPr defaultRowHeight="15" x14ac:dyDescent="0.25"/>
  <sheetData>
    <row r="6" spans="1:17" s="17" customFormat="1" x14ac:dyDescent="0.25">
      <c r="A6" s="70">
        <v>45992</v>
      </c>
      <c r="B6" s="17" t="s">
        <v>95</v>
      </c>
      <c r="C6" s="17">
        <v>80359</v>
      </c>
      <c r="D6" s="17" t="s">
        <v>144</v>
      </c>
      <c r="E6" s="17" t="s">
        <v>144</v>
      </c>
      <c r="F6" s="17" t="s">
        <v>145</v>
      </c>
      <c r="G6" s="71">
        <v>46023</v>
      </c>
      <c r="H6" s="17" t="s">
        <v>146</v>
      </c>
      <c r="I6" s="72">
        <v>817632</v>
      </c>
      <c r="J6" s="72" t="s">
        <v>49</v>
      </c>
      <c r="K6" s="73">
        <v>-718.29</v>
      </c>
      <c r="L6" s="17">
        <v>100</v>
      </c>
      <c r="M6" s="74">
        <v>-718.29</v>
      </c>
      <c r="N6"/>
      <c r="O6"/>
      <c r="P6"/>
      <c r="Q6"/>
    </row>
    <row r="7" spans="1:17" s="17" customFormat="1" x14ac:dyDescent="0.25">
      <c r="A7" s="70">
        <v>45992</v>
      </c>
      <c r="B7" s="17" t="s">
        <v>95</v>
      </c>
      <c r="C7" s="17">
        <v>1170</v>
      </c>
      <c r="D7" s="17" t="s">
        <v>147</v>
      </c>
      <c r="E7" s="17" t="s">
        <v>147</v>
      </c>
      <c r="F7" s="17" t="s">
        <v>148</v>
      </c>
      <c r="G7" s="71">
        <v>46023</v>
      </c>
      <c r="H7" s="17" t="s">
        <v>149</v>
      </c>
      <c r="I7" s="72">
        <v>817632</v>
      </c>
      <c r="J7" s="72" t="s">
        <v>45</v>
      </c>
      <c r="K7" s="73">
        <v>-5866.8789999999999</v>
      </c>
      <c r="L7" s="17">
        <v>33.340000000000003</v>
      </c>
      <c r="M7" s="74">
        <v>-1956.0170000000001</v>
      </c>
      <c r="N7"/>
      <c r="O7"/>
      <c r="P7"/>
      <c r="Q7"/>
    </row>
    <row r="8" spans="1:17" s="17" customFormat="1" x14ac:dyDescent="0.25">
      <c r="A8" s="70">
        <v>45992</v>
      </c>
      <c r="B8" s="17" t="s">
        <v>95</v>
      </c>
      <c r="C8" s="17">
        <v>80359</v>
      </c>
      <c r="D8" s="17" t="s">
        <v>144</v>
      </c>
      <c r="E8" s="17" t="s">
        <v>144</v>
      </c>
      <c r="F8" s="17" t="s">
        <v>150</v>
      </c>
      <c r="G8" s="71">
        <v>46023</v>
      </c>
      <c r="H8" s="17" t="s">
        <v>151</v>
      </c>
      <c r="I8" s="72">
        <v>817632</v>
      </c>
      <c r="J8" s="72" t="s">
        <v>115</v>
      </c>
      <c r="K8" s="73">
        <v>-2775.6309999999999</v>
      </c>
      <c r="L8" s="17">
        <v>100</v>
      </c>
      <c r="M8" s="74">
        <v>-2775.6309999999999</v>
      </c>
      <c r="N8"/>
      <c r="O8"/>
      <c r="P8"/>
      <c r="Q8"/>
    </row>
    <row r="9" spans="1:17" s="17" customFormat="1" x14ac:dyDescent="0.25">
      <c r="A9" s="70">
        <v>45992</v>
      </c>
      <c r="B9" s="17" t="s">
        <v>95</v>
      </c>
      <c r="C9" s="17">
        <v>1170</v>
      </c>
      <c r="D9" s="17" t="s">
        <v>147</v>
      </c>
      <c r="E9" s="17" t="s">
        <v>147</v>
      </c>
      <c r="F9" s="17" t="s">
        <v>148</v>
      </c>
      <c r="G9" s="71">
        <v>46023</v>
      </c>
      <c r="H9" s="17" t="s">
        <v>152</v>
      </c>
      <c r="I9" s="72">
        <v>817632</v>
      </c>
      <c r="J9" s="72" t="s">
        <v>118</v>
      </c>
      <c r="K9" s="73">
        <v>-2943.7840000000001</v>
      </c>
      <c r="L9" s="17">
        <v>100</v>
      </c>
      <c r="M9" s="74">
        <v>-2943.7840000000001</v>
      </c>
      <c r="N9"/>
      <c r="O9"/>
      <c r="P9"/>
      <c r="Q9"/>
    </row>
    <row r="10" spans="1:17" s="17" customFormat="1" x14ac:dyDescent="0.25">
      <c r="A10" s="70">
        <v>45992</v>
      </c>
      <c r="B10" s="17" t="s">
        <v>95</v>
      </c>
      <c r="C10" s="17">
        <v>80359</v>
      </c>
      <c r="D10" s="17" t="s">
        <v>144</v>
      </c>
      <c r="E10" s="17" t="s">
        <v>144</v>
      </c>
      <c r="F10" s="17" t="s">
        <v>145</v>
      </c>
      <c r="G10" s="71">
        <v>46023</v>
      </c>
      <c r="H10" s="17" t="s">
        <v>153</v>
      </c>
      <c r="I10" s="72">
        <v>817632</v>
      </c>
      <c r="J10" s="72" t="s">
        <v>46</v>
      </c>
      <c r="K10" s="73">
        <v>-318.04399999999998</v>
      </c>
      <c r="L10" s="17">
        <v>100</v>
      </c>
      <c r="M10" s="74">
        <v>-318.04399999999998</v>
      </c>
      <c r="N10"/>
      <c r="O10"/>
      <c r="P10"/>
      <c r="Q10"/>
    </row>
    <row r="11" spans="1:17" s="17" customFormat="1" x14ac:dyDescent="0.25">
      <c r="A11" s="70">
        <v>45992</v>
      </c>
      <c r="B11" s="17" t="s">
        <v>95</v>
      </c>
      <c r="C11" s="17">
        <v>1170</v>
      </c>
      <c r="D11" s="17" t="s">
        <v>147</v>
      </c>
      <c r="E11" s="17" t="s">
        <v>147</v>
      </c>
      <c r="F11" s="17" t="s">
        <v>148</v>
      </c>
      <c r="G11" s="71">
        <v>46023</v>
      </c>
      <c r="H11" s="17" t="s">
        <v>154</v>
      </c>
      <c r="I11" s="72">
        <v>817632</v>
      </c>
      <c r="J11" s="72" t="s">
        <v>96</v>
      </c>
      <c r="K11" s="73">
        <v>-143.06200000000001</v>
      </c>
      <c r="L11" s="17">
        <v>50</v>
      </c>
      <c r="M11" s="74">
        <v>-71.531000000000006</v>
      </c>
      <c r="N11"/>
      <c r="O11"/>
      <c r="P11"/>
      <c r="Q11"/>
    </row>
    <row r="12" spans="1:17" s="17" customFormat="1" x14ac:dyDescent="0.25">
      <c r="A12" s="70">
        <v>45992</v>
      </c>
      <c r="B12" s="17" t="s">
        <v>95</v>
      </c>
      <c r="C12" s="17">
        <v>1170</v>
      </c>
      <c r="D12" s="17" t="s">
        <v>147</v>
      </c>
      <c r="E12" s="17" t="s">
        <v>147</v>
      </c>
      <c r="F12" s="17" t="s">
        <v>148</v>
      </c>
      <c r="G12" s="71">
        <v>46023</v>
      </c>
      <c r="H12" s="17" t="s">
        <v>155</v>
      </c>
      <c r="I12" s="72">
        <v>817632</v>
      </c>
      <c r="J12" s="72" t="s">
        <v>94</v>
      </c>
      <c r="K12" s="73">
        <v>-1213.279</v>
      </c>
      <c r="L12" s="17">
        <v>14.29</v>
      </c>
      <c r="M12" s="74">
        <v>-173.37799999999999</v>
      </c>
      <c r="N12"/>
      <c r="O12"/>
      <c r="P12"/>
      <c r="Q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7B93-00F7-4E98-B68E-04AAD6F55B63}">
  <sheetPr codeName="Sheet3"/>
  <dimension ref="A5:J23"/>
  <sheetViews>
    <sheetView workbookViewId="0">
      <selection activeCell="F40" sqref="F39:F40"/>
    </sheetView>
  </sheetViews>
  <sheetFormatPr defaultRowHeight="15" x14ac:dyDescent="0.25"/>
  <cols>
    <col min="3" max="3" width="10.28515625" bestFit="1" customWidth="1"/>
    <col min="4" max="4" width="11" bestFit="1" customWidth="1"/>
    <col min="5" max="5" width="10.28515625" bestFit="1" customWidth="1"/>
    <col min="6" max="6" width="22.42578125" bestFit="1" customWidth="1"/>
    <col min="7" max="7" width="40" bestFit="1" customWidth="1"/>
    <col min="8" max="8" width="39.85546875" bestFit="1" customWidth="1"/>
    <col min="9" max="9" width="9.42578125" bestFit="1" customWidth="1"/>
    <col min="10" max="10" width="17.85546875" bestFit="1" customWidth="1"/>
  </cols>
  <sheetData>
    <row r="5" spans="1:10" ht="15.75" thickBot="1" x14ac:dyDescent="0.3"/>
    <row r="6" spans="1:10" ht="15.75" thickBot="1" x14ac:dyDescent="0.3">
      <c r="A6" s="35" t="s">
        <v>59</v>
      </c>
      <c r="B6" s="36" t="s">
        <v>60</v>
      </c>
      <c r="C6" s="36" t="s">
        <v>61</v>
      </c>
      <c r="D6" s="36" t="s">
        <v>62</v>
      </c>
      <c r="E6" s="36" t="s">
        <v>63</v>
      </c>
      <c r="F6" s="36" t="s">
        <v>64</v>
      </c>
      <c r="G6" s="36" t="s">
        <v>65</v>
      </c>
      <c r="H6" s="36" t="s">
        <v>66</v>
      </c>
      <c r="I6" s="36" t="s">
        <v>67</v>
      </c>
      <c r="J6" s="37" t="s">
        <v>68</v>
      </c>
    </row>
    <row r="7" spans="1:10" x14ac:dyDescent="0.25">
      <c r="A7" s="12">
        <v>1</v>
      </c>
      <c r="B7" s="38">
        <v>475</v>
      </c>
      <c r="C7" s="38">
        <v>517.16</v>
      </c>
      <c r="D7" s="9">
        <v>20231001</v>
      </c>
      <c r="E7" s="9">
        <v>20231031</v>
      </c>
      <c r="F7" s="39" t="s">
        <v>58</v>
      </c>
      <c r="G7" s="39" t="s">
        <v>69</v>
      </c>
      <c r="H7" s="12" t="s">
        <v>2</v>
      </c>
      <c r="I7" s="12">
        <v>2172970</v>
      </c>
      <c r="J7" s="12" t="s">
        <v>70</v>
      </c>
    </row>
    <row r="8" spans="1:10" x14ac:dyDescent="0.25">
      <c r="A8" s="12">
        <v>1</v>
      </c>
      <c r="B8" s="38">
        <v>475</v>
      </c>
      <c r="C8" s="38">
        <v>517.16</v>
      </c>
      <c r="D8" s="9">
        <v>20231001</v>
      </c>
      <c r="E8" s="9">
        <v>20231031</v>
      </c>
      <c r="F8" s="39" t="s">
        <v>71</v>
      </c>
      <c r="G8" s="39" t="s">
        <v>72</v>
      </c>
      <c r="H8" s="12" t="s">
        <v>43</v>
      </c>
      <c r="I8" s="12">
        <v>2172920</v>
      </c>
      <c r="J8" s="12" t="s">
        <v>73</v>
      </c>
    </row>
    <row r="9" spans="1:10" x14ac:dyDescent="0.25">
      <c r="A9" s="12">
        <v>0.5</v>
      </c>
      <c r="B9" s="38">
        <v>237.5</v>
      </c>
      <c r="C9" s="38">
        <v>258.58</v>
      </c>
      <c r="D9" s="9">
        <v>20231001</v>
      </c>
      <c r="E9" s="9">
        <v>20231031</v>
      </c>
      <c r="F9" s="39" t="s">
        <v>21</v>
      </c>
      <c r="G9" s="39" t="s">
        <v>74</v>
      </c>
      <c r="H9" s="12" t="s">
        <v>20</v>
      </c>
      <c r="I9" s="12">
        <v>2172920</v>
      </c>
      <c r="J9" s="12" t="s">
        <v>73</v>
      </c>
    </row>
    <row r="10" spans="1:10" x14ac:dyDescent="0.25">
      <c r="A10" s="12">
        <v>0.5</v>
      </c>
      <c r="B10" s="38">
        <v>237.5</v>
      </c>
      <c r="C10" s="38">
        <v>258.58</v>
      </c>
      <c r="D10" s="9">
        <v>20231001</v>
      </c>
      <c r="E10" s="9">
        <v>20231031</v>
      </c>
      <c r="F10" s="39" t="s">
        <v>22</v>
      </c>
      <c r="G10" s="39" t="s">
        <v>74</v>
      </c>
      <c r="H10" s="12" t="s">
        <v>20</v>
      </c>
      <c r="I10" s="12">
        <v>2172920</v>
      </c>
      <c r="J10" s="12" t="s">
        <v>73</v>
      </c>
    </row>
    <row r="11" spans="1:10" x14ac:dyDescent="0.25">
      <c r="A11" s="12">
        <v>0.08</v>
      </c>
      <c r="B11" s="38">
        <v>38</v>
      </c>
      <c r="C11" s="40">
        <v>41.372799999999998</v>
      </c>
      <c r="D11" s="9">
        <v>20231001</v>
      </c>
      <c r="E11" s="9">
        <v>20231031</v>
      </c>
      <c r="F11" s="39" t="s">
        <v>75</v>
      </c>
      <c r="G11" s="39" t="s">
        <v>76</v>
      </c>
      <c r="H11" s="12" t="s">
        <v>44</v>
      </c>
      <c r="I11" s="12">
        <v>2172920</v>
      </c>
      <c r="J11" s="12" t="s">
        <v>73</v>
      </c>
    </row>
    <row r="12" spans="1:10" x14ac:dyDescent="0.25">
      <c r="A12" s="12">
        <v>0.4</v>
      </c>
      <c r="B12" s="38">
        <v>190</v>
      </c>
      <c r="C12" s="40">
        <v>206.864</v>
      </c>
      <c r="D12" s="9">
        <v>20231001</v>
      </c>
      <c r="E12" s="9">
        <v>20231031</v>
      </c>
      <c r="F12" s="39" t="s">
        <v>77</v>
      </c>
      <c r="G12" s="39" t="s">
        <v>76</v>
      </c>
      <c r="H12" s="12" t="s">
        <v>15</v>
      </c>
      <c r="I12" s="12">
        <v>2172945</v>
      </c>
      <c r="J12" s="12" t="s">
        <v>78</v>
      </c>
    </row>
    <row r="13" spans="1:10" x14ac:dyDescent="0.25">
      <c r="A13" s="12">
        <v>0.05</v>
      </c>
      <c r="B13" s="38">
        <v>23.75</v>
      </c>
      <c r="C13" s="40">
        <v>25.858000000000001</v>
      </c>
      <c r="D13" s="9">
        <v>20231001</v>
      </c>
      <c r="E13" s="9">
        <v>20231031</v>
      </c>
      <c r="F13" s="39" t="s">
        <v>79</v>
      </c>
      <c r="G13" s="39" t="s">
        <v>76</v>
      </c>
      <c r="H13" s="12" t="s">
        <v>20</v>
      </c>
      <c r="I13" s="12">
        <v>2172920</v>
      </c>
      <c r="J13" s="12" t="s">
        <v>73</v>
      </c>
    </row>
    <row r="14" spans="1:10" x14ac:dyDescent="0.25">
      <c r="A14" s="12">
        <v>0.47</v>
      </c>
      <c r="B14" s="38">
        <v>223.25</v>
      </c>
      <c r="C14" s="40">
        <v>243.06519999999998</v>
      </c>
      <c r="D14" s="9">
        <v>20231001</v>
      </c>
      <c r="E14" s="9">
        <v>20231031</v>
      </c>
      <c r="F14" s="39" t="s">
        <v>80</v>
      </c>
      <c r="G14" s="39" t="s">
        <v>76</v>
      </c>
      <c r="H14" s="12" t="s">
        <v>41</v>
      </c>
      <c r="I14" s="12">
        <v>2172935</v>
      </c>
      <c r="J14" s="12" t="s">
        <v>81</v>
      </c>
    </row>
    <row r="15" spans="1:10" x14ac:dyDescent="0.25">
      <c r="A15" s="12">
        <v>1</v>
      </c>
      <c r="B15" s="38">
        <v>475</v>
      </c>
      <c r="C15" s="41">
        <v>517.16</v>
      </c>
      <c r="D15" s="9">
        <v>20231001</v>
      </c>
      <c r="E15" s="9">
        <v>20231031</v>
      </c>
      <c r="F15" s="39" t="s">
        <v>19</v>
      </c>
      <c r="G15" s="39" t="s">
        <v>82</v>
      </c>
      <c r="H15" s="12" t="s">
        <v>18</v>
      </c>
      <c r="I15" s="12">
        <v>2172920</v>
      </c>
      <c r="J15" s="12" t="s">
        <v>73</v>
      </c>
    </row>
    <row r="16" spans="1:10" x14ac:dyDescent="0.25">
      <c r="A16" s="12">
        <v>1</v>
      </c>
      <c r="B16" s="38">
        <v>475</v>
      </c>
      <c r="C16" s="41">
        <v>517.16</v>
      </c>
      <c r="D16" s="9">
        <v>20231001</v>
      </c>
      <c r="E16" s="9">
        <v>20231031</v>
      </c>
      <c r="F16" s="39" t="s">
        <v>8</v>
      </c>
      <c r="G16" s="39" t="s">
        <v>83</v>
      </c>
      <c r="H16" s="12" t="s">
        <v>2</v>
      </c>
      <c r="I16" s="12">
        <v>2172970</v>
      </c>
      <c r="J16" s="12" t="s">
        <v>70</v>
      </c>
    </row>
    <row r="17" spans="1:10" x14ac:dyDescent="0.25">
      <c r="A17" s="12">
        <v>0.2</v>
      </c>
      <c r="B17" s="38">
        <v>95</v>
      </c>
      <c r="C17" s="41">
        <v>103.432</v>
      </c>
      <c r="D17" s="9">
        <v>20231001</v>
      </c>
      <c r="E17" s="9">
        <v>20231031</v>
      </c>
      <c r="F17" s="39" t="s">
        <v>14</v>
      </c>
      <c r="G17" s="39" t="s">
        <v>84</v>
      </c>
      <c r="H17" s="12" t="s">
        <v>40</v>
      </c>
      <c r="I17" s="12">
        <v>2172910</v>
      </c>
      <c r="J17" s="12" t="s">
        <v>40</v>
      </c>
    </row>
    <row r="18" spans="1:10" x14ac:dyDescent="0.25">
      <c r="A18" s="12">
        <v>0.2</v>
      </c>
      <c r="B18" s="38">
        <v>95</v>
      </c>
      <c r="C18" s="41">
        <v>103.432</v>
      </c>
      <c r="D18" s="9">
        <v>20231001</v>
      </c>
      <c r="E18" s="9">
        <v>20231031</v>
      </c>
      <c r="F18" s="39" t="s">
        <v>16</v>
      </c>
      <c r="G18" s="39" t="s">
        <v>84</v>
      </c>
      <c r="H18" s="12" t="s">
        <v>15</v>
      </c>
      <c r="I18" s="12">
        <v>2172945</v>
      </c>
      <c r="J18" s="12" t="s">
        <v>78</v>
      </c>
    </row>
    <row r="19" spans="1:10" x14ac:dyDescent="0.25">
      <c r="A19" s="12">
        <v>0.2</v>
      </c>
      <c r="B19" s="38">
        <v>95</v>
      </c>
      <c r="C19" s="41">
        <v>103.432</v>
      </c>
      <c r="D19" s="9">
        <v>20231001</v>
      </c>
      <c r="E19" s="9">
        <v>20231031</v>
      </c>
      <c r="F19" s="39" t="s">
        <v>85</v>
      </c>
      <c r="G19" s="39" t="s">
        <v>84</v>
      </c>
      <c r="H19" s="12" t="s">
        <v>15</v>
      </c>
      <c r="I19" s="12">
        <v>2172945</v>
      </c>
      <c r="J19" s="12" t="s">
        <v>78</v>
      </c>
    </row>
    <row r="20" spans="1:10" x14ac:dyDescent="0.25">
      <c r="A20" s="12">
        <v>0.1</v>
      </c>
      <c r="B20" s="38">
        <v>47.5</v>
      </c>
      <c r="C20" s="41">
        <v>51.716000000000001</v>
      </c>
      <c r="D20" s="9">
        <v>20231001</v>
      </c>
      <c r="E20" s="9">
        <v>20231031</v>
      </c>
      <c r="F20" s="39" t="s">
        <v>17</v>
      </c>
      <c r="G20" s="39" t="s">
        <v>84</v>
      </c>
      <c r="H20" s="12" t="s">
        <v>15</v>
      </c>
      <c r="I20" s="12">
        <v>2172945</v>
      </c>
      <c r="J20" s="12" t="s">
        <v>78</v>
      </c>
    </row>
    <row r="21" spans="1:10" x14ac:dyDescent="0.25">
      <c r="A21" s="12">
        <v>0.1</v>
      </c>
      <c r="B21" s="38">
        <v>47.5</v>
      </c>
      <c r="C21" s="41">
        <v>51.716000000000001</v>
      </c>
      <c r="D21" s="9">
        <v>20231001</v>
      </c>
      <c r="E21" s="9">
        <v>20231031</v>
      </c>
      <c r="F21" s="39" t="s">
        <v>17</v>
      </c>
      <c r="G21" s="39" t="s">
        <v>84</v>
      </c>
      <c r="H21" s="12" t="s">
        <v>11</v>
      </c>
      <c r="I21" s="12">
        <v>2172955</v>
      </c>
      <c r="J21" s="12" t="s">
        <v>86</v>
      </c>
    </row>
    <row r="22" spans="1:10" x14ac:dyDescent="0.25">
      <c r="A22" s="12">
        <v>0.2</v>
      </c>
      <c r="B22" s="38">
        <v>95</v>
      </c>
      <c r="C22" s="41">
        <v>103.432</v>
      </c>
      <c r="D22" s="9">
        <v>20231001</v>
      </c>
      <c r="E22" s="9">
        <v>20231031</v>
      </c>
      <c r="F22" s="39" t="s">
        <v>87</v>
      </c>
      <c r="G22" s="39" t="s">
        <v>84</v>
      </c>
      <c r="H22" s="12" t="s">
        <v>11</v>
      </c>
      <c r="I22" s="12">
        <v>2172955</v>
      </c>
      <c r="J22" s="12" t="s">
        <v>86</v>
      </c>
    </row>
    <row r="23" spans="1:10" ht="15.75" thickBot="1" x14ac:dyDescent="0.3">
      <c r="A23" s="42"/>
      <c r="B23" s="43">
        <f>SUM(B7:B22)</f>
        <v>3325</v>
      </c>
      <c r="C23" s="43">
        <f>SUM(C7:C22)</f>
        <v>3620.1199999999985</v>
      </c>
      <c r="D23" s="42"/>
      <c r="E23" s="42"/>
      <c r="F23" s="42"/>
      <c r="G23" s="42"/>
      <c r="H23" s="42"/>
      <c r="I23" s="42"/>
      <c r="J23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</vt:lpstr>
      <vt:lpstr>FEV</vt:lpstr>
      <vt:lpstr>MAR</vt:lpstr>
      <vt:lpstr>ABR</vt:lpstr>
      <vt:lpstr>MAIO</vt:lpstr>
      <vt:lpstr>JUN</vt:lpstr>
      <vt:lpstr>Sheet2</vt:lpstr>
      <vt:lpstr>Sheet1</vt:lpstr>
    </vt:vector>
  </TitlesOfParts>
  <Company>BGC Partners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Keity</dc:creator>
  <cp:lastModifiedBy>Collete, Giovana</cp:lastModifiedBy>
  <dcterms:created xsi:type="dcterms:W3CDTF">2023-06-30T02:22:06Z</dcterms:created>
  <dcterms:modified xsi:type="dcterms:W3CDTF">2026-07-16T22:29:22Z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