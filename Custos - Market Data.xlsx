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X:\Gerencial\Mensal\2026\Custos\Market Data\"/>
    </mc:Choice>
  </mc:AlternateContent>
  <xr:revisionPtr revIDLastSave="0" documentId="13_ncr:1_{A60A12E0-1F7A-42E1-8EFE-CDB49521A011}" xr6:coauthVersionLast="47" xr6:coauthVersionMax="47" xr10:uidLastSave="{00000000-0000-0000-0000-000000000000}"/>
  <bookViews>
    <workbookView xWindow="-28920" yWindow="-105" windowWidth="29040" windowHeight="15720" tabRatio="733" activeTab="7" xr2:uid="{120E7CD3-46C7-4E68-B7FA-03E9DA91525C}"/>
  </bookViews>
  <sheets>
    <sheet name="JAN" sheetId="71" r:id="rId1"/>
    <sheet name="FEV" sheetId="72" r:id="rId2"/>
    <sheet name="MAR" sheetId="73" r:id="rId3"/>
    <sheet name="ABR" sheetId="74" r:id="rId4"/>
    <sheet name="MAI" sheetId="75" r:id="rId5"/>
    <sheet name="JUN" sheetId="77" r:id="rId6"/>
    <sheet name="JUL" sheetId="78" r:id="rId7"/>
    <sheet name="AGO" sheetId="79" r:id="rId8"/>
  </sheets>
  <externalReferences>
    <externalReference r:id="rId9"/>
  </externalReferences>
  <definedNames>
    <definedName name="_xlnm._FilterDatabase" localSheetId="3" hidden="1">ABR!$A$1:$T$164</definedName>
    <definedName name="_xlnm._FilterDatabase" localSheetId="7" hidden="1">AGO!$A$1:$T$177</definedName>
    <definedName name="_xlnm._FilterDatabase" localSheetId="1" hidden="1">FEV!$A$1:$BZ$1</definedName>
    <definedName name="_xlnm._FilterDatabase" localSheetId="0" hidden="1">JAN!$A$1:$BZ$148</definedName>
    <definedName name="_xlnm._FilterDatabase" localSheetId="6" hidden="1">JUL!$A$1:$T$177</definedName>
    <definedName name="_xlnm._FilterDatabase" localSheetId="5" hidden="1">JUN!$A$1:$T$164</definedName>
    <definedName name="_xlnm._FilterDatabase" localSheetId="4" hidden="1">MAI!$A$1:$T$164</definedName>
    <definedName name="_xlnm._FilterDatabase" localSheetId="2" hidden="1">MAR!$A$1:$BZ$157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1" i="79" l="1"/>
  <c r="A39" i="79"/>
  <c r="A42" i="79"/>
  <c r="A43" i="79"/>
  <c r="A44" i="79"/>
  <c r="A47" i="79"/>
  <c r="A55" i="79"/>
  <c r="A58" i="79"/>
  <c r="A59" i="79"/>
  <c r="A60" i="79"/>
  <c r="A63" i="79"/>
  <c r="A71" i="79"/>
  <c r="A74" i="79"/>
  <c r="A75" i="79"/>
  <c r="A76" i="79"/>
  <c r="A79" i="79"/>
  <c r="A87" i="79"/>
  <c r="A90" i="79"/>
  <c r="A91" i="79"/>
  <c r="A92" i="79"/>
  <c r="A95" i="79"/>
  <c r="A103" i="79"/>
  <c r="A106" i="79"/>
  <c r="A107" i="79"/>
  <c r="A108" i="79"/>
  <c r="A111" i="79"/>
  <c r="A119" i="79"/>
  <c r="A122" i="79"/>
  <c r="A123" i="79"/>
  <c r="A124" i="79"/>
  <c r="A127" i="79"/>
  <c r="A135" i="79"/>
  <c r="A138" i="79"/>
  <c r="A139" i="79"/>
  <c r="A140" i="79"/>
  <c r="A143" i="79"/>
  <c r="F29" i="79"/>
  <c r="A29" i="79" s="1"/>
  <c r="F30" i="79"/>
  <c r="A30" i="79" s="1"/>
  <c r="F31" i="79"/>
  <c r="F32" i="79"/>
  <c r="A32" i="79" s="1"/>
  <c r="F33" i="79"/>
  <c r="A33" i="79" s="1"/>
  <c r="F34" i="79"/>
  <c r="A34" i="79" s="1"/>
  <c r="F35" i="79"/>
  <c r="A35" i="79" s="1"/>
  <c r="F36" i="79"/>
  <c r="A36" i="79" s="1"/>
  <c r="F37" i="79"/>
  <c r="A37" i="79" s="1"/>
  <c r="F38" i="79"/>
  <c r="A38" i="79" s="1"/>
  <c r="F39" i="79"/>
  <c r="F40" i="79"/>
  <c r="A40" i="79" s="1"/>
  <c r="F41" i="79"/>
  <c r="A41" i="79" s="1"/>
  <c r="F42" i="79"/>
  <c r="F43" i="79"/>
  <c r="F44" i="79"/>
  <c r="F45" i="79"/>
  <c r="A45" i="79" s="1"/>
  <c r="F46" i="79"/>
  <c r="A46" i="79" s="1"/>
  <c r="F47" i="79"/>
  <c r="F48" i="79"/>
  <c r="A48" i="79" s="1"/>
  <c r="F49" i="79"/>
  <c r="A49" i="79" s="1"/>
  <c r="F50" i="79"/>
  <c r="A50" i="79" s="1"/>
  <c r="F51" i="79"/>
  <c r="A51" i="79" s="1"/>
  <c r="F52" i="79"/>
  <c r="A52" i="79" s="1"/>
  <c r="F53" i="79"/>
  <c r="A53" i="79" s="1"/>
  <c r="F54" i="79"/>
  <c r="A54" i="79" s="1"/>
  <c r="F55" i="79"/>
  <c r="F56" i="79"/>
  <c r="A56" i="79" s="1"/>
  <c r="F57" i="79"/>
  <c r="A57" i="79" s="1"/>
  <c r="F58" i="79"/>
  <c r="F59" i="79"/>
  <c r="F60" i="79"/>
  <c r="F61" i="79"/>
  <c r="A61" i="79" s="1"/>
  <c r="F62" i="79"/>
  <c r="A62" i="79" s="1"/>
  <c r="F63" i="79"/>
  <c r="F64" i="79"/>
  <c r="A64" i="79" s="1"/>
  <c r="F65" i="79"/>
  <c r="A65" i="79" s="1"/>
  <c r="F66" i="79"/>
  <c r="A66" i="79" s="1"/>
  <c r="F67" i="79"/>
  <c r="A67" i="79" s="1"/>
  <c r="F68" i="79"/>
  <c r="A68" i="79" s="1"/>
  <c r="F69" i="79"/>
  <c r="A69" i="79" s="1"/>
  <c r="F70" i="79"/>
  <c r="A70" i="79" s="1"/>
  <c r="F71" i="79"/>
  <c r="F72" i="79"/>
  <c r="A72" i="79" s="1"/>
  <c r="F73" i="79"/>
  <c r="A73" i="79" s="1"/>
  <c r="F74" i="79"/>
  <c r="F75" i="79"/>
  <c r="F76" i="79"/>
  <c r="F77" i="79"/>
  <c r="A77" i="79" s="1"/>
  <c r="F78" i="79"/>
  <c r="A78" i="79" s="1"/>
  <c r="F79" i="79"/>
  <c r="F80" i="79"/>
  <c r="A80" i="79" s="1"/>
  <c r="F81" i="79"/>
  <c r="A81" i="79" s="1"/>
  <c r="F82" i="79"/>
  <c r="A82" i="79" s="1"/>
  <c r="F83" i="79"/>
  <c r="A83" i="79" s="1"/>
  <c r="F84" i="79"/>
  <c r="A84" i="79" s="1"/>
  <c r="F85" i="79"/>
  <c r="A85" i="79" s="1"/>
  <c r="F86" i="79"/>
  <c r="A86" i="79" s="1"/>
  <c r="F87" i="79"/>
  <c r="F88" i="79"/>
  <c r="A88" i="79" s="1"/>
  <c r="F89" i="79"/>
  <c r="A89" i="79" s="1"/>
  <c r="F90" i="79"/>
  <c r="F91" i="79"/>
  <c r="F92" i="79"/>
  <c r="F93" i="79"/>
  <c r="A93" i="79" s="1"/>
  <c r="F94" i="79"/>
  <c r="A94" i="79" s="1"/>
  <c r="F95" i="79"/>
  <c r="F96" i="79"/>
  <c r="A96" i="79" s="1"/>
  <c r="F97" i="79"/>
  <c r="A97" i="79" s="1"/>
  <c r="F98" i="79"/>
  <c r="A98" i="79" s="1"/>
  <c r="F99" i="79"/>
  <c r="A99" i="79" s="1"/>
  <c r="F100" i="79"/>
  <c r="A100" i="79" s="1"/>
  <c r="F101" i="79"/>
  <c r="A101" i="79" s="1"/>
  <c r="F102" i="79"/>
  <c r="A102" i="79" s="1"/>
  <c r="F103" i="79"/>
  <c r="F104" i="79"/>
  <c r="A104" i="79" s="1"/>
  <c r="F105" i="79"/>
  <c r="A105" i="79" s="1"/>
  <c r="F106" i="79"/>
  <c r="F107" i="79"/>
  <c r="F108" i="79"/>
  <c r="F109" i="79"/>
  <c r="A109" i="79" s="1"/>
  <c r="F110" i="79"/>
  <c r="A110" i="79" s="1"/>
  <c r="F111" i="79"/>
  <c r="F112" i="79"/>
  <c r="A112" i="79" s="1"/>
  <c r="F113" i="79"/>
  <c r="A113" i="79" s="1"/>
  <c r="F114" i="79"/>
  <c r="A114" i="79" s="1"/>
  <c r="F115" i="79"/>
  <c r="A115" i="79" s="1"/>
  <c r="F116" i="79"/>
  <c r="A116" i="79" s="1"/>
  <c r="F117" i="79"/>
  <c r="A117" i="79" s="1"/>
  <c r="F118" i="79"/>
  <c r="A118" i="79" s="1"/>
  <c r="F119" i="79"/>
  <c r="F120" i="79"/>
  <c r="A120" i="79" s="1"/>
  <c r="F121" i="79"/>
  <c r="A121" i="79" s="1"/>
  <c r="F122" i="79"/>
  <c r="F123" i="79"/>
  <c r="F124" i="79"/>
  <c r="F125" i="79"/>
  <c r="A125" i="79" s="1"/>
  <c r="F126" i="79"/>
  <c r="A126" i="79" s="1"/>
  <c r="F127" i="79"/>
  <c r="F128" i="79"/>
  <c r="A128" i="79" s="1"/>
  <c r="F129" i="79"/>
  <c r="A129" i="79" s="1"/>
  <c r="F130" i="79"/>
  <c r="A130" i="79" s="1"/>
  <c r="F131" i="79"/>
  <c r="A131" i="79" s="1"/>
  <c r="F132" i="79"/>
  <c r="A132" i="79" s="1"/>
  <c r="F133" i="79"/>
  <c r="A133" i="79" s="1"/>
  <c r="F134" i="79"/>
  <c r="A134" i="79" s="1"/>
  <c r="F135" i="79"/>
  <c r="F136" i="79"/>
  <c r="A136" i="79" s="1"/>
  <c r="F137" i="79"/>
  <c r="A137" i="79" s="1"/>
  <c r="F138" i="79"/>
  <c r="F139" i="79"/>
  <c r="F140" i="79"/>
  <c r="F141" i="79"/>
  <c r="A141" i="79" s="1"/>
  <c r="F142" i="79"/>
  <c r="A142" i="79" s="1"/>
  <c r="F143" i="79"/>
  <c r="F144" i="79"/>
  <c r="A144" i="79" s="1"/>
  <c r="F145" i="79"/>
  <c r="A145" i="79" s="1"/>
  <c r="F146" i="79"/>
  <c r="A146" i="79" s="1"/>
  <c r="F147" i="79"/>
  <c r="A147" i="79" s="1"/>
  <c r="F148" i="79"/>
  <c r="A148" i="79" s="1"/>
  <c r="F149" i="79"/>
  <c r="A149" i="79" s="1"/>
  <c r="F150" i="79"/>
  <c r="A150" i="79" s="1"/>
  <c r="F151" i="79"/>
  <c r="A151" i="79" s="1"/>
  <c r="F152" i="79"/>
  <c r="A152" i="79" s="1"/>
  <c r="F153" i="79"/>
  <c r="A153" i="79" s="1"/>
  <c r="F154" i="79"/>
  <c r="A154" i="79" s="1"/>
  <c r="F155" i="79"/>
  <c r="A155" i="79" s="1"/>
  <c r="F156" i="79"/>
  <c r="A156" i="79" s="1"/>
  <c r="F157" i="79"/>
  <c r="A157" i="79" s="1"/>
  <c r="F158" i="79"/>
  <c r="A158" i="79" s="1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D29" i="79"/>
  <c r="D30" i="79"/>
  <c r="D31" i="79"/>
  <c r="D32" i="79"/>
  <c r="D33" i="79"/>
  <c r="D34" i="79"/>
  <c r="D35" i="79"/>
  <c r="D36" i="79"/>
  <c r="D37" i="79"/>
  <c r="D38" i="79"/>
  <c r="D39" i="79"/>
  <c r="D40" i="79"/>
  <c r="D41" i="79"/>
  <c r="D42" i="79"/>
  <c r="D43" i="79"/>
  <c r="D44" i="79"/>
  <c r="D45" i="79"/>
  <c r="D46" i="79"/>
  <c r="D47" i="79"/>
  <c r="D48" i="79"/>
  <c r="D49" i="79"/>
  <c r="D50" i="79"/>
  <c r="D51" i="79"/>
  <c r="D52" i="79"/>
  <c r="D53" i="79"/>
  <c r="D54" i="79"/>
  <c r="D55" i="79"/>
  <c r="D56" i="79"/>
  <c r="D57" i="79"/>
  <c r="D58" i="79"/>
  <c r="D59" i="79"/>
  <c r="D60" i="79"/>
  <c r="D61" i="79"/>
  <c r="D62" i="79"/>
  <c r="D63" i="79"/>
  <c r="D64" i="79"/>
  <c r="D65" i="79"/>
  <c r="D66" i="79"/>
  <c r="D67" i="79"/>
  <c r="D68" i="79"/>
  <c r="D69" i="79"/>
  <c r="D70" i="79"/>
  <c r="D71" i="79"/>
  <c r="D72" i="79"/>
  <c r="D73" i="79"/>
  <c r="D74" i="79"/>
  <c r="D75" i="79"/>
  <c r="D76" i="79"/>
  <c r="D77" i="79"/>
  <c r="D78" i="79"/>
  <c r="D79" i="79"/>
  <c r="D80" i="79"/>
  <c r="D81" i="79"/>
  <c r="D82" i="79"/>
  <c r="D83" i="79"/>
  <c r="D84" i="79"/>
  <c r="D85" i="79"/>
  <c r="D86" i="79"/>
  <c r="D87" i="79"/>
  <c r="D88" i="79"/>
  <c r="D89" i="79"/>
  <c r="D90" i="79"/>
  <c r="D91" i="79"/>
  <c r="D92" i="79"/>
  <c r="D93" i="79"/>
  <c r="D94" i="79"/>
  <c r="D95" i="79"/>
  <c r="D96" i="79"/>
  <c r="D97" i="79"/>
  <c r="D98" i="79"/>
  <c r="D99" i="79"/>
  <c r="D100" i="79"/>
  <c r="D101" i="79"/>
  <c r="D102" i="79"/>
  <c r="D103" i="79"/>
  <c r="D104" i="79"/>
  <c r="D105" i="79"/>
  <c r="D106" i="79"/>
  <c r="D107" i="79"/>
  <c r="D108" i="79"/>
  <c r="D109" i="79"/>
  <c r="D110" i="79"/>
  <c r="D111" i="79"/>
  <c r="D112" i="79"/>
  <c r="D113" i="79"/>
  <c r="D114" i="79"/>
  <c r="D115" i="79"/>
  <c r="D116" i="79"/>
  <c r="D117" i="79"/>
  <c r="D118" i="79"/>
  <c r="D119" i="79"/>
  <c r="D120" i="79"/>
  <c r="D121" i="79"/>
  <c r="D122" i="79"/>
  <c r="D123" i="79"/>
  <c r="D124" i="79"/>
  <c r="D125" i="79"/>
  <c r="D126" i="79"/>
  <c r="D127" i="79"/>
  <c r="D128" i="79"/>
  <c r="D129" i="79"/>
  <c r="D130" i="79"/>
  <c r="D131" i="79"/>
  <c r="D132" i="79"/>
  <c r="D133" i="79"/>
  <c r="D134" i="79"/>
  <c r="D135" i="79"/>
  <c r="D136" i="79"/>
  <c r="D137" i="79"/>
  <c r="D138" i="79"/>
  <c r="D139" i="79"/>
  <c r="D140" i="79"/>
  <c r="D141" i="79"/>
  <c r="D142" i="79"/>
  <c r="D143" i="79"/>
  <c r="D144" i="79"/>
  <c r="D145" i="79"/>
  <c r="D146" i="79"/>
  <c r="D147" i="79"/>
  <c r="D148" i="79"/>
  <c r="D149" i="79"/>
  <c r="D150" i="79"/>
  <c r="D151" i="79"/>
  <c r="D152" i="79"/>
  <c r="D153" i="79"/>
  <c r="D154" i="79"/>
  <c r="D155" i="79"/>
  <c r="D156" i="79"/>
  <c r="D157" i="79"/>
  <c r="D158" i="79"/>
  <c r="G158" i="79"/>
  <c r="G157" i="79"/>
  <c r="G156" i="79"/>
  <c r="G155" i="79"/>
  <c r="G154" i="79"/>
  <c r="G153" i="79"/>
  <c r="G152" i="79"/>
  <c r="G151" i="79"/>
  <c r="G150" i="79"/>
  <c r="G149" i="79"/>
  <c r="G148" i="79"/>
  <c r="G147" i="79"/>
  <c r="G146" i="79"/>
  <c r="G145" i="79"/>
  <c r="G144" i="79"/>
  <c r="G143" i="79"/>
  <c r="G142" i="79"/>
  <c r="G141" i="79"/>
  <c r="G140" i="79"/>
  <c r="G139" i="79"/>
  <c r="G138" i="79"/>
  <c r="G137" i="79"/>
  <c r="G136" i="79"/>
  <c r="G135" i="79"/>
  <c r="G134" i="79"/>
  <c r="G133" i="79"/>
  <c r="G132" i="79"/>
  <c r="G131" i="79"/>
  <c r="G130" i="79"/>
  <c r="G129" i="79"/>
  <c r="G128" i="79"/>
  <c r="G127" i="79"/>
  <c r="G126" i="79"/>
  <c r="G125" i="79"/>
  <c r="G124" i="79"/>
  <c r="G123" i="79"/>
  <c r="G122" i="79"/>
  <c r="G121" i="79"/>
  <c r="G120" i="79"/>
  <c r="G119" i="79"/>
  <c r="G118" i="79"/>
  <c r="G117" i="79"/>
  <c r="G116" i="79"/>
  <c r="G115" i="79"/>
  <c r="G114" i="79"/>
  <c r="G113" i="79"/>
  <c r="G112" i="79"/>
  <c r="G111" i="79"/>
  <c r="G110" i="79"/>
  <c r="G109" i="79"/>
  <c r="G108" i="79"/>
  <c r="G107" i="79"/>
  <c r="G106" i="79"/>
  <c r="G105" i="79"/>
  <c r="G104" i="79"/>
  <c r="G103" i="79"/>
  <c r="G102" i="79"/>
  <c r="G101" i="79"/>
  <c r="G100" i="79"/>
  <c r="G99" i="79"/>
  <c r="G98" i="79"/>
  <c r="G97" i="79"/>
  <c r="G96" i="79"/>
  <c r="G95" i="79"/>
  <c r="G94" i="79"/>
  <c r="G93" i="79"/>
  <c r="G92" i="79"/>
  <c r="G91" i="79"/>
  <c r="G90" i="79"/>
  <c r="G89" i="79"/>
  <c r="G88" i="79"/>
  <c r="G87" i="79"/>
  <c r="G86" i="79"/>
  <c r="G85" i="79"/>
  <c r="G84" i="79"/>
  <c r="G83" i="79"/>
  <c r="G82" i="79"/>
  <c r="G81" i="79"/>
  <c r="G80" i="79"/>
  <c r="G79" i="79"/>
  <c r="G78" i="79"/>
  <c r="G77" i="79"/>
  <c r="G76" i="79"/>
  <c r="G75" i="79"/>
  <c r="G74" i="79"/>
  <c r="G73" i="79"/>
  <c r="G72" i="79"/>
  <c r="G71" i="79"/>
  <c r="G70" i="79"/>
  <c r="G69" i="79"/>
  <c r="G68" i="79"/>
  <c r="G67" i="79"/>
  <c r="G66" i="79"/>
  <c r="G65" i="79"/>
  <c r="G64" i="79"/>
  <c r="G63" i="79"/>
  <c r="G62" i="79"/>
  <c r="G61" i="79"/>
  <c r="G60" i="79"/>
  <c r="G59" i="79"/>
  <c r="G58" i="79"/>
  <c r="G57" i="79"/>
  <c r="G56" i="79"/>
  <c r="G55" i="79"/>
  <c r="G54" i="79"/>
  <c r="G53" i="79"/>
  <c r="G52" i="79"/>
  <c r="G51" i="79"/>
  <c r="G50" i="79"/>
  <c r="G49" i="79"/>
  <c r="G48" i="79"/>
  <c r="G47" i="79"/>
  <c r="G46" i="79"/>
  <c r="G45" i="79"/>
  <c r="G44" i="79"/>
  <c r="G43" i="79"/>
  <c r="G42" i="79"/>
  <c r="G41" i="79"/>
  <c r="G40" i="79"/>
  <c r="G39" i="79"/>
  <c r="G38" i="79"/>
  <c r="G37" i="79"/>
  <c r="G36" i="79"/>
  <c r="G35" i="79"/>
  <c r="G34" i="79"/>
  <c r="G33" i="79"/>
  <c r="G32" i="79"/>
  <c r="G31" i="79"/>
  <c r="G30" i="79"/>
  <c r="G29" i="79"/>
  <c r="G28" i="79"/>
  <c r="F28" i="79"/>
  <c r="A28" i="79" s="1"/>
  <c r="E28" i="79"/>
  <c r="D28" i="79"/>
  <c r="G27" i="79"/>
  <c r="E27" i="79"/>
  <c r="A27" i="79"/>
  <c r="G26" i="79"/>
  <c r="F26" i="79"/>
  <c r="A26" i="79" s="1"/>
  <c r="E26" i="79"/>
  <c r="G25" i="79"/>
  <c r="F25" i="79"/>
  <c r="A25" i="79" s="1"/>
  <c r="E25" i="79"/>
  <c r="G24" i="79"/>
  <c r="F24" i="79"/>
  <c r="A24" i="79" s="1"/>
  <c r="E24" i="79"/>
  <c r="G23" i="79"/>
  <c r="F23" i="79"/>
  <c r="A23" i="79" s="1"/>
  <c r="E23" i="79"/>
  <c r="G22" i="79"/>
  <c r="F22" i="79"/>
  <c r="A22" i="79" s="1"/>
  <c r="E22" i="79"/>
  <c r="G21" i="79"/>
  <c r="F21" i="79"/>
  <c r="A21" i="79" s="1"/>
  <c r="E21" i="79"/>
  <c r="G20" i="79"/>
  <c r="F20" i="79"/>
  <c r="A20" i="79" s="1"/>
  <c r="E20" i="79"/>
  <c r="G19" i="79"/>
  <c r="F19" i="79"/>
  <c r="A19" i="79" s="1"/>
  <c r="E19" i="79"/>
  <c r="G18" i="79"/>
  <c r="F18" i="79"/>
  <c r="A18" i="79" s="1"/>
  <c r="E18" i="79"/>
  <c r="G17" i="79"/>
  <c r="F17" i="79"/>
  <c r="A17" i="79" s="1"/>
  <c r="E17" i="79"/>
  <c r="G16" i="79"/>
  <c r="F16" i="79"/>
  <c r="A16" i="79" s="1"/>
  <c r="E16" i="79"/>
  <c r="G15" i="79"/>
  <c r="F15" i="79"/>
  <c r="A15" i="79" s="1"/>
  <c r="E15" i="79"/>
  <c r="G14" i="79"/>
  <c r="F14" i="79"/>
  <c r="A14" i="79" s="1"/>
  <c r="E14" i="79"/>
  <c r="G13" i="79"/>
  <c r="F13" i="79"/>
  <c r="A13" i="79" s="1"/>
  <c r="E13" i="79"/>
  <c r="G12" i="79"/>
  <c r="F12" i="79"/>
  <c r="A12" i="79" s="1"/>
  <c r="E12" i="79"/>
  <c r="G11" i="79"/>
  <c r="F11" i="79"/>
  <c r="A11" i="79" s="1"/>
  <c r="E11" i="79"/>
  <c r="G10" i="79"/>
  <c r="F10" i="79"/>
  <c r="A10" i="79" s="1"/>
  <c r="E10" i="79"/>
  <c r="G9" i="79"/>
  <c r="F9" i="79"/>
  <c r="A9" i="79" s="1"/>
  <c r="E9" i="79"/>
  <c r="G8" i="79"/>
  <c r="F8" i="79"/>
  <c r="A8" i="79" s="1"/>
  <c r="E8" i="79"/>
  <c r="G7" i="79"/>
  <c r="F7" i="79"/>
  <c r="A7" i="79" s="1"/>
  <c r="E7" i="79"/>
  <c r="G6" i="79"/>
  <c r="F6" i="79"/>
  <c r="A6" i="79" s="1"/>
  <c r="E6" i="79"/>
  <c r="G5" i="79"/>
  <c r="F5" i="79"/>
  <c r="A5" i="79" s="1"/>
  <c r="E5" i="79"/>
  <c r="G4" i="79"/>
  <c r="F4" i="79"/>
  <c r="A4" i="79" s="1"/>
  <c r="E4" i="79"/>
  <c r="G3" i="79"/>
  <c r="F3" i="79"/>
  <c r="A3" i="79" s="1"/>
  <c r="E3" i="79"/>
  <c r="G2" i="79"/>
  <c r="F2" i="79"/>
  <c r="A2" i="79" s="1"/>
  <c r="E2" i="79"/>
  <c r="E27" i="78"/>
  <c r="E2" i="78"/>
  <c r="D29" i="78" l="1"/>
  <c r="D30" i="78"/>
  <c r="D31" i="78"/>
  <c r="D32" i="78"/>
  <c r="D33" i="78"/>
  <c r="D34" i="78"/>
  <c r="D35" i="78"/>
  <c r="D36" i="78"/>
  <c r="D37" i="78"/>
  <c r="D38" i="78"/>
  <c r="D39" i="78"/>
  <c r="D40" i="78"/>
  <c r="D41" i="78"/>
  <c r="D42" i="78"/>
  <c r="D43" i="78"/>
  <c r="D44" i="78"/>
  <c r="D45" i="78"/>
  <c r="D46" i="78"/>
  <c r="D47" i="78"/>
  <c r="D48" i="78"/>
  <c r="D49" i="78"/>
  <c r="D50" i="78"/>
  <c r="D51" i="78"/>
  <c r="D52" i="78"/>
  <c r="D53" i="78"/>
  <c r="D54" i="78"/>
  <c r="D55" i="78"/>
  <c r="D56" i="78"/>
  <c r="D57" i="78"/>
  <c r="D58" i="78"/>
  <c r="D59" i="78"/>
  <c r="D60" i="78"/>
  <c r="D61" i="78"/>
  <c r="D62" i="78"/>
  <c r="D63" i="78"/>
  <c r="D64" i="78"/>
  <c r="D65" i="78"/>
  <c r="D66" i="78"/>
  <c r="D67" i="78"/>
  <c r="D68" i="78"/>
  <c r="D69" i="78"/>
  <c r="D70" i="78"/>
  <c r="D71" i="78"/>
  <c r="D72" i="78"/>
  <c r="D73" i="78"/>
  <c r="D74" i="78"/>
  <c r="D75" i="78"/>
  <c r="D76" i="78"/>
  <c r="D77" i="78"/>
  <c r="D78" i="78"/>
  <c r="D79" i="78"/>
  <c r="D80" i="78"/>
  <c r="D81" i="78"/>
  <c r="D82" i="78"/>
  <c r="D83" i="78"/>
  <c r="D84" i="78"/>
  <c r="D85" i="78"/>
  <c r="D86" i="78"/>
  <c r="D87" i="78"/>
  <c r="D88" i="78"/>
  <c r="D89" i="78"/>
  <c r="D90" i="78"/>
  <c r="D91" i="78"/>
  <c r="D92" i="78"/>
  <c r="D93" i="78"/>
  <c r="D94" i="78"/>
  <c r="D95" i="78"/>
  <c r="D96" i="78"/>
  <c r="D97" i="78"/>
  <c r="D98" i="78"/>
  <c r="D99" i="78"/>
  <c r="D100" i="78"/>
  <c r="D101" i="78"/>
  <c r="D102" i="78"/>
  <c r="D103" i="78"/>
  <c r="D104" i="78"/>
  <c r="D105" i="78"/>
  <c r="D106" i="78"/>
  <c r="D107" i="78"/>
  <c r="D108" i="78"/>
  <c r="D109" i="78"/>
  <c r="D110" i="78"/>
  <c r="D111" i="78"/>
  <c r="D112" i="78"/>
  <c r="D113" i="78"/>
  <c r="D114" i="78"/>
  <c r="D115" i="78"/>
  <c r="D116" i="78"/>
  <c r="D117" i="78"/>
  <c r="D118" i="78"/>
  <c r="D119" i="78"/>
  <c r="D120" i="78"/>
  <c r="D121" i="78"/>
  <c r="D122" i="78"/>
  <c r="D123" i="78"/>
  <c r="D124" i="78"/>
  <c r="D125" i="78"/>
  <c r="D126" i="78"/>
  <c r="D127" i="78"/>
  <c r="D128" i="78"/>
  <c r="D129" i="78"/>
  <c r="D130" i="78"/>
  <c r="D131" i="78"/>
  <c r="D132" i="78"/>
  <c r="D133" i="78"/>
  <c r="D134" i="78"/>
  <c r="D135" i="78"/>
  <c r="D136" i="78"/>
  <c r="D137" i="78"/>
  <c r="D138" i="78"/>
  <c r="D139" i="78"/>
  <c r="D140" i="78"/>
  <c r="D141" i="78"/>
  <c r="D142" i="78"/>
  <c r="D143" i="78"/>
  <c r="D144" i="78"/>
  <c r="D145" i="78"/>
  <c r="D146" i="78"/>
  <c r="D147" i="78"/>
  <c r="D148" i="78"/>
  <c r="D149" i="78"/>
  <c r="D150" i="78"/>
  <c r="D151" i="78"/>
  <c r="D152" i="78"/>
  <c r="D153" i="78"/>
  <c r="D154" i="78"/>
  <c r="D155" i="78"/>
  <c r="D156" i="78"/>
  <c r="D157" i="78"/>
  <c r="D158" i="78"/>
  <c r="D159" i="78"/>
  <c r="D28" i="78"/>
  <c r="A29" i="78"/>
  <c r="A30" i="78"/>
  <c r="A31" i="78"/>
  <c r="A32" i="78"/>
  <c r="A33" i="78"/>
  <c r="A34" i="78"/>
  <c r="A35" i="78"/>
  <c r="A36" i="78"/>
  <c r="A37" i="78"/>
  <c r="A38" i="78"/>
  <c r="A39" i="78"/>
  <c r="A40" i="78"/>
  <c r="A41" i="78"/>
  <c r="A42" i="78"/>
  <c r="A43" i="78"/>
  <c r="A44" i="78"/>
  <c r="A45" i="78"/>
  <c r="A46" i="78"/>
  <c r="A47" i="78"/>
  <c r="A48" i="78"/>
  <c r="A49" i="78"/>
  <c r="A50" i="78"/>
  <c r="A51" i="78"/>
  <c r="A52" i="78"/>
  <c r="A53" i="78"/>
  <c r="A54" i="78"/>
  <c r="A55" i="78"/>
  <c r="A56" i="78"/>
  <c r="A57" i="78"/>
  <c r="A58" i="78"/>
  <c r="A59" i="78"/>
  <c r="A60" i="78"/>
  <c r="A61" i="78"/>
  <c r="A62" i="78"/>
  <c r="A63" i="78"/>
  <c r="A64" i="78"/>
  <c r="A65" i="78"/>
  <c r="A66" i="78"/>
  <c r="A67" i="78"/>
  <c r="A68" i="78"/>
  <c r="A69" i="78"/>
  <c r="A70" i="78"/>
  <c r="A71" i="78"/>
  <c r="A72" i="78"/>
  <c r="A73" i="78"/>
  <c r="A74" i="78"/>
  <c r="A75" i="78"/>
  <c r="A76" i="78"/>
  <c r="A77" i="78"/>
  <c r="A78" i="78"/>
  <c r="A79" i="78"/>
  <c r="A80" i="78"/>
  <c r="A81" i="78"/>
  <c r="A82" i="78"/>
  <c r="A83" i="78"/>
  <c r="A84" i="78"/>
  <c r="A85" i="78"/>
  <c r="A86" i="78"/>
  <c r="A87" i="78"/>
  <c r="A88" i="78"/>
  <c r="A89" i="78"/>
  <c r="A90" i="78"/>
  <c r="A91" i="78"/>
  <c r="A92" i="78"/>
  <c r="A93" i="78"/>
  <c r="A94" i="78"/>
  <c r="A95" i="78"/>
  <c r="A96" i="78"/>
  <c r="A97" i="78"/>
  <c r="A98" i="78"/>
  <c r="A99" i="78"/>
  <c r="A100" i="78"/>
  <c r="A101" i="78"/>
  <c r="A102" i="78"/>
  <c r="A103" i="78"/>
  <c r="A104" i="78"/>
  <c r="A105" i="78"/>
  <c r="A106" i="78"/>
  <c r="A107" i="78"/>
  <c r="A108" i="78"/>
  <c r="A109" i="78"/>
  <c r="A110" i="78"/>
  <c r="A111" i="78"/>
  <c r="A112" i="78"/>
  <c r="A113" i="78"/>
  <c r="A114" i="78"/>
  <c r="A115" i="78"/>
  <c r="A116" i="78"/>
  <c r="A117" i="78"/>
  <c r="A118" i="78"/>
  <c r="A119" i="78"/>
  <c r="A120" i="78"/>
  <c r="A121" i="78"/>
  <c r="A122" i="78"/>
  <c r="A123" i="78"/>
  <c r="A124" i="78"/>
  <c r="A125" i="78"/>
  <c r="A126" i="78"/>
  <c r="A127" i="78"/>
  <c r="A128" i="78"/>
  <c r="A129" i="78"/>
  <c r="A130" i="78"/>
  <c r="A131" i="78"/>
  <c r="A132" i="78"/>
  <c r="A133" i="78"/>
  <c r="A134" i="78"/>
  <c r="A135" i="78"/>
  <c r="A136" i="78"/>
  <c r="A137" i="78"/>
  <c r="A138" i="78"/>
  <c r="A139" i="78"/>
  <c r="A140" i="78"/>
  <c r="A141" i="78"/>
  <c r="A142" i="78"/>
  <c r="A143" i="78"/>
  <c r="A144" i="78"/>
  <c r="A145" i="78"/>
  <c r="A146" i="78"/>
  <c r="A147" i="78"/>
  <c r="A148" i="78"/>
  <c r="A149" i="78"/>
  <c r="A150" i="78"/>
  <c r="A151" i="78"/>
  <c r="A152" i="78"/>
  <c r="A153" i="78"/>
  <c r="E29" i="78"/>
  <c r="F29" i="78"/>
  <c r="E30" i="78"/>
  <c r="F30" i="78"/>
  <c r="E31" i="78"/>
  <c r="F31" i="78"/>
  <c r="E32" i="78"/>
  <c r="F32" i="78"/>
  <c r="E33" i="78"/>
  <c r="F33" i="78"/>
  <c r="E34" i="78"/>
  <c r="F34" i="78"/>
  <c r="E35" i="78"/>
  <c r="F35" i="78"/>
  <c r="E36" i="78"/>
  <c r="F36" i="78"/>
  <c r="E37" i="78"/>
  <c r="F37" i="78"/>
  <c r="E38" i="78"/>
  <c r="F38" i="78"/>
  <c r="E39" i="78"/>
  <c r="F39" i="78"/>
  <c r="E40" i="78"/>
  <c r="F40" i="78"/>
  <c r="E41" i="78"/>
  <c r="F41" i="78"/>
  <c r="E42" i="78"/>
  <c r="F42" i="78"/>
  <c r="E43" i="78"/>
  <c r="F43" i="78"/>
  <c r="E44" i="78"/>
  <c r="F44" i="78"/>
  <c r="E45" i="78"/>
  <c r="F45" i="78"/>
  <c r="E46" i="78"/>
  <c r="F46" i="78"/>
  <c r="E47" i="78"/>
  <c r="F47" i="78"/>
  <c r="E48" i="78"/>
  <c r="F48" i="78"/>
  <c r="E49" i="78"/>
  <c r="F49" i="78"/>
  <c r="E50" i="78"/>
  <c r="F50" i="78"/>
  <c r="E51" i="78"/>
  <c r="F51" i="78"/>
  <c r="E52" i="78"/>
  <c r="F52" i="78"/>
  <c r="E53" i="78"/>
  <c r="F53" i="78"/>
  <c r="E54" i="78"/>
  <c r="F54" i="78"/>
  <c r="E55" i="78"/>
  <c r="F55" i="78"/>
  <c r="E56" i="78"/>
  <c r="F56" i="78"/>
  <c r="E57" i="78"/>
  <c r="F57" i="78"/>
  <c r="E58" i="78"/>
  <c r="F58" i="78"/>
  <c r="E59" i="78"/>
  <c r="F59" i="78"/>
  <c r="E60" i="78"/>
  <c r="F60" i="78"/>
  <c r="E61" i="78"/>
  <c r="F61" i="78"/>
  <c r="E62" i="78"/>
  <c r="F62" i="78"/>
  <c r="E63" i="78"/>
  <c r="F63" i="78"/>
  <c r="E64" i="78"/>
  <c r="F64" i="78"/>
  <c r="E65" i="78"/>
  <c r="F65" i="78"/>
  <c r="E66" i="78"/>
  <c r="F66" i="78"/>
  <c r="E67" i="78"/>
  <c r="F67" i="78"/>
  <c r="E68" i="78"/>
  <c r="F68" i="78"/>
  <c r="E69" i="78"/>
  <c r="F69" i="78"/>
  <c r="E70" i="78"/>
  <c r="F70" i="78"/>
  <c r="E71" i="78"/>
  <c r="F71" i="78"/>
  <c r="E72" i="78"/>
  <c r="F72" i="78"/>
  <c r="E73" i="78"/>
  <c r="F73" i="78"/>
  <c r="E74" i="78"/>
  <c r="F74" i="78"/>
  <c r="E75" i="78"/>
  <c r="F75" i="78"/>
  <c r="E76" i="78"/>
  <c r="F76" i="78"/>
  <c r="E77" i="78"/>
  <c r="F77" i="78"/>
  <c r="E78" i="78"/>
  <c r="F78" i="78"/>
  <c r="E79" i="78"/>
  <c r="F79" i="78"/>
  <c r="E80" i="78"/>
  <c r="F80" i="78"/>
  <c r="E81" i="78"/>
  <c r="F81" i="78"/>
  <c r="E82" i="78"/>
  <c r="F82" i="78"/>
  <c r="E83" i="78"/>
  <c r="F83" i="78"/>
  <c r="E84" i="78"/>
  <c r="F84" i="78"/>
  <c r="E85" i="78"/>
  <c r="F85" i="78"/>
  <c r="E86" i="78"/>
  <c r="F86" i="78"/>
  <c r="E87" i="78"/>
  <c r="F87" i="78"/>
  <c r="E88" i="78"/>
  <c r="F88" i="78"/>
  <c r="E89" i="78"/>
  <c r="F89" i="78"/>
  <c r="E90" i="78"/>
  <c r="F90" i="78"/>
  <c r="E91" i="78"/>
  <c r="F91" i="78"/>
  <c r="E92" i="78"/>
  <c r="F92" i="78"/>
  <c r="E93" i="78"/>
  <c r="F93" i="78"/>
  <c r="E94" i="78"/>
  <c r="F94" i="78"/>
  <c r="E95" i="78"/>
  <c r="F95" i="78"/>
  <c r="E96" i="78"/>
  <c r="F96" i="78"/>
  <c r="E97" i="78"/>
  <c r="F97" i="78"/>
  <c r="E98" i="78"/>
  <c r="F98" i="78"/>
  <c r="E99" i="78"/>
  <c r="F99" i="78"/>
  <c r="E100" i="78"/>
  <c r="F100" i="78"/>
  <c r="E101" i="78"/>
  <c r="F101" i="78"/>
  <c r="E102" i="78"/>
  <c r="F102" i="78"/>
  <c r="E103" i="78"/>
  <c r="F103" i="78"/>
  <c r="E104" i="78"/>
  <c r="F104" i="78"/>
  <c r="E105" i="78"/>
  <c r="F105" i="78"/>
  <c r="E106" i="78"/>
  <c r="F106" i="78"/>
  <c r="E107" i="78"/>
  <c r="F107" i="78"/>
  <c r="E108" i="78"/>
  <c r="F108" i="78"/>
  <c r="E109" i="78"/>
  <c r="F109" i="78"/>
  <c r="E110" i="78"/>
  <c r="F110" i="78"/>
  <c r="E111" i="78"/>
  <c r="F111" i="78"/>
  <c r="E112" i="78"/>
  <c r="F112" i="78"/>
  <c r="E113" i="78"/>
  <c r="F113" i="78"/>
  <c r="E114" i="78"/>
  <c r="F114" i="78"/>
  <c r="E115" i="78"/>
  <c r="F115" i="78"/>
  <c r="E116" i="78"/>
  <c r="F116" i="78"/>
  <c r="E117" i="78"/>
  <c r="F117" i="78"/>
  <c r="E118" i="78"/>
  <c r="F118" i="78"/>
  <c r="E119" i="78"/>
  <c r="F119" i="78"/>
  <c r="E120" i="78"/>
  <c r="F120" i="78"/>
  <c r="E121" i="78"/>
  <c r="F121" i="78"/>
  <c r="E122" i="78"/>
  <c r="F122" i="78"/>
  <c r="E123" i="78"/>
  <c r="F123" i="78"/>
  <c r="E124" i="78"/>
  <c r="F124" i="78"/>
  <c r="E125" i="78"/>
  <c r="F125" i="78"/>
  <c r="E126" i="78"/>
  <c r="F126" i="78"/>
  <c r="E127" i="78"/>
  <c r="F127" i="78"/>
  <c r="E128" i="78"/>
  <c r="F128" i="78"/>
  <c r="E129" i="78"/>
  <c r="F129" i="78"/>
  <c r="E130" i="78"/>
  <c r="F130" i="78"/>
  <c r="E131" i="78"/>
  <c r="F131" i="78"/>
  <c r="E132" i="78"/>
  <c r="F132" i="78"/>
  <c r="E133" i="78"/>
  <c r="F133" i="78"/>
  <c r="E134" i="78"/>
  <c r="F134" i="78"/>
  <c r="E135" i="78"/>
  <c r="F135" i="78"/>
  <c r="E136" i="78"/>
  <c r="F136" i="78"/>
  <c r="E137" i="78"/>
  <c r="F137" i="78"/>
  <c r="E138" i="78"/>
  <c r="F138" i="78"/>
  <c r="E139" i="78"/>
  <c r="F139" i="78"/>
  <c r="E140" i="78"/>
  <c r="F140" i="78"/>
  <c r="E141" i="78"/>
  <c r="F141" i="78"/>
  <c r="E142" i="78"/>
  <c r="F142" i="78"/>
  <c r="E143" i="78"/>
  <c r="F143" i="78"/>
  <c r="E144" i="78"/>
  <c r="F144" i="78"/>
  <c r="E145" i="78"/>
  <c r="F145" i="78"/>
  <c r="E146" i="78"/>
  <c r="F146" i="78"/>
  <c r="E147" i="78"/>
  <c r="F147" i="78"/>
  <c r="E148" i="78"/>
  <c r="F148" i="78"/>
  <c r="E149" i="78"/>
  <c r="F149" i="78"/>
  <c r="E150" i="78"/>
  <c r="F150" i="78"/>
  <c r="E151" i="78"/>
  <c r="F151" i="78"/>
  <c r="E152" i="78"/>
  <c r="F152" i="78"/>
  <c r="E153" i="78"/>
  <c r="F153" i="78"/>
  <c r="E154" i="78"/>
  <c r="F154" i="78"/>
  <c r="A154" i="78" s="1"/>
  <c r="E155" i="78"/>
  <c r="F155" i="78"/>
  <c r="A155" i="78" s="1"/>
  <c r="E156" i="78"/>
  <c r="F156" i="78"/>
  <c r="A156" i="78" s="1"/>
  <c r="E157" i="78"/>
  <c r="F157" i="78"/>
  <c r="A157" i="78" s="1"/>
  <c r="E158" i="78"/>
  <c r="F158" i="78"/>
  <c r="A158" i="78" s="1"/>
  <c r="E159" i="78"/>
  <c r="F159" i="78"/>
  <c r="A159" i="78" s="1"/>
  <c r="F28" i="78"/>
  <c r="E28" i="78"/>
  <c r="A25" i="78"/>
  <c r="A26" i="78"/>
  <c r="A27" i="78"/>
  <c r="A28" i="78"/>
  <c r="G27" i="78"/>
  <c r="F13" i="75"/>
  <c r="F14" i="75"/>
  <c r="F15" i="75"/>
  <c r="F16" i="75"/>
  <c r="F17" i="75"/>
  <c r="F18" i="75"/>
  <c r="F19" i="75"/>
  <c r="F20" i="75"/>
  <c r="F21" i="75"/>
  <c r="F22" i="75"/>
  <c r="F23" i="75"/>
  <c r="A23" i="75" s="1"/>
  <c r="F12" i="75"/>
  <c r="A12" i="75" s="1"/>
  <c r="G29" i="78"/>
  <c r="G30" i="78"/>
  <c r="G31" i="78"/>
  <c r="G32" i="78"/>
  <c r="G33" i="78"/>
  <c r="G34" i="78"/>
  <c r="G35" i="78"/>
  <c r="G36" i="78"/>
  <c r="G37" i="78"/>
  <c r="G38" i="78"/>
  <c r="G39" i="78"/>
  <c r="G40" i="78"/>
  <c r="G41" i="78"/>
  <c r="G42" i="78"/>
  <c r="G43" i="78"/>
  <c r="G44" i="78"/>
  <c r="G45" i="78"/>
  <c r="G46" i="78"/>
  <c r="G47" i="78"/>
  <c r="G48" i="78"/>
  <c r="G49" i="78"/>
  <c r="G50" i="78"/>
  <c r="G51" i="78"/>
  <c r="G52" i="78"/>
  <c r="G53" i="78"/>
  <c r="G54" i="78"/>
  <c r="G55" i="78"/>
  <c r="G56" i="78"/>
  <c r="G57" i="78"/>
  <c r="G58" i="78"/>
  <c r="G59" i="78"/>
  <c r="G60" i="78"/>
  <c r="G61" i="78"/>
  <c r="G62" i="78"/>
  <c r="G63" i="78"/>
  <c r="G64" i="78"/>
  <c r="G65" i="78"/>
  <c r="G66" i="78"/>
  <c r="G67" i="78"/>
  <c r="G68" i="78"/>
  <c r="G69" i="78"/>
  <c r="G70" i="78"/>
  <c r="G71" i="78"/>
  <c r="G72" i="78"/>
  <c r="G73" i="78"/>
  <c r="G74" i="78"/>
  <c r="G75" i="78"/>
  <c r="G76" i="78"/>
  <c r="G77" i="78"/>
  <c r="G78" i="78"/>
  <c r="G79" i="78"/>
  <c r="G80" i="78"/>
  <c r="G81" i="78"/>
  <c r="G82" i="78"/>
  <c r="G83" i="78"/>
  <c r="G84" i="78"/>
  <c r="G85" i="78"/>
  <c r="G86" i="78"/>
  <c r="G87" i="78"/>
  <c r="G88" i="78"/>
  <c r="G89" i="78"/>
  <c r="G90" i="78"/>
  <c r="G91" i="78"/>
  <c r="G92" i="78"/>
  <c r="G93" i="78"/>
  <c r="G94" i="78"/>
  <c r="G95" i="78"/>
  <c r="G96" i="78"/>
  <c r="G97" i="78"/>
  <c r="G98" i="78"/>
  <c r="G99" i="78"/>
  <c r="G100" i="78"/>
  <c r="G101" i="78"/>
  <c r="G102" i="78"/>
  <c r="G103" i="78"/>
  <c r="G104" i="78"/>
  <c r="G105" i="78"/>
  <c r="G106" i="78"/>
  <c r="G107" i="78"/>
  <c r="G108" i="78"/>
  <c r="G109" i="78"/>
  <c r="G110" i="78"/>
  <c r="G111" i="78"/>
  <c r="G112" i="78"/>
  <c r="G113" i="78"/>
  <c r="G114" i="78"/>
  <c r="G115" i="78"/>
  <c r="G116" i="78"/>
  <c r="G117" i="78"/>
  <c r="G118" i="78"/>
  <c r="G119" i="78"/>
  <c r="G120" i="78"/>
  <c r="G121" i="78"/>
  <c r="G122" i="78"/>
  <c r="G123" i="78"/>
  <c r="G124" i="78"/>
  <c r="G125" i="78"/>
  <c r="G126" i="78"/>
  <c r="G127" i="78"/>
  <c r="G128" i="78"/>
  <c r="G129" i="78"/>
  <c r="G130" i="78"/>
  <c r="G131" i="78"/>
  <c r="G132" i="78"/>
  <c r="G133" i="78"/>
  <c r="G134" i="78"/>
  <c r="G135" i="78"/>
  <c r="G136" i="78"/>
  <c r="G137" i="78"/>
  <c r="G138" i="78"/>
  <c r="G139" i="78"/>
  <c r="G140" i="78"/>
  <c r="G141" i="78"/>
  <c r="G142" i="78"/>
  <c r="G143" i="78"/>
  <c r="G144" i="78"/>
  <c r="G145" i="78"/>
  <c r="G146" i="78"/>
  <c r="G147" i="78"/>
  <c r="G148" i="78"/>
  <c r="G149" i="78"/>
  <c r="G150" i="78"/>
  <c r="G151" i="78"/>
  <c r="G152" i="78"/>
  <c r="G153" i="78"/>
  <c r="G154" i="78"/>
  <c r="G155" i="78"/>
  <c r="G156" i="78"/>
  <c r="G157" i="78"/>
  <c r="G158" i="78"/>
  <c r="G159" i="78"/>
  <c r="G28" i="78"/>
  <c r="G26" i="78"/>
  <c r="F26" i="78"/>
  <c r="E26" i="78"/>
  <c r="G25" i="78"/>
  <c r="F25" i="78"/>
  <c r="E25" i="78"/>
  <c r="G24" i="78"/>
  <c r="F24" i="78"/>
  <c r="A24" i="78" s="1"/>
  <c r="E24" i="78"/>
  <c r="G23" i="78"/>
  <c r="F23" i="78"/>
  <c r="A23" i="78" s="1"/>
  <c r="E23" i="78"/>
  <c r="G22" i="78"/>
  <c r="F22" i="78"/>
  <c r="A22" i="78" s="1"/>
  <c r="E22" i="78"/>
  <c r="G21" i="78"/>
  <c r="F21" i="78"/>
  <c r="A21" i="78" s="1"/>
  <c r="E21" i="78"/>
  <c r="G20" i="78"/>
  <c r="F20" i="78"/>
  <c r="A20" i="78" s="1"/>
  <c r="E20" i="78"/>
  <c r="G19" i="78"/>
  <c r="F19" i="78"/>
  <c r="A19" i="78" s="1"/>
  <c r="E19" i="78"/>
  <c r="G18" i="78"/>
  <c r="F18" i="78"/>
  <c r="A18" i="78" s="1"/>
  <c r="E18" i="78"/>
  <c r="G17" i="78"/>
  <c r="F17" i="78"/>
  <c r="A17" i="78" s="1"/>
  <c r="E17" i="78"/>
  <c r="G16" i="78"/>
  <c r="F16" i="78"/>
  <c r="A16" i="78" s="1"/>
  <c r="E16" i="78"/>
  <c r="G15" i="78"/>
  <c r="F15" i="78"/>
  <c r="A15" i="78" s="1"/>
  <c r="E15" i="78"/>
  <c r="G14" i="78"/>
  <c r="F14" i="78"/>
  <c r="A14" i="78" s="1"/>
  <c r="E14" i="78"/>
  <c r="G13" i="78"/>
  <c r="F13" i="78"/>
  <c r="A13" i="78" s="1"/>
  <c r="E13" i="78"/>
  <c r="G12" i="78"/>
  <c r="F12" i="78"/>
  <c r="A12" i="78" s="1"/>
  <c r="E12" i="78"/>
  <c r="G11" i="78"/>
  <c r="F11" i="78"/>
  <c r="A11" i="78" s="1"/>
  <c r="E11" i="78"/>
  <c r="G10" i="78"/>
  <c r="F10" i="78"/>
  <c r="A10" i="78" s="1"/>
  <c r="E10" i="78"/>
  <c r="G9" i="78"/>
  <c r="F9" i="78"/>
  <c r="A9" i="78" s="1"/>
  <c r="E9" i="78"/>
  <c r="G8" i="78"/>
  <c r="F8" i="78"/>
  <c r="A8" i="78" s="1"/>
  <c r="E8" i="78"/>
  <c r="G7" i="78"/>
  <c r="F7" i="78"/>
  <c r="A7" i="78" s="1"/>
  <c r="E7" i="78"/>
  <c r="G6" i="78"/>
  <c r="F6" i="78"/>
  <c r="A6" i="78" s="1"/>
  <c r="E6" i="78"/>
  <c r="G5" i="78"/>
  <c r="F5" i="78"/>
  <c r="A5" i="78" s="1"/>
  <c r="E5" i="78"/>
  <c r="G4" i="78"/>
  <c r="F4" i="78"/>
  <c r="A4" i="78" s="1"/>
  <c r="E4" i="78"/>
  <c r="G3" i="78"/>
  <c r="F3" i="78"/>
  <c r="A3" i="78" s="1"/>
  <c r="E3" i="78"/>
  <c r="G2" i="78"/>
  <c r="F2" i="78"/>
  <c r="A2" i="78" s="1"/>
  <c r="F13" i="77"/>
  <c r="F14" i="77"/>
  <c r="F15" i="77"/>
  <c r="A15" i="77" s="1"/>
  <c r="F16" i="77"/>
  <c r="F17" i="77"/>
  <c r="A17" i="77" s="1"/>
  <c r="F18" i="77"/>
  <c r="F19" i="77"/>
  <c r="A19" i="77" s="1"/>
  <c r="F20" i="77"/>
  <c r="F21" i="77"/>
  <c r="A21" i="77" s="1"/>
  <c r="F22" i="77"/>
  <c r="F23" i="77"/>
  <c r="A23" i="77" s="1"/>
  <c r="F12" i="77"/>
  <c r="D29" i="77"/>
  <c r="D30" i="77"/>
  <c r="D31" i="77"/>
  <c r="D32" i="77"/>
  <c r="D33" i="77"/>
  <c r="D34" i="77"/>
  <c r="D35" i="77"/>
  <c r="D36" i="77"/>
  <c r="D37" i="77"/>
  <c r="D38" i="77"/>
  <c r="D39" i="77"/>
  <c r="D40" i="77"/>
  <c r="D41" i="77"/>
  <c r="D42" i="77"/>
  <c r="D43" i="77"/>
  <c r="D44" i="77"/>
  <c r="D45" i="77"/>
  <c r="D46" i="77"/>
  <c r="D47" i="77"/>
  <c r="D48" i="77"/>
  <c r="D49" i="77"/>
  <c r="D50" i="77"/>
  <c r="D51" i="77"/>
  <c r="D52" i="77"/>
  <c r="D53" i="77"/>
  <c r="D54" i="77"/>
  <c r="D55" i="77"/>
  <c r="D56" i="77"/>
  <c r="D57" i="77"/>
  <c r="D58" i="77"/>
  <c r="D59" i="77"/>
  <c r="D60" i="77"/>
  <c r="D61" i="77"/>
  <c r="D62" i="77"/>
  <c r="D63" i="77"/>
  <c r="D64" i="77"/>
  <c r="D65" i="77"/>
  <c r="D66" i="77"/>
  <c r="D67" i="77"/>
  <c r="D68" i="77"/>
  <c r="D69" i="77"/>
  <c r="D70" i="77"/>
  <c r="D71" i="77"/>
  <c r="D72" i="77"/>
  <c r="D73" i="77"/>
  <c r="D74" i="77"/>
  <c r="D75" i="77"/>
  <c r="D76" i="77"/>
  <c r="D77" i="77"/>
  <c r="D78" i="77"/>
  <c r="D79" i="77"/>
  <c r="D80" i="77"/>
  <c r="D81" i="77"/>
  <c r="D82" i="77"/>
  <c r="D83" i="77"/>
  <c r="D84" i="77"/>
  <c r="D85" i="77"/>
  <c r="D86" i="77"/>
  <c r="D87" i="77"/>
  <c r="D88" i="77"/>
  <c r="D89" i="77"/>
  <c r="D90" i="77"/>
  <c r="D91" i="77"/>
  <c r="D92" i="77"/>
  <c r="D93" i="77"/>
  <c r="D94" i="77"/>
  <c r="D95" i="77"/>
  <c r="D96" i="77"/>
  <c r="D97" i="77"/>
  <c r="D98" i="77"/>
  <c r="D99" i="77"/>
  <c r="D100" i="77"/>
  <c r="D101" i="77"/>
  <c r="D102" i="77"/>
  <c r="D103" i="77"/>
  <c r="D104" i="77"/>
  <c r="D105" i="77"/>
  <c r="D106" i="77"/>
  <c r="D107" i="77"/>
  <c r="D108" i="77"/>
  <c r="D109" i="77"/>
  <c r="D110" i="77"/>
  <c r="D111" i="77"/>
  <c r="D112" i="77"/>
  <c r="D113" i="77"/>
  <c r="D114" i="77"/>
  <c r="D115" i="77"/>
  <c r="D116" i="77"/>
  <c r="D117" i="77"/>
  <c r="D118" i="77"/>
  <c r="D119" i="77"/>
  <c r="D120" i="77"/>
  <c r="D121" i="77"/>
  <c r="D122" i="77"/>
  <c r="D123" i="77"/>
  <c r="D124" i="77"/>
  <c r="D125" i="77"/>
  <c r="D126" i="77"/>
  <c r="D127" i="77"/>
  <c r="D128" i="77"/>
  <c r="D129" i="77"/>
  <c r="D130" i="77"/>
  <c r="D131" i="77"/>
  <c r="D132" i="77"/>
  <c r="D133" i="77"/>
  <c r="D134" i="77"/>
  <c r="D135" i="77"/>
  <c r="D136" i="77"/>
  <c r="D137" i="77"/>
  <c r="D138" i="77"/>
  <c r="D139" i="77"/>
  <c r="D140" i="77"/>
  <c r="D141" i="77"/>
  <c r="D142" i="77"/>
  <c r="D143" i="77"/>
  <c r="D144" i="77"/>
  <c r="D145" i="77"/>
  <c r="D146" i="77"/>
  <c r="D147" i="77"/>
  <c r="D148" i="77"/>
  <c r="D149" i="77"/>
  <c r="D150" i="77"/>
  <c r="D151" i="77"/>
  <c r="D152" i="77"/>
  <c r="D153" i="77"/>
  <c r="D154" i="77"/>
  <c r="D155" i="77"/>
  <c r="D156" i="77"/>
  <c r="D157" i="77"/>
  <c r="D158" i="77"/>
  <c r="D159" i="77"/>
  <c r="D160" i="77"/>
  <c r="D161" i="77"/>
  <c r="D162" i="77"/>
  <c r="D163" i="77"/>
  <c r="D164" i="77"/>
  <c r="E162" i="77"/>
  <c r="F162" i="77"/>
  <c r="A162" i="77" s="1"/>
  <c r="E163" i="77"/>
  <c r="F163" i="77"/>
  <c r="A163" i="77" s="1"/>
  <c r="E164" i="77"/>
  <c r="F164" i="77"/>
  <c r="A164" i="77" s="1"/>
  <c r="G162" i="77"/>
  <c r="G163" i="77"/>
  <c r="G164" i="77"/>
  <c r="D28" i="77"/>
  <c r="F37" i="77"/>
  <c r="A37" i="77" s="1"/>
  <c r="F38" i="77"/>
  <c r="A38" i="77" s="1"/>
  <c r="F39" i="77"/>
  <c r="A39" i="77" s="1"/>
  <c r="F40" i="77"/>
  <c r="A40" i="77" s="1"/>
  <c r="F41" i="77"/>
  <c r="A41" i="77" s="1"/>
  <c r="F42" i="77"/>
  <c r="A42" i="77" s="1"/>
  <c r="F43" i="77"/>
  <c r="A43" i="77" s="1"/>
  <c r="F44" i="77"/>
  <c r="A44" i="77" s="1"/>
  <c r="F45" i="77"/>
  <c r="A45" i="77" s="1"/>
  <c r="F46" i="77"/>
  <c r="A46" i="77" s="1"/>
  <c r="F47" i="77"/>
  <c r="A47" i="77" s="1"/>
  <c r="F48" i="77"/>
  <c r="A48" i="77" s="1"/>
  <c r="F49" i="77"/>
  <c r="A49" i="77" s="1"/>
  <c r="F50" i="77"/>
  <c r="A50" i="77" s="1"/>
  <c r="F51" i="77"/>
  <c r="A51" i="77" s="1"/>
  <c r="F52" i="77"/>
  <c r="A52" i="77" s="1"/>
  <c r="F53" i="77"/>
  <c r="A53" i="77" s="1"/>
  <c r="F54" i="77"/>
  <c r="A54" i="77" s="1"/>
  <c r="F55" i="77"/>
  <c r="A55" i="77" s="1"/>
  <c r="F56" i="77"/>
  <c r="A56" i="77" s="1"/>
  <c r="F57" i="77"/>
  <c r="A57" i="77" s="1"/>
  <c r="F58" i="77"/>
  <c r="A58" i="77" s="1"/>
  <c r="F59" i="77"/>
  <c r="A59" i="77" s="1"/>
  <c r="F60" i="77"/>
  <c r="A60" i="77" s="1"/>
  <c r="F61" i="77"/>
  <c r="A61" i="77" s="1"/>
  <c r="F62" i="77"/>
  <c r="A62" i="77" s="1"/>
  <c r="F63" i="77"/>
  <c r="A63" i="77" s="1"/>
  <c r="F64" i="77"/>
  <c r="A64" i="77" s="1"/>
  <c r="F65" i="77"/>
  <c r="A65" i="77" s="1"/>
  <c r="F66" i="77"/>
  <c r="A66" i="77" s="1"/>
  <c r="F67" i="77"/>
  <c r="A67" i="77" s="1"/>
  <c r="F68" i="77"/>
  <c r="A68" i="77" s="1"/>
  <c r="F69" i="77"/>
  <c r="A69" i="77" s="1"/>
  <c r="F70" i="77"/>
  <c r="A70" i="77" s="1"/>
  <c r="F71" i="77"/>
  <c r="A71" i="77" s="1"/>
  <c r="F72" i="77"/>
  <c r="A72" i="77" s="1"/>
  <c r="F73" i="77"/>
  <c r="A73" i="77" s="1"/>
  <c r="F74" i="77"/>
  <c r="A74" i="77" s="1"/>
  <c r="F75" i="77"/>
  <c r="A75" i="77" s="1"/>
  <c r="F76" i="77"/>
  <c r="A76" i="77" s="1"/>
  <c r="F77" i="77"/>
  <c r="A77" i="77" s="1"/>
  <c r="F78" i="77"/>
  <c r="A78" i="77" s="1"/>
  <c r="F79" i="77"/>
  <c r="A79" i="77" s="1"/>
  <c r="F80" i="77"/>
  <c r="A80" i="77" s="1"/>
  <c r="F81" i="77"/>
  <c r="A81" i="77" s="1"/>
  <c r="F82" i="77"/>
  <c r="A82" i="77" s="1"/>
  <c r="F83" i="77"/>
  <c r="A83" i="77" s="1"/>
  <c r="F84" i="77"/>
  <c r="A84" i="77" s="1"/>
  <c r="F85" i="77"/>
  <c r="A85" i="77" s="1"/>
  <c r="F86" i="77"/>
  <c r="A86" i="77" s="1"/>
  <c r="F87" i="77"/>
  <c r="A87" i="77" s="1"/>
  <c r="F88" i="77"/>
  <c r="A88" i="77" s="1"/>
  <c r="F89" i="77"/>
  <c r="A89" i="77" s="1"/>
  <c r="F90" i="77"/>
  <c r="A90" i="77" s="1"/>
  <c r="F91" i="77"/>
  <c r="A91" i="77" s="1"/>
  <c r="F92" i="77"/>
  <c r="A92" i="77" s="1"/>
  <c r="F93" i="77"/>
  <c r="A93" i="77" s="1"/>
  <c r="F94" i="77"/>
  <c r="A94" i="77" s="1"/>
  <c r="F95" i="77"/>
  <c r="A95" i="77" s="1"/>
  <c r="F96" i="77"/>
  <c r="A96" i="77" s="1"/>
  <c r="F97" i="77"/>
  <c r="A97" i="77" s="1"/>
  <c r="F98" i="77"/>
  <c r="A98" i="77" s="1"/>
  <c r="F99" i="77"/>
  <c r="A99" i="77" s="1"/>
  <c r="F100" i="77"/>
  <c r="A100" i="77" s="1"/>
  <c r="F101" i="77"/>
  <c r="A101" i="77" s="1"/>
  <c r="F102" i="77"/>
  <c r="A102" i="77" s="1"/>
  <c r="F103" i="77"/>
  <c r="A103" i="77" s="1"/>
  <c r="F104" i="77"/>
  <c r="A104" i="77" s="1"/>
  <c r="F105" i="77"/>
  <c r="A105" i="77" s="1"/>
  <c r="F106" i="77"/>
  <c r="A106" i="77" s="1"/>
  <c r="F107" i="77"/>
  <c r="A107" i="77" s="1"/>
  <c r="F108" i="77"/>
  <c r="A108" i="77" s="1"/>
  <c r="F109" i="77"/>
  <c r="A109" i="77" s="1"/>
  <c r="F110" i="77"/>
  <c r="A110" i="77" s="1"/>
  <c r="F111" i="77"/>
  <c r="A111" i="77" s="1"/>
  <c r="F112" i="77"/>
  <c r="A112" i="77" s="1"/>
  <c r="F113" i="77"/>
  <c r="A113" i="77" s="1"/>
  <c r="F114" i="77"/>
  <c r="A114" i="77" s="1"/>
  <c r="F115" i="77"/>
  <c r="A115" i="77" s="1"/>
  <c r="F116" i="77"/>
  <c r="A116" i="77" s="1"/>
  <c r="F117" i="77"/>
  <c r="A117" i="77" s="1"/>
  <c r="F118" i="77"/>
  <c r="A118" i="77" s="1"/>
  <c r="F119" i="77"/>
  <c r="A119" i="77" s="1"/>
  <c r="F120" i="77"/>
  <c r="A120" i="77" s="1"/>
  <c r="F121" i="77"/>
  <c r="A121" i="77" s="1"/>
  <c r="F122" i="77"/>
  <c r="A122" i="77" s="1"/>
  <c r="F123" i="77"/>
  <c r="A123" i="77" s="1"/>
  <c r="F124" i="77"/>
  <c r="A124" i="77" s="1"/>
  <c r="F125" i="77"/>
  <c r="A125" i="77" s="1"/>
  <c r="F126" i="77"/>
  <c r="A126" i="77" s="1"/>
  <c r="F127" i="77"/>
  <c r="A127" i="77" s="1"/>
  <c r="F128" i="77"/>
  <c r="A128" i="77" s="1"/>
  <c r="F129" i="77"/>
  <c r="A129" i="77" s="1"/>
  <c r="F130" i="77"/>
  <c r="A130" i="77" s="1"/>
  <c r="F131" i="77"/>
  <c r="A131" i="77" s="1"/>
  <c r="F132" i="77"/>
  <c r="A132" i="77" s="1"/>
  <c r="F133" i="77"/>
  <c r="A133" i="77" s="1"/>
  <c r="F134" i="77"/>
  <c r="A134" i="77" s="1"/>
  <c r="F135" i="77"/>
  <c r="A135" i="77" s="1"/>
  <c r="F136" i="77"/>
  <c r="A136" i="77" s="1"/>
  <c r="F137" i="77"/>
  <c r="A137" i="77" s="1"/>
  <c r="F138" i="77"/>
  <c r="A138" i="77" s="1"/>
  <c r="F139" i="77"/>
  <c r="A139" i="77" s="1"/>
  <c r="F140" i="77"/>
  <c r="A140" i="77" s="1"/>
  <c r="F141" i="77"/>
  <c r="A141" i="77" s="1"/>
  <c r="F142" i="77"/>
  <c r="A142" i="77" s="1"/>
  <c r="F143" i="77"/>
  <c r="A143" i="77" s="1"/>
  <c r="F144" i="77"/>
  <c r="A144" i="77" s="1"/>
  <c r="F145" i="77"/>
  <c r="A145" i="77" s="1"/>
  <c r="F146" i="77"/>
  <c r="A146" i="77" s="1"/>
  <c r="F147" i="77"/>
  <c r="A147" i="77" s="1"/>
  <c r="F148" i="77"/>
  <c r="A148" i="77" s="1"/>
  <c r="F149" i="77"/>
  <c r="A149" i="77" s="1"/>
  <c r="F150" i="77"/>
  <c r="A150" i="77" s="1"/>
  <c r="F151" i="77"/>
  <c r="A151" i="77" s="1"/>
  <c r="F152" i="77"/>
  <c r="A152" i="77" s="1"/>
  <c r="F153" i="77"/>
  <c r="A153" i="77" s="1"/>
  <c r="F154" i="77"/>
  <c r="A154" i="77" s="1"/>
  <c r="F155" i="77"/>
  <c r="A155" i="77" s="1"/>
  <c r="F156" i="77"/>
  <c r="A156" i="77" s="1"/>
  <c r="F157" i="77"/>
  <c r="A157" i="77" s="1"/>
  <c r="F158" i="77"/>
  <c r="A158" i="77" s="1"/>
  <c r="F159" i="77"/>
  <c r="A159" i="77" s="1"/>
  <c r="F160" i="77"/>
  <c r="A160" i="77" s="1"/>
  <c r="F161" i="77"/>
  <c r="A161" i="77" s="1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29" i="77"/>
  <c r="F29" i="77"/>
  <c r="A29" i="77" s="1"/>
  <c r="E30" i="77"/>
  <c r="F30" i="77"/>
  <c r="A30" i="77" s="1"/>
  <c r="E31" i="77"/>
  <c r="F31" i="77"/>
  <c r="A31" i="77" s="1"/>
  <c r="E32" i="77"/>
  <c r="F32" i="77"/>
  <c r="A32" i="77" s="1"/>
  <c r="E33" i="77"/>
  <c r="F33" i="77"/>
  <c r="A33" i="77" s="1"/>
  <c r="E34" i="77"/>
  <c r="F34" i="77"/>
  <c r="A34" i="77" s="1"/>
  <c r="E35" i="77"/>
  <c r="F35" i="77"/>
  <c r="A35" i="77" s="1"/>
  <c r="E36" i="77"/>
  <c r="F36" i="77"/>
  <c r="A36" i="77" s="1"/>
  <c r="F25" i="77"/>
  <c r="A25" i="77" s="1"/>
  <c r="G161" i="77"/>
  <c r="G160" i="77"/>
  <c r="G159" i="77"/>
  <c r="G158" i="77"/>
  <c r="G157" i="77"/>
  <c r="G156" i="77"/>
  <c r="G155" i="77"/>
  <c r="G154" i="77"/>
  <c r="G153" i="77"/>
  <c r="G152" i="77"/>
  <c r="G151" i="77"/>
  <c r="G150" i="77"/>
  <c r="G149" i="77"/>
  <c r="G148" i="77"/>
  <c r="G147" i="77"/>
  <c r="G146" i="77"/>
  <c r="G145" i="77"/>
  <c r="G144" i="77"/>
  <c r="G143" i="77"/>
  <c r="G142" i="77"/>
  <c r="G141" i="77"/>
  <c r="G140" i="77"/>
  <c r="G139" i="77"/>
  <c r="G138" i="77"/>
  <c r="G137" i="77"/>
  <c r="G136" i="77"/>
  <c r="G135" i="77"/>
  <c r="G134" i="77"/>
  <c r="G133" i="77"/>
  <c r="G132" i="77"/>
  <c r="G131" i="77"/>
  <c r="G130" i="77"/>
  <c r="G129" i="77"/>
  <c r="G128" i="77"/>
  <c r="G127" i="77"/>
  <c r="G126" i="77"/>
  <c r="G125" i="77"/>
  <c r="G124" i="77"/>
  <c r="G123" i="77"/>
  <c r="G122" i="77"/>
  <c r="G121" i="77"/>
  <c r="G120" i="77"/>
  <c r="G119" i="77"/>
  <c r="G118" i="77"/>
  <c r="G117" i="77"/>
  <c r="G116" i="77"/>
  <c r="G115" i="77"/>
  <c r="G114" i="77"/>
  <c r="G113" i="77"/>
  <c r="G112" i="77"/>
  <c r="G111" i="77"/>
  <c r="G110" i="77"/>
  <c r="G109" i="77"/>
  <c r="G108" i="77"/>
  <c r="G107" i="77"/>
  <c r="G106" i="77"/>
  <c r="G105" i="77"/>
  <c r="G104" i="77"/>
  <c r="G103" i="77"/>
  <c r="G102" i="77"/>
  <c r="G101" i="77"/>
  <c r="G100" i="77"/>
  <c r="G99" i="77"/>
  <c r="G98" i="77"/>
  <c r="G97" i="77"/>
  <c r="G96" i="77"/>
  <c r="G95" i="77"/>
  <c r="G94" i="77"/>
  <c r="G93" i="77"/>
  <c r="G92" i="77"/>
  <c r="G91" i="77"/>
  <c r="G90" i="77"/>
  <c r="G89" i="77"/>
  <c r="G88" i="77"/>
  <c r="G87" i="77"/>
  <c r="G86" i="77"/>
  <c r="G85" i="77"/>
  <c r="G84" i="77"/>
  <c r="G83" i="77"/>
  <c r="G82" i="77"/>
  <c r="G81" i="77"/>
  <c r="G80" i="77"/>
  <c r="G79" i="77"/>
  <c r="G78" i="77"/>
  <c r="G77" i="77"/>
  <c r="G76" i="77"/>
  <c r="G75" i="77"/>
  <c r="G74" i="77"/>
  <c r="G73" i="77"/>
  <c r="G72" i="77"/>
  <c r="G71" i="77"/>
  <c r="G70" i="77"/>
  <c r="G69" i="77"/>
  <c r="G68" i="77"/>
  <c r="G67" i="77"/>
  <c r="G66" i="77"/>
  <c r="G65" i="77"/>
  <c r="G64" i="77"/>
  <c r="G63" i="77"/>
  <c r="G62" i="77"/>
  <c r="G61" i="77"/>
  <c r="G60" i="77"/>
  <c r="G59" i="77"/>
  <c r="G58" i="77"/>
  <c r="G57" i="77"/>
  <c r="G56" i="77"/>
  <c r="G55" i="77"/>
  <c r="G54" i="77"/>
  <c r="G53" i="77"/>
  <c r="G52" i="77"/>
  <c r="G51" i="77"/>
  <c r="G50" i="77"/>
  <c r="G49" i="77"/>
  <c r="G48" i="77"/>
  <c r="G47" i="77"/>
  <c r="G46" i="77"/>
  <c r="G45" i="77"/>
  <c r="G44" i="77"/>
  <c r="G43" i="77"/>
  <c r="G42" i="77"/>
  <c r="G41" i="77"/>
  <c r="G40" i="77"/>
  <c r="G39" i="77"/>
  <c r="G38" i="77"/>
  <c r="G37" i="77"/>
  <c r="G36" i="77"/>
  <c r="G35" i="77"/>
  <c r="G34" i="77"/>
  <c r="G33" i="77"/>
  <c r="G32" i="77"/>
  <c r="G31" i="77"/>
  <c r="G30" i="77"/>
  <c r="G29" i="77"/>
  <c r="G28" i="77"/>
  <c r="F28" i="77"/>
  <c r="A28" i="77" s="1"/>
  <c r="E28" i="77"/>
  <c r="E27" i="77"/>
  <c r="G26" i="77"/>
  <c r="F26" i="77"/>
  <c r="A26" i="77" s="1"/>
  <c r="E26" i="77"/>
  <c r="G25" i="77"/>
  <c r="E25" i="77"/>
  <c r="G24" i="77"/>
  <c r="F24" i="77"/>
  <c r="A24" i="77" s="1"/>
  <c r="E24" i="77"/>
  <c r="G23" i="77"/>
  <c r="E23" i="77"/>
  <c r="G22" i="77"/>
  <c r="A22" i="77"/>
  <c r="E22" i="77"/>
  <c r="G21" i="77"/>
  <c r="E21" i="77"/>
  <c r="G20" i="77"/>
  <c r="A20" i="77"/>
  <c r="E20" i="77"/>
  <c r="G19" i="77"/>
  <c r="E19" i="77"/>
  <c r="G18" i="77"/>
  <c r="A18" i="77"/>
  <c r="E18" i="77"/>
  <c r="G17" i="77"/>
  <c r="E17" i="77"/>
  <c r="G16" i="77"/>
  <c r="A16" i="77"/>
  <c r="E16" i="77"/>
  <c r="G15" i="77"/>
  <c r="E15" i="77"/>
  <c r="G14" i="77"/>
  <c r="A14" i="77"/>
  <c r="E14" i="77"/>
  <c r="G13" i="77"/>
  <c r="A13" i="77"/>
  <c r="E13" i="77"/>
  <c r="G12" i="77"/>
  <c r="A12" i="77"/>
  <c r="E12" i="77"/>
  <c r="G11" i="77"/>
  <c r="F11" i="77"/>
  <c r="A11" i="77" s="1"/>
  <c r="E11" i="77"/>
  <c r="G10" i="77"/>
  <c r="F10" i="77"/>
  <c r="A10" i="77" s="1"/>
  <c r="E10" i="77"/>
  <c r="G9" i="77"/>
  <c r="F9" i="77"/>
  <c r="A9" i="77" s="1"/>
  <c r="E9" i="77"/>
  <c r="G8" i="77"/>
  <c r="F8" i="77"/>
  <c r="A8" i="77" s="1"/>
  <c r="E8" i="77"/>
  <c r="G7" i="77"/>
  <c r="F7" i="77"/>
  <c r="A7" i="77" s="1"/>
  <c r="E7" i="77"/>
  <c r="G6" i="77"/>
  <c r="F6" i="77"/>
  <c r="A6" i="77" s="1"/>
  <c r="E6" i="77"/>
  <c r="G5" i="77"/>
  <c r="F5" i="77"/>
  <c r="A5" i="77" s="1"/>
  <c r="E5" i="77"/>
  <c r="G4" i="77"/>
  <c r="F4" i="77"/>
  <c r="A4" i="77" s="1"/>
  <c r="E4" i="77"/>
  <c r="G3" i="77"/>
  <c r="F3" i="77"/>
  <c r="A3" i="77" s="1"/>
  <c r="E3" i="77"/>
  <c r="G2" i="77"/>
  <c r="F2" i="77"/>
  <c r="A2" i="77" s="1"/>
  <c r="E2" i="77"/>
  <c r="D160" i="74"/>
  <c r="E160" i="74"/>
  <c r="F160" i="74"/>
  <c r="A160" i="74" s="1"/>
  <c r="G160" i="74"/>
  <c r="D161" i="74"/>
  <c r="E161" i="74"/>
  <c r="F161" i="74"/>
  <c r="A161" i="74" s="1"/>
  <c r="G161" i="74"/>
  <c r="D162" i="74"/>
  <c r="E162" i="74"/>
  <c r="F162" i="74"/>
  <c r="A162" i="74" s="1"/>
  <c r="G162" i="74"/>
  <c r="D163" i="74"/>
  <c r="E163" i="74"/>
  <c r="F163" i="74"/>
  <c r="A163" i="74" s="1"/>
  <c r="G163" i="74"/>
  <c r="G161" i="75"/>
  <c r="F161" i="75"/>
  <c r="A161" i="75" s="1"/>
  <c r="E161" i="75"/>
  <c r="D161" i="75"/>
  <c r="G160" i="75"/>
  <c r="F160" i="75"/>
  <c r="A160" i="75" s="1"/>
  <c r="E160" i="75"/>
  <c r="D160" i="75"/>
  <c r="D29" i="75"/>
  <c r="E29" i="75"/>
  <c r="D30" i="75"/>
  <c r="E30" i="75"/>
  <c r="D31" i="75"/>
  <c r="E31" i="75"/>
  <c r="D32" i="75"/>
  <c r="E32" i="75"/>
  <c r="D33" i="75"/>
  <c r="E33" i="75"/>
  <c r="D34" i="75"/>
  <c r="E34" i="75"/>
  <c r="D35" i="75"/>
  <c r="E35" i="75"/>
  <c r="D36" i="75"/>
  <c r="E36" i="75"/>
  <c r="D37" i="75"/>
  <c r="E37" i="75"/>
  <c r="D38" i="75"/>
  <c r="E38" i="75"/>
  <c r="D39" i="75"/>
  <c r="E39" i="75"/>
  <c r="D40" i="75"/>
  <c r="E40" i="75"/>
  <c r="D41" i="75"/>
  <c r="E41" i="75"/>
  <c r="D42" i="75"/>
  <c r="E42" i="75"/>
  <c r="D43" i="75"/>
  <c r="E43" i="75"/>
  <c r="D44" i="75"/>
  <c r="E44" i="75"/>
  <c r="D45" i="75"/>
  <c r="E45" i="75"/>
  <c r="D46" i="75"/>
  <c r="E46" i="75"/>
  <c r="D47" i="75"/>
  <c r="E47" i="75"/>
  <c r="D48" i="75"/>
  <c r="E48" i="75"/>
  <c r="D49" i="75"/>
  <c r="E49" i="75"/>
  <c r="D50" i="75"/>
  <c r="E50" i="75"/>
  <c r="D51" i="75"/>
  <c r="E51" i="75"/>
  <c r="D52" i="75"/>
  <c r="E52" i="75"/>
  <c r="D53" i="75"/>
  <c r="E53" i="75"/>
  <c r="D54" i="75"/>
  <c r="E54" i="75"/>
  <c r="D55" i="75"/>
  <c r="E55" i="75"/>
  <c r="D56" i="75"/>
  <c r="E56" i="75"/>
  <c r="D57" i="75"/>
  <c r="E57" i="75"/>
  <c r="D58" i="75"/>
  <c r="E58" i="75"/>
  <c r="D59" i="75"/>
  <c r="E59" i="75"/>
  <c r="D60" i="75"/>
  <c r="E60" i="75"/>
  <c r="D61" i="75"/>
  <c r="E61" i="75"/>
  <c r="D62" i="75"/>
  <c r="E62" i="75"/>
  <c r="D63" i="75"/>
  <c r="E63" i="75"/>
  <c r="D64" i="75"/>
  <c r="E64" i="75"/>
  <c r="D65" i="75"/>
  <c r="E65" i="75"/>
  <c r="D66" i="75"/>
  <c r="E66" i="75"/>
  <c r="D67" i="75"/>
  <c r="E67" i="75"/>
  <c r="D68" i="75"/>
  <c r="E68" i="75"/>
  <c r="D69" i="75"/>
  <c r="E69" i="75"/>
  <c r="D70" i="75"/>
  <c r="E70" i="75"/>
  <c r="D71" i="75"/>
  <c r="E71" i="75"/>
  <c r="D72" i="75"/>
  <c r="E72" i="75"/>
  <c r="D73" i="75"/>
  <c r="E73" i="75"/>
  <c r="D74" i="75"/>
  <c r="E74" i="75"/>
  <c r="D75" i="75"/>
  <c r="E75" i="75"/>
  <c r="D76" i="75"/>
  <c r="E76" i="75"/>
  <c r="D77" i="75"/>
  <c r="E77" i="75"/>
  <c r="D78" i="75"/>
  <c r="E78" i="75"/>
  <c r="D79" i="75"/>
  <c r="E79" i="75"/>
  <c r="D80" i="75"/>
  <c r="E80" i="75"/>
  <c r="D81" i="75"/>
  <c r="E81" i="75"/>
  <c r="D82" i="75"/>
  <c r="E82" i="75"/>
  <c r="D83" i="75"/>
  <c r="E83" i="75"/>
  <c r="D84" i="75"/>
  <c r="E84" i="75"/>
  <c r="D85" i="75"/>
  <c r="E85" i="75"/>
  <c r="D86" i="75"/>
  <c r="E86" i="75"/>
  <c r="D87" i="75"/>
  <c r="E87" i="75"/>
  <c r="D88" i="75"/>
  <c r="E88" i="75"/>
  <c r="D89" i="75"/>
  <c r="E89" i="75"/>
  <c r="D90" i="75"/>
  <c r="E90" i="75"/>
  <c r="D91" i="75"/>
  <c r="E91" i="75"/>
  <c r="D92" i="75"/>
  <c r="E92" i="75"/>
  <c r="D93" i="75"/>
  <c r="E93" i="75"/>
  <c r="D94" i="75"/>
  <c r="E94" i="75"/>
  <c r="D95" i="75"/>
  <c r="E95" i="75"/>
  <c r="D96" i="75"/>
  <c r="E96" i="75"/>
  <c r="D97" i="75"/>
  <c r="E97" i="75"/>
  <c r="D98" i="75"/>
  <c r="E98" i="75"/>
  <c r="D99" i="75"/>
  <c r="E99" i="75"/>
  <c r="D100" i="75"/>
  <c r="E100" i="75"/>
  <c r="D101" i="75"/>
  <c r="E101" i="75"/>
  <c r="D102" i="75"/>
  <c r="E102" i="75"/>
  <c r="D103" i="75"/>
  <c r="E103" i="75"/>
  <c r="D104" i="75"/>
  <c r="E104" i="75"/>
  <c r="D105" i="75"/>
  <c r="E105" i="75"/>
  <c r="D106" i="75"/>
  <c r="E106" i="75"/>
  <c r="D107" i="75"/>
  <c r="E107" i="75"/>
  <c r="D108" i="75"/>
  <c r="E108" i="75"/>
  <c r="D109" i="75"/>
  <c r="E109" i="75"/>
  <c r="D110" i="75"/>
  <c r="E110" i="75"/>
  <c r="D111" i="75"/>
  <c r="E111" i="75"/>
  <c r="D112" i="75"/>
  <c r="E112" i="75"/>
  <c r="D113" i="75"/>
  <c r="E113" i="75"/>
  <c r="D114" i="75"/>
  <c r="E114" i="75"/>
  <c r="D115" i="75"/>
  <c r="E115" i="75"/>
  <c r="D116" i="75"/>
  <c r="E116" i="75"/>
  <c r="D117" i="75"/>
  <c r="E117" i="75"/>
  <c r="D118" i="75"/>
  <c r="E118" i="75"/>
  <c r="D119" i="75"/>
  <c r="E119" i="75"/>
  <c r="D120" i="75"/>
  <c r="E120" i="75"/>
  <c r="D121" i="75"/>
  <c r="E121" i="75"/>
  <c r="D122" i="75"/>
  <c r="E122" i="75"/>
  <c r="D123" i="75"/>
  <c r="E123" i="75"/>
  <c r="D124" i="75"/>
  <c r="E124" i="75"/>
  <c r="D125" i="75"/>
  <c r="E125" i="75"/>
  <c r="D126" i="75"/>
  <c r="E126" i="75"/>
  <c r="D127" i="75"/>
  <c r="E127" i="75"/>
  <c r="D128" i="75"/>
  <c r="E128" i="75"/>
  <c r="D129" i="75"/>
  <c r="E129" i="75"/>
  <c r="D130" i="75"/>
  <c r="E130" i="75"/>
  <c r="D131" i="75"/>
  <c r="E131" i="75"/>
  <c r="D132" i="75"/>
  <c r="E132" i="75"/>
  <c r="D133" i="75"/>
  <c r="E133" i="75"/>
  <c r="D134" i="75"/>
  <c r="E134" i="75"/>
  <c r="D135" i="75"/>
  <c r="E135" i="75"/>
  <c r="D136" i="75"/>
  <c r="E136" i="75"/>
  <c r="D137" i="75"/>
  <c r="E137" i="75"/>
  <c r="D138" i="75"/>
  <c r="E138" i="75"/>
  <c r="D139" i="75"/>
  <c r="E139" i="75"/>
  <c r="D140" i="75"/>
  <c r="E140" i="75"/>
  <c r="D141" i="75"/>
  <c r="E141" i="75"/>
  <c r="D142" i="75"/>
  <c r="E142" i="75"/>
  <c r="E143" i="75"/>
  <c r="D144" i="75"/>
  <c r="E144" i="75"/>
  <c r="D145" i="75"/>
  <c r="E145" i="75"/>
  <c r="D146" i="75"/>
  <c r="E146" i="75"/>
  <c r="D147" i="75"/>
  <c r="E147" i="75"/>
  <c r="D148" i="75"/>
  <c r="E148" i="75"/>
  <c r="D149" i="75"/>
  <c r="E149" i="75"/>
  <c r="D150" i="75"/>
  <c r="E150" i="75"/>
  <c r="D151" i="75"/>
  <c r="E151" i="75"/>
  <c r="D152" i="75"/>
  <c r="E152" i="75"/>
  <c r="D153" i="75"/>
  <c r="E153" i="75"/>
  <c r="D154" i="75"/>
  <c r="E154" i="75"/>
  <c r="D155" i="75"/>
  <c r="E155" i="75"/>
  <c r="D156" i="75"/>
  <c r="E156" i="75"/>
  <c r="D157" i="75"/>
  <c r="E157" i="75"/>
  <c r="D158" i="75"/>
  <c r="E158" i="75"/>
  <c r="D159" i="75"/>
  <c r="E159" i="75"/>
  <c r="E27" i="75"/>
  <c r="G159" i="75"/>
  <c r="F159" i="75"/>
  <c r="A159" i="75" s="1"/>
  <c r="G158" i="75"/>
  <c r="F158" i="75"/>
  <c r="A158" i="75" s="1"/>
  <c r="G157" i="75"/>
  <c r="F157" i="75"/>
  <c r="A157" i="75" s="1"/>
  <c r="G156" i="75"/>
  <c r="F156" i="75"/>
  <c r="A156" i="75"/>
  <c r="G155" i="75"/>
  <c r="F155" i="75"/>
  <c r="A155" i="75" s="1"/>
  <c r="G154" i="75"/>
  <c r="F154" i="75"/>
  <c r="A154" i="75" s="1"/>
  <c r="G153" i="75"/>
  <c r="F153" i="75"/>
  <c r="A153" i="75" s="1"/>
  <c r="G152" i="75"/>
  <c r="F152" i="75"/>
  <c r="A152" i="75" s="1"/>
  <c r="G151" i="75"/>
  <c r="F151" i="75"/>
  <c r="A151" i="75" s="1"/>
  <c r="G150" i="75"/>
  <c r="F150" i="75"/>
  <c r="A150" i="75" s="1"/>
  <c r="G149" i="75"/>
  <c r="F149" i="75"/>
  <c r="A149" i="75" s="1"/>
  <c r="G148" i="75"/>
  <c r="F148" i="75"/>
  <c r="A148" i="75" s="1"/>
  <c r="G147" i="75"/>
  <c r="F147" i="75"/>
  <c r="A147" i="75"/>
  <c r="G146" i="75"/>
  <c r="F146" i="75"/>
  <c r="A146" i="75" s="1"/>
  <c r="G145" i="75"/>
  <c r="F145" i="75"/>
  <c r="A145" i="75" s="1"/>
  <c r="G144" i="75"/>
  <c r="F144" i="75"/>
  <c r="A144" i="75" s="1"/>
  <c r="G143" i="75"/>
  <c r="F143" i="75"/>
  <c r="A143" i="75" s="1"/>
  <c r="G142" i="75"/>
  <c r="F142" i="75"/>
  <c r="A142" i="75" s="1"/>
  <c r="G141" i="75"/>
  <c r="F141" i="75"/>
  <c r="A141" i="75"/>
  <c r="G140" i="75"/>
  <c r="F140" i="75"/>
  <c r="A140" i="75" s="1"/>
  <c r="G139" i="75"/>
  <c r="F139" i="75"/>
  <c r="A139" i="75" s="1"/>
  <c r="G138" i="75"/>
  <c r="F138" i="75"/>
  <c r="A138" i="75" s="1"/>
  <c r="G137" i="75"/>
  <c r="F137" i="75"/>
  <c r="A137" i="75" s="1"/>
  <c r="G136" i="75"/>
  <c r="F136" i="75"/>
  <c r="A136" i="75" s="1"/>
  <c r="G135" i="75"/>
  <c r="F135" i="75"/>
  <c r="A135" i="75" s="1"/>
  <c r="G134" i="75"/>
  <c r="F134" i="75"/>
  <c r="A134" i="75" s="1"/>
  <c r="G133" i="75"/>
  <c r="F133" i="75"/>
  <c r="A133" i="75" s="1"/>
  <c r="G132" i="75"/>
  <c r="F132" i="75"/>
  <c r="A132" i="75"/>
  <c r="G131" i="75"/>
  <c r="F131" i="75"/>
  <c r="A131" i="75" s="1"/>
  <c r="G130" i="75"/>
  <c r="F130" i="75"/>
  <c r="A130" i="75" s="1"/>
  <c r="G129" i="75"/>
  <c r="F129" i="75"/>
  <c r="A129" i="75" s="1"/>
  <c r="G128" i="75"/>
  <c r="F128" i="75"/>
  <c r="A128" i="75" s="1"/>
  <c r="G127" i="75"/>
  <c r="F127" i="75"/>
  <c r="A127" i="75" s="1"/>
  <c r="G126" i="75"/>
  <c r="F126" i="75"/>
  <c r="A126" i="75" s="1"/>
  <c r="G125" i="75"/>
  <c r="F125" i="75"/>
  <c r="A125" i="75" s="1"/>
  <c r="G124" i="75"/>
  <c r="F124" i="75"/>
  <c r="A124" i="75" s="1"/>
  <c r="G123" i="75"/>
  <c r="F123" i="75"/>
  <c r="A123" i="75" s="1"/>
  <c r="G122" i="75"/>
  <c r="F122" i="75"/>
  <c r="A122" i="75" s="1"/>
  <c r="G121" i="75"/>
  <c r="F121" i="75"/>
  <c r="A121" i="75"/>
  <c r="G120" i="75"/>
  <c r="F120" i="75"/>
  <c r="A120" i="75" s="1"/>
  <c r="G119" i="75"/>
  <c r="F119" i="75"/>
  <c r="A119" i="75" s="1"/>
  <c r="G118" i="75"/>
  <c r="F118" i="75"/>
  <c r="A118" i="75" s="1"/>
  <c r="G117" i="75"/>
  <c r="F117" i="75"/>
  <c r="A117" i="75" s="1"/>
  <c r="G116" i="75"/>
  <c r="F116" i="75"/>
  <c r="A116" i="75" s="1"/>
  <c r="G115" i="75"/>
  <c r="F115" i="75"/>
  <c r="A115" i="75" s="1"/>
  <c r="G114" i="75"/>
  <c r="F114" i="75"/>
  <c r="A114" i="75"/>
  <c r="G113" i="75"/>
  <c r="F113" i="75"/>
  <c r="A113" i="75" s="1"/>
  <c r="G112" i="75"/>
  <c r="F112" i="75"/>
  <c r="A112" i="75" s="1"/>
  <c r="G111" i="75"/>
  <c r="F111" i="75"/>
  <c r="A111" i="75" s="1"/>
  <c r="G110" i="75"/>
  <c r="F110" i="75"/>
  <c r="A110" i="75" s="1"/>
  <c r="G109" i="75"/>
  <c r="F109" i="75"/>
  <c r="A109" i="75" s="1"/>
  <c r="G108" i="75"/>
  <c r="F108" i="75"/>
  <c r="A108" i="75" s="1"/>
  <c r="G107" i="75"/>
  <c r="F107" i="75"/>
  <c r="A107" i="75"/>
  <c r="G106" i="75"/>
  <c r="F106" i="75"/>
  <c r="A106" i="75" s="1"/>
  <c r="G105" i="75"/>
  <c r="F105" i="75"/>
  <c r="A105" i="75" s="1"/>
  <c r="G104" i="75"/>
  <c r="F104" i="75"/>
  <c r="A104" i="75" s="1"/>
  <c r="G103" i="75"/>
  <c r="F103" i="75"/>
  <c r="A103" i="75" s="1"/>
  <c r="G102" i="75"/>
  <c r="F102" i="75"/>
  <c r="A102" i="75" s="1"/>
  <c r="G101" i="75"/>
  <c r="F101" i="75"/>
  <c r="A101" i="75" s="1"/>
  <c r="G100" i="75"/>
  <c r="F100" i="75"/>
  <c r="A100" i="75" s="1"/>
  <c r="G99" i="75"/>
  <c r="F99" i="75"/>
  <c r="A99" i="75" s="1"/>
  <c r="G98" i="75"/>
  <c r="F98" i="75"/>
  <c r="A98" i="75" s="1"/>
  <c r="G97" i="75"/>
  <c r="F97" i="75"/>
  <c r="A97" i="75" s="1"/>
  <c r="G96" i="75"/>
  <c r="F96" i="75"/>
  <c r="A96" i="75"/>
  <c r="G95" i="75"/>
  <c r="F95" i="75"/>
  <c r="A95" i="75" s="1"/>
  <c r="G94" i="75"/>
  <c r="F94" i="75"/>
  <c r="A94" i="75" s="1"/>
  <c r="G93" i="75"/>
  <c r="F93" i="75"/>
  <c r="A93" i="75" s="1"/>
  <c r="G92" i="75"/>
  <c r="F92" i="75"/>
  <c r="A92" i="75" s="1"/>
  <c r="G91" i="75"/>
  <c r="F91" i="75"/>
  <c r="A91" i="75" s="1"/>
  <c r="G90" i="75"/>
  <c r="F90" i="75"/>
  <c r="A90" i="75" s="1"/>
  <c r="G89" i="75"/>
  <c r="F89" i="75"/>
  <c r="A89" i="75" s="1"/>
  <c r="G88" i="75"/>
  <c r="F88" i="75"/>
  <c r="A88" i="75" s="1"/>
  <c r="G87" i="75"/>
  <c r="F87" i="75"/>
  <c r="A87" i="75" s="1"/>
  <c r="G86" i="75"/>
  <c r="F86" i="75"/>
  <c r="A86" i="75" s="1"/>
  <c r="G85" i="75"/>
  <c r="F85" i="75"/>
  <c r="A85" i="75" s="1"/>
  <c r="G84" i="75"/>
  <c r="F84" i="75"/>
  <c r="A84" i="75" s="1"/>
  <c r="G83" i="75"/>
  <c r="F83" i="75"/>
  <c r="A83" i="75" s="1"/>
  <c r="G82" i="75"/>
  <c r="F82" i="75"/>
  <c r="A82" i="75" s="1"/>
  <c r="G81" i="75"/>
  <c r="F81" i="75"/>
  <c r="A81" i="75" s="1"/>
  <c r="G80" i="75"/>
  <c r="F80" i="75"/>
  <c r="A80" i="75" s="1"/>
  <c r="G79" i="75"/>
  <c r="F79" i="75"/>
  <c r="A79" i="75"/>
  <c r="G78" i="75"/>
  <c r="F78" i="75"/>
  <c r="A78" i="75" s="1"/>
  <c r="G77" i="75"/>
  <c r="F77" i="75"/>
  <c r="A77" i="75" s="1"/>
  <c r="G76" i="75"/>
  <c r="F76" i="75"/>
  <c r="A76" i="75" s="1"/>
  <c r="G75" i="75"/>
  <c r="F75" i="75"/>
  <c r="A75" i="75"/>
  <c r="G74" i="75"/>
  <c r="F74" i="75"/>
  <c r="A74" i="75" s="1"/>
  <c r="G73" i="75"/>
  <c r="F73" i="75"/>
  <c r="A73" i="75" s="1"/>
  <c r="G72" i="75"/>
  <c r="F72" i="75"/>
  <c r="A72" i="75" s="1"/>
  <c r="G71" i="75"/>
  <c r="F71" i="75"/>
  <c r="A71" i="75" s="1"/>
  <c r="G70" i="75"/>
  <c r="F70" i="75"/>
  <c r="A70" i="75" s="1"/>
  <c r="G69" i="75"/>
  <c r="F69" i="75"/>
  <c r="A69" i="75"/>
  <c r="G68" i="75"/>
  <c r="F68" i="75"/>
  <c r="A68" i="75" s="1"/>
  <c r="G67" i="75"/>
  <c r="F67" i="75"/>
  <c r="A67" i="75" s="1"/>
  <c r="G66" i="75"/>
  <c r="F66" i="75"/>
  <c r="A66" i="75" s="1"/>
  <c r="G65" i="75"/>
  <c r="F65" i="75"/>
  <c r="A65" i="75" s="1"/>
  <c r="G64" i="75"/>
  <c r="F64" i="75"/>
  <c r="A64" i="75" s="1"/>
  <c r="G63" i="75"/>
  <c r="F63" i="75"/>
  <c r="A63" i="75"/>
  <c r="G62" i="75"/>
  <c r="F62" i="75"/>
  <c r="A62" i="75" s="1"/>
  <c r="G61" i="75"/>
  <c r="F61" i="75"/>
  <c r="A61" i="75"/>
  <c r="G60" i="75"/>
  <c r="F60" i="75"/>
  <c r="A60" i="75" s="1"/>
  <c r="G59" i="75"/>
  <c r="F59" i="75"/>
  <c r="A59" i="75" s="1"/>
  <c r="G58" i="75"/>
  <c r="F58" i="75"/>
  <c r="A58" i="75" s="1"/>
  <c r="G57" i="75"/>
  <c r="F57" i="75"/>
  <c r="A57" i="75"/>
  <c r="G56" i="75"/>
  <c r="F56" i="75"/>
  <c r="A56" i="75" s="1"/>
  <c r="G55" i="75"/>
  <c r="F55" i="75"/>
  <c r="A55" i="75" s="1"/>
  <c r="G54" i="75"/>
  <c r="F54" i="75"/>
  <c r="A54" i="75" s="1"/>
  <c r="G53" i="75"/>
  <c r="F53" i="75"/>
  <c r="A53" i="75" s="1"/>
  <c r="G52" i="75"/>
  <c r="F52" i="75"/>
  <c r="A52" i="75" s="1"/>
  <c r="G51" i="75"/>
  <c r="F51" i="75"/>
  <c r="A51" i="75" s="1"/>
  <c r="G50" i="75"/>
  <c r="F50" i="75"/>
  <c r="A50" i="75"/>
  <c r="G49" i="75"/>
  <c r="F49" i="75"/>
  <c r="A49" i="75" s="1"/>
  <c r="G48" i="75"/>
  <c r="F48" i="75"/>
  <c r="A48" i="75" s="1"/>
  <c r="G47" i="75"/>
  <c r="F47" i="75"/>
  <c r="A47" i="75" s="1"/>
  <c r="G46" i="75"/>
  <c r="F46" i="75"/>
  <c r="A46" i="75" s="1"/>
  <c r="G45" i="75"/>
  <c r="F45" i="75"/>
  <c r="A45" i="75" s="1"/>
  <c r="G44" i="75"/>
  <c r="F44" i="75"/>
  <c r="A44" i="75"/>
  <c r="G43" i="75"/>
  <c r="F43" i="75"/>
  <c r="A43" i="75" s="1"/>
  <c r="G42" i="75"/>
  <c r="F42" i="75"/>
  <c r="A42" i="75" s="1"/>
  <c r="G41" i="75"/>
  <c r="F41" i="75"/>
  <c r="A41" i="75" s="1"/>
  <c r="G40" i="75"/>
  <c r="F40" i="75"/>
  <c r="A40" i="75" s="1"/>
  <c r="G39" i="75"/>
  <c r="F39" i="75"/>
  <c r="A39" i="75" s="1"/>
  <c r="G38" i="75"/>
  <c r="F38" i="75"/>
  <c r="A38" i="75" s="1"/>
  <c r="G37" i="75"/>
  <c r="F37" i="75"/>
  <c r="A37" i="75"/>
  <c r="G36" i="75"/>
  <c r="F36" i="75"/>
  <c r="A36" i="75" s="1"/>
  <c r="G35" i="75"/>
  <c r="F35" i="75"/>
  <c r="A35" i="75" s="1"/>
  <c r="G34" i="75"/>
  <c r="F34" i="75"/>
  <c r="A34" i="75" s="1"/>
  <c r="G33" i="75"/>
  <c r="F33" i="75"/>
  <c r="A33" i="75" s="1"/>
  <c r="G32" i="75"/>
  <c r="F32" i="75"/>
  <c r="A32" i="75" s="1"/>
  <c r="G31" i="75"/>
  <c r="F31" i="75"/>
  <c r="A31" i="75" s="1"/>
  <c r="G30" i="75"/>
  <c r="F30" i="75"/>
  <c r="A30" i="75" s="1"/>
  <c r="G29" i="75"/>
  <c r="F29" i="75"/>
  <c r="A29" i="75" s="1"/>
  <c r="G28" i="75"/>
  <c r="F28" i="75"/>
  <c r="A28" i="75" s="1"/>
  <c r="E28" i="75"/>
  <c r="D28" i="75"/>
  <c r="G26" i="75"/>
  <c r="F26" i="75"/>
  <c r="A26" i="75" s="1"/>
  <c r="E26" i="75"/>
  <c r="G25" i="75"/>
  <c r="F25" i="75"/>
  <c r="E25" i="75"/>
  <c r="A25" i="75"/>
  <c r="G24" i="75"/>
  <c r="F24" i="75"/>
  <c r="A24" i="75" s="1"/>
  <c r="E24" i="75"/>
  <c r="G23" i="75"/>
  <c r="E23" i="75"/>
  <c r="G22" i="75"/>
  <c r="E22" i="75"/>
  <c r="A22" i="75"/>
  <c r="G21" i="75"/>
  <c r="E21" i="75"/>
  <c r="A21" i="75"/>
  <c r="G20" i="75"/>
  <c r="A20" i="75"/>
  <c r="E20" i="75"/>
  <c r="G19" i="75"/>
  <c r="E19" i="75"/>
  <c r="A19" i="75"/>
  <c r="G18" i="75"/>
  <c r="E18" i="75"/>
  <c r="A18" i="75"/>
  <c r="G17" i="75"/>
  <c r="E17" i="75"/>
  <c r="A17" i="75"/>
  <c r="G16" i="75"/>
  <c r="E16" i="75"/>
  <c r="A16" i="75"/>
  <c r="G15" i="75"/>
  <c r="E15" i="75"/>
  <c r="A15" i="75"/>
  <c r="G14" i="75"/>
  <c r="E14" i="75"/>
  <c r="A14" i="75"/>
  <c r="G13" i="75"/>
  <c r="A13" i="75"/>
  <c r="E13" i="75"/>
  <c r="G12" i="75"/>
  <c r="E12" i="75"/>
  <c r="G11" i="75"/>
  <c r="F11" i="75"/>
  <c r="A11" i="75" s="1"/>
  <c r="E11" i="75"/>
  <c r="G10" i="75"/>
  <c r="F10" i="75"/>
  <c r="E10" i="75"/>
  <c r="A10" i="75"/>
  <c r="G9" i="75"/>
  <c r="F9" i="75"/>
  <c r="E9" i="75"/>
  <c r="A9" i="75"/>
  <c r="G8" i="75"/>
  <c r="F8" i="75"/>
  <c r="A8" i="75" s="1"/>
  <c r="E8" i="75"/>
  <c r="G7" i="75"/>
  <c r="F7" i="75"/>
  <c r="A7" i="75" s="1"/>
  <c r="E7" i="75"/>
  <c r="G6" i="75"/>
  <c r="F6" i="75"/>
  <c r="A6" i="75" s="1"/>
  <c r="E6" i="75"/>
  <c r="G5" i="75"/>
  <c r="F5" i="75"/>
  <c r="A5" i="75" s="1"/>
  <c r="E5" i="75"/>
  <c r="G4" i="75"/>
  <c r="F4" i="75"/>
  <c r="E4" i="75"/>
  <c r="A4" i="75"/>
  <c r="G3" i="75"/>
  <c r="F3" i="75"/>
  <c r="E3" i="75"/>
  <c r="A3" i="75"/>
  <c r="G2" i="75"/>
  <c r="F2" i="75"/>
  <c r="A2" i="75" s="1"/>
  <c r="E2" i="75"/>
  <c r="D26" i="73"/>
  <c r="D27" i="73"/>
  <c r="D28" i="73"/>
  <c r="D29" i="73"/>
  <c r="D30" i="73"/>
  <c r="D31" i="73"/>
  <c r="D32" i="73"/>
  <c r="D33" i="73"/>
  <c r="D34" i="73"/>
  <c r="D35" i="73"/>
  <c r="D36" i="73"/>
  <c r="D37" i="73"/>
  <c r="D38" i="73"/>
  <c r="D39" i="73"/>
  <c r="D40" i="73"/>
  <c r="D41" i="73"/>
  <c r="D42" i="73"/>
  <c r="D43" i="73"/>
  <c r="D44" i="73"/>
  <c r="D45" i="73"/>
  <c r="D46" i="73"/>
  <c r="D47" i="73"/>
  <c r="D48" i="73"/>
  <c r="D49" i="73"/>
  <c r="D50" i="73"/>
  <c r="D51" i="73"/>
  <c r="D52" i="73"/>
  <c r="D53" i="73"/>
  <c r="D54" i="73"/>
  <c r="D55" i="73"/>
  <c r="D56" i="73"/>
  <c r="D57" i="73"/>
  <c r="D58" i="73"/>
  <c r="D59" i="73"/>
  <c r="D60" i="73"/>
  <c r="D61" i="73"/>
  <c r="D62" i="73"/>
  <c r="D63" i="73"/>
  <c r="D64" i="73"/>
  <c r="D65" i="73"/>
  <c r="D66" i="73"/>
  <c r="D67" i="73"/>
  <c r="D68" i="73"/>
  <c r="D69" i="73"/>
  <c r="D70" i="73"/>
  <c r="D71" i="73"/>
  <c r="D72" i="73"/>
  <c r="D73" i="73"/>
  <c r="D74" i="73"/>
  <c r="D75" i="73"/>
  <c r="D76" i="73"/>
  <c r="D77" i="73"/>
  <c r="D78" i="73"/>
  <c r="D79" i="73"/>
  <c r="D80" i="73"/>
  <c r="D81" i="73"/>
  <c r="D82" i="73"/>
  <c r="D83" i="73"/>
  <c r="D84" i="73"/>
  <c r="D85" i="73"/>
  <c r="D86" i="73"/>
  <c r="D87" i="73"/>
  <c r="D88" i="73"/>
  <c r="D89" i="73"/>
  <c r="D90" i="73"/>
  <c r="D91" i="73"/>
  <c r="D92" i="73"/>
  <c r="D93" i="73"/>
  <c r="D94" i="73"/>
  <c r="D95" i="73"/>
  <c r="D96" i="73"/>
  <c r="D97" i="73"/>
  <c r="D98" i="73"/>
  <c r="D99" i="73"/>
  <c r="D100" i="73"/>
  <c r="D101" i="73"/>
  <c r="D102" i="73"/>
  <c r="D103" i="73"/>
  <c r="D104" i="73"/>
  <c r="D105" i="73"/>
  <c r="D106" i="73"/>
  <c r="D107" i="73"/>
  <c r="D108" i="73"/>
  <c r="D109" i="73"/>
  <c r="D110" i="73"/>
  <c r="D111" i="73"/>
  <c r="D112" i="73"/>
  <c r="D113" i="73"/>
  <c r="D114" i="73"/>
  <c r="D115" i="73"/>
  <c r="D116" i="73"/>
  <c r="D117" i="73"/>
  <c r="D118" i="73"/>
  <c r="D119" i="73"/>
  <c r="D120" i="73"/>
  <c r="D121" i="73"/>
  <c r="D122" i="73"/>
  <c r="D123" i="73"/>
  <c r="D124" i="73"/>
  <c r="D125" i="73"/>
  <c r="D126" i="73"/>
  <c r="D127" i="73"/>
  <c r="D128" i="73"/>
  <c r="D129" i="73"/>
  <c r="D130" i="73"/>
  <c r="D131" i="73"/>
  <c r="D132" i="73"/>
  <c r="D133" i="73"/>
  <c r="D134" i="73"/>
  <c r="D135" i="73"/>
  <c r="D136" i="73"/>
  <c r="D137" i="73"/>
  <c r="D138" i="73"/>
  <c r="D139" i="73"/>
  <c r="D140" i="73"/>
  <c r="D141" i="73"/>
  <c r="D142" i="73"/>
  <c r="D143" i="73"/>
  <c r="D144" i="73"/>
  <c r="D145" i="73"/>
  <c r="D146" i="73"/>
  <c r="D147" i="73"/>
  <c r="D148" i="73"/>
  <c r="D149" i="73"/>
  <c r="D150" i="73"/>
  <c r="D151" i="73"/>
  <c r="D152" i="73"/>
  <c r="D153" i="73"/>
  <c r="D154" i="73"/>
  <c r="D155" i="73"/>
  <c r="D156" i="73"/>
  <c r="D157" i="73"/>
  <c r="D27" i="72"/>
  <c r="D28" i="72"/>
  <c r="D29" i="72"/>
  <c r="D30" i="72"/>
  <c r="D31" i="72"/>
  <c r="D32" i="72"/>
  <c r="D33" i="72"/>
  <c r="D34" i="72"/>
  <c r="D35" i="72"/>
  <c r="D36" i="72"/>
  <c r="D37" i="72"/>
  <c r="D38" i="72"/>
  <c r="D39" i="72"/>
  <c r="D40" i="72"/>
  <c r="D41" i="72"/>
  <c r="D42" i="72"/>
  <c r="D43" i="72"/>
  <c r="D44" i="72"/>
  <c r="D45" i="72"/>
  <c r="D46" i="72"/>
  <c r="D47" i="72"/>
  <c r="D48" i="72"/>
  <c r="D49" i="72"/>
  <c r="D50" i="72"/>
  <c r="D51" i="72"/>
  <c r="D52" i="72"/>
  <c r="D53" i="72"/>
  <c r="D54" i="72"/>
  <c r="D55" i="72"/>
  <c r="D56" i="72"/>
  <c r="D57" i="72"/>
  <c r="D58" i="72"/>
  <c r="D59" i="72"/>
  <c r="D60" i="72"/>
  <c r="D61" i="72"/>
  <c r="D62" i="72"/>
  <c r="D63" i="72"/>
  <c r="D64" i="72"/>
  <c r="D65" i="72"/>
  <c r="D66" i="72"/>
  <c r="D67" i="72"/>
  <c r="D68" i="72"/>
  <c r="D69" i="72"/>
  <c r="D70" i="72"/>
  <c r="D71" i="72"/>
  <c r="D72" i="72"/>
  <c r="D73" i="72"/>
  <c r="D74" i="72"/>
  <c r="D75" i="72"/>
  <c r="D76" i="72"/>
  <c r="D77" i="72"/>
  <c r="D78" i="72"/>
  <c r="D79" i="72"/>
  <c r="D80" i="72"/>
  <c r="D81" i="72"/>
  <c r="D82" i="72"/>
  <c r="D83" i="72"/>
  <c r="D84" i="72"/>
  <c r="D85" i="72"/>
  <c r="D86" i="72"/>
  <c r="D87" i="72"/>
  <c r="D88" i="72"/>
  <c r="D89" i="72"/>
  <c r="D90" i="72"/>
  <c r="D91" i="72"/>
  <c r="D92" i="72"/>
  <c r="D93" i="72"/>
  <c r="D94" i="72"/>
  <c r="D95" i="72"/>
  <c r="D96" i="72"/>
  <c r="D97" i="72"/>
  <c r="D98" i="72"/>
  <c r="D99" i="72"/>
  <c r="D100" i="72"/>
  <c r="D101" i="72"/>
  <c r="D102" i="72"/>
  <c r="D103" i="72"/>
  <c r="D104" i="72"/>
  <c r="D105" i="72"/>
  <c r="D106" i="72"/>
  <c r="D107" i="72"/>
  <c r="D108" i="72"/>
  <c r="D109" i="72"/>
  <c r="D110" i="72"/>
  <c r="D111" i="72"/>
  <c r="D112" i="72"/>
  <c r="D113" i="72"/>
  <c r="D114" i="72"/>
  <c r="D115" i="72"/>
  <c r="D116" i="72"/>
  <c r="D117" i="72"/>
  <c r="D118" i="72"/>
  <c r="D119" i="72"/>
  <c r="D120" i="72"/>
  <c r="D121" i="72"/>
  <c r="D122" i="72"/>
  <c r="D123" i="72"/>
  <c r="D124" i="72"/>
  <c r="D125" i="72"/>
  <c r="D126" i="72"/>
  <c r="D127" i="72"/>
  <c r="D128" i="72"/>
  <c r="D129" i="72"/>
  <c r="D130" i="72"/>
  <c r="D131" i="72"/>
  <c r="D132" i="72"/>
  <c r="D133" i="72"/>
  <c r="D134" i="72"/>
  <c r="D135" i="72"/>
  <c r="D136" i="72"/>
  <c r="D137" i="72"/>
  <c r="D138" i="72"/>
  <c r="D139" i="72"/>
  <c r="D140" i="72"/>
  <c r="D141" i="72"/>
  <c r="D142" i="72"/>
  <c r="D143" i="72"/>
  <c r="D144" i="72"/>
  <c r="D145" i="72"/>
  <c r="D146" i="72"/>
  <c r="D147" i="72"/>
  <c r="D148" i="72"/>
  <c r="D149" i="72"/>
  <c r="D150" i="72"/>
  <c r="D151" i="72"/>
  <c r="D152" i="72"/>
  <c r="D153" i="72"/>
  <c r="G27" i="72" l="1"/>
  <c r="F27" i="72"/>
  <c r="A27" i="72" s="1"/>
  <c r="E27" i="72"/>
  <c r="D29" i="74"/>
  <c r="D30" i="74"/>
  <c r="D31" i="74"/>
  <c r="D32" i="74"/>
  <c r="D33" i="74"/>
  <c r="D34" i="74"/>
  <c r="D35" i="74"/>
  <c r="D36" i="74"/>
  <c r="D37" i="74"/>
  <c r="D38" i="74"/>
  <c r="D39" i="74"/>
  <c r="D40" i="74"/>
  <c r="D41" i="74"/>
  <c r="D42" i="74"/>
  <c r="D43" i="74"/>
  <c r="D44" i="74"/>
  <c r="D45" i="74"/>
  <c r="D46" i="74"/>
  <c r="D47" i="74"/>
  <c r="D48" i="74"/>
  <c r="D49" i="74"/>
  <c r="D50" i="74"/>
  <c r="D51" i="74"/>
  <c r="D52" i="74"/>
  <c r="D53" i="74"/>
  <c r="D54" i="74"/>
  <c r="D55" i="74"/>
  <c r="D56" i="74"/>
  <c r="D57" i="74"/>
  <c r="D58" i="74"/>
  <c r="D59" i="74"/>
  <c r="D60" i="74"/>
  <c r="D61" i="74"/>
  <c r="D62" i="74"/>
  <c r="D63" i="74"/>
  <c r="D64" i="74"/>
  <c r="D65" i="74"/>
  <c r="D66" i="74"/>
  <c r="D67" i="74"/>
  <c r="D68" i="74"/>
  <c r="D69" i="74"/>
  <c r="D70" i="74"/>
  <c r="D71" i="74"/>
  <c r="D72" i="74"/>
  <c r="D73" i="74"/>
  <c r="D74" i="74"/>
  <c r="D75" i="74"/>
  <c r="D76" i="74"/>
  <c r="D77" i="74"/>
  <c r="D78" i="74"/>
  <c r="D79" i="74"/>
  <c r="D80" i="74"/>
  <c r="D81" i="74"/>
  <c r="D82" i="74"/>
  <c r="D83" i="74"/>
  <c r="D84" i="74"/>
  <c r="D85" i="74"/>
  <c r="D86" i="74"/>
  <c r="D87" i="74"/>
  <c r="D88" i="74"/>
  <c r="D89" i="74"/>
  <c r="D90" i="74"/>
  <c r="D91" i="74"/>
  <c r="D92" i="74"/>
  <c r="D93" i="74"/>
  <c r="D94" i="74"/>
  <c r="D95" i="74"/>
  <c r="D96" i="74"/>
  <c r="D97" i="74"/>
  <c r="D98" i="74"/>
  <c r="D99" i="74"/>
  <c r="D100" i="74"/>
  <c r="D101" i="74"/>
  <c r="D102" i="74"/>
  <c r="D103" i="74"/>
  <c r="D104" i="74"/>
  <c r="D105" i="74"/>
  <c r="D106" i="74"/>
  <c r="D107" i="74"/>
  <c r="D108" i="74"/>
  <c r="D109" i="74"/>
  <c r="D110" i="74"/>
  <c r="D111" i="74"/>
  <c r="D112" i="74"/>
  <c r="D113" i="74"/>
  <c r="D114" i="74"/>
  <c r="D115" i="74"/>
  <c r="D116" i="74"/>
  <c r="D117" i="74"/>
  <c r="D118" i="74"/>
  <c r="D119" i="74"/>
  <c r="D120" i="74"/>
  <c r="D121" i="74"/>
  <c r="D122" i="74"/>
  <c r="D123" i="74"/>
  <c r="D124" i="74"/>
  <c r="D125" i="74"/>
  <c r="D126" i="74"/>
  <c r="D127" i="74"/>
  <c r="D128" i="74"/>
  <c r="D129" i="74"/>
  <c r="D130" i="74"/>
  <c r="D131" i="74"/>
  <c r="D132" i="74"/>
  <c r="D133" i="74"/>
  <c r="D134" i="74"/>
  <c r="D135" i="74"/>
  <c r="D136" i="74"/>
  <c r="D137" i="74"/>
  <c r="D138" i="74"/>
  <c r="D139" i="74"/>
  <c r="D140" i="74"/>
  <c r="D141" i="74"/>
  <c r="D142" i="74"/>
  <c r="D143" i="74"/>
  <c r="D144" i="74"/>
  <c r="D145" i="74"/>
  <c r="D146" i="74"/>
  <c r="D147" i="74"/>
  <c r="D148" i="74"/>
  <c r="D149" i="74"/>
  <c r="D150" i="74"/>
  <c r="D151" i="74"/>
  <c r="D152" i="74"/>
  <c r="D153" i="74"/>
  <c r="D154" i="74"/>
  <c r="D155" i="74"/>
  <c r="D156" i="74"/>
  <c r="D157" i="74"/>
  <c r="D158" i="74"/>
  <c r="D159" i="74"/>
  <c r="D28" i="74"/>
  <c r="D25" i="73"/>
  <c r="G159" i="74"/>
  <c r="F159" i="74"/>
  <c r="A159" i="74" s="1"/>
  <c r="E159" i="74"/>
  <c r="G158" i="74"/>
  <c r="F158" i="74"/>
  <c r="A158" i="74" s="1"/>
  <c r="E158" i="74"/>
  <c r="G157" i="74"/>
  <c r="F157" i="74"/>
  <c r="A157" i="74" s="1"/>
  <c r="E157" i="74"/>
  <c r="G156" i="74"/>
  <c r="F156" i="74"/>
  <c r="A156" i="74" s="1"/>
  <c r="E156" i="74"/>
  <c r="G155" i="74"/>
  <c r="F155" i="74"/>
  <c r="A155" i="74" s="1"/>
  <c r="E155" i="74"/>
  <c r="G154" i="74"/>
  <c r="F154" i="74"/>
  <c r="A154" i="74" s="1"/>
  <c r="E154" i="74"/>
  <c r="G153" i="74"/>
  <c r="F153" i="74"/>
  <c r="A153" i="74" s="1"/>
  <c r="E153" i="74"/>
  <c r="G152" i="74"/>
  <c r="F152" i="74"/>
  <c r="A152" i="74" s="1"/>
  <c r="E152" i="74"/>
  <c r="G151" i="74"/>
  <c r="F151" i="74"/>
  <c r="A151" i="74" s="1"/>
  <c r="E151" i="74"/>
  <c r="G150" i="74"/>
  <c r="F150" i="74"/>
  <c r="A150" i="74" s="1"/>
  <c r="E150" i="74"/>
  <c r="G149" i="74"/>
  <c r="F149" i="74"/>
  <c r="A149" i="74" s="1"/>
  <c r="E149" i="74"/>
  <c r="G148" i="74"/>
  <c r="F148" i="74"/>
  <c r="A148" i="74" s="1"/>
  <c r="E148" i="74"/>
  <c r="G147" i="74"/>
  <c r="F147" i="74"/>
  <c r="A147" i="74" s="1"/>
  <c r="E147" i="74"/>
  <c r="G146" i="74"/>
  <c r="F146" i="74"/>
  <c r="A146" i="74" s="1"/>
  <c r="E146" i="74"/>
  <c r="G26" i="74"/>
  <c r="F26" i="74"/>
  <c r="A26" i="74" s="1"/>
  <c r="E26" i="74"/>
  <c r="G145" i="74"/>
  <c r="F145" i="74"/>
  <c r="A145" i="74" s="1"/>
  <c r="E145" i="74"/>
  <c r="E29" i="74"/>
  <c r="F29" i="74"/>
  <c r="A29" i="74" s="1"/>
  <c r="G29" i="74"/>
  <c r="E30" i="74"/>
  <c r="F30" i="74"/>
  <c r="A30" i="74" s="1"/>
  <c r="G30" i="74"/>
  <c r="E31" i="74"/>
  <c r="F31" i="74"/>
  <c r="A31" i="74" s="1"/>
  <c r="G31" i="74"/>
  <c r="E32" i="74"/>
  <c r="F32" i="74"/>
  <c r="A32" i="74" s="1"/>
  <c r="G32" i="74"/>
  <c r="E33" i="74"/>
  <c r="F33" i="74"/>
  <c r="A33" i="74" s="1"/>
  <c r="G33" i="74"/>
  <c r="E34" i="74"/>
  <c r="F34" i="74"/>
  <c r="A34" i="74" s="1"/>
  <c r="G34" i="74"/>
  <c r="E35" i="74"/>
  <c r="F35" i="74"/>
  <c r="A35" i="74" s="1"/>
  <c r="G35" i="74"/>
  <c r="E36" i="74"/>
  <c r="F36" i="74"/>
  <c r="A36" i="74" s="1"/>
  <c r="G36" i="74"/>
  <c r="E37" i="74"/>
  <c r="F37" i="74"/>
  <c r="A37" i="74" s="1"/>
  <c r="G37" i="74"/>
  <c r="E38" i="74"/>
  <c r="F38" i="74"/>
  <c r="A38" i="74" s="1"/>
  <c r="G38" i="74"/>
  <c r="E39" i="74"/>
  <c r="F39" i="74"/>
  <c r="A39" i="74" s="1"/>
  <c r="G39" i="74"/>
  <c r="E40" i="74"/>
  <c r="F40" i="74"/>
  <c r="A40" i="74" s="1"/>
  <c r="G40" i="74"/>
  <c r="E41" i="74"/>
  <c r="F41" i="74"/>
  <c r="A41" i="74" s="1"/>
  <c r="G41" i="74"/>
  <c r="E42" i="74"/>
  <c r="F42" i="74"/>
  <c r="A42" i="74" s="1"/>
  <c r="G42" i="74"/>
  <c r="E43" i="74"/>
  <c r="F43" i="74"/>
  <c r="A43" i="74" s="1"/>
  <c r="G43" i="74"/>
  <c r="E44" i="74"/>
  <c r="F44" i="74"/>
  <c r="A44" i="74" s="1"/>
  <c r="G44" i="74"/>
  <c r="E45" i="74"/>
  <c r="F45" i="74"/>
  <c r="A45" i="74" s="1"/>
  <c r="G45" i="74"/>
  <c r="E46" i="74"/>
  <c r="F46" i="74"/>
  <c r="A46" i="74" s="1"/>
  <c r="G46" i="74"/>
  <c r="E47" i="74"/>
  <c r="F47" i="74"/>
  <c r="A47" i="74" s="1"/>
  <c r="G47" i="74"/>
  <c r="E48" i="74"/>
  <c r="F48" i="74"/>
  <c r="A48" i="74" s="1"/>
  <c r="G48" i="74"/>
  <c r="E49" i="74"/>
  <c r="F49" i="74"/>
  <c r="A49" i="74" s="1"/>
  <c r="G49" i="74"/>
  <c r="E50" i="74"/>
  <c r="F50" i="74"/>
  <c r="A50" i="74" s="1"/>
  <c r="G50" i="74"/>
  <c r="E51" i="74"/>
  <c r="F51" i="74"/>
  <c r="A51" i="74" s="1"/>
  <c r="G51" i="74"/>
  <c r="E52" i="74"/>
  <c r="F52" i="74"/>
  <c r="A52" i="74" s="1"/>
  <c r="G52" i="74"/>
  <c r="E53" i="74"/>
  <c r="F53" i="74"/>
  <c r="A53" i="74" s="1"/>
  <c r="G53" i="74"/>
  <c r="E54" i="74"/>
  <c r="F54" i="74"/>
  <c r="A54" i="74" s="1"/>
  <c r="G54" i="74"/>
  <c r="E55" i="74"/>
  <c r="F55" i="74"/>
  <c r="A55" i="74" s="1"/>
  <c r="G55" i="74"/>
  <c r="E56" i="74"/>
  <c r="F56" i="74"/>
  <c r="A56" i="74" s="1"/>
  <c r="G56" i="74"/>
  <c r="E57" i="74"/>
  <c r="F57" i="74"/>
  <c r="A57" i="74" s="1"/>
  <c r="G57" i="74"/>
  <c r="E58" i="74"/>
  <c r="F58" i="74"/>
  <c r="A58" i="74" s="1"/>
  <c r="G58" i="74"/>
  <c r="E59" i="74"/>
  <c r="F59" i="74"/>
  <c r="A59" i="74" s="1"/>
  <c r="G59" i="74"/>
  <c r="E60" i="74"/>
  <c r="F60" i="74"/>
  <c r="A60" i="74" s="1"/>
  <c r="G60" i="74"/>
  <c r="E61" i="74"/>
  <c r="F61" i="74"/>
  <c r="A61" i="74" s="1"/>
  <c r="G61" i="74"/>
  <c r="E62" i="74"/>
  <c r="F62" i="74"/>
  <c r="A62" i="74" s="1"/>
  <c r="G62" i="74"/>
  <c r="E63" i="74"/>
  <c r="F63" i="74"/>
  <c r="A63" i="74" s="1"/>
  <c r="G63" i="74"/>
  <c r="E64" i="74"/>
  <c r="F64" i="74"/>
  <c r="A64" i="74" s="1"/>
  <c r="G64" i="74"/>
  <c r="E65" i="74"/>
  <c r="F65" i="74"/>
  <c r="A65" i="74" s="1"/>
  <c r="G65" i="74"/>
  <c r="E66" i="74"/>
  <c r="F66" i="74"/>
  <c r="A66" i="74" s="1"/>
  <c r="G66" i="74"/>
  <c r="E67" i="74"/>
  <c r="F67" i="74"/>
  <c r="A67" i="74" s="1"/>
  <c r="G67" i="74"/>
  <c r="E68" i="74"/>
  <c r="F68" i="74"/>
  <c r="A68" i="74" s="1"/>
  <c r="G68" i="74"/>
  <c r="E69" i="74"/>
  <c r="F69" i="74"/>
  <c r="A69" i="74" s="1"/>
  <c r="G69" i="74"/>
  <c r="E70" i="74"/>
  <c r="F70" i="74"/>
  <c r="A70" i="74" s="1"/>
  <c r="G70" i="74"/>
  <c r="E71" i="74"/>
  <c r="F71" i="74"/>
  <c r="A71" i="74" s="1"/>
  <c r="G71" i="74"/>
  <c r="E72" i="74"/>
  <c r="F72" i="74"/>
  <c r="A72" i="74" s="1"/>
  <c r="G72" i="74"/>
  <c r="E73" i="74"/>
  <c r="F73" i="74"/>
  <c r="A73" i="74" s="1"/>
  <c r="G73" i="74"/>
  <c r="E74" i="74"/>
  <c r="F74" i="74"/>
  <c r="A74" i="74" s="1"/>
  <c r="G74" i="74"/>
  <c r="E75" i="74"/>
  <c r="F75" i="74"/>
  <c r="A75" i="74" s="1"/>
  <c r="G75" i="74"/>
  <c r="E76" i="74"/>
  <c r="F76" i="74"/>
  <c r="A76" i="74" s="1"/>
  <c r="G76" i="74"/>
  <c r="E77" i="74"/>
  <c r="F77" i="74"/>
  <c r="A77" i="74" s="1"/>
  <c r="G77" i="74"/>
  <c r="E78" i="74"/>
  <c r="F78" i="74"/>
  <c r="A78" i="74" s="1"/>
  <c r="G78" i="74"/>
  <c r="E79" i="74"/>
  <c r="F79" i="74"/>
  <c r="A79" i="74" s="1"/>
  <c r="G79" i="74"/>
  <c r="E80" i="74"/>
  <c r="F80" i="74"/>
  <c r="A80" i="74" s="1"/>
  <c r="G80" i="74"/>
  <c r="E81" i="74"/>
  <c r="F81" i="74"/>
  <c r="A81" i="74" s="1"/>
  <c r="G81" i="74"/>
  <c r="E82" i="74"/>
  <c r="F82" i="74"/>
  <c r="A82" i="74" s="1"/>
  <c r="G82" i="74"/>
  <c r="E83" i="74"/>
  <c r="F83" i="74"/>
  <c r="A83" i="74" s="1"/>
  <c r="G83" i="74"/>
  <c r="E84" i="74"/>
  <c r="F84" i="74"/>
  <c r="A84" i="74" s="1"/>
  <c r="G84" i="74"/>
  <c r="E85" i="74"/>
  <c r="F85" i="74"/>
  <c r="A85" i="74" s="1"/>
  <c r="G85" i="74"/>
  <c r="E86" i="74"/>
  <c r="F86" i="74"/>
  <c r="A86" i="74" s="1"/>
  <c r="G86" i="74"/>
  <c r="E25" i="74"/>
  <c r="F25" i="74"/>
  <c r="A25" i="74" s="1"/>
  <c r="G25" i="74"/>
  <c r="E87" i="74"/>
  <c r="F87" i="74"/>
  <c r="A87" i="74" s="1"/>
  <c r="G87" i="74"/>
  <c r="E88" i="74"/>
  <c r="F88" i="74"/>
  <c r="A88" i="74" s="1"/>
  <c r="G88" i="74"/>
  <c r="E89" i="74"/>
  <c r="F89" i="74"/>
  <c r="A89" i="74" s="1"/>
  <c r="G89" i="74"/>
  <c r="E90" i="74"/>
  <c r="F90" i="74"/>
  <c r="A90" i="74" s="1"/>
  <c r="G90" i="74"/>
  <c r="E91" i="74"/>
  <c r="F91" i="74"/>
  <c r="A91" i="74" s="1"/>
  <c r="G91" i="74"/>
  <c r="E92" i="74"/>
  <c r="F92" i="74"/>
  <c r="A92" i="74" s="1"/>
  <c r="G92" i="74"/>
  <c r="E93" i="74"/>
  <c r="F93" i="74"/>
  <c r="A93" i="74" s="1"/>
  <c r="G93" i="74"/>
  <c r="E94" i="74"/>
  <c r="F94" i="74"/>
  <c r="A94" i="74" s="1"/>
  <c r="G94" i="74"/>
  <c r="E95" i="74"/>
  <c r="F95" i="74"/>
  <c r="A95" i="74" s="1"/>
  <c r="G95" i="74"/>
  <c r="E96" i="74"/>
  <c r="F96" i="74"/>
  <c r="A96" i="74" s="1"/>
  <c r="G96" i="74"/>
  <c r="E97" i="74"/>
  <c r="F97" i="74"/>
  <c r="A97" i="74" s="1"/>
  <c r="G97" i="74"/>
  <c r="E98" i="74"/>
  <c r="F98" i="74"/>
  <c r="A98" i="74" s="1"/>
  <c r="G98" i="74"/>
  <c r="E99" i="74"/>
  <c r="F99" i="74"/>
  <c r="A99" i="74" s="1"/>
  <c r="G99" i="74"/>
  <c r="E100" i="74"/>
  <c r="F100" i="74"/>
  <c r="A100" i="74" s="1"/>
  <c r="G100" i="74"/>
  <c r="E101" i="74"/>
  <c r="F101" i="74"/>
  <c r="A101" i="74" s="1"/>
  <c r="G101" i="74"/>
  <c r="E102" i="74"/>
  <c r="F102" i="74"/>
  <c r="A102" i="74" s="1"/>
  <c r="G102" i="74"/>
  <c r="E103" i="74"/>
  <c r="F103" i="74"/>
  <c r="A103" i="74" s="1"/>
  <c r="G103" i="74"/>
  <c r="E104" i="74"/>
  <c r="F104" i="74"/>
  <c r="A104" i="74" s="1"/>
  <c r="G104" i="74"/>
  <c r="E105" i="74"/>
  <c r="F105" i="74"/>
  <c r="A105" i="74" s="1"/>
  <c r="G105" i="74"/>
  <c r="E106" i="74"/>
  <c r="F106" i="74"/>
  <c r="A106" i="74" s="1"/>
  <c r="G106" i="74"/>
  <c r="E107" i="74"/>
  <c r="F107" i="74"/>
  <c r="A107" i="74" s="1"/>
  <c r="G107" i="74"/>
  <c r="E108" i="74"/>
  <c r="F108" i="74"/>
  <c r="A108" i="74" s="1"/>
  <c r="G108" i="74"/>
  <c r="E109" i="74"/>
  <c r="F109" i="74"/>
  <c r="A109" i="74" s="1"/>
  <c r="G109" i="74"/>
  <c r="E110" i="74"/>
  <c r="F110" i="74"/>
  <c r="A110" i="74" s="1"/>
  <c r="G110" i="74"/>
  <c r="E111" i="74"/>
  <c r="F111" i="74"/>
  <c r="A111" i="74" s="1"/>
  <c r="G111" i="74"/>
  <c r="E112" i="74"/>
  <c r="F112" i="74"/>
  <c r="A112" i="74" s="1"/>
  <c r="G112" i="74"/>
  <c r="E113" i="74"/>
  <c r="F113" i="74"/>
  <c r="A113" i="74" s="1"/>
  <c r="G113" i="74"/>
  <c r="E114" i="74"/>
  <c r="F114" i="74"/>
  <c r="A114" i="74" s="1"/>
  <c r="G114" i="74"/>
  <c r="E115" i="74"/>
  <c r="F115" i="74"/>
  <c r="A115" i="74" s="1"/>
  <c r="G115" i="74"/>
  <c r="E116" i="74"/>
  <c r="F116" i="74"/>
  <c r="A116" i="74" s="1"/>
  <c r="G116" i="74"/>
  <c r="E117" i="74"/>
  <c r="F117" i="74"/>
  <c r="A117" i="74" s="1"/>
  <c r="G117" i="74"/>
  <c r="E118" i="74"/>
  <c r="F118" i="74"/>
  <c r="A118" i="74" s="1"/>
  <c r="G118" i="74"/>
  <c r="E119" i="74"/>
  <c r="F119" i="74"/>
  <c r="A119" i="74" s="1"/>
  <c r="G119" i="74"/>
  <c r="E120" i="74"/>
  <c r="F120" i="74"/>
  <c r="A120" i="74" s="1"/>
  <c r="G120" i="74"/>
  <c r="E121" i="74"/>
  <c r="F121" i="74"/>
  <c r="A121" i="74" s="1"/>
  <c r="G121" i="74"/>
  <c r="E122" i="74"/>
  <c r="F122" i="74"/>
  <c r="A122" i="74" s="1"/>
  <c r="G122" i="74"/>
  <c r="E123" i="74"/>
  <c r="F123" i="74"/>
  <c r="A123" i="74" s="1"/>
  <c r="G123" i="74"/>
  <c r="E124" i="74"/>
  <c r="F124" i="74"/>
  <c r="A124" i="74" s="1"/>
  <c r="G124" i="74"/>
  <c r="E125" i="74"/>
  <c r="F125" i="74"/>
  <c r="A125" i="74" s="1"/>
  <c r="G125" i="74"/>
  <c r="E126" i="74"/>
  <c r="F126" i="74"/>
  <c r="A126" i="74" s="1"/>
  <c r="G126" i="74"/>
  <c r="E127" i="74"/>
  <c r="F127" i="74"/>
  <c r="A127" i="74" s="1"/>
  <c r="G127" i="74"/>
  <c r="E128" i="74"/>
  <c r="F128" i="74"/>
  <c r="A128" i="74" s="1"/>
  <c r="G128" i="74"/>
  <c r="E129" i="74"/>
  <c r="F129" i="74"/>
  <c r="A129" i="74" s="1"/>
  <c r="G129" i="74"/>
  <c r="E130" i="74"/>
  <c r="F130" i="74"/>
  <c r="A130" i="74" s="1"/>
  <c r="G130" i="74"/>
  <c r="E131" i="74"/>
  <c r="F131" i="74"/>
  <c r="A131" i="74" s="1"/>
  <c r="G131" i="74"/>
  <c r="E132" i="74"/>
  <c r="F132" i="74"/>
  <c r="A132" i="74" s="1"/>
  <c r="G132" i="74"/>
  <c r="E133" i="74"/>
  <c r="F133" i="74"/>
  <c r="A133" i="74" s="1"/>
  <c r="G133" i="74"/>
  <c r="E134" i="74"/>
  <c r="F134" i="74"/>
  <c r="A134" i="74" s="1"/>
  <c r="G134" i="74"/>
  <c r="E135" i="74"/>
  <c r="F135" i="74"/>
  <c r="A135" i="74" s="1"/>
  <c r="G135" i="74"/>
  <c r="E136" i="74"/>
  <c r="F136" i="74"/>
  <c r="A136" i="74" s="1"/>
  <c r="G136" i="74"/>
  <c r="E137" i="74"/>
  <c r="F137" i="74"/>
  <c r="A137" i="74" s="1"/>
  <c r="G137" i="74"/>
  <c r="E138" i="74"/>
  <c r="F138" i="74"/>
  <c r="A138" i="74" s="1"/>
  <c r="G138" i="74"/>
  <c r="E139" i="74"/>
  <c r="F139" i="74"/>
  <c r="A139" i="74" s="1"/>
  <c r="G139" i="74"/>
  <c r="E140" i="74"/>
  <c r="F140" i="74"/>
  <c r="A140" i="74" s="1"/>
  <c r="G140" i="74"/>
  <c r="E141" i="74"/>
  <c r="F141" i="74"/>
  <c r="A141" i="74" s="1"/>
  <c r="G141" i="74"/>
  <c r="E142" i="74"/>
  <c r="F142" i="74"/>
  <c r="A142" i="74" s="1"/>
  <c r="G142" i="74"/>
  <c r="E143" i="74"/>
  <c r="F143" i="74"/>
  <c r="A143" i="74" s="1"/>
  <c r="G143" i="74"/>
  <c r="E144" i="74"/>
  <c r="F144" i="74"/>
  <c r="A144" i="74" s="1"/>
  <c r="G144" i="74"/>
  <c r="G28" i="74"/>
  <c r="F28" i="74"/>
  <c r="A28" i="74" s="1"/>
  <c r="E28" i="74"/>
  <c r="G24" i="74"/>
  <c r="F24" i="74"/>
  <c r="A24" i="74" s="1"/>
  <c r="E24" i="74"/>
  <c r="G23" i="74"/>
  <c r="F23" i="74"/>
  <c r="A23" i="74" s="1"/>
  <c r="E23" i="74"/>
  <c r="G22" i="74"/>
  <c r="F22" i="74"/>
  <c r="A22" i="74" s="1"/>
  <c r="E22" i="74"/>
  <c r="G21" i="74"/>
  <c r="F21" i="74"/>
  <c r="A21" i="74" s="1"/>
  <c r="E21" i="74"/>
  <c r="G20" i="74"/>
  <c r="F20" i="74"/>
  <c r="A20" i="74" s="1"/>
  <c r="E20" i="74"/>
  <c r="G19" i="74"/>
  <c r="F19" i="74"/>
  <c r="A19" i="74" s="1"/>
  <c r="E19" i="74"/>
  <c r="G18" i="74"/>
  <c r="F18" i="74"/>
  <c r="A18" i="74" s="1"/>
  <c r="E18" i="74"/>
  <c r="G17" i="74"/>
  <c r="F17" i="74"/>
  <c r="A17" i="74" s="1"/>
  <c r="E17" i="74"/>
  <c r="G16" i="74"/>
  <c r="F16" i="74"/>
  <c r="A16" i="74" s="1"/>
  <c r="E16" i="74"/>
  <c r="G15" i="74"/>
  <c r="F15" i="74"/>
  <c r="A15" i="74" s="1"/>
  <c r="E15" i="74"/>
  <c r="G14" i="74"/>
  <c r="F14" i="74"/>
  <c r="A14" i="74" s="1"/>
  <c r="E14" i="74"/>
  <c r="G13" i="74"/>
  <c r="F13" i="74"/>
  <c r="A13" i="74" s="1"/>
  <c r="E13" i="74"/>
  <c r="G12" i="74"/>
  <c r="F12" i="74"/>
  <c r="A12" i="74" s="1"/>
  <c r="E12" i="74"/>
  <c r="G11" i="74"/>
  <c r="F11" i="74"/>
  <c r="A11" i="74" s="1"/>
  <c r="E11" i="74"/>
  <c r="G10" i="74"/>
  <c r="F10" i="74"/>
  <c r="A10" i="74" s="1"/>
  <c r="E10" i="74"/>
  <c r="G9" i="74"/>
  <c r="F9" i="74"/>
  <c r="A9" i="74" s="1"/>
  <c r="E9" i="74"/>
  <c r="G8" i="74"/>
  <c r="F8" i="74"/>
  <c r="A8" i="74" s="1"/>
  <c r="E8" i="74"/>
  <c r="G7" i="74"/>
  <c r="F7" i="74"/>
  <c r="A7" i="74" s="1"/>
  <c r="E7" i="74"/>
  <c r="G6" i="74"/>
  <c r="F6" i="74"/>
  <c r="A6" i="74" s="1"/>
  <c r="E6" i="74"/>
  <c r="G5" i="74"/>
  <c r="F5" i="74"/>
  <c r="A5" i="74" s="1"/>
  <c r="E5" i="74"/>
  <c r="G4" i="74"/>
  <c r="F4" i="74"/>
  <c r="A4" i="74" s="1"/>
  <c r="E4" i="74"/>
  <c r="G3" i="74"/>
  <c r="F3" i="74"/>
  <c r="A3" i="74" s="1"/>
  <c r="E3" i="74"/>
  <c r="G2" i="74"/>
  <c r="F2" i="74"/>
  <c r="A2" i="74" s="1"/>
  <c r="E2" i="74"/>
  <c r="E13" i="73"/>
  <c r="E14" i="73"/>
  <c r="E15" i="73"/>
  <c r="E16" i="73"/>
  <c r="E17" i="73"/>
  <c r="E18" i="73"/>
  <c r="E19" i="73"/>
  <c r="E20" i="73"/>
  <c r="E21" i="73"/>
  <c r="E22" i="73"/>
  <c r="E23" i="73"/>
  <c r="E12" i="73"/>
  <c r="D26" i="72" l="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5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26" i="71"/>
  <c r="E27" i="71"/>
  <c r="E28" i="71"/>
  <c r="E29" i="71"/>
  <c r="E30" i="71"/>
  <c r="E31" i="71"/>
  <c r="E32" i="71"/>
  <c r="E33" i="71"/>
  <c r="E34" i="71"/>
  <c r="E35" i="71"/>
  <c r="E36" i="71"/>
  <c r="E37" i="71"/>
  <c r="E38" i="71"/>
  <c r="E39" i="71"/>
  <c r="E40" i="71"/>
  <c r="E41" i="71"/>
  <c r="E42" i="71"/>
  <c r="E43" i="71"/>
  <c r="E44" i="71"/>
  <c r="E45" i="71"/>
  <c r="E46" i="71"/>
  <c r="E47" i="71"/>
  <c r="E48" i="71"/>
  <c r="E49" i="71"/>
  <c r="E50" i="71"/>
  <c r="E51" i="71"/>
  <c r="E52" i="71"/>
  <c r="E53" i="71"/>
  <c r="E54" i="71"/>
  <c r="E55" i="71"/>
  <c r="E56" i="71"/>
  <c r="E57" i="71"/>
  <c r="E58" i="71"/>
  <c r="E59" i="71"/>
  <c r="E60" i="71"/>
  <c r="E61" i="71"/>
  <c r="E62" i="71"/>
  <c r="E63" i="71"/>
  <c r="E64" i="71"/>
  <c r="E65" i="71"/>
  <c r="E66" i="71"/>
  <c r="E67" i="71"/>
  <c r="E68" i="71"/>
  <c r="E69" i="71"/>
  <c r="E70" i="71"/>
  <c r="E71" i="71"/>
  <c r="E72" i="71"/>
  <c r="E73" i="71"/>
  <c r="E74" i="71"/>
  <c r="E75" i="71"/>
  <c r="E76" i="71"/>
  <c r="E77" i="71"/>
  <c r="E78" i="71"/>
  <c r="E79" i="71"/>
  <c r="E80" i="71"/>
  <c r="E81" i="71"/>
  <c r="E82" i="71"/>
  <c r="E83" i="71"/>
  <c r="E84" i="71"/>
  <c r="E85" i="71"/>
  <c r="E86" i="71"/>
  <c r="E87" i="71"/>
  <c r="E88" i="71"/>
  <c r="E89" i="71"/>
  <c r="E90" i="71"/>
  <c r="E91" i="71"/>
  <c r="E92" i="71"/>
  <c r="E93" i="71"/>
  <c r="E94" i="71"/>
  <c r="E95" i="71"/>
  <c r="E96" i="71"/>
  <c r="E97" i="71"/>
  <c r="E98" i="71"/>
  <c r="E99" i="71"/>
  <c r="E100" i="71"/>
  <c r="E101" i="71"/>
  <c r="E102" i="71"/>
  <c r="E103" i="71"/>
  <c r="E104" i="71"/>
  <c r="E105" i="71"/>
  <c r="E106" i="71"/>
  <c r="E107" i="71"/>
  <c r="E108" i="71"/>
  <c r="E109" i="71"/>
  <c r="E110" i="71"/>
  <c r="E111" i="71"/>
  <c r="E112" i="71"/>
  <c r="E113" i="71"/>
  <c r="E114" i="71"/>
  <c r="E115" i="71"/>
  <c r="E116" i="71"/>
  <c r="E117" i="71"/>
  <c r="E118" i="71"/>
  <c r="E119" i="71"/>
  <c r="E120" i="71"/>
  <c r="E121" i="71"/>
  <c r="E122" i="71"/>
  <c r="E123" i="71"/>
  <c r="E124" i="71"/>
  <c r="E125" i="71"/>
  <c r="E126" i="71"/>
  <c r="E127" i="71"/>
  <c r="E128" i="71"/>
  <c r="E129" i="71"/>
  <c r="E130" i="71"/>
  <c r="E131" i="71"/>
  <c r="E132" i="71"/>
  <c r="E133" i="71"/>
  <c r="E134" i="71"/>
  <c r="E135" i="71"/>
  <c r="E136" i="71"/>
  <c r="E137" i="71"/>
  <c r="E138" i="71"/>
  <c r="E139" i="71"/>
  <c r="E140" i="71"/>
  <c r="E141" i="71"/>
  <c r="E142" i="71"/>
  <c r="E143" i="71"/>
  <c r="E144" i="71"/>
  <c r="E145" i="71"/>
  <c r="E146" i="71"/>
  <c r="E147" i="71"/>
  <c r="E148" i="71"/>
  <c r="E28" i="72"/>
  <c r="E29" i="72"/>
  <c r="E30" i="72"/>
  <c r="E31" i="72"/>
  <c r="E32" i="72"/>
  <c r="E33" i="72"/>
  <c r="E34" i="72"/>
  <c r="E35" i="72"/>
  <c r="E36" i="72"/>
  <c r="E37" i="72"/>
  <c r="E38" i="72"/>
  <c r="E39" i="72"/>
  <c r="E40" i="72"/>
  <c r="E41" i="72"/>
  <c r="E42" i="72"/>
  <c r="E43" i="72"/>
  <c r="E44" i="72"/>
  <c r="E45" i="72"/>
  <c r="E46" i="72"/>
  <c r="E47" i="72"/>
  <c r="E48" i="72"/>
  <c r="E49" i="72"/>
  <c r="E50" i="72"/>
  <c r="E51" i="72"/>
  <c r="E52" i="72"/>
  <c r="E53" i="72"/>
  <c r="E54" i="72"/>
  <c r="E55" i="72"/>
  <c r="E56" i="72"/>
  <c r="E57" i="72"/>
  <c r="E58" i="72"/>
  <c r="E59" i="72"/>
  <c r="E60" i="72"/>
  <c r="E61" i="72"/>
  <c r="E62" i="72"/>
  <c r="E63" i="72"/>
  <c r="E64" i="72"/>
  <c r="E65" i="72"/>
  <c r="E66" i="72"/>
  <c r="E67" i="72"/>
  <c r="E68" i="72"/>
  <c r="E69" i="72"/>
  <c r="E70" i="72"/>
  <c r="E71" i="72"/>
  <c r="E72" i="72"/>
  <c r="E73" i="72"/>
  <c r="E74" i="72"/>
  <c r="E75" i="72"/>
  <c r="E76" i="72"/>
  <c r="E77" i="72"/>
  <c r="E78" i="72"/>
  <c r="E79" i="72"/>
  <c r="E80" i="72"/>
  <c r="E81" i="72"/>
  <c r="E82" i="72"/>
  <c r="E83" i="72"/>
  <c r="E84" i="72"/>
  <c r="E85" i="72"/>
  <c r="E86" i="72"/>
  <c r="E87" i="72"/>
  <c r="E88" i="72"/>
  <c r="E89" i="72"/>
  <c r="E90" i="72"/>
  <c r="E91" i="72"/>
  <c r="E92" i="72"/>
  <c r="E93" i="72"/>
  <c r="E94" i="72"/>
  <c r="E95" i="72"/>
  <c r="E96" i="72"/>
  <c r="E97" i="72"/>
  <c r="E98" i="72"/>
  <c r="E99" i="72"/>
  <c r="E100" i="72"/>
  <c r="E101" i="72"/>
  <c r="E102" i="72"/>
  <c r="E103" i="72"/>
  <c r="E104" i="72"/>
  <c r="E105" i="72"/>
  <c r="E106" i="72"/>
  <c r="E107" i="72"/>
  <c r="E108" i="72"/>
  <c r="E109" i="72"/>
  <c r="E110" i="72"/>
  <c r="E111" i="72"/>
  <c r="E112" i="72"/>
  <c r="E113" i="72"/>
  <c r="E114" i="72"/>
  <c r="E115" i="72"/>
  <c r="E116" i="72"/>
  <c r="E117" i="72"/>
  <c r="E118" i="72"/>
  <c r="E119" i="72"/>
  <c r="E120" i="72"/>
  <c r="E121" i="72"/>
  <c r="E122" i="72"/>
  <c r="E123" i="72"/>
  <c r="E124" i="72"/>
  <c r="E125" i="72"/>
  <c r="E126" i="72"/>
  <c r="E127" i="72"/>
  <c r="E128" i="72"/>
  <c r="E129" i="72"/>
  <c r="E130" i="72"/>
  <c r="E131" i="72"/>
  <c r="E132" i="72"/>
  <c r="E133" i="72"/>
  <c r="E134" i="72"/>
  <c r="E135" i="72"/>
  <c r="E136" i="72"/>
  <c r="E137" i="72"/>
  <c r="E138" i="72"/>
  <c r="E139" i="72"/>
  <c r="E140" i="72"/>
  <c r="E141" i="72"/>
  <c r="E142" i="72"/>
  <c r="E143" i="72"/>
  <c r="E144" i="72"/>
  <c r="E145" i="72"/>
  <c r="E146" i="72"/>
  <c r="E147" i="72"/>
  <c r="E148" i="72"/>
  <c r="E149" i="72"/>
  <c r="E150" i="72"/>
  <c r="E151" i="72"/>
  <c r="E152" i="72"/>
  <c r="E153" i="72"/>
  <c r="E26" i="73"/>
  <c r="E27" i="73"/>
  <c r="E28" i="73"/>
  <c r="E29" i="73"/>
  <c r="E30" i="73"/>
  <c r="E31" i="73"/>
  <c r="E32" i="73"/>
  <c r="E33" i="73"/>
  <c r="E34" i="73"/>
  <c r="E35" i="73"/>
  <c r="E36" i="73"/>
  <c r="E37" i="73"/>
  <c r="E38" i="73"/>
  <c r="E39" i="73"/>
  <c r="E40" i="73"/>
  <c r="E41" i="73"/>
  <c r="E42" i="73"/>
  <c r="E43" i="73"/>
  <c r="E44" i="73"/>
  <c r="E45" i="73"/>
  <c r="E46" i="73"/>
  <c r="E47" i="73"/>
  <c r="E48" i="73"/>
  <c r="E49" i="73"/>
  <c r="E50" i="73"/>
  <c r="E51" i="73"/>
  <c r="E52" i="73"/>
  <c r="E53" i="73"/>
  <c r="E54" i="73"/>
  <c r="E55" i="73"/>
  <c r="E56" i="73"/>
  <c r="E57" i="73"/>
  <c r="E58" i="73"/>
  <c r="E59" i="73"/>
  <c r="E60" i="73"/>
  <c r="E61" i="73"/>
  <c r="E62" i="73"/>
  <c r="E63" i="73"/>
  <c r="E64" i="73"/>
  <c r="E65" i="73"/>
  <c r="E66" i="73"/>
  <c r="E67" i="73"/>
  <c r="E68" i="73"/>
  <c r="E69" i="73"/>
  <c r="E70" i="73"/>
  <c r="E71" i="73"/>
  <c r="E72" i="73"/>
  <c r="E73" i="73"/>
  <c r="E74" i="73"/>
  <c r="E75" i="73"/>
  <c r="E76" i="73"/>
  <c r="E77" i="73"/>
  <c r="E78" i="73"/>
  <c r="E79" i="73"/>
  <c r="E80" i="73"/>
  <c r="E81" i="73"/>
  <c r="E82" i="73"/>
  <c r="E83" i="73"/>
  <c r="E84" i="73"/>
  <c r="E85" i="73"/>
  <c r="E86" i="73"/>
  <c r="E87" i="73"/>
  <c r="E88" i="73"/>
  <c r="E89" i="73"/>
  <c r="E90" i="73"/>
  <c r="E91" i="73"/>
  <c r="E92" i="73"/>
  <c r="E93" i="73"/>
  <c r="E94" i="73"/>
  <c r="E95" i="73"/>
  <c r="E96" i="73"/>
  <c r="E97" i="73"/>
  <c r="E98" i="73"/>
  <c r="E99" i="73"/>
  <c r="E100" i="73"/>
  <c r="E101" i="73"/>
  <c r="E102" i="73"/>
  <c r="E103" i="73"/>
  <c r="E104" i="73"/>
  <c r="E105" i="73"/>
  <c r="E106" i="73"/>
  <c r="E107" i="73"/>
  <c r="E108" i="73"/>
  <c r="E109" i="73"/>
  <c r="E110" i="73"/>
  <c r="E111" i="73"/>
  <c r="E112" i="73"/>
  <c r="E113" i="73"/>
  <c r="E114" i="73"/>
  <c r="E115" i="73"/>
  <c r="E116" i="73"/>
  <c r="E117" i="73"/>
  <c r="E118" i="73"/>
  <c r="E119" i="73"/>
  <c r="E120" i="73"/>
  <c r="E121" i="73"/>
  <c r="E122" i="73"/>
  <c r="E123" i="73"/>
  <c r="E124" i="73"/>
  <c r="E125" i="73"/>
  <c r="E126" i="73"/>
  <c r="E127" i="73"/>
  <c r="E128" i="73"/>
  <c r="E129" i="73"/>
  <c r="E130" i="73"/>
  <c r="E131" i="73"/>
  <c r="E132" i="73"/>
  <c r="E133" i="73"/>
  <c r="E134" i="73"/>
  <c r="E135" i="73"/>
  <c r="E136" i="73"/>
  <c r="E137" i="73"/>
  <c r="E138" i="73"/>
  <c r="E139" i="73"/>
  <c r="E140" i="73"/>
  <c r="E141" i="73"/>
  <c r="E142" i="73"/>
  <c r="E143" i="73"/>
  <c r="E144" i="73"/>
  <c r="E145" i="73"/>
  <c r="E146" i="73"/>
  <c r="E147" i="73"/>
  <c r="E148" i="73"/>
  <c r="E149" i="73"/>
  <c r="E150" i="73"/>
  <c r="E151" i="73"/>
  <c r="E152" i="73"/>
  <c r="E153" i="73"/>
  <c r="E154" i="73"/>
  <c r="E155" i="73"/>
  <c r="E156" i="73"/>
  <c r="E157" i="73"/>
  <c r="G157" i="73"/>
  <c r="F157" i="73"/>
  <c r="A157" i="73" s="1"/>
  <c r="G156" i="73"/>
  <c r="F156" i="73"/>
  <c r="A156" i="73" s="1"/>
  <c r="G155" i="73"/>
  <c r="F155" i="73"/>
  <c r="A155" i="73" s="1"/>
  <c r="G154" i="73"/>
  <c r="F154" i="73"/>
  <c r="A154" i="73" s="1"/>
  <c r="G153" i="73"/>
  <c r="F153" i="73"/>
  <c r="A153" i="73" s="1"/>
  <c r="G152" i="73"/>
  <c r="F152" i="73"/>
  <c r="A152" i="73" s="1"/>
  <c r="G151" i="73"/>
  <c r="G150" i="73"/>
  <c r="G149" i="73"/>
  <c r="G148" i="73"/>
  <c r="G147" i="73"/>
  <c r="G146" i="73"/>
  <c r="G145" i="73"/>
  <c r="G144" i="73"/>
  <c r="G143" i="73"/>
  <c r="G142" i="73"/>
  <c r="G141" i="73"/>
  <c r="G140" i="73"/>
  <c r="G139" i="73"/>
  <c r="G138" i="73"/>
  <c r="G137" i="73"/>
  <c r="G136" i="73"/>
  <c r="G135" i="73"/>
  <c r="G134" i="73"/>
  <c r="G133" i="73"/>
  <c r="G132" i="73"/>
  <c r="G131" i="73"/>
  <c r="G130" i="73"/>
  <c r="G129" i="73"/>
  <c r="G128" i="73"/>
  <c r="G127" i="73"/>
  <c r="G126" i="73"/>
  <c r="G125" i="73"/>
  <c r="G124" i="73"/>
  <c r="G123" i="73"/>
  <c r="G122" i="73"/>
  <c r="G121" i="73"/>
  <c r="G120" i="73"/>
  <c r="G119" i="73"/>
  <c r="G118" i="73"/>
  <c r="G117" i="73"/>
  <c r="G116" i="73"/>
  <c r="G115" i="73"/>
  <c r="G114" i="73"/>
  <c r="G113" i="73"/>
  <c r="G112" i="73"/>
  <c r="G111" i="73"/>
  <c r="G110" i="73"/>
  <c r="G109" i="73"/>
  <c r="G108" i="73"/>
  <c r="G107" i="73"/>
  <c r="G106" i="73"/>
  <c r="G105" i="73"/>
  <c r="G104" i="73"/>
  <c r="G103" i="73"/>
  <c r="G102" i="73"/>
  <c r="G101" i="73"/>
  <c r="G100" i="73"/>
  <c r="G99" i="73"/>
  <c r="G98" i="73"/>
  <c r="G97" i="73"/>
  <c r="G96" i="73"/>
  <c r="G95" i="73"/>
  <c r="G94" i="73"/>
  <c r="G93" i="73"/>
  <c r="G92" i="73"/>
  <c r="G91" i="73"/>
  <c r="G90" i="73"/>
  <c r="G89" i="73"/>
  <c r="G88" i="73"/>
  <c r="G87" i="73"/>
  <c r="G86" i="73"/>
  <c r="G85" i="73"/>
  <c r="G84" i="73"/>
  <c r="G83" i="73"/>
  <c r="G82" i="73"/>
  <c r="G81" i="73"/>
  <c r="G80" i="73"/>
  <c r="G79" i="73"/>
  <c r="G78" i="73"/>
  <c r="G77" i="73"/>
  <c r="G76" i="73"/>
  <c r="G75" i="73"/>
  <c r="G74" i="73"/>
  <c r="G73" i="73"/>
  <c r="G72" i="73"/>
  <c r="G71" i="73"/>
  <c r="G70" i="73"/>
  <c r="G69" i="73"/>
  <c r="G68" i="73"/>
  <c r="G67" i="73"/>
  <c r="G66" i="73"/>
  <c r="G65" i="73"/>
  <c r="G64" i="73"/>
  <c r="G63" i="73"/>
  <c r="G62" i="73"/>
  <c r="G61" i="73"/>
  <c r="G60" i="73"/>
  <c r="G59" i="73"/>
  <c r="G58" i="73"/>
  <c r="G57" i="73"/>
  <c r="G56" i="73"/>
  <c r="G55" i="73"/>
  <c r="G54" i="73"/>
  <c r="G53" i="73"/>
  <c r="G52" i="73"/>
  <c r="G51" i="73"/>
  <c r="G50" i="73"/>
  <c r="G49" i="73"/>
  <c r="G48" i="73"/>
  <c r="G47" i="73"/>
  <c r="G46" i="73"/>
  <c r="G45" i="73"/>
  <c r="G44" i="73"/>
  <c r="G43" i="73"/>
  <c r="G42" i="73"/>
  <c r="G41" i="73"/>
  <c r="G40" i="73"/>
  <c r="G39" i="73"/>
  <c r="G38" i="73"/>
  <c r="G37" i="73"/>
  <c r="G36" i="73"/>
  <c r="G35" i="73"/>
  <c r="G34" i="73"/>
  <c r="G33" i="73"/>
  <c r="G32" i="73"/>
  <c r="G31" i="73"/>
  <c r="G30" i="73"/>
  <c r="G29" i="73"/>
  <c r="G28" i="73"/>
  <c r="G27" i="73"/>
  <c r="G26" i="73"/>
  <c r="G25" i="73"/>
  <c r="G24" i="73"/>
  <c r="G23" i="73"/>
  <c r="G22" i="73"/>
  <c r="G21" i="73"/>
  <c r="G20" i="73"/>
  <c r="G19" i="73"/>
  <c r="G18" i="73"/>
  <c r="G17" i="73"/>
  <c r="G16" i="73"/>
  <c r="G15" i="73"/>
  <c r="G14" i="73"/>
  <c r="G13" i="73"/>
  <c r="G12" i="73"/>
  <c r="G11" i="73"/>
  <c r="G10" i="73"/>
  <c r="G9" i="73"/>
  <c r="G8" i="73"/>
  <c r="G7" i="73"/>
  <c r="G6" i="73"/>
  <c r="G5" i="73"/>
  <c r="G4" i="73"/>
  <c r="G3" i="73"/>
  <c r="G2" i="73"/>
  <c r="G153" i="72"/>
  <c r="G152" i="72"/>
  <c r="G151" i="72"/>
  <c r="G150" i="72"/>
  <c r="G149" i="72"/>
  <c r="G148" i="72"/>
  <c r="G147" i="72"/>
  <c r="G146" i="72"/>
  <c r="G145" i="72"/>
  <c r="G144" i="72"/>
  <c r="G143" i="72"/>
  <c r="G142" i="72"/>
  <c r="G141" i="72"/>
  <c r="G140" i="72"/>
  <c r="G139" i="72"/>
  <c r="G138" i="72"/>
  <c r="G137" i="72"/>
  <c r="G136" i="72"/>
  <c r="G135" i="72"/>
  <c r="G134" i="72"/>
  <c r="G133" i="72"/>
  <c r="G132" i="72"/>
  <c r="G131" i="72"/>
  <c r="G130" i="72"/>
  <c r="G129" i="72"/>
  <c r="G128" i="72"/>
  <c r="G127" i="72"/>
  <c r="G126" i="72"/>
  <c r="G125" i="72"/>
  <c r="G124" i="72"/>
  <c r="G123" i="72"/>
  <c r="G122" i="72"/>
  <c r="G121" i="72"/>
  <c r="G120" i="72"/>
  <c r="G119" i="72"/>
  <c r="G118" i="72"/>
  <c r="G117" i="72"/>
  <c r="G116" i="72"/>
  <c r="G115" i="72"/>
  <c r="G114" i="72"/>
  <c r="G113" i="72"/>
  <c r="G112" i="72"/>
  <c r="G111" i="72"/>
  <c r="G110" i="72"/>
  <c r="G109" i="72"/>
  <c r="G108" i="72"/>
  <c r="G107" i="72"/>
  <c r="G106" i="72"/>
  <c r="G105" i="72"/>
  <c r="G104" i="72"/>
  <c r="G103" i="72"/>
  <c r="G102" i="72"/>
  <c r="G101" i="72"/>
  <c r="G100" i="72"/>
  <c r="G99" i="72"/>
  <c r="G98" i="72"/>
  <c r="G97" i="72"/>
  <c r="G96" i="72"/>
  <c r="G95" i="72"/>
  <c r="G94" i="72"/>
  <c r="G93" i="72"/>
  <c r="G92" i="72"/>
  <c r="G91" i="72"/>
  <c r="G90" i="72"/>
  <c r="G89" i="72"/>
  <c r="G88" i="72"/>
  <c r="G87" i="72"/>
  <c r="G86" i="72"/>
  <c r="G85" i="72"/>
  <c r="G84" i="72"/>
  <c r="G83" i="72"/>
  <c r="G82" i="72"/>
  <c r="G81" i="72"/>
  <c r="G80" i="72"/>
  <c r="G79" i="72"/>
  <c r="G78" i="72"/>
  <c r="G77" i="72"/>
  <c r="G76" i="72"/>
  <c r="G75" i="72"/>
  <c r="G74" i="72"/>
  <c r="G73" i="72"/>
  <c r="G72" i="72"/>
  <c r="G71" i="72"/>
  <c r="G70" i="72"/>
  <c r="G69" i="72"/>
  <c r="G68" i="72"/>
  <c r="G67" i="72"/>
  <c r="G66" i="72"/>
  <c r="G65" i="72"/>
  <c r="G64" i="72"/>
  <c r="G63" i="72"/>
  <c r="G62" i="72"/>
  <c r="G61" i="72"/>
  <c r="G60" i="72"/>
  <c r="G59" i="72"/>
  <c r="G58" i="72"/>
  <c r="G57" i="72"/>
  <c r="G56" i="72"/>
  <c r="G55" i="72"/>
  <c r="G54" i="72"/>
  <c r="G53" i="72"/>
  <c r="G52" i="72"/>
  <c r="G51" i="72"/>
  <c r="G50" i="72"/>
  <c r="G49" i="72"/>
  <c r="G48" i="72"/>
  <c r="G47" i="72"/>
  <c r="G46" i="72"/>
  <c r="G45" i="72"/>
  <c r="G44" i="72"/>
  <c r="G43" i="72"/>
  <c r="G42" i="72"/>
  <c r="G41" i="72"/>
  <c r="G40" i="72"/>
  <c r="G39" i="72"/>
  <c r="G38" i="72"/>
  <c r="G37" i="72"/>
  <c r="G36" i="72"/>
  <c r="G35" i="72"/>
  <c r="G34" i="72"/>
  <c r="G33" i="72"/>
  <c r="G32" i="72"/>
  <c r="G31" i="72"/>
  <c r="G30" i="72"/>
  <c r="G29" i="72"/>
  <c r="G28" i="72"/>
  <c r="G25" i="72"/>
  <c r="G24" i="72"/>
  <c r="G23" i="72"/>
  <c r="G22" i="72"/>
  <c r="G21" i="72"/>
  <c r="G20" i="72"/>
  <c r="G19" i="72"/>
  <c r="G18" i="72"/>
  <c r="G17" i="72"/>
  <c r="G16" i="72"/>
  <c r="G15" i="72"/>
  <c r="G14" i="72"/>
  <c r="G13" i="72"/>
  <c r="G12" i="72"/>
  <c r="G11" i="72"/>
  <c r="G10" i="72"/>
  <c r="G9" i="72"/>
  <c r="G8" i="72"/>
  <c r="G7" i="72"/>
  <c r="G6" i="72"/>
  <c r="G5" i="72"/>
  <c r="G4" i="72"/>
  <c r="G3" i="72"/>
  <c r="G2" i="72"/>
  <c r="G148" i="71"/>
  <c r="G147" i="71"/>
  <c r="G146" i="71"/>
  <c r="G145" i="71"/>
  <c r="G144" i="71"/>
  <c r="G143" i="71"/>
  <c r="G142" i="71"/>
  <c r="G141" i="71"/>
  <c r="G140" i="71"/>
  <c r="G139" i="71"/>
  <c r="G138" i="71"/>
  <c r="G137" i="71"/>
  <c r="G136" i="71"/>
  <c r="G135" i="71"/>
  <c r="G134" i="71"/>
  <c r="G133" i="71"/>
  <c r="G132" i="71"/>
  <c r="G131" i="71"/>
  <c r="G130" i="71"/>
  <c r="G129" i="71"/>
  <c r="G128" i="71"/>
  <c r="G127" i="71"/>
  <c r="G126" i="71"/>
  <c r="G125" i="71"/>
  <c r="G124" i="71"/>
  <c r="G123" i="71"/>
  <c r="G122" i="71"/>
  <c r="G121" i="71"/>
  <c r="G120" i="71"/>
  <c r="G119" i="71"/>
  <c r="G118" i="71"/>
  <c r="G117" i="71"/>
  <c r="G116" i="71"/>
  <c r="G115" i="71"/>
  <c r="G114" i="71"/>
  <c r="G113" i="71"/>
  <c r="G112" i="71"/>
  <c r="G111" i="71"/>
  <c r="G110" i="71"/>
  <c r="G109" i="71"/>
  <c r="G108" i="71"/>
  <c r="G107" i="71"/>
  <c r="G106" i="71"/>
  <c r="G105" i="71"/>
  <c r="G104" i="71"/>
  <c r="G103" i="71"/>
  <c r="G102" i="71"/>
  <c r="G101" i="71"/>
  <c r="G100" i="71"/>
  <c r="G99" i="71"/>
  <c r="G98" i="71"/>
  <c r="G97" i="71"/>
  <c r="G96" i="71"/>
  <c r="G95" i="71"/>
  <c r="G94" i="71"/>
  <c r="G93" i="71"/>
  <c r="G92" i="71"/>
  <c r="G91" i="71"/>
  <c r="G90" i="71"/>
  <c r="G89" i="71"/>
  <c r="G88" i="71"/>
  <c r="G87" i="71"/>
  <c r="G86" i="71"/>
  <c r="G85" i="71"/>
  <c r="G84" i="71"/>
  <c r="G83" i="71"/>
  <c r="G82" i="71"/>
  <c r="G81" i="71"/>
  <c r="G80" i="71"/>
  <c r="G79" i="71"/>
  <c r="G78" i="71"/>
  <c r="G77" i="71"/>
  <c r="G76" i="71"/>
  <c r="G75" i="71"/>
  <c r="G74" i="71"/>
  <c r="G73" i="71"/>
  <c r="G72" i="71"/>
  <c r="G71" i="71"/>
  <c r="G70" i="71"/>
  <c r="G69" i="71"/>
  <c r="G68" i="71"/>
  <c r="G67" i="71"/>
  <c r="G66" i="71"/>
  <c r="G65" i="71"/>
  <c r="G64" i="71"/>
  <c r="G63" i="71"/>
  <c r="G62" i="71"/>
  <c r="G61" i="71"/>
  <c r="G60" i="71"/>
  <c r="G59" i="71"/>
  <c r="G58" i="71"/>
  <c r="G57" i="71"/>
  <c r="G56" i="71"/>
  <c r="G55" i="71"/>
  <c r="G54" i="71"/>
  <c r="G53" i="71"/>
  <c r="G52" i="71"/>
  <c r="G51" i="71"/>
  <c r="G50" i="71"/>
  <c r="G49" i="71"/>
  <c r="G48" i="71"/>
  <c r="G47" i="71"/>
  <c r="G46" i="71"/>
  <c r="G45" i="71"/>
  <c r="G44" i="71"/>
  <c r="G43" i="71"/>
  <c r="G42" i="71"/>
  <c r="G41" i="71"/>
  <c r="G40" i="71"/>
  <c r="G39" i="71"/>
  <c r="G38" i="71"/>
  <c r="G37" i="71"/>
  <c r="G36" i="71"/>
  <c r="G35" i="71"/>
  <c r="G34" i="71"/>
  <c r="G33" i="71"/>
  <c r="G32" i="71"/>
  <c r="G31" i="71"/>
  <c r="G30" i="71"/>
  <c r="G29" i="71"/>
  <c r="G28" i="71"/>
  <c r="G27" i="71"/>
  <c r="G26" i="71"/>
  <c r="G25" i="71"/>
  <c r="G24" i="71"/>
  <c r="G23" i="71"/>
  <c r="G22" i="71"/>
  <c r="G21" i="71"/>
  <c r="G20" i="71"/>
  <c r="G19" i="71"/>
  <c r="G18" i="71"/>
  <c r="G17" i="71"/>
  <c r="G16" i="71"/>
  <c r="G15" i="71"/>
  <c r="G14" i="71"/>
  <c r="G13" i="71"/>
  <c r="G12" i="71"/>
  <c r="G11" i="71"/>
  <c r="G10" i="71"/>
  <c r="G9" i="71"/>
  <c r="G8" i="71"/>
  <c r="G7" i="71"/>
  <c r="G6" i="71"/>
  <c r="G5" i="71"/>
  <c r="G4" i="71"/>
  <c r="G3" i="71"/>
  <c r="G2" i="71"/>
  <c r="F151" i="73"/>
  <c r="A151" i="73" s="1"/>
  <c r="F150" i="73"/>
  <c r="A150" i="73" s="1"/>
  <c r="F149" i="73"/>
  <c r="A149" i="73" s="1"/>
  <c r="F148" i="73"/>
  <c r="A148" i="73" s="1"/>
  <c r="F147" i="73"/>
  <c r="A147" i="73" s="1"/>
  <c r="F146" i="73"/>
  <c r="A146" i="73" s="1"/>
  <c r="F145" i="73"/>
  <c r="A145" i="73" s="1"/>
  <c r="F144" i="73"/>
  <c r="A144" i="73" s="1"/>
  <c r="F143" i="73"/>
  <c r="A143" i="73" s="1"/>
  <c r="F142" i="73"/>
  <c r="A142" i="73" s="1"/>
  <c r="F141" i="73"/>
  <c r="A141" i="73" s="1"/>
  <c r="F140" i="73"/>
  <c r="A140" i="73" s="1"/>
  <c r="F139" i="73"/>
  <c r="A139" i="73" s="1"/>
  <c r="F138" i="73"/>
  <c r="A138" i="73" s="1"/>
  <c r="F137" i="73"/>
  <c r="A137" i="73" s="1"/>
  <c r="F136" i="73"/>
  <c r="A136" i="73" s="1"/>
  <c r="F135" i="73"/>
  <c r="A135" i="73" s="1"/>
  <c r="F134" i="73"/>
  <c r="A134" i="73" s="1"/>
  <c r="F133" i="73"/>
  <c r="A133" i="73" s="1"/>
  <c r="F132" i="73"/>
  <c r="A132" i="73" s="1"/>
  <c r="F131" i="73"/>
  <c r="A131" i="73" s="1"/>
  <c r="F130" i="73"/>
  <c r="A130" i="73" s="1"/>
  <c r="F129" i="73"/>
  <c r="A129" i="73" s="1"/>
  <c r="F128" i="73"/>
  <c r="A128" i="73" s="1"/>
  <c r="F127" i="73"/>
  <c r="A127" i="73" s="1"/>
  <c r="F126" i="73"/>
  <c r="A126" i="73"/>
  <c r="F125" i="73"/>
  <c r="A125" i="73" s="1"/>
  <c r="F124" i="73"/>
  <c r="A124" i="73" s="1"/>
  <c r="F123" i="73"/>
  <c r="A123" i="73" s="1"/>
  <c r="F122" i="73"/>
  <c r="A122" i="73" s="1"/>
  <c r="F121" i="73"/>
  <c r="A121" i="73" s="1"/>
  <c r="F120" i="73"/>
  <c r="A120" i="73" s="1"/>
  <c r="F119" i="73"/>
  <c r="A119" i="73" s="1"/>
  <c r="F118" i="73"/>
  <c r="A118" i="73" s="1"/>
  <c r="F117" i="73"/>
  <c r="A117" i="73" s="1"/>
  <c r="F116" i="73"/>
  <c r="A116" i="73" s="1"/>
  <c r="F115" i="73"/>
  <c r="A115" i="73" s="1"/>
  <c r="F114" i="73"/>
  <c r="A114" i="73" s="1"/>
  <c r="F113" i="73"/>
  <c r="A113" i="73" s="1"/>
  <c r="F112" i="73"/>
  <c r="A112" i="73" s="1"/>
  <c r="F111" i="73"/>
  <c r="A111" i="73" s="1"/>
  <c r="F110" i="73"/>
  <c r="A110" i="73" s="1"/>
  <c r="F109" i="73"/>
  <c r="A109" i="73" s="1"/>
  <c r="F108" i="73"/>
  <c r="A108" i="73" s="1"/>
  <c r="F107" i="73"/>
  <c r="A107" i="73" s="1"/>
  <c r="F106" i="73"/>
  <c r="A106" i="73" s="1"/>
  <c r="F105" i="73"/>
  <c r="A105" i="73" s="1"/>
  <c r="F104" i="73"/>
  <c r="A104" i="73" s="1"/>
  <c r="F103" i="73"/>
  <c r="A103" i="73" s="1"/>
  <c r="F102" i="73"/>
  <c r="A102" i="73" s="1"/>
  <c r="F101" i="73"/>
  <c r="A101" i="73" s="1"/>
  <c r="F100" i="73"/>
  <c r="A100" i="73" s="1"/>
  <c r="F99" i="73"/>
  <c r="A99" i="73" s="1"/>
  <c r="F98" i="73"/>
  <c r="A98" i="73" s="1"/>
  <c r="F97" i="73"/>
  <c r="A97" i="73" s="1"/>
  <c r="F96" i="73"/>
  <c r="A96" i="73" s="1"/>
  <c r="F95" i="73"/>
  <c r="A95" i="73" s="1"/>
  <c r="F94" i="73"/>
  <c r="A94" i="73" s="1"/>
  <c r="F93" i="73"/>
  <c r="A93" i="73" s="1"/>
  <c r="F92" i="73"/>
  <c r="A92" i="73" s="1"/>
  <c r="F91" i="73"/>
  <c r="A91" i="73" s="1"/>
  <c r="F90" i="73"/>
  <c r="A90" i="73" s="1"/>
  <c r="F89" i="73"/>
  <c r="A89" i="73" s="1"/>
  <c r="F88" i="73"/>
  <c r="A88" i="73" s="1"/>
  <c r="F87" i="73"/>
  <c r="A87" i="73" s="1"/>
  <c r="F86" i="73"/>
  <c r="A86" i="73" s="1"/>
  <c r="F85" i="73"/>
  <c r="A85" i="73" s="1"/>
  <c r="F84" i="73"/>
  <c r="A84" i="73" s="1"/>
  <c r="F83" i="73"/>
  <c r="A83" i="73" s="1"/>
  <c r="F82" i="73"/>
  <c r="A82" i="73" s="1"/>
  <c r="F81" i="73"/>
  <c r="A81" i="73" s="1"/>
  <c r="F80" i="73"/>
  <c r="A80" i="73" s="1"/>
  <c r="F79" i="73"/>
  <c r="A79" i="73" s="1"/>
  <c r="F78" i="73"/>
  <c r="A78" i="73" s="1"/>
  <c r="F77" i="73"/>
  <c r="A77" i="73" s="1"/>
  <c r="F76" i="73"/>
  <c r="A76" i="73" s="1"/>
  <c r="F75" i="73"/>
  <c r="A75" i="73" s="1"/>
  <c r="F74" i="73"/>
  <c r="A74" i="73" s="1"/>
  <c r="F73" i="73"/>
  <c r="A73" i="73" s="1"/>
  <c r="F72" i="73"/>
  <c r="A72" i="73" s="1"/>
  <c r="F71" i="73"/>
  <c r="A71" i="73" s="1"/>
  <c r="F70" i="73"/>
  <c r="A70" i="73"/>
  <c r="F69" i="73"/>
  <c r="A69" i="73" s="1"/>
  <c r="F68" i="73"/>
  <c r="A68" i="73" s="1"/>
  <c r="F67" i="73"/>
  <c r="A67" i="73" s="1"/>
  <c r="F66" i="73"/>
  <c r="A66" i="73" s="1"/>
  <c r="F65" i="73"/>
  <c r="A65" i="73" s="1"/>
  <c r="F64" i="73"/>
  <c r="A64" i="73" s="1"/>
  <c r="F63" i="73"/>
  <c r="A63" i="73" s="1"/>
  <c r="F62" i="73"/>
  <c r="A62" i="73" s="1"/>
  <c r="F61" i="73"/>
  <c r="A61" i="73" s="1"/>
  <c r="F60" i="73"/>
  <c r="A60" i="73" s="1"/>
  <c r="F59" i="73"/>
  <c r="A59" i="73" s="1"/>
  <c r="F58" i="73"/>
  <c r="A58" i="73" s="1"/>
  <c r="F57" i="73"/>
  <c r="A57" i="73" s="1"/>
  <c r="F56" i="73"/>
  <c r="A56" i="73" s="1"/>
  <c r="F55" i="73"/>
  <c r="A55" i="73" s="1"/>
  <c r="F54" i="73"/>
  <c r="A54" i="73" s="1"/>
  <c r="F53" i="73"/>
  <c r="A53" i="73" s="1"/>
  <c r="F52" i="73"/>
  <c r="A52" i="73" s="1"/>
  <c r="F51" i="73"/>
  <c r="A51" i="73" s="1"/>
  <c r="F50" i="73"/>
  <c r="A50" i="73" s="1"/>
  <c r="F49" i="73"/>
  <c r="A49" i="73" s="1"/>
  <c r="F48" i="73"/>
  <c r="A48" i="73" s="1"/>
  <c r="F47" i="73"/>
  <c r="A47" i="73" s="1"/>
  <c r="F46" i="73"/>
  <c r="A46" i="73" s="1"/>
  <c r="F45" i="73"/>
  <c r="A45" i="73" s="1"/>
  <c r="F44" i="73"/>
  <c r="A44" i="73" s="1"/>
  <c r="F43" i="73"/>
  <c r="A43" i="73" s="1"/>
  <c r="F42" i="73"/>
  <c r="A42" i="73" s="1"/>
  <c r="F41" i="73"/>
  <c r="A41" i="73" s="1"/>
  <c r="F40" i="73"/>
  <c r="A40" i="73" s="1"/>
  <c r="F39" i="73"/>
  <c r="A39" i="73" s="1"/>
  <c r="F38" i="73"/>
  <c r="A38" i="73" s="1"/>
  <c r="F37" i="73"/>
  <c r="A37" i="73" s="1"/>
  <c r="F36" i="73"/>
  <c r="A36" i="73" s="1"/>
  <c r="F35" i="73"/>
  <c r="A35" i="73" s="1"/>
  <c r="F34" i="73"/>
  <c r="A34" i="73" s="1"/>
  <c r="F33" i="73"/>
  <c r="A33" i="73" s="1"/>
  <c r="F32" i="73"/>
  <c r="A32" i="73" s="1"/>
  <c r="F31" i="73"/>
  <c r="A31" i="73" s="1"/>
  <c r="F30" i="73"/>
  <c r="A30" i="73" s="1"/>
  <c r="F29" i="73"/>
  <c r="A29" i="73" s="1"/>
  <c r="F28" i="73"/>
  <c r="A28" i="73" s="1"/>
  <c r="F27" i="73"/>
  <c r="A27" i="73" s="1"/>
  <c r="F26" i="73"/>
  <c r="A26" i="73" s="1"/>
  <c r="F25" i="73"/>
  <c r="A25" i="73" s="1"/>
  <c r="E25" i="73"/>
  <c r="F24" i="73"/>
  <c r="A24" i="73" s="1"/>
  <c r="E24" i="73"/>
  <c r="F23" i="73"/>
  <c r="A23" i="73" s="1"/>
  <c r="F22" i="73"/>
  <c r="A22" i="73" s="1"/>
  <c r="F21" i="73"/>
  <c r="A21" i="73" s="1"/>
  <c r="F20" i="73"/>
  <c r="A20" i="73" s="1"/>
  <c r="F19" i="73"/>
  <c r="A19" i="73" s="1"/>
  <c r="F18" i="73"/>
  <c r="A18" i="73" s="1"/>
  <c r="F17" i="73"/>
  <c r="A17" i="73" s="1"/>
  <c r="F16" i="73"/>
  <c r="A16" i="73" s="1"/>
  <c r="F15" i="73"/>
  <c r="A15" i="73" s="1"/>
  <c r="F14" i="73"/>
  <c r="A14" i="73" s="1"/>
  <c r="F13" i="73"/>
  <c r="A13" i="73" s="1"/>
  <c r="F12" i="73"/>
  <c r="A12" i="73" s="1"/>
  <c r="F11" i="73"/>
  <c r="A11" i="73" s="1"/>
  <c r="E11" i="73"/>
  <c r="F10" i="73"/>
  <c r="A10" i="73" s="1"/>
  <c r="E10" i="73"/>
  <c r="F9" i="73"/>
  <c r="A9" i="73" s="1"/>
  <c r="E9" i="73"/>
  <c r="F8" i="73"/>
  <c r="A8" i="73" s="1"/>
  <c r="E8" i="73"/>
  <c r="F7" i="73"/>
  <c r="A7" i="73" s="1"/>
  <c r="E7" i="73"/>
  <c r="F6" i="73"/>
  <c r="A6" i="73" s="1"/>
  <c r="E6" i="73"/>
  <c r="F5" i="73"/>
  <c r="A5" i="73" s="1"/>
  <c r="E5" i="73"/>
  <c r="F4" i="73"/>
  <c r="A4" i="73" s="1"/>
  <c r="E4" i="73"/>
  <c r="F3" i="73"/>
  <c r="A3" i="73" s="1"/>
  <c r="E3" i="73"/>
  <c r="F2" i="73"/>
  <c r="A2" i="73" s="1"/>
  <c r="E2" i="73"/>
  <c r="F153" i="72"/>
  <c r="A153" i="72" s="1"/>
  <c r="F152" i="72"/>
  <c r="A152" i="72" s="1"/>
  <c r="F151" i="72"/>
  <c r="A151" i="72" s="1"/>
  <c r="F150" i="72"/>
  <c r="A150" i="72" s="1"/>
  <c r="F149" i="72"/>
  <c r="A149" i="72" s="1"/>
  <c r="F148" i="72"/>
  <c r="A148" i="72" s="1"/>
  <c r="F147" i="72"/>
  <c r="A147" i="72" s="1"/>
  <c r="F146" i="72"/>
  <c r="A146" i="72" s="1"/>
  <c r="F145" i="72"/>
  <c r="A145" i="72" s="1"/>
  <c r="F144" i="72"/>
  <c r="A144" i="72" s="1"/>
  <c r="F143" i="72"/>
  <c r="A143" i="72" s="1"/>
  <c r="F142" i="72"/>
  <c r="A142" i="72" s="1"/>
  <c r="F141" i="72"/>
  <c r="A141" i="72" s="1"/>
  <c r="F140" i="72"/>
  <c r="A140" i="72" s="1"/>
  <c r="F139" i="72"/>
  <c r="A139" i="72" s="1"/>
  <c r="F138" i="72"/>
  <c r="A138" i="72" s="1"/>
  <c r="F137" i="72"/>
  <c r="A137" i="72" s="1"/>
  <c r="F136" i="72"/>
  <c r="A136" i="72" s="1"/>
  <c r="F135" i="72"/>
  <c r="A135" i="72" s="1"/>
  <c r="F134" i="72"/>
  <c r="A134" i="72" s="1"/>
  <c r="F133" i="72"/>
  <c r="A133" i="72" s="1"/>
  <c r="F132" i="72"/>
  <c r="A132" i="72" s="1"/>
  <c r="F131" i="72"/>
  <c r="A131" i="72" s="1"/>
  <c r="F130" i="72"/>
  <c r="A130" i="72" s="1"/>
  <c r="F129" i="72"/>
  <c r="A129" i="72" s="1"/>
  <c r="F128" i="72"/>
  <c r="A128" i="72" s="1"/>
  <c r="F127" i="72"/>
  <c r="A127" i="72" s="1"/>
  <c r="F126" i="72"/>
  <c r="A126" i="72" s="1"/>
  <c r="F125" i="72"/>
  <c r="A125" i="72" s="1"/>
  <c r="F124" i="72"/>
  <c r="A124" i="72" s="1"/>
  <c r="F123" i="72"/>
  <c r="A123" i="72" s="1"/>
  <c r="F122" i="72"/>
  <c r="A122" i="72" s="1"/>
  <c r="F121" i="72"/>
  <c r="A121" i="72" s="1"/>
  <c r="F120" i="72"/>
  <c r="A120" i="72" s="1"/>
  <c r="F119" i="72"/>
  <c r="A119" i="72" s="1"/>
  <c r="F118" i="72"/>
  <c r="A118" i="72" s="1"/>
  <c r="F117" i="72"/>
  <c r="A117" i="72" s="1"/>
  <c r="F116" i="72"/>
  <c r="A116" i="72" s="1"/>
  <c r="F115" i="72"/>
  <c r="A115" i="72" s="1"/>
  <c r="F114" i="72"/>
  <c r="A114" i="72" s="1"/>
  <c r="F113" i="72"/>
  <c r="A113" i="72" s="1"/>
  <c r="F112" i="72"/>
  <c r="A112" i="72" s="1"/>
  <c r="F111" i="72"/>
  <c r="A111" i="72" s="1"/>
  <c r="F110" i="72"/>
  <c r="A110" i="72" s="1"/>
  <c r="F109" i="72"/>
  <c r="A109" i="72" s="1"/>
  <c r="F108" i="72"/>
  <c r="A108" i="72" s="1"/>
  <c r="F107" i="72"/>
  <c r="A107" i="72" s="1"/>
  <c r="F106" i="72"/>
  <c r="A106" i="72" s="1"/>
  <c r="F105" i="72"/>
  <c r="A105" i="72" s="1"/>
  <c r="F104" i="72"/>
  <c r="A104" i="72" s="1"/>
  <c r="F103" i="72"/>
  <c r="A103" i="72" s="1"/>
  <c r="F102" i="72"/>
  <c r="A102" i="72" s="1"/>
  <c r="F101" i="72"/>
  <c r="A101" i="72" s="1"/>
  <c r="F100" i="72"/>
  <c r="A100" i="72" s="1"/>
  <c r="F99" i="72"/>
  <c r="A99" i="72" s="1"/>
  <c r="F98" i="72"/>
  <c r="A98" i="72" s="1"/>
  <c r="F97" i="72"/>
  <c r="A97" i="72" s="1"/>
  <c r="F96" i="72"/>
  <c r="A96" i="72" s="1"/>
  <c r="F95" i="72"/>
  <c r="A95" i="72" s="1"/>
  <c r="F94" i="72"/>
  <c r="A94" i="72" s="1"/>
  <c r="F93" i="72"/>
  <c r="A93" i="72" s="1"/>
  <c r="F92" i="72"/>
  <c r="A92" i="72" s="1"/>
  <c r="F91" i="72"/>
  <c r="A91" i="72" s="1"/>
  <c r="F90" i="72"/>
  <c r="A90" i="72" s="1"/>
  <c r="F89" i="72"/>
  <c r="A89" i="72" s="1"/>
  <c r="F88" i="72"/>
  <c r="A88" i="72" s="1"/>
  <c r="F87" i="72"/>
  <c r="A87" i="72" s="1"/>
  <c r="F86" i="72"/>
  <c r="A86" i="72" s="1"/>
  <c r="F85" i="72"/>
  <c r="A85" i="72" s="1"/>
  <c r="F84" i="72"/>
  <c r="A84" i="72" s="1"/>
  <c r="F83" i="72"/>
  <c r="A83" i="72" s="1"/>
  <c r="F82" i="72"/>
  <c r="A82" i="72" s="1"/>
  <c r="F81" i="72"/>
  <c r="A81" i="72" s="1"/>
  <c r="F80" i="72"/>
  <c r="A80" i="72" s="1"/>
  <c r="F79" i="72"/>
  <c r="A79" i="72" s="1"/>
  <c r="F78" i="72"/>
  <c r="A78" i="72" s="1"/>
  <c r="F77" i="72"/>
  <c r="A77" i="72" s="1"/>
  <c r="F76" i="72"/>
  <c r="A76" i="72" s="1"/>
  <c r="F75" i="72"/>
  <c r="A75" i="72" s="1"/>
  <c r="F74" i="72"/>
  <c r="A74" i="72" s="1"/>
  <c r="F73" i="72"/>
  <c r="A73" i="72" s="1"/>
  <c r="F72" i="72"/>
  <c r="A72" i="72" s="1"/>
  <c r="F71" i="72"/>
  <c r="A71" i="72" s="1"/>
  <c r="F70" i="72"/>
  <c r="A70" i="72" s="1"/>
  <c r="F69" i="72"/>
  <c r="A69" i="72" s="1"/>
  <c r="F68" i="72"/>
  <c r="A68" i="72" s="1"/>
  <c r="F67" i="72"/>
  <c r="A67" i="72" s="1"/>
  <c r="F66" i="72"/>
  <c r="A66" i="72" s="1"/>
  <c r="F65" i="72"/>
  <c r="A65" i="72" s="1"/>
  <c r="F64" i="72"/>
  <c r="A64" i="72" s="1"/>
  <c r="F63" i="72"/>
  <c r="A63" i="72" s="1"/>
  <c r="F62" i="72"/>
  <c r="A62" i="72" s="1"/>
  <c r="F61" i="72"/>
  <c r="A61" i="72" s="1"/>
  <c r="F60" i="72"/>
  <c r="A60" i="72" s="1"/>
  <c r="F59" i="72"/>
  <c r="A59" i="72" s="1"/>
  <c r="F58" i="72"/>
  <c r="A58" i="72" s="1"/>
  <c r="F57" i="72"/>
  <c r="A57" i="72" s="1"/>
  <c r="F56" i="72"/>
  <c r="A56" i="72" s="1"/>
  <c r="F55" i="72"/>
  <c r="A55" i="72" s="1"/>
  <c r="F54" i="72"/>
  <c r="A54" i="72" s="1"/>
  <c r="F53" i="72"/>
  <c r="A53" i="72" s="1"/>
  <c r="F52" i="72"/>
  <c r="A52" i="72" s="1"/>
  <c r="F51" i="72"/>
  <c r="A51" i="72" s="1"/>
  <c r="F50" i="72"/>
  <c r="A50" i="72" s="1"/>
  <c r="F49" i="72"/>
  <c r="A49" i="72" s="1"/>
  <c r="F48" i="72"/>
  <c r="A48" i="72" s="1"/>
  <c r="F47" i="72"/>
  <c r="A47" i="72" s="1"/>
  <c r="F46" i="72"/>
  <c r="A46" i="72" s="1"/>
  <c r="F45" i="72"/>
  <c r="A45" i="72" s="1"/>
  <c r="F44" i="72"/>
  <c r="A44" i="72" s="1"/>
  <c r="F43" i="72"/>
  <c r="A43" i="72" s="1"/>
  <c r="F42" i="72"/>
  <c r="A42" i="72" s="1"/>
  <c r="F41" i="72"/>
  <c r="A41" i="72" s="1"/>
  <c r="F40" i="72"/>
  <c r="A40" i="72" s="1"/>
  <c r="F39" i="72"/>
  <c r="A39" i="72" s="1"/>
  <c r="F38" i="72"/>
  <c r="A38" i="72" s="1"/>
  <c r="F37" i="72"/>
  <c r="A37" i="72" s="1"/>
  <c r="F36" i="72"/>
  <c r="A36" i="72" s="1"/>
  <c r="F35" i="72"/>
  <c r="A35" i="72" s="1"/>
  <c r="F34" i="72"/>
  <c r="A34" i="72" s="1"/>
  <c r="F33" i="72"/>
  <c r="A33" i="72" s="1"/>
  <c r="F32" i="72"/>
  <c r="A32" i="72" s="1"/>
  <c r="F31" i="72"/>
  <c r="A31" i="72" s="1"/>
  <c r="F30" i="72"/>
  <c r="A30" i="72" s="1"/>
  <c r="F29" i="72"/>
  <c r="A29" i="72" s="1"/>
  <c r="F28" i="72"/>
  <c r="A28" i="72" s="1"/>
  <c r="F26" i="72"/>
  <c r="A26" i="72" s="1"/>
  <c r="E26" i="72"/>
  <c r="F25" i="72"/>
  <c r="A25" i="72" s="1"/>
  <c r="E25" i="72"/>
  <c r="F24" i="72"/>
  <c r="A24" i="72" s="1"/>
  <c r="E24" i="72"/>
  <c r="F23" i="72"/>
  <c r="A23" i="72" s="1"/>
  <c r="E23" i="72"/>
  <c r="F22" i="72"/>
  <c r="A22" i="72" s="1"/>
  <c r="E22" i="72"/>
  <c r="F21" i="72"/>
  <c r="A21" i="72" s="1"/>
  <c r="E21" i="72"/>
  <c r="F20" i="72"/>
  <c r="A20" i="72" s="1"/>
  <c r="E20" i="72"/>
  <c r="F19" i="72"/>
  <c r="A19" i="72" s="1"/>
  <c r="E19" i="72"/>
  <c r="F18" i="72"/>
  <c r="A18" i="72" s="1"/>
  <c r="E18" i="72"/>
  <c r="F17" i="72"/>
  <c r="A17" i="72" s="1"/>
  <c r="E17" i="72"/>
  <c r="F16" i="72"/>
  <c r="A16" i="72" s="1"/>
  <c r="E16" i="72"/>
  <c r="F15" i="72"/>
  <c r="A15" i="72" s="1"/>
  <c r="E15" i="72"/>
  <c r="F14" i="72"/>
  <c r="A14" i="72" s="1"/>
  <c r="E14" i="72"/>
  <c r="F13" i="72"/>
  <c r="A13" i="72" s="1"/>
  <c r="E13" i="72"/>
  <c r="F12" i="72"/>
  <c r="A12" i="72" s="1"/>
  <c r="E12" i="72"/>
  <c r="F11" i="72"/>
  <c r="A11" i="72" s="1"/>
  <c r="E11" i="72"/>
  <c r="F10" i="72"/>
  <c r="A10" i="72" s="1"/>
  <c r="E10" i="72"/>
  <c r="F9" i="72"/>
  <c r="A9" i="72" s="1"/>
  <c r="E9" i="72"/>
  <c r="F8" i="72"/>
  <c r="A8" i="72" s="1"/>
  <c r="E8" i="72"/>
  <c r="F7" i="72"/>
  <c r="A7" i="72" s="1"/>
  <c r="E7" i="72"/>
  <c r="F6" i="72"/>
  <c r="A6" i="72" s="1"/>
  <c r="E6" i="72"/>
  <c r="F5" i="72"/>
  <c r="A5" i="72" s="1"/>
  <c r="E5" i="72"/>
  <c r="F4" i="72"/>
  <c r="A4" i="72" s="1"/>
  <c r="E4" i="72"/>
  <c r="F3" i="72"/>
  <c r="A3" i="72" s="1"/>
  <c r="E3" i="72"/>
  <c r="F2" i="72"/>
  <c r="A2" i="72" s="1"/>
  <c r="E2" i="72"/>
  <c r="F148" i="71"/>
  <c r="A148" i="71" s="1"/>
  <c r="E13" i="71" l="1"/>
  <c r="E14" i="71"/>
  <c r="E15" i="71"/>
  <c r="E16" i="71"/>
  <c r="E17" i="71"/>
  <c r="E18" i="71"/>
  <c r="E19" i="71"/>
  <c r="E20" i="71"/>
  <c r="E21" i="71"/>
  <c r="E22" i="71"/>
  <c r="E23" i="71"/>
  <c r="E24" i="71"/>
  <c r="E12" i="71"/>
  <c r="F22" i="71"/>
  <c r="A22" i="71" s="1"/>
  <c r="F24" i="71" l="1"/>
  <c r="A24" i="71" s="1"/>
  <c r="F23" i="71"/>
  <c r="A23" i="71" s="1"/>
  <c r="F21" i="71"/>
  <c r="A21" i="71" s="1"/>
  <c r="F20" i="71"/>
  <c r="A20" i="71" s="1"/>
  <c r="F19" i="71"/>
  <c r="A19" i="71" s="1"/>
  <c r="F18" i="71"/>
  <c r="A18" i="71" s="1"/>
  <c r="F17" i="71"/>
  <c r="A17" i="71" s="1"/>
  <c r="F16" i="71"/>
  <c r="A16" i="71" s="1"/>
  <c r="F15" i="71"/>
  <c r="A15" i="71" s="1"/>
  <c r="F14" i="71"/>
  <c r="A14" i="71" s="1"/>
  <c r="F13" i="71"/>
  <c r="A13" i="71" s="1"/>
  <c r="F12" i="71"/>
  <c r="A12" i="71" s="1"/>
  <c r="F147" i="71"/>
  <c r="A147" i="71" s="1"/>
  <c r="F146" i="71"/>
  <c r="A146" i="71" s="1"/>
  <c r="F145" i="71"/>
  <c r="A145" i="71" s="1"/>
  <c r="F144" i="71"/>
  <c r="A144" i="71" s="1"/>
  <c r="F143" i="71"/>
  <c r="A143" i="71" s="1"/>
  <c r="F142" i="71"/>
  <c r="A142" i="71" s="1"/>
  <c r="F141" i="71"/>
  <c r="A141" i="71" s="1"/>
  <c r="F140" i="71"/>
  <c r="A140" i="71" s="1"/>
  <c r="F139" i="71"/>
  <c r="A139" i="71" s="1"/>
  <c r="F138" i="71"/>
  <c r="A138" i="71" s="1"/>
  <c r="F137" i="71"/>
  <c r="A137" i="71" s="1"/>
  <c r="F136" i="71"/>
  <c r="A136" i="71" s="1"/>
  <c r="F135" i="71"/>
  <c r="A135" i="71" s="1"/>
  <c r="F134" i="71"/>
  <c r="A134" i="71" s="1"/>
  <c r="F133" i="71"/>
  <c r="A133" i="71" s="1"/>
  <c r="F132" i="71"/>
  <c r="A132" i="71" s="1"/>
  <c r="F131" i="71"/>
  <c r="A131" i="71" s="1"/>
  <c r="F130" i="71"/>
  <c r="A130" i="71" s="1"/>
  <c r="F129" i="71"/>
  <c r="A129" i="71" s="1"/>
  <c r="F128" i="71"/>
  <c r="A128" i="71" s="1"/>
  <c r="F127" i="71"/>
  <c r="A127" i="71" s="1"/>
  <c r="F126" i="71"/>
  <c r="A126" i="71" s="1"/>
  <c r="F125" i="71"/>
  <c r="A125" i="71" s="1"/>
  <c r="F124" i="71"/>
  <c r="A124" i="71" s="1"/>
  <c r="F123" i="71"/>
  <c r="A123" i="71" s="1"/>
  <c r="F122" i="71"/>
  <c r="A122" i="71" s="1"/>
  <c r="F121" i="71"/>
  <c r="A121" i="71" s="1"/>
  <c r="F120" i="71"/>
  <c r="A120" i="71" s="1"/>
  <c r="F119" i="71"/>
  <c r="A119" i="71" s="1"/>
  <c r="F118" i="71"/>
  <c r="A118" i="71" s="1"/>
  <c r="F117" i="71"/>
  <c r="A117" i="71" s="1"/>
  <c r="F116" i="71"/>
  <c r="A116" i="71" s="1"/>
  <c r="F115" i="71"/>
  <c r="A115" i="71" s="1"/>
  <c r="F114" i="71"/>
  <c r="A114" i="71" s="1"/>
  <c r="F113" i="71"/>
  <c r="A113" i="71" s="1"/>
  <c r="F112" i="71"/>
  <c r="A112" i="71" s="1"/>
  <c r="F111" i="71"/>
  <c r="A111" i="71" s="1"/>
  <c r="F110" i="71"/>
  <c r="A110" i="71" s="1"/>
  <c r="F109" i="71"/>
  <c r="A109" i="71" s="1"/>
  <c r="F108" i="71"/>
  <c r="A108" i="71" s="1"/>
  <c r="F107" i="71"/>
  <c r="A107" i="71" s="1"/>
  <c r="F106" i="71"/>
  <c r="A106" i="71" s="1"/>
  <c r="F105" i="71"/>
  <c r="A105" i="71" s="1"/>
  <c r="F104" i="71"/>
  <c r="A104" i="71" s="1"/>
  <c r="F103" i="71"/>
  <c r="A103" i="71" s="1"/>
  <c r="F102" i="71"/>
  <c r="A102" i="71" s="1"/>
  <c r="F101" i="71"/>
  <c r="A101" i="71" s="1"/>
  <c r="F100" i="71"/>
  <c r="A100" i="71" s="1"/>
  <c r="F99" i="71"/>
  <c r="A99" i="71" s="1"/>
  <c r="F98" i="71"/>
  <c r="A98" i="71" s="1"/>
  <c r="F97" i="71"/>
  <c r="A97" i="71" s="1"/>
  <c r="F96" i="71"/>
  <c r="A96" i="71" s="1"/>
  <c r="F95" i="71"/>
  <c r="A95" i="71" s="1"/>
  <c r="F94" i="71"/>
  <c r="A94" i="71" s="1"/>
  <c r="F93" i="71"/>
  <c r="A93" i="71" s="1"/>
  <c r="F92" i="71"/>
  <c r="A92" i="71" s="1"/>
  <c r="F91" i="71"/>
  <c r="A91" i="71" s="1"/>
  <c r="F90" i="71"/>
  <c r="A90" i="71" s="1"/>
  <c r="F89" i="71"/>
  <c r="A89" i="71" s="1"/>
  <c r="F88" i="71"/>
  <c r="A88" i="71" s="1"/>
  <c r="F87" i="71"/>
  <c r="A87" i="71" s="1"/>
  <c r="F86" i="71"/>
  <c r="A86" i="71" s="1"/>
  <c r="F85" i="71"/>
  <c r="A85" i="71" s="1"/>
  <c r="F84" i="71"/>
  <c r="A84" i="71" s="1"/>
  <c r="F83" i="71"/>
  <c r="A83" i="71" s="1"/>
  <c r="F82" i="71"/>
  <c r="A82" i="71" s="1"/>
  <c r="F81" i="71"/>
  <c r="A81" i="71" s="1"/>
  <c r="F80" i="71"/>
  <c r="A80" i="71" s="1"/>
  <c r="F79" i="71"/>
  <c r="A79" i="71" s="1"/>
  <c r="F78" i="71"/>
  <c r="A78" i="71" s="1"/>
  <c r="F77" i="71"/>
  <c r="A77" i="71" s="1"/>
  <c r="F76" i="71"/>
  <c r="A76" i="71" s="1"/>
  <c r="F75" i="71"/>
  <c r="A75" i="71" s="1"/>
  <c r="F74" i="71"/>
  <c r="A74" i="71" s="1"/>
  <c r="F73" i="71"/>
  <c r="A73" i="71" s="1"/>
  <c r="F72" i="71"/>
  <c r="A72" i="71" s="1"/>
  <c r="F71" i="71"/>
  <c r="A71" i="71" s="1"/>
  <c r="F70" i="71"/>
  <c r="A70" i="71" s="1"/>
  <c r="F69" i="71"/>
  <c r="A69" i="71" s="1"/>
  <c r="F68" i="71"/>
  <c r="A68" i="71" s="1"/>
  <c r="F67" i="71"/>
  <c r="A67" i="71" s="1"/>
  <c r="F66" i="71"/>
  <c r="A66" i="71" s="1"/>
  <c r="F65" i="71"/>
  <c r="A65" i="71" s="1"/>
  <c r="F64" i="71"/>
  <c r="A64" i="71" s="1"/>
  <c r="F63" i="71"/>
  <c r="A63" i="71" s="1"/>
  <c r="F62" i="71"/>
  <c r="A62" i="71" s="1"/>
  <c r="F61" i="71"/>
  <c r="A61" i="71" s="1"/>
  <c r="F60" i="71"/>
  <c r="A60" i="71" s="1"/>
  <c r="F59" i="71"/>
  <c r="A59" i="71" s="1"/>
  <c r="F58" i="71"/>
  <c r="A58" i="71" s="1"/>
  <c r="F57" i="71"/>
  <c r="A57" i="71" s="1"/>
  <c r="F56" i="71"/>
  <c r="A56" i="71" s="1"/>
  <c r="F55" i="71"/>
  <c r="A55" i="71" s="1"/>
  <c r="F54" i="71"/>
  <c r="A54" i="71" s="1"/>
  <c r="F53" i="71"/>
  <c r="A53" i="71" s="1"/>
  <c r="F52" i="71"/>
  <c r="A52" i="71" s="1"/>
  <c r="F51" i="71"/>
  <c r="A51" i="71" s="1"/>
  <c r="F50" i="71"/>
  <c r="A50" i="71" s="1"/>
  <c r="F49" i="71"/>
  <c r="A49" i="71" s="1"/>
  <c r="F48" i="71"/>
  <c r="A48" i="71" s="1"/>
  <c r="F47" i="71"/>
  <c r="A47" i="71" s="1"/>
  <c r="F46" i="71"/>
  <c r="A46" i="71" s="1"/>
  <c r="F45" i="71"/>
  <c r="A45" i="71" s="1"/>
  <c r="F44" i="71"/>
  <c r="A44" i="71" s="1"/>
  <c r="F43" i="71"/>
  <c r="A43" i="71" s="1"/>
  <c r="F42" i="71"/>
  <c r="A42" i="71" s="1"/>
  <c r="F41" i="71"/>
  <c r="A41" i="71" s="1"/>
  <c r="F40" i="71"/>
  <c r="A40" i="71" s="1"/>
  <c r="F39" i="71"/>
  <c r="A39" i="71" s="1"/>
  <c r="F38" i="71"/>
  <c r="A38" i="71" s="1"/>
  <c r="F37" i="71"/>
  <c r="A37" i="71" s="1"/>
  <c r="F36" i="71"/>
  <c r="A36" i="71" s="1"/>
  <c r="F35" i="71"/>
  <c r="A35" i="71" s="1"/>
  <c r="F34" i="71"/>
  <c r="A34" i="71" s="1"/>
  <c r="F33" i="71"/>
  <c r="A33" i="71" s="1"/>
  <c r="F32" i="71"/>
  <c r="A32" i="71" s="1"/>
  <c r="F31" i="71"/>
  <c r="A31" i="71" s="1"/>
  <c r="F30" i="71"/>
  <c r="A30" i="71" s="1"/>
  <c r="F29" i="71"/>
  <c r="A29" i="71" s="1"/>
  <c r="F28" i="71"/>
  <c r="A28" i="71" s="1"/>
  <c r="F27" i="71"/>
  <c r="A27" i="71" s="1"/>
  <c r="F26" i="71"/>
  <c r="A26" i="71" s="1"/>
  <c r="E26" i="71"/>
  <c r="F25" i="71"/>
  <c r="A25" i="71" s="1"/>
  <c r="E25" i="71"/>
  <c r="F11" i="71"/>
  <c r="A11" i="71" s="1"/>
  <c r="E11" i="71"/>
  <c r="F10" i="71"/>
  <c r="A10" i="71" s="1"/>
  <c r="E10" i="71"/>
  <c r="F9" i="71"/>
  <c r="A9" i="71" s="1"/>
  <c r="E9" i="71"/>
  <c r="F8" i="71"/>
  <c r="A8" i="71" s="1"/>
  <c r="E8" i="71"/>
  <c r="F7" i="71"/>
  <c r="A7" i="71" s="1"/>
  <c r="E7" i="71"/>
  <c r="F6" i="71"/>
  <c r="A6" i="71" s="1"/>
  <c r="E6" i="71"/>
  <c r="F5" i="71"/>
  <c r="A5" i="71" s="1"/>
  <c r="E5" i="71"/>
  <c r="F4" i="71"/>
  <c r="A4" i="71" s="1"/>
  <c r="E4" i="71"/>
  <c r="F3" i="71"/>
  <c r="A3" i="71" s="1"/>
  <c r="E3" i="71"/>
  <c r="F2" i="71"/>
  <c r="A2" i="71" s="1"/>
  <c r="E2" i="71"/>
</calcChain>
</file>

<file path=xl/sharedStrings.xml><?xml version="1.0" encoding="utf-8"?>
<sst xmlns="http://schemas.openxmlformats.org/spreadsheetml/2006/main" count="2922" uniqueCount="64">
  <si>
    <t xml:space="preserve">HISTORICO </t>
  </si>
  <si>
    <t>ID ORACLE</t>
  </si>
  <si>
    <t>BROKER</t>
  </si>
  <si>
    <t>VALOR</t>
  </si>
  <si>
    <t>FORNECEDOR</t>
  </si>
  <si>
    <t>DATA LANCAMENTO</t>
  </si>
  <si>
    <t>CODIGO CLIENTE</t>
  </si>
  <si>
    <t>DATA COMPETENCIA</t>
  </si>
  <si>
    <t>EE Code</t>
  </si>
  <si>
    <t>Billing Vendor</t>
  </si>
  <si>
    <t>Local Currency</t>
  </si>
  <si>
    <t>Soma de Local Gross Amount</t>
  </si>
  <si>
    <t>USD</t>
  </si>
  <si>
    <t>CHRISTIANO MARCONDES DE BARROS LIMA</t>
  </si>
  <si>
    <t>JOSE MAURICIO GOMES TEIXEIRA</t>
  </si>
  <si>
    <t>GUSTAVO D ELBOUX FERRIELLO</t>
  </si>
  <si>
    <t>-</t>
  </si>
  <si>
    <t>GBP</t>
  </si>
  <si>
    <t>REFINITIV DO RODRIGO PINO DIVIDIDO ENTRE O CHRISTIANO E JOSE</t>
  </si>
  <si>
    <t>CARLOS JOSE SEPPE MILANI</t>
  </si>
  <si>
    <t>FERNANDA CORVELLO BUTRICO</t>
  </si>
  <si>
    <t>BBG DO CARLOS MILANI</t>
  </si>
  <si>
    <t>LIQUIDEZ-OTHER</t>
  </si>
  <si>
    <t>CAD</t>
  </si>
  <si>
    <t>BRENO MELLO DOS SANTOS</t>
  </si>
  <si>
    <t>BBG DO RICARDO DIVIDIDO COM WESLEY</t>
  </si>
  <si>
    <t>BBG DO WESLEY  - DIVIDIDO COM GUSTAVO FERRIELO E BRENO  SANTOS</t>
  </si>
  <si>
    <t>RICARDO ANDRE VASCONCELOS RAMOS</t>
  </si>
  <si>
    <t>WESLEY MARQUES DA SILVA</t>
  </si>
  <si>
    <t>ENRICO BORTPLUZO CASSIANO</t>
  </si>
  <si>
    <t>BBG DO ENRICO DIVIDIDO COM A BGC</t>
  </si>
  <si>
    <t>REFINITIV DO PEDRO HENRIQUE ORTEGA BERNARDES</t>
  </si>
  <si>
    <t>ANTÔNIO MARTINS NETO</t>
  </si>
  <si>
    <t>EDRAS DURAES D ANUNCIACAO</t>
  </si>
  <si>
    <t>FABIO SOARES PFAENDER</t>
  </si>
  <si>
    <t>CLYBAS PINTO FERRAZ NETO</t>
  </si>
  <si>
    <t>PAULO GUILHERME MENEZES FELIX</t>
  </si>
  <si>
    <t>REINALDO ANDRE URBANO FILHO</t>
  </si>
  <si>
    <t>NDF</t>
  </si>
  <si>
    <t>BBG DO PEDRO AIZEMBERG</t>
  </si>
  <si>
    <t>CUSTO MARKET DATA - JANEIRO/26</t>
  </si>
  <si>
    <t>Bloomberg</t>
  </si>
  <si>
    <t>Refinitiv</t>
  </si>
  <si>
    <t>NAYANA IVO DE ALMEIDA</t>
  </si>
  <si>
    <t>Nyse Market Inc.</t>
  </si>
  <si>
    <t>Options Price Reporting Authority (Opra)</t>
  </si>
  <si>
    <t>CBOE Global Markets</t>
  </si>
  <si>
    <t>Fidessa</t>
  </si>
  <si>
    <t>Broadcast</t>
  </si>
  <si>
    <t>BRL</t>
  </si>
  <si>
    <t>Symphony Communication Services, Llc</t>
  </si>
  <si>
    <t>Toronto Stock Exchange</t>
  </si>
  <si>
    <t>Trade The News, Inc.</t>
  </si>
  <si>
    <t>CUSTO MARKET DATA - FEVEREIRO/26</t>
  </si>
  <si>
    <t>CUSTO MARKET DATA - MARÇO/26</t>
  </si>
  <si>
    <t>CUSTO MARKET DATA - ABRIL/26</t>
  </si>
  <si>
    <t>BBG DO KAUE JACOB</t>
  </si>
  <si>
    <t>CUSTO MARKET DATA - ABRIL/26-BLOOMBERG-161932</t>
  </si>
  <si>
    <t>BLOOMBERG</t>
  </si>
  <si>
    <t>BBG DO PHYDIAS</t>
  </si>
  <si>
    <t>CUSTO MARKET DATA - MAIO/26</t>
  </si>
  <si>
    <t>CUSTO MARKET DATA - JUNHO/26</t>
  </si>
  <si>
    <t>CUSTO MARKET DATA - JULHO/26</t>
  </si>
  <si>
    <t>CUSTO MARKET DATA - AGOSTO/26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</si>
</sst>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#,##0.00_ ;[Red]\-#,##0.00\ "/>
    <numFmt numFmtId="166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Verdana"/>
      <family val="2"/>
    </font>
    <font>
      <sz val="8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/>
    <xf numFmtId="164" fontId="3" fillId="0" borderId="0" xfId="1" applyFont="1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2" fillId="4" borderId="0" xfId="0" applyFont="1" applyFill="1" applyAlignment="1">
      <alignment vertical="center"/>
    </xf>
    <xf numFmtId="14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right" vertical="center"/>
    </xf>
    <xf numFmtId="164" fontId="2" fillId="4" borderId="0" xfId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right" vertical="center"/>
    </xf>
    <xf numFmtId="164" fontId="2" fillId="4" borderId="1" xfId="1" applyFont="1" applyFill="1" applyBorder="1" applyAlignment="1">
      <alignment vertical="center"/>
    </xf>
    <xf numFmtId="49" fontId="3" fillId="4" borderId="1" xfId="0" applyNumberFormat="1" applyFont="1" applyFill="1" applyBorder="1"/>
    <xf numFmtId="0" fontId="2" fillId="4" borderId="2" xfId="0" applyFont="1" applyFill="1" applyBorder="1" applyAlignment="1">
      <alignment vertical="center"/>
    </xf>
    <xf numFmtId="49" fontId="3" fillId="4" borderId="2" xfId="0" applyNumberFormat="1" applyFont="1" applyFill="1" applyBorder="1"/>
    <xf numFmtId="0" fontId="5" fillId="4" borderId="0" xfId="0" applyFont="1" applyFill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6" fillId="0" borderId="0" xfId="0" applyFont="1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164" fontId="2" fillId="0" borderId="0" xfId="1" applyFont="1" applyFill="1" applyAlignment="1">
      <alignment vertical="center"/>
    </xf>
    <xf numFmtId="0" fontId="5" fillId="0" borderId="0" xfId="0" applyFont="1" applyAlignment="1">
      <alignment vertical="center"/>
    </xf>
    <xf numFmtId="14" fontId="5" fillId="4" borderId="1" xfId="0" applyNumberFormat="1" applyFont="1" applyFill="1" applyBorder="1" applyAlignment="1">
      <alignment horizontal="center" vertical="center"/>
    </xf>
    <xf numFmtId="0" fontId="3" fillId="5" borderId="0" xfId="0" applyFont="1" applyFill="1"/>
    <xf numFmtId="0" fontId="3" fillId="0" borderId="0" xfId="0" applyFont="1" applyAlignment="1">
      <alignment horizontal="center" vertical="center"/>
    </xf>
    <xf numFmtId="0" fontId="3" fillId="0" borderId="0" xfId="1" applyNumberFormat="1" applyFont="1" applyFill="1" applyAlignment="1">
      <alignment horizontal="center" vertical="center"/>
    </xf>
    <xf numFmtId="164" fontId="3" fillId="0" borderId="0" xfId="1" applyFont="1" applyAlignment="1">
      <alignment horizontal="center" vertical="center"/>
    </xf>
    <xf numFmtId="165" fontId="3" fillId="0" borderId="0" xfId="0" applyNumberFormat="1" applyFont="1"/>
    <xf numFmtId="14" fontId="5" fillId="4" borderId="0" xfId="0" applyNumberFormat="1" applyFont="1" applyFill="1" applyAlignment="1">
      <alignment horizontal="center" vertical="center"/>
    </xf>
    <xf numFmtId="49" fontId="3" fillId="4" borderId="0" xfId="0" applyNumberFormat="1" applyFont="1" applyFill="1"/>
    <xf numFmtId="0" fontId="2" fillId="2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164" fontId="5" fillId="4" borderId="0" xfId="1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164" fontId="4" fillId="3" borderId="0" xfId="1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164" fontId="2" fillId="2" borderId="0" xfId="1" applyFont="1" applyFill="1" applyAlignment="1">
      <alignment horizontal="center" vertical="center"/>
    </xf>
    <xf numFmtId="166" fontId="7" fillId="2" borderId="0" xfId="0" applyNumberFormat="1" applyFont="1" applyFill="1" applyAlignment="1">
      <alignment horizontal="center" vertical="center"/>
    </xf>
    <xf numFmtId="164" fontId="3" fillId="4" borderId="1" xfId="1" applyFont="1" applyFill="1" applyBorder="1" applyAlignment="1">
      <alignment vertical="center"/>
    </xf>
    <xf numFmtId="0" fontId="3" fillId="0" borderId="0" xfId="0" applyFont="1" applyAlignment="1">
      <alignment horizontal="right" vertical="center"/>
    </xf>
    <xf numFmtId="164" fontId="3" fillId="0" borderId="0" xfId="1" applyFont="1" applyFill="1" applyAlignment="1">
      <alignment horizontal="center" vertical="center"/>
    </xf>
    <xf numFmtId="164" fontId="2" fillId="2" borderId="1" xfId="1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8" fillId="0" borderId="0" xfId="0" applyFont="1"/>
    <xf numFmtId="0" fontId="5" fillId="0" borderId="0" xfId="0" applyFont="1"/>
    <xf numFmtId="0" fontId="3" fillId="4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8" fillId="0" borderId="0" xfId="0" applyNumberFormat="1" applyFont="1"/>
    <xf numFmtId="0" fontId="3" fillId="0" borderId="0" xfId="0" applyNumberFormat="1" applyFont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C39E7A0D-F98A-469E-A7B3-3E2E58B93B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iversos/Cadastro/BROKERS/2026/Matriz%20de%20Brokers.xlsx" TargetMode="External"/><Relationship Id="rId2" Type="http://schemas.openxmlformats.org/officeDocument/2006/relationships/externalLinkPath" Target="file:///X:\Gerencial\Diversos\Cadastro\BROKERS\2026\Matriz%20de%20Brokers.xlsx" TargetMode="External"/><Relationship Id="rId1" Type="http://schemas.openxmlformats.org/officeDocument/2006/relationships/externalLinkPath" Target="/Gerencial/Diversos/Cadastro/BROKERS/2026/Matriz%20de%20Brok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triz Brokers"/>
      <sheetName val="Desligado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5979D-19FA-45F3-AB5A-DBC56DF80931}">
  <dimension ref="A1:BZ1048562"/>
  <sheetViews>
    <sheetView showGridLines="0" zoomScaleNormal="100" workbookViewId="0">
      <selection activeCell="A2" sqref="A2"/>
    </sheetView>
  </sheetViews>
  <sheetFormatPr defaultRowHeight="15" customHeight="1" x14ac:dyDescent="0.25"/>
  <cols>
    <col min="1" max="1" width="48.85546875" style="1" customWidth="1"/>
    <col min="2" max="2" width="19.140625" style="3" bestFit="1" customWidth="1"/>
    <col min="3" max="3" width="8.42578125" style="4" customWidth="1"/>
    <col min="4" max="4" width="34.7109375" style="1" bestFit="1" customWidth="1"/>
    <col min="5" max="5" width="10" style="2" bestFit="1" customWidth="1"/>
    <col min="6" max="6" width="17.42578125" style="1" bestFit="1" customWidth="1"/>
    <col min="7" max="7" width="19.140625" style="3" bestFit="1" customWidth="1"/>
    <col min="8" max="8" width="16.28515625" style="19" bestFit="1" customWidth="1"/>
    <col min="9" max="9" width="2.7109375" customWidth="1"/>
    <col min="10" max="10" width="14" style="1" customWidth="1"/>
    <col min="11" max="11" width="28.28515625" style="1" bestFit="1" customWidth="1"/>
    <col min="12" max="12" width="8.7109375" style="1" customWidth="1"/>
    <col min="13" max="13" width="23.28515625" style="2" bestFit="1" customWidth="1"/>
    <col min="14" max="14" width="53.5703125" bestFit="1" customWidth="1"/>
    <col min="15" max="15" width="6.140625" style="1" bestFit="1" customWidth="1"/>
    <col min="16" max="16" width="11.5703125" style="26" bestFit="1" customWidth="1"/>
    <col min="17" max="17" width="9.140625" style="28" bestFit="1" customWidth="1"/>
    <col min="18" max="18" width="11.5703125" style="26" bestFit="1" customWidth="1"/>
    <col min="19" max="19" width="9.140625" style="28" bestFit="1" customWidth="1"/>
    <col min="20" max="20" width="11.5703125" style="26" bestFit="1" customWidth="1"/>
    <col min="21" max="21" width="9.140625" style="28"/>
    <col min="22" max="16384" width="9.140625" style="1"/>
  </cols>
  <sheetData>
    <row r="1" spans="1:21" ht="15" customHeight="1" x14ac:dyDescent="0.2">
      <c r="A1" s="33" t="s">
        <v>0</v>
      </c>
      <c r="B1" s="30" t="s">
        <v>7</v>
      </c>
      <c r="C1" s="33" t="s">
        <v>1</v>
      </c>
      <c r="D1" s="33" t="s">
        <v>2</v>
      </c>
      <c r="E1" s="34" t="s">
        <v>3</v>
      </c>
      <c r="F1" s="33" t="s">
        <v>4</v>
      </c>
      <c r="G1" s="30" t="s">
        <v>5</v>
      </c>
      <c r="H1" s="33" t="s">
        <v>6</v>
      </c>
      <c r="I1" s="33" t="s">
        <v>16</v>
      </c>
      <c r="J1" s="35" t="s">
        <v>8</v>
      </c>
      <c r="K1" s="35" t="s">
        <v>9</v>
      </c>
      <c r="L1" s="35" t="s">
        <v>10</v>
      </c>
      <c r="M1" s="36" t="s">
        <v>11</v>
      </c>
      <c r="N1" s="32" t="s">
        <v>40</v>
      </c>
      <c r="P1" s="37">
        <v>5.2301000000000002</v>
      </c>
      <c r="Q1" s="38" t="s">
        <v>12</v>
      </c>
      <c r="R1" s="39">
        <v>7.1761999999999997</v>
      </c>
      <c r="S1" s="38" t="s">
        <v>17</v>
      </c>
      <c r="T1" s="37">
        <v>3.8624000000000001</v>
      </c>
      <c r="U1" s="38" t="s">
        <v>23</v>
      </c>
    </row>
    <row r="2" spans="1:21" ht="15" customHeight="1" x14ac:dyDescent="0.25">
      <c r="A2" s="5" t="str">
        <f t="shared" ref="A2:A7" si="0">CONCATENATE($N$1,$I$1,F2,$I$1,J2)</f>
        <v>CUSTO MARKET DATA - JANEIRO/26-BLOOMBERG-67829</v>
      </c>
      <c r="B2" s="6">
        <v>46023</v>
      </c>
      <c r="C2" s="7">
        <v>817393</v>
      </c>
      <c r="D2" s="5" t="s">
        <v>15</v>
      </c>
      <c r="E2" s="8">
        <f>-IF(L2="BRL",M2,M2*$P$1)/2</f>
        <v>-6064.9831825493502</v>
      </c>
      <c r="F2" s="5" t="str">
        <f>UPPER(K2)</f>
        <v>BLOOMBERG</v>
      </c>
      <c r="G2" s="6">
        <f>B2</f>
        <v>46023</v>
      </c>
      <c r="H2" s="16">
        <v>1170</v>
      </c>
      <c r="J2" s="18">
        <v>67829</v>
      </c>
      <c r="K2" s="14" t="s">
        <v>41</v>
      </c>
      <c r="L2" s="15" t="s">
        <v>12</v>
      </c>
      <c r="M2" s="8">
        <v>2319.2608869999999</v>
      </c>
      <c r="N2" s="47" t="s">
        <v>26</v>
      </c>
      <c r="O2" s="49">
        <v>67829</v>
      </c>
      <c r="Q2" s="27"/>
      <c r="S2" s="27"/>
      <c r="U2" s="27"/>
    </row>
    <row r="3" spans="1:21" ht="15" customHeight="1" x14ac:dyDescent="0.25">
      <c r="A3" s="10" t="str">
        <f t="shared" si="0"/>
        <v>CUSTO MARKET DATA - JANEIRO/26-BLOOMBERG-67829</v>
      </c>
      <c r="B3" s="24">
        <v>46023</v>
      </c>
      <c r="C3" s="11">
        <v>817393</v>
      </c>
      <c r="D3" s="10" t="s">
        <v>24</v>
      </c>
      <c r="E3" s="12">
        <f>-IF(L3="BRL",M3,M3*$P$1)/2</f>
        <v>-6064.9831825493502</v>
      </c>
      <c r="F3" s="10" t="str">
        <f t="shared" ref="F3:F11" si="1">UPPER(K3)</f>
        <v>BLOOMBERG</v>
      </c>
      <c r="G3" s="24">
        <f t="shared" ref="G3:G66" si="2">B3</f>
        <v>46023</v>
      </c>
      <c r="H3" s="17">
        <v>1170</v>
      </c>
      <c r="J3" s="17">
        <v>67829</v>
      </c>
      <c r="K3" s="17" t="s">
        <v>41</v>
      </c>
      <c r="L3" s="13" t="s">
        <v>12</v>
      </c>
      <c r="M3" s="12">
        <v>2319.2608869999999</v>
      </c>
      <c r="N3" s="48"/>
      <c r="O3" s="50"/>
      <c r="Q3" s="27"/>
      <c r="S3" s="27"/>
      <c r="U3" s="27"/>
    </row>
    <row r="4" spans="1:21" ht="15" customHeight="1" x14ac:dyDescent="0.25">
      <c r="A4" s="5" t="str">
        <f t="shared" si="0"/>
        <v>CUSTO MARKET DATA - JANEIRO/26-BLOOMBERG-67825</v>
      </c>
      <c r="B4" s="6">
        <v>46023</v>
      </c>
      <c r="C4" s="7">
        <v>817393</v>
      </c>
      <c r="D4" s="5" t="s">
        <v>28</v>
      </c>
      <c r="E4" s="8">
        <f>-IF(L4="BRL",M4,M4*$P$1)/2</f>
        <v>-5958.1148076260506</v>
      </c>
      <c r="F4" s="5" t="str">
        <f t="shared" si="1"/>
        <v>BLOOMBERG</v>
      </c>
      <c r="G4" s="6">
        <f t="shared" si="2"/>
        <v>46023</v>
      </c>
      <c r="H4" s="16">
        <v>1170</v>
      </c>
      <c r="J4" s="18">
        <v>67825</v>
      </c>
      <c r="K4" s="18" t="s">
        <v>41</v>
      </c>
      <c r="L4" s="15" t="s">
        <v>12</v>
      </c>
      <c r="M4" s="8">
        <v>2278.394221</v>
      </c>
      <c r="N4" s="47" t="s">
        <v>25</v>
      </c>
      <c r="O4" s="49">
        <v>67825</v>
      </c>
      <c r="Q4" s="27"/>
      <c r="S4" s="27"/>
      <c r="U4" s="27"/>
    </row>
    <row r="5" spans="1:21" ht="15" customHeight="1" x14ac:dyDescent="0.25">
      <c r="A5" s="10" t="str">
        <f t="shared" si="0"/>
        <v>CUSTO MARKET DATA - JANEIRO/26-BLOOMBERG-67825</v>
      </c>
      <c r="B5" s="24">
        <v>46023</v>
      </c>
      <c r="C5" s="11">
        <v>817393</v>
      </c>
      <c r="D5" s="10" t="s">
        <v>27</v>
      </c>
      <c r="E5" s="12">
        <f>-IF(L5="BRL",M5,M5*$P$1)/2</f>
        <v>-5958.1148076260506</v>
      </c>
      <c r="F5" s="10" t="str">
        <f t="shared" si="1"/>
        <v>BLOOMBERG</v>
      </c>
      <c r="G5" s="24">
        <f t="shared" si="2"/>
        <v>46023</v>
      </c>
      <c r="H5" s="17">
        <v>1170</v>
      </c>
      <c r="J5" s="17">
        <v>67825</v>
      </c>
      <c r="K5" s="17" t="s">
        <v>41</v>
      </c>
      <c r="L5" s="13" t="s">
        <v>12</v>
      </c>
      <c r="M5" s="12">
        <v>2278.394221</v>
      </c>
      <c r="N5" s="48"/>
      <c r="O5" s="50"/>
      <c r="Q5" s="27"/>
      <c r="S5" s="27"/>
      <c r="U5" s="27"/>
    </row>
    <row r="6" spans="1:21" ht="15" customHeight="1" x14ac:dyDescent="0.25">
      <c r="A6" s="5" t="str">
        <f t="shared" si="0"/>
        <v>CUSTO MARKET DATA - JANEIRO/26-REFINITIV-103090</v>
      </c>
      <c r="B6" s="6">
        <v>46023</v>
      </c>
      <c r="C6" s="7">
        <v>817393</v>
      </c>
      <c r="D6" s="5" t="s">
        <v>13</v>
      </c>
      <c r="E6" s="8">
        <f>-IF(L6="BRL",M6,IF(L6="GBP",M6*R1,M6*$P$1))/2</f>
        <v>-74.222173588800004</v>
      </c>
      <c r="F6" s="5" t="str">
        <f t="shared" si="1"/>
        <v>REFINITIV</v>
      </c>
      <c r="G6" s="6">
        <f t="shared" si="2"/>
        <v>46023</v>
      </c>
      <c r="H6" s="16">
        <v>1170</v>
      </c>
      <c r="J6" s="18">
        <v>103090</v>
      </c>
      <c r="K6" s="18" t="s">
        <v>42</v>
      </c>
      <c r="L6" s="15" t="s">
        <v>17</v>
      </c>
      <c r="M6" s="8">
        <v>20.685648</v>
      </c>
      <c r="N6" s="47" t="s">
        <v>18</v>
      </c>
      <c r="O6" s="49">
        <v>103090</v>
      </c>
      <c r="Q6" s="27"/>
      <c r="S6" s="27"/>
      <c r="U6" s="27"/>
    </row>
    <row r="7" spans="1:21" ht="15" customHeight="1" x14ac:dyDescent="0.25">
      <c r="A7" s="10" t="str">
        <f t="shared" si="0"/>
        <v>CUSTO MARKET DATA - JANEIRO/26-REFINITIV-103090</v>
      </c>
      <c r="B7" s="24">
        <v>46023</v>
      </c>
      <c r="C7" s="11">
        <v>817393</v>
      </c>
      <c r="D7" s="10" t="s">
        <v>14</v>
      </c>
      <c r="E7" s="12">
        <f>-IF(L7="BRL",M7,IF(L7="GBP",M7*R1,M7*$P$1))/2</f>
        <v>-74.222173588800004</v>
      </c>
      <c r="F7" s="10" t="str">
        <f t="shared" si="1"/>
        <v>REFINITIV</v>
      </c>
      <c r="G7" s="24">
        <f t="shared" si="2"/>
        <v>46023</v>
      </c>
      <c r="H7" s="17">
        <v>1170</v>
      </c>
      <c r="J7" s="17">
        <v>103090</v>
      </c>
      <c r="K7" s="17" t="s">
        <v>42</v>
      </c>
      <c r="L7" s="13" t="s">
        <v>17</v>
      </c>
      <c r="M7" s="12">
        <v>20.685648</v>
      </c>
      <c r="N7" s="48"/>
      <c r="O7" s="50"/>
      <c r="Q7" s="27"/>
      <c r="S7" s="27"/>
      <c r="U7" s="27"/>
    </row>
    <row r="8" spans="1:21" ht="15" customHeight="1" x14ac:dyDescent="0.25">
      <c r="A8" s="5" t="str">
        <f t="shared" ref="A8:A79" si="3">CONCATENATE($N$1,$I$1,F8,$I$1,J8)</f>
        <v>CUSTO MARKET DATA - JANEIRO/26-BLOOMBERG-72574</v>
      </c>
      <c r="B8" s="6">
        <v>46023</v>
      </c>
      <c r="C8" s="7">
        <v>817393</v>
      </c>
      <c r="D8" s="5" t="s">
        <v>19</v>
      </c>
      <c r="E8" s="8">
        <f>-IF(L8="BRL",M8,IF(L8="GBP",M8*#REF!,M8*$P$1))/2</f>
        <v>-6207.0675676260498</v>
      </c>
      <c r="F8" s="5" t="str">
        <f t="shared" si="1"/>
        <v>BLOOMBERG</v>
      </c>
      <c r="G8" s="6">
        <f t="shared" si="2"/>
        <v>46023</v>
      </c>
      <c r="H8" s="16">
        <v>1170</v>
      </c>
      <c r="J8" s="18">
        <v>72574</v>
      </c>
      <c r="K8" s="18" t="s">
        <v>41</v>
      </c>
      <c r="L8" s="15" t="s">
        <v>12</v>
      </c>
      <c r="M8" s="8">
        <v>2373.5942209999998</v>
      </c>
      <c r="N8" s="47" t="s">
        <v>21</v>
      </c>
      <c r="O8" s="49"/>
      <c r="Q8" s="27"/>
      <c r="S8" s="27"/>
      <c r="U8" s="27"/>
    </row>
    <row r="9" spans="1:21" ht="15" customHeight="1" x14ac:dyDescent="0.25">
      <c r="A9" s="10" t="str">
        <f t="shared" si="3"/>
        <v>CUSTO MARKET DATA - JANEIRO/26-BLOOMBERG-72574</v>
      </c>
      <c r="B9" s="24">
        <v>46023</v>
      </c>
      <c r="C9" s="11">
        <v>817393</v>
      </c>
      <c r="D9" s="10" t="s">
        <v>20</v>
      </c>
      <c r="E9" s="12">
        <f>-IF(L9="BRL",M9,IF(L9="GBP",M9*#REF!,M9*$P$1))/2</f>
        <v>-6207.0675676260498</v>
      </c>
      <c r="F9" s="10" t="str">
        <f t="shared" si="1"/>
        <v>BLOOMBERG</v>
      </c>
      <c r="G9" s="24">
        <f t="shared" si="2"/>
        <v>46023</v>
      </c>
      <c r="H9" s="17">
        <v>1170</v>
      </c>
      <c r="J9" s="17">
        <v>72574</v>
      </c>
      <c r="K9" s="17" t="s">
        <v>41</v>
      </c>
      <c r="L9" s="13" t="s">
        <v>12</v>
      </c>
      <c r="M9" s="12">
        <v>2373.5942209999998</v>
      </c>
      <c r="N9" s="48"/>
      <c r="O9" s="50"/>
      <c r="Q9" s="27"/>
      <c r="S9" s="27"/>
      <c r="U9" s="27"/>
    </row>
    <row r="10" spans="1:21" ht="15" customHeight="1" x14ac:dyDescent="0.25">
      <c r="A10" s="5" t="str">
        <f t="shared" si="3"/>
        <v>CUSTO MARKET DATA - JANEIRO/26-BLOOMBERG-135064</v>
      </c>
      <c r="B10" s="6">
        <v>46023</v>
      </c>
      <c r="C10" s="7">
        <v>817393</v>
      </c>
      <c r="D10" s="5" t="s">
        <v>29</v>
      </c>
      <c r="E10" s="8">
        <f>-IF(L10="BRL",M10,IF(L10="GBP",M10*#REF!,M10*$P$1))/2</f>
        <v>-6278.98144262605</v>
      </c>
      <c r="F10" s="5" t="str">
        <f t="shared" si="1"/>
        <v>BLOOMBERG</v>
      </c>
      <c r="G10" s="6">
        <f t="shared" si="2"/>
        <v>46023</v>
      </c>
      <c r="H10" s="16">
        <v>1170</v>
      </c>
      <c r="J10" s="18">
        <v>135064</v>
      </c>
      <c r="K10" s="18" t="s">
        <v>41</v>
      </c>
      <c r="L10" s="15" t="s">
        <v>12</v>
      </c>
      <c r="M10" s="8">
        <v>2401.0942209999998</v>
      </c>
      <c r="N10" s="47" t="s">
        <v>30</v>
      </c>
      <c r="O10" s="49"/>
      <c r="Q10" s="27"/>
      <c r="S10" s="27"/>
      <c r="U10" s="27"/>
    </row>
    <row r="11" spans="1:21" ht="15" customHeight="1" x14ac:dyDescent="0.25">
      <c r="A11" s="10" t="str">
        <f t="shared" si="3"/>
        <v>CUSTO MARKET DATA - JANEIRO/26-BLOOMBERG-135064</v>
      </c>
      <c r="B11" s="24">
        <v>46023</v>
      </c>
      <c r="C11" s="11">
        <v>817393</v>
      </c>
      <c r="D11" s="10" t="s">
        <v>22</v>
      </c>
      <c r="E11" s="12">
        <f>-IF(L11="BRL",M11,IF(L11="GBP",M11*#REF!,M11*$P$1))/2</f>
        <v>-6278.98144262605</v>
      </c>
      <c r="F11" s="10" t="str">
        <f t="shared" si="1"/>
        <v>BLOOMBERG</v>
      </c>
      <c r="G11" s="24">
        <f t="shared" si="2"/>
        <v>46023</v>
      </c>
      <c r="H11" s="17">
        <v>1170</v>
      </c>
      <c r="J11" s="17">
        <v>135064</v>
      </c>
      <c r="K11" s="17" t="s">
        <v>41</v>
      </c>
      <c r="L11" s="13" t="s">
        <v>12</v>
      </c>
      <c r="M11" s="12">
        <v>2401.0942209999998</v>
      </c>
      <c r="N11" s="48"/>
      <c r="O11" s="50"/>
      <c r="Q11" s="27"/>
      <c r="S11" s="27"/>
      <c r="U11" s="27"/>
    </row>
    <row r="12" spans="1:21" ht="15" customHeight="1" x14ac:dyDescent="0.25">
      <c r="A12" s="5" t="str">
        <f t="shared" si="3"/>
        <v>CUSTO MARKET DATA - JANEIRO/26-Bloomberg-151474</v>
      </c>
      <c r="B12" s="30">
        <v>46023</v>
      </c>
      <c r="C12" s="7">
        <v>817393</v>
      </c>
      <c r="D12" s="5" t="s">
        <v>32</v>
      </c>
      <c r="E12" s="8">
        <f>-IF(L12="BRL",M12,IF(L12="GBP",M12*$R$1,IF(L12="CAD",M12*$T$1,M12*$P$1)))/13</f>
        <v>-4.0231538461538463</v>
      </c>
      <c r="F12" s="5" t="str">
        <f>K12</f>
        <v>Bloomberg</v>
      </c>
      <c r="G12" s="30">
        <f t="shared" si="2"/>
        <v>46023</v>
      </c>
      <c r="H12" s="16">
        <v>1170</v>
      </c>
      <c r="J12" s="16">
        <v>151474</v>
      </c>
      <c r="K12" s="16" t="s">
        <v>41</v>
      </c>
      <c r="L12" s="31" t="s">
        <v>12</v>
      </c>
      <c r="M12" s="8">
        <v>10</v>
      </c>
      <c r="N12" s="47" t="s">
        <v>31</v>
      </c>
      <c r="O12" s="26"/>
      <c r="Q12" s="27"/>
      <c r="S12" s="27"/>
      <c r="U12" s="27"/>
    </row>
    <row r="13" spans="1:21" ht="15" customHeight="1" x14ac:dyDescent="0.25">
      <c r="A13" s="5" t="str">
        <f>CONCATENATE($N$1,$I$1,F13,$I$1,J13)</f>
        <v>CUSTO MARKET DATA - JANEIRO/26-Bloomberg-151474</v>
      </c>
      <c r="B13" s="30">
        <v>46023</v>
      </c>
      <c r="C13" s="7">
        <v>817393</v>
      </c>
      <c r="D13" s="5" t="s">
        <v>24</v>
      </c>
      <c r="E13" s="8">
        <f t="shared" ref="E13:E24" si="4">-IF(L13="BRL",M13,IF(L13="GBP",M13*$R$1,IF(L13="CAD",M13*$T$1,M13*$P$1)))/13</f>
        <v>-4.0231538461538463</v>
      </c>
      <c r="F13" s="5" t="str">
        <f t="shared" ref="F13:F24" si="5">K13</f>
        <v>Bloomberg</v>
      </c>
      <c r="G13" s="30">
        <f t="shared" si="2"/>
        <v>46023</v>
      </c>
      <c r="H13" s="16">
        <v>1170</v>
      </c>
      <c r="J13" s="16">
        <v>151474</v>
      </c>
      <c r="K13" s="16" t="s">
        <v>41</v>
      </c>
      <c r="L13" s="31" t="s">
        <v>12</v>
      </c>
      <c r="M13" s="8">
        <v>10</v>
      </c>
      <c r="N13" s="51"/>
      <c r="O13" s="26"/>
      <c r="Q13" s="27"/>
      <c r="S13" s="27"/>
      <c r="U13" s="27"/>
    </row>
    <row r="14" spans="1:21" ht="15" customHeight="1" x14ac:dyDescent="0.25">
      <c r="A14" s="5" t="str">
        <f t="shared" si="3"/>
        <v>CUSTO MARKET DATA - JANEIRO/26-Bloomberg-151474</v>
      </c>
      <c r="B14" s="30">
        <v>46023</v>
      </c>
      <c r="C14" s="7">
        <v>817393</v>
      </c>
      <c r="D14" s="5" t="s">
        <v>33</v>
      </c>
      <c r="E14" s="8">
        <f t="shared" si="4"/>
        <v>-4.0231538461538463</v>
      </c>
      <c r="F14" s="5" t="str">
        <f t="shared" si="5"/>
        <v>Bloomberg</v>
      </c>
      <c r="G14" s="30">
        <f t="shared" si="2"/>
        <v>46023</v>
      </c>
      <c r="H14" s="16">
        <v>1170</v>
      </c>
      <c r="J14" s="16">
        <v>151474</v>
      </c>
      <c r="K14" s="16" t="s">
        <v>41</v>
      </c>
      <c r="L14" s="31" t="s">
        <v>12</v>
      </c>
      <c r="M14" s="8">
        <v>10</v>
      </c>
      <c r="N14" s="51"/>
      <c r="O14" s="26"/>
      <c r="Q14" s="27"/>
      <c r="S14" s="27"/>
      <c r="U14" s="27"/>
    </row>
    <row r="15" spans="1:21" ht="15" customHeight="1" x14ac:dyDescent="0.25">
      <c r="A15" s="5" t="str">
        <f t="shared" si="3"/>
        <v>CUSTO MARKET DATA - JANEIRO/26-Bloomberg-151474</v>
      </c>
      <c r="B15" s="30">
        <v>46023</v>
      </c>
      <c r="C15" s="7">
        <v>817393</v>
      </c>
      <c r="D15" s="5" t="s">
        <v>34</v>
      </c>
      <c r="E15" s="8">
        <f t="shared" si="4"/>
        <v>-4.0231538461538463</v>
      </c>
      <c r="F15" s="5" t="str">
        <f t="shared" si="5"/>
        <v>Bloomberg</v>
      </c>
      <c r="G15" s="30">
        <f t="shared" si="2"/>
        <v>46023</v>
      </c>
      <c r="H15" s="16">
        <v>1170</v>
      </c>
      <c r="J15" s="16">
        <v>151474</v>
      </c>
      <c r="K15" s="16" t="s">
        <v>41</v>
      </c>
      <c r="L15" s="31" t="s">
        <v>12</v>
      </c>
      <c r="M15" s="8">
        <v>10</v>
      </c>
      <c r="N15" s="51"/>
      <c r="O15" s="26"/>
      <c r="Q15" s="27"/>
      <c r="S15" s="27"/>
      <c r="U15" s="27"/>
    </row>
    <row r="16" spans="1:21" ht="15" customHeight="1" x14ac:dyDescent="0.25">
      <c r="A16" s="5" t="str">
        <f t="shared" si="3"/>
        <v>CUSTO MARKET DATA - JANEIRO/26-Bloomberg-151474</v>
      </c>
      <c r="B16" s="30">
        <v>46023</v>
      </c>
      <c r="C16" s="7">
        <v>817393</v>
      </c>
      <c r="D16" s="5" t="s">
        <v>15</v>
      </c>
      <c r="E16" s="8">
        <f t="shared" si="4"/>
        <v>-4.0231538461538463</v>
      </c>
      <c r="F16" s="5" t="str">
        <f t="shared" si="5"/>
        <v>Bloomberg</v>
      </c>
      <c r="G16" s="30">
        <f t="shared" si="2"/>
        <v>46023</v>
      </c>
      <c r="H16" s="16">
        <v>1170</v>
      </c>
      <c r="J16" s="16">
        <v>151474</v>
      </c>
      <c r="K16" s="16" t="s">
        <v>41</v>
      </c>
      <c r="L16" s="31" t="s">
        <v>12</v>
      </c>
      <c r="M16" s="8">
        <v>10</v>
      </c>
      <c r="N16" s="51"/>
      <c r="O16" s="26"/>
      <c r="Q16" s="27"/>
      <c r="S16" s="27"/>
      <c r="U16" s="27"/>
    </row>
    <row r="17" spans="1:21" ht="15" customHeight="1" x14ac:dyDescent="0.25">
      <c r="A17" s="5" t="str">
        <f t="shared" si="3"/>
        <v>CUSTO MARKET DATA - JANEIRO/26-Bloomberg-151474</v>
      </c>
      <c r="B17" s="30">
        <v>46023</v>
      </c>
      <c r="C17" s="7">
        <v>817393</v>
      </c>
      <c r="D17" s="5" t="s">
        <v>27</v>
      </c>
      <c r="E17" s="8">
        <f t="shared" si="4"/>
        <v>-4.0231538461538463</v>
      </c>
      <c r="F17" s="5" t="str">
        <f t="shared" si="5"/>
        <v>Bloomberg</v>
      </c>
      <c r="G17" s="30">
        <f t="shared" si="2"/>
        <v>46023</v>
      </c>
      <c r="H17" s="16">
        <v>1170</v>
      </c>
      <c r="J17" s="16">
        <v>151474</v>
      </c>
      <c r="K17" s="16" t="s">
        <v>41</v>
      </c>
      <c r="L17" s="31" t="s">
        <v>12</v>
      </c>
      <c r="M17" s="8">
        <v>10</v>
      </c>
      <c r="N17" s="51"/>
      <c r="O17" s="26"/>
      <c r="Q17" s="27"/>
      <c r="S17" s="27"/>
      <c r="U17" s="27"/>
    </row>
    <row r="18" spans="1:21" ht="15" customHeight="1" x14ac:dyDescent="0.25">
      <c r="A18" s="5" t="str">
        <f t="shared" si="3"/>
        <v>CUSTO MARKET DATA - JANEIRO/26-Bloomberg-151474</v>
      </c>
      <c r="B18" s="30">
        <v>46023</v>
      </c>
      <c r="C18" s="7">
        <v>817393</v>
      </c>
      <c r="D18" s="5" t="s">
        <v>28</v>
      </c>
      <c r="E18" s="8">
        <f t="shared" si="4"/>
        <v>-4.0231538461538463</v>
      </c>
      <c r="F18" s="5" t="str">
        <f t="shared" si="5"/>
        <v>Bloomberg</v>
      </c>
      <c r="G18" s="30">
        <f t="shared" si="2"/>
        <v>46023</v>
      </c>
      <c r="H18" s="16">
        <v>1170</v>
      </c>
      <c r="J18" s="16">
        <v>151474</v>
      </c>
      <c r="K18" s="16" t="s">
        <v>41</v>
      </c>
      <c r="L18" s="31" t="s">
        <v>12</v>
      </c>
      <c r="M18" s="8">
        <v>10</v>
      </c>
      <c r="N18" s="51"/>
      <c r="O18" s="26"/>
      <c r="Q18" s="27"/>
      <c r="S18" s="27"/>
      <c r="U18" s="27"/>
    </row>
    <row r="19" spans="1:21" ht="15" customHeight="1" x14ac:dyDescent="0.25">
      <c r="A19" s="5" t="str">
        <f t="shared" si="3"/>
        <v>CUSTO MARKET DATA - JANEIRO/26-Bloomberg-151474</v>
      </c>
      <c r="B19" s="30">
        <v>46023</v>
      </c>
      <c r="C19" s="7">
        <v>817393</v>
      </c>
      <c r="D19" s="5" t="s">
        <v>19</v>
      </c>
      <c r="E19" s="8">
        <f t="shared" si="4"/>
        <v>-4.0231538461538463</v>
      </c>
      <c r="F19" s="5" t="str">
        <f t="shared" si="5"/>
        <v>Bloomberg</v>
      </c>
      <c r="G19" s="30">
        <f t="shared" si="2"/>
        <v>46023</v>
      </c>
      <c r="H19" s="16">
        <v>1170</v>
      </c>
      <c r="J19" s="16">
        <v>151474</v>
      </c>
      <c r="K19" s="16" t="s">
        <v>41</v>
      </c>
      <c r="L19" s="31" t="s">
        <v>12</v>
      </c>
      <c r="M19" s="8">
        <v>10</v>
      </c>
      <c r="N19" s="51"/>
      <c r="O19" s="26"/>
      <c r="Q19" s="27"/>
      <c r="S19" s="27"/>
      <c r="U19" s="27"/>
    </row>
    <row r="20" spans="1:21" ht="15" customHeight="1" x14ac:dyDescent="0.25">
      <c r="A20" s="5" t="str">
        <f t="shared" si="3"/>
        <v>CUSTO MARKET DATA - JANEIRO/26-Bloomberg-151474</v>
      </c>
      <c r="B20" s="30">
        <v>46023</v>
      </c>
      <c r="C20" s="7">
        <v>817393</v>
      </c>
      <c r="D20" s="5" t="s">
        <v>35</v>
      </c>
      <c r="E20" s="8">
        <f t="shared" si="4"/>
        <v>-4.0231538461538463</v>
      </c>
      <c r="F20" s="5" t="str">
        <f t="shared" si="5"/>
        <v>Bloomberg</v>
      </c>
      <c r="G20" s="30">
        <f t="shared" si="2"/>
        <v>46023</v>
      </c>
      <c r="H20" s="16">
        <v>1170</v>
      </c>
      <c r="J20" s="16">
        <v>151474</v>
      </c>
      <c r="K20" s="16" t="s">
        <v>41</v>
      </c>
      <c r="L20" s="31" t="s">
        <v>12</v>
      </c>
      <c r="M20" s="8">
        <v>10</v>
      </c>
      <c r="N20" s="51"/>
      <c r="O20" s="26"/>
      <c r="Q20" s="27"/>
      <c r="S20" s="27"/>
      <c r="U20" s="27"/>
    </row>
    <row r="21" spans="1:21" ht="15" customHeight="1" x14ac:dyDescent="0.25">
      <c r="A21" s="5" t="str">
        <f t="shared" si="3"/>
        <v>CUSTO MARKET DATA - JANEIRO/26-Bloomberg-151474</v>
      </c>
      <c r="B21" s="30">
        <v>46023</v>
      </c>
      <c r="C21" s="7">
        <v>817393</v>
      </c>
      <c r="D21" s="5" t="s">
        <v>20</v>
      </c>
      <c r="E21" s="8">
        <f t="shared" si="4"/>
        <v>-4.0231538461538463</v>
      </c>
      <c r="F21" s="5" t="str">
        <f t="shared" si="5"/>
        <v>Bloomberg</v>
      </c>
      <c r="G21" s="30">
        <f t="shared" si="2"/>
        <v>46023</v>
      </c>
      <c r="H21" s="16">
        <v>1170</v>
      </c>
      <c r="J21" s="16">
        <v>151474</v>
      </c>
      <c r="K21" s="16" t="s">
        <v>41</v>
      </c>
      <c r="L21" s="31" t="s">
        <v>12</v>
      </c>
      <c r="M21" s="8">
        <v>10</v>
      </c>
      <c r="N21" s="51"/>
      <c r="O21" s="26"/>
      <c r="Q21" s="27"/>
      <c r="S21" s="27"/>
      <c r="U21" s="27"/>
    </row>
    <row r="22" spans="1:21" ht="15" customHeight="1" x14ac:dyDescent="0.25">
      <c r="A22" s="5" t="str">
        <f>CONCATENATE($N$1,$I$1,F22,$I$1,J22)</f>
        <v>CUSTO MARKET DATA - JANEIRO/26-Bloomberg-151474</v>
      </c>
      <c r="B22" s="30">
        <v>46023</v>
      </c>
      <c r="C22" s="7">
        <v>817393</v>
      </c>
      <c r="D22" s="5" t="s">
        <v>43</v>
      </c>
      <c r="E22" s="8">
        <f t="shared" si="4"/>
        <v>-4.0231538461538463</v>
      </c>
      <c r="F22" s="5" t="str">
        <f>K22</f>
        <v>Bloomberg</v>
      </c>
      <c r="G22" s="30">
        <f t="shared" si="2"/>
        <v>46023</v>
      </c>
      <c r="H22" s="16">
        <v>1170</v>
      </c>
      <c r="J22" s="16">
        <v>151474</v>
      </c>
      <c r="K22" s="16" t="s">
        <v>41</v>
      </c>
      <c r="L22" s="31" t="s">
        <v>12</v>
      </c>
      <c r="M22" s="8">
        <v>10</v>
      </c>
      <c r="N22" s="51"/>
      <c r="O22" s="26"/>
      <c r="Q22" s="27"/>
      <c r="S22" s="27"/>
      <c r="U22" s="27"/>
    </row>
    <row r="23" spans="1:21" ht="15" customHeight="1" x14ac:dyDescent="0.25">
      <c r="A23" s="5" t="str">
        <f t="shared" si="3"/>
        <v>CUSTO MARKET DATA - JANEIRO/26-Bloomberg-151474</v>
      </c>
      <c r="B23" s="30">
        <v>46023</v>
      </c>
      <c r="C23" s="7">
        <v>817393</v>
      </c>
      <c r="D23" s="5" t="s">
        <v>36</v>
      </c>
      <c r="E23" s="8">
        <f t="shared" si="4"/>
        <v>-4.0231538461538463</v>
      </c>
      <c r="F23" s="5" t="str">
        <f t="shared" si="5"/>
        <v>Bloomberg</v>
      </c>
      <c r="G23" s="30">
        <f t="shared" si="2"/>
        <v>46023</v>
      </c>
      <c r="H23" s="16">
        <v>1170</v>
      </c>
      <c r="J23" s="16">
        <v>151474</v>
      </c>
      <c r="K23" s="16" t="s">
        <v>41</v>
      </c>
      <c r="L23" s="31" t="s">
        <v>12</v>
      </c>
      <c r="M23" s="8">
        <v>10</v>
      </c>
      <c r="N23" s="51"/>
      <c r="O23" s="26"/>
      <c r="Q23" s="27"/>
      <c r="S23" s="27"/>
      <c r="U23" s="27"/>
    </row>
    <row r="24" spans="1:21" ht="15" customHeight="1" x14ac:dyDescent="0.25">
      <c r="A24" s="10" t="str">
        <f t="shared" si="3"/>
        <v>CUSTO MARKET DATA - JANEIRO/26-Bloomberg-151474</v>
      </c>
      <c r="B24" s="24">
        <v>46023</v>
      </c>
      <c r="C24" s="11">
        <v>817393</v>
      </c>
      <c r="D24" s="10" t="s">
        <v>37</v>
      </c>
      <c r="E24" s="12">
        <f t="shared" si="4"/>
        <v>-4.0231538461538463</v>
      </c>
      <c r="F24" s="10" t="str">
        <f t="shared" si="5"/>
        <v>Bloomberg</v>
      </c>
      <c r="G24" s="24">
        <f t="shared" si="2"/>
        <v>46023</v>
      </c>
      <c r="H24" s="17">
        <v>1170</v>
      </c>
      <c r="J24" s="17">
        <v>151474</v>
      </c>
      <c r="K24" s="17" t="s">
        <v>41</v>
      </c>
      <c r="L24" s="13" t="s">
        <v>12</v>
      </c>
      <c r="M24" s="12">
        <v>10</v>
      </c>
      <c r="N24" s="48"/>
      <c r="Q24" s="27"/>
      <c r="S24" s="27"/>
      <c r="U24" s="27"/>
    </row>
    <row r="25" spans="1:21" ht="15" customHeight="1" x14ac:dyDescent="0.25">
      <c r="A25" s="10" t="str">
        <f t="shared" si="3"/>
        <v>CUSTO MARKET DATA - JANEIRO/26-BLOOMBERG-133472</v>
      </c>
      <c r="B25" s="24">
        <v>46023</v>
      </c>
      <c r="C25" s="11">
        <v>817393</v>
      </c>
      <c r="D25" s="10" t="s">
        <v>38</v>
      </c>
      <c r="E25" s="12">
        <f>-IF(L25="BRL",M25,IF(L25="GBP",M25*$R$1,IF(L25="CAD",M25*$T$1,M25*$P$1)))</f>
        <v>-52.301000000000002</v>
      </c>
      <c r="F25" s="10" t="str">
        <f>UPPER(K25)</f>
        <v>BLOOMBERG</v>
      </c>
      <c r="G25" s="24">
        <f t="shared" si="2"/>
        <v>46023</v>
      </c>
      <c r="H25" s="17">
        <v>1170</v>
      </c>
      <c r="J25" s="17">
        <v>133472</v>
      </c>
      <c r="K25" s="17" t="s">
        <v>41</v>
      </c>
      <c r="L25" s="13" t="s">
        <v>12</v>
      </c>
      <c r="M25" s="12">
        <v>10</v>
      </c>
      <c r="N25" s="40" t="s">
        <v>39</v>
      </c>
      <c r="Q25" s="27"/>
      <c r="S25" s="27"/>
      <c r="U25" s="27"/>
    </row>
    <row r="26" spans="1:21" ht="15" customHeight="1" x14ac:dyDescent="0.25">
      <c r="A26" s="9" t="str">
        <f t="shared" si="3"/>
        <v>CUSTO MARKET DATA - JANEIRO/26-REFINITIV-105071</v>
      </c>
      <c r="B26" s="20">
        <v>46023</v>
      </c>
      <c r="C26" s="21">
        <v>817393</v>
      </c>
      <c r="D26" s="9" t="str">
        <f>IF(J26=57036,"ALEXANDRE DA COSTA SOARES",IF(J26=24157,"JOSE MAURICIO GOMES TEIXEIRA",IF(J26=24203,"JOSE MAURICIO GOMES TEIXEIRA",IF(J26=24149,"CHRISTIANO MARCONDES DE BARROS LIMA",IF(J26=24137,"CHRISTIANO MARCONDES DE BARROS LIMA",IF(J26=135152,"ENRICO BORTPLUZO CASSIANO",IF(J26=136568,"ENRICO BORTPLUZO CASSIANO", IF(J26=130976,"MARYLIA CARVALHO PONCE",IF(J26=136668,"ALEXANDRE DA COSTA SOARES",IF(J26=52340,"OFFSHORE LISTED",IF(J26=158778,"CLAUDIO DE SOUZA PACINI",_xlfn.XLOOKUP(J26,[1]!Tabela33[ID ORACLE],[1]!Tabela33[BROKER],0,0,1))))))))))))</f>
        <v>RODRIGO MOURA MARQUES</v>
      </c>
      <c r="E26" s="22">
        <f>-IF(L26="BRL",M26,IF(L26="GBP",M26*$R$1,IF(L26="CAD",M26*$T$1,M26*$P$1)))</f>
        <v>-148.44434717760001</v>
      </c>
      <c r="F26" s="9" t="str">
        <f>IF(UPPER(K26)="Valor Analytics LLC","VALOR",UPPER(K26))</f>
        <v>REFINITIV</v>
      </c>
      <c r="G26" s="20">
        <f t="shared" si="2"/>
        <v>46023</v>
      </c>
      <c r="H26" s="23">
        <v>1170</v>
      </c>
      <c r="J26" s="41">
        <v>105071</v>
      </c>
      <c r="K26" s="1" t="s">
        <v>42</v>
      </c>
      <c r="L26" s="1" t="s">
        <v>17</v>
      </c>
      <c r="M26" s="29">
        <v>20.685648</v>
      </c>
      <c r="N26" s="2"/>
      <c r="Q26" s="27"/>
      <c r="S26" s="27"/>
      <c r="U26" s="27"/>
    </row>
    <row r="27" spans="1:21" ht="15" customHeight="1" x14ac:dyDescent="0.25">
      <c r="A27" s="9" t="str">
        <f t="shared" si="3"/>
        <v>CUSTO MARKET DATA - JANEIRO/26-BLOOMBERG-106970</v>
      </c>
      <c r="B27" s="20">
        <v>46023</v>
      </c>
      <c r="C27" s="21">
        <v>817393</v>
      </c>
      <c r="D27" s="9" t="str">
        <f>IF(J27=57036,"ALEXANDRE DA COSTA SOARES",IF(J27=24157,"JOSE MAURICIO GOMES TEIXEIRA",IF(J27=24203,"JOSE MAURICIO GOMES TEIXEIRA",IF(J27=24149,"CHRISTIANO MARCONDES DE BARROS LIMA",IF(J27=24137,"CHRISTIANO MARCONDES DE BARROS LIMA",IF(J27=135152,"ENRICO BORTPLUZO CASSIANO",IF(J27=136568,"ENRICO BORTPLUZO CASSIANO", IF(J27=130976,"MARYLIA CARVALHO PONCE",IF(J27=136668,"ALEXANDRE DA COSTA SOARES",IF(J27=52340,"OFFSHORE LISTED",IF(J27=158778,"CLAUDIO DE SOUZA PACINI",_xlfn.XLOOKUP(J27,[1]!Tabela33[ID ORACLE],[1]!Tabela33[BROKER],0,0,1))))))))))))</f>
        <v>CESAR MARIANO SCARAMBONE MENEZES</v>
      </c>
      <c r="E27" s="22">
        <f t="shared" ref="E27:E90" si="6">-IF(L27="BRL",M27,IF(L27="GBP",M27*$R$1,IF(L27="CAD",M27*$T$1,M27*$P$1)))</f>
        <v>-12414.1351352521</v>
      </c>
      <c r="F27" s="9" t="str">
        <f t="shared" ref="F27:F86" si="7">IF(UPPER(K27)="Valor Analytics LLC","VALOR",UPPER(K27))</f>
        <v>BLOOMBERG</v>
      </c>
      <c r="G27" s="20">
        <f t="shared" si="2"/>
        <v>46023</v>
      </c>
      <c r="H27" s="23">
        <v>1170</v>
      </c>
      <c r="J27" s="41">
        <v>106970</v>
      </c>
      <c r="K27" s="1" t="s">
        <v>41</v>
      </c>
      <c r="L27" s="1" t="s">
        <v>12</v>
      </c>
      <c r="M27" s="29">
        <v>2373.5942209999998</v>
      </c>
      <c r="N27" s="2"/>
      <c r="Q27" s="27"/>
      <c r="S27" s="27"/>
      <c r="U27" s="27"/>
    </row>
    <row r="28" spans="1:21" ht="15" customHeight="1" x14ac:dyDescent="0.25">
      <c r="A28" s="9" t="str">
        <f t="shared" si="3"/>
        <v>CUSTO MARKET DATA - JANEIRO/26-REFINITIV-106970</v>
      </c>
      <c r="B28" s="20">
        <v>46023</v>
      </c>
      <c r="C28" s="21">
        <v>817393</v>
      </c>
      <c r="D28" s="9" t="str">
        <f>IF(J28=57036,"ALEXANDRE DA COSTA SOARES",IF(J28=24157,"JOSE MAURICIO GOMES TEIXEIRA",IF(J28=24203,"JOSE MAURICIO GOMES TEIXEIRA",IF(J28=24149,"CHRISTIANO MARCONDES DE BARROS LIMA",IF(J28=24137,"CHRISTIANO MARCONDES DE BARROS LIMA",IF(J28=135152,"ENRICO BORTPLUZO CASSIANO",IF(J28=136568,"ENRICO BORTPLUZO CASSIANO", IF(J28=130976,"MARYLIA CARVALHO PONCE",IF(J28=136668,"ALEXANDRE DA COSTA SOARES",IF(J28=52340,"OFFSHORE LISTED",IF(J28=158778,"CLAUDIO DE SOUZA PACINI",_xlfn.XLOOKUP(J28,[1]!Tabela33[ID ORACLE],[1]!Tabela33[BROKER],0,0,1))))))))))))</f>
        <v>CESAR MARIANO SCARAMBONE MENEZES</v>
      </c>
      <c r="E28" s="22">
        <f t="shared" si="6"/>
        <v>-148.44434717760001</v>
      </c>
      <c r="F28" s="9" t="str">
        <f t="shared" si="7"/>
        <v>REFINITIV</v>
      </c>
      <c r="G28" s="20">
        <f t="shared" si="2"/>
        <v>46023</v>
      </c>
      <c r="H28" s="23">
        <v>1170</v>
      </c>
      <c r="J28" s="41">
        <v>106970</v>
      </c>
      <c r="K28" s="1" t="s">
        <v>42</v>
      </c>
      <c r="L28" s="1" t="s">
        <v>17</v>
      </c>
      <c r="M28" s="29">
        <v>20.685648</v>
      </c>
      <c r="N28" s="2"/>
      <c r="Q28" s="27"/>
      <c r="S28" s="27"/>
      <c r="U28" s="27"/>
    </row>
    <row r="29" spans="1:21" ht="15" customHeight="1" x14ac:dyDescent="0.25">
      <c r="A29" s="9" t="str">
        <f t="shared" si="3"/>
        <v>CUSTO MARKET DATA - JANEIRO/26-REFINITIV-108911</v>
      </c>
      <c r="B29" s="20">
        <v>46023</v>
      </c>
      <c r="C29" s="21">
        <v>817393</v>
      </c>
      <c r="D29" s="9" t="str">
        <f>IF(J29=57036,"ALEXANDRE DA COSTA SOARES",IF(J29=24157,"JOSE MAURICIO GOMES TEIXEIRA",IF(J29=24203,"JOSE MAURICIO GOMES TEIXEIRA",IF(J29=24149,"CHRISTIANO MARCONDES DE BARROS LIMA",IF(J29=24137,"CHRISTIANO MARCONDES DE BARROS LIMA",IF(J29=135152,"ENRICO BORTPLUZO CASSIANO",IF(J29=136568,"ENRICO BORTPLUZO CASSIANO", IF(J29=130976,"MARYLIA CARVALHO PONCE",IF(J29=136668,"ALEXANDRE DA COSTA SOARES",IF(J29=52340,"OFFSHORE LISTED",IF(J29=158778,"CLAUDIO DE SOUZA PACINI",_xlfn.XLOOKUP(J29,[1]!Tabela33[ID ORACLE],[1]!Tabela33[BROKER],0,0,1))))))))))))</f>
        <v>ALI MOHAMAD KANSAOU</v>
      </c>
      <c r="E29" s="22">
        <f t="shared" si="6"/>
        <v>-148.44434717760001</v>
      </c>
      <c r="F29" s="9" t="str">
        <f t="shared" si="7"/>
        <v>REFINITIV</v>
      </c>
      <c r="G29" s="20">
        <f t="shared" si="2"/>
        <v>46023</v>
      </c>
      <c r="H29" s="23">
        <v>1170</v>
      </c>
      <c r="J29" s="41">
        <v>108911</v>
      </c>
      <c r="K29" s="1" t="s">
        <v>42</v>
      </c>
      <c r="L29" s="1" t="s">
        <v>17</v>
      </c>
      <c r="M29" s="29">
        <v>20.685648</v>
      </c>
      <c r="N29" s="2"/>
      <c r="Q29" s="27"/>
      <c r="S29" s="27"/>
      <c r="U29" s="27"/>
    </row>
    <row r="30" spans="1:21" ht="15" customHeight="1" x14ac:dyDescent="0.25">
      <c r="A30" s="9" t="str">
        <f t="shared" si="3"/>
        <v>CUSTO MARKET DATA - JANEIRO/26-BLOOMBERG-61086</v>
      </c>
      <c r="B30" s="20">
        <v>46023</v>
      </c>
      <c r="C30" s="21">
        <v>817393</v>
      </c>
      <c r="D30" s="9" t="str">
        <f>IF(J30=57036,"ALEXANDRE DA COSTA SOARES",IF(J30=24157,"JOSE MAURICIO GOMES TEIXEIRA",IF(J30=24203,"JOSE MAURICIO GOMES TEIXEIRA",IF(J30=24149,"CHRISTIANO MARCONDES DE BARROS LIMA",IF(J30=24137,"CHRISTIANO MARCONDES DE BARROS LIMA",IF(J30=135152,"ENRICO BORTPLUZO CASSIANO",IF(J30=136568,"ENRICO BORTPLUZO CASSIANO", IF(J30=130976,"MARYLIA CARVALHO PONCE",IF(J30=136668,"ALEXANDRE DA COSTA SOARES",IF(J30=52340,"OFFSHORE LISTED",IF(J30=158778,"CLAUDIO DE SOUZA PACINI",_xlfn.XLOOKUP(J30,[1]!Tabela33[ID ORACLE],[1]!Tabela33[BROKER],0,0,1))))))))))))</f>
        <v>ALEXANDRE DA COSTA SOARES</v>
      </c>
      <c r="E30" s="22">
        <f t="shared" si="6"/>
        <v>-7669.2140803288012</v>
      </c>
      <c r="F30" s="9" t="str">
        <f t="shared" si="7"/>
        <v>BLOOMBERG</v>
      </c>
      <c r="G30" s="20">
        <f t="shared" si="2"/>
        <v>46023</v>
      </c>
      <c r="H30" s="23">
        <v>1170</v>
      </c>
      <c r="J30" s="41">
        <v>61086</v>
      </c>
      <c r="K30" s="1" t="s">
        <v>41</v>
      </c>
      <c r="L30" s="1" t="s">
        <v>12</v>
      </c>
      <c r="M30" s="29">
        <v>1466.3608880000002</v>
      </c>
      <c r="N30" s="2"/>
      <c r="Q30" s="27"/>
      <c r="S30" s="27"/>
      <c r="U30" s="27"/>
    </row>
    <row r="31" spans="1:21" ht="15" customHeight="1" x14ac:dyDescent="0.25">
      <c r="A31" s="9" t="str">
        <f t="shared" si="3"/>
        <v>CUSTO MARKET DATA - JANEIRO/26-NYSE MARKET INC.-61086</v>
      </c>
      <c r="B31" s="20">
        <v>46023</v>
      </c>
      <c r="C31" s="21">
        <v>817393</v>
      </c>
      <c r="D31" s="9" t="str">
        <f>IF(J31=57036,"ALEXANDRE DA COSTA SOARES",IF(J31=24157,"JOSE MAURICIO GOMES TEIXEIRA",IF(J31=24203,"JOSE MAURICIO GOMES TEIXEIRA",IF(J31=24149,"CHRISTIANO MARCONDES DE BARROS LIMA",IF(J31=24137,"CHRISTIANO MARCONDES DE BARROS LIMA",IF(J31=135152,"ENRICO BORTPLUZO CASSIANO",IF(J31=136568,"ENRICO BORTPLUZO CASSIANO", IF(J31=130976,"MARYLIA CARVALHO PONCE",IF(J31=136668,"ALEXANDRE DA COSTA SOARES",IF(J31=52340,"OFFSHORE LISTED",IF(J31=158778,"CLAUDIO DE SOUZA PACINI",_xlfn.XLOOKUP(J31,[1]!Tabela33[ID ORACLE],[1]!Tabela33[BROKER],0,0,1))))))))))))</f>
        <v>ALEXANDRE DA COSTA SOARES</v>
      </c>
      <c r="E31" s="22">
        <f t="shared" si="6"/>
        <v>-261.505</v>
      </c>
      <c r="F31" s="9" t="str">
        <f t="shared" si="7"/>
        <v>NYSE MARKET INC.</v>
      </c>
      <c r="G31" s="20">
        <f t="shared" si="2"/>
        <v>46023</v>
      </c>
      <c r="H31" s="23">
        <v>1170</v>
      </c>
      <c r="J31" s="41">
        <v>61086</v>
      </c>
      <c r="K31" s="1" t="s">
        <v>44</v>
      </c>
      <c r="L31" s="1" t="s">
        <v>12</v>
      </c>
      <c r="M31" s="29">
        <v>50</v>
      </c>
      <c r="N31" s="2"/>
      <c r="Q31" s="27"/>
      <c r="S31" s="27"/>
      <c r="U31" s="27"/>
    </row>
    <row r="32" spans="1:21" ht="15" customHeight="1" x14ac:dyDescent="0.25">
      <c r="A32" s="9" t="str">
        <f t="shared" si="3"/>
        <v>CUSTO MARKET DATA - JANEIRO/26-OPTIONS PRICE REPORTING AUTHORITY (OPRA)-111439</v>
      </c>
      <c r="B32" s="20">
        <v>46023</v>
      </c>
      <c r="C32" s="21">
        <v>817393</v>
      </c>
      <c r="D32" s="9" t="str">
        <f>IF(J32=57036,"ALEXANDRE DA COSTA SOARES",IF(J32=24157,"JOSE MAURICIO GOMES TEIXEIRA",IF(J32=24203,"JOSE MAURICIO GOMES TEIXEIRA",IF(J32=24149,"CHRISTIANO MARCONDES DE BARROS LIMA",IF(J32=24137,"CHRISTIANO MARCONDES DE BARROS LIMA",IF(J32=135152,"ENRICO BORTPLUZO CASSIANO",IF(J32=136568,"ENRICO BORTPLUZO CASSIANO", IF(J32=130976,"MARYLIA CARVALHO PONCE",IF(J32=136668,"ALEXANDRE DA COSTA SOARES",IF(J32=52340,"OFFSHORE LISTED",IF(J32=158778,"CLAUDIO DE SOUZA PACINI",_xlfn.XLOOKUP(J32,[1]!Tabela33[ID ORACLE],[1]!Tabela33[BROKER],0,0,1))))))))))))</f>
        <v>GUSTAVO BURMAS CARVALHO</v>
      </c>
      <c r="E32" s="22">
        <f t="shared" si="6"/>
        <v>-164.74815000000001</v>
      </c>
      <c r="F32" s="9" t="str">
        <f t="shared" si="7"/>
        <v>OPTIONS PRICE REPORTING AUTHORITY (OPRA)</v>
      </c>
      <c r="G32" s="20">
        <f t="shared" si="2"/>
        <v>46023</v>
      </c>
      <c r="H32" s="23">
        <v>1170</v>
      </c>
      <c r="J32" s="41">
        <v>111439</v>
      </c>
      <c r="K32" s="1" t="s">
        <v>45</v>
      </c>
      <c r="L32" s="1" t="s">
        <v>12</v>
      </c>
      <c r="M32" s="29">
        <v>31.5</v>
      </c>
      <c r="N32" s="2"/>
      <c r="Q32" s="27"/>
      <c r="S32" s="27"/>
      <c r="U32" s="27"/>
    </row>
    <row r="33" spans="1:78" ht="15" customHeight="1" x14ac:dyDescent="0.25">
      <c r="A33" s="9" t="str">
        <f t="shared" si="3"/>
        <v>CUSTO MARKET DATA - JANEIRO/26-REFINITIV-111439</v>
      </c>
      <c r="B33" s="20">
        <v>46023</v>
      </c>
      <c r="C33" s="21">
        <v>817393</v>
      </c>
      <c r="D33" s="9" t="str">
        <f>IF(J33=57036,"ALEXANDRE DA COSTA SOARES",IF(J33=24157,"JOSE MAURICIO GOMES TEIXEIRA",IF(J33=24203,"JOSE MAURICIO GOMES TEIXEIRA",IF(J33=24149,"CHRISTIANO MARCONDES DE BARROS LIMA",IF(J33=24137,"CHRISTIANO MARCONDES DE BARROS LIMA",IF(J33=135152,"ENRICO BORTPLUZO CASSIANO",IF(J33=136568,"ENRICO BORTPLUZO CASSIANO", IF(J33=130976,"MARYLIA CARVALHO PONCE",IF(J33=136668,"ALEXANDRE DA COSTA SOARES",IF(J33=52340,"OFFSHORE LISTED",IF(J33=158778,"CLAUDIO DE SOUZA PACINI",_xlfn.XLOOKUP(J33,[1]!Tabela33[ID ORACLE],[1]!Tabela33[BROKER],0,0,1))))))))))))</f>
        <v>GUSTAVO BURMAS CARVALHO</v>
      </c>
      <c r="E33" s="22">
        <f t="shared" si="6"/>
        <v>-148.44434717760001</v>
      </c>
      <c r="F33" s="9" t="str">
        <f t="shared" si="7"/>
        <v>REFINITIV</v>
      </c>
      <c r="G33" s="20">
        <f t="shared" si="2"/>
        <v>46023</v>
      </c>
      <c r="H33" s="23">
        <v>1170</v>
      </c>
      <c r="J33" s="41">
        <v>111439</v>
      </c>
      <c r="K33" s="1" t="s">
        <v>42</v>
      </c>
      <c r="L33" s="1" t="s">
        <v>17</v>
      </c>
      <c r="M33" s="29">
        <v>20.685648</v>
      </c>
      <c r="N33" s="2"/>
      <c r="Q33" s="27"/>
      <c r="S33" s="27"/>
      <c r="U33" s="27"/>
    </row>
    <row r="34" spans="1:78" ht="15" customHeight="1" x14ac:dyDescent="0.25">
      <c r="A34" s="9" t="str">
        <f t="shared" si="3"/>
        <v>CUSTO MARKET DATA - JANEIRO/26-BLOOMBERG-113487</v>
      </c>
      <c r="B34" s="20">
        <v>46023</v>
      </c>
      <c r="C34" s="21">
        <v>817393</v>
      </c>
      <c r="D34" s="9" t="str">
        <f>IF(J34=57036,"ALEXANDRE DA COSTA SOARES",IF(J34=24157,"JOSE MAURICIO GOMES TEIXEIRA",IF(J34=24203,"JOSE MAURICIO GOMES TEIXEIRA",IF(J34=24149,"CHRISTIANO MARCONDES DE BARROS LIMA",IF(J34=24137,"CHRISTIANO MARCONDES DE BARROS LIMA",IF(J34=135152,"ENRICO BORTPLUZO CASSIANO",IF(J34=136568,"ENRICO BORTPLUZO CASSIANO", IF(J34=130976,"MARYLIA CARVALHO PONCE",IF(J34=136668,"ALEXANDRE DA COSTA SOARES",IF(J34=52340,"OFFSHORE LISTED",IF(J34=158778,"CLAUDIO DE SOUZA PACINI",_xlfn.XLOOKUP(J34,[1]!Tabela33[ID ORACLE],[1]!Tabela33[BROKER],0,0,1))))))))))))</f>
        <v>MARYLIA CARVALHO PONCE</v>
      </c>
      <c r="E34" s="22">
        <f t="shared" si="6"/>
        <v>-12414.1351352521</v>
      </c>
      <c r="F34" s="9" t="str">
        <f t="shared" si="7"/>
        <v>BLOOMBERG</v>
      </c>
      <c r="G34" s="20">
        <f t="shared" si="2"/>
        <v>46023</v>
      </c>
      <c r="H34" s="23">
        <v>1170</v>
      </c>
      <c r="J34" s="41">
        <v>113487</v>
      </c>
      <c r="K34" s="1" t="s">
        <v>41</v>
      </c>
      <c r="L34" s="1" t="s">
        <v>12</v>
      </c>
      <c r="M34" s="29">
        <v>2373.5942209999998</v>
      </c>
      <c r="N34" s="2"/>
      <c r="Q34" s="27"/>
      <c r="S34" s="27"/>
      <c r="T34" s="27"/>
      <c r="U34" s="27"/>
    </row>
    <row r="35" spans="1:78" customFormat="1" ht="15" customHeight="1" x14ac:dyDescent="0.25">
      <c r="A35" s="9" t="str">
        <f t="shared" si="3"/>
        <v>CUSTO MARKET DATA - JANEIRO/26-REFINITIV-113487</v>
      </c>
      <c r="B35" s="20">
        <v>46023</v>
      </c>
      <c r="C35" s="21">
        <v>817393</v>
      </c>
      <c r="D35" s="9" t="str">
        <f>IF(J35=57036,"ALEXANDRE DA COSTA SOARES",IF(J35=24157,"JOSE MAURICIO GOMES TEIXEIRA",IF(J35=24203,"JOSE MAURICIO GOMES TEIXEIRA",IF(J35=24149,"CHRISTIANO MARCONDES DE BARROS LIMA",IF(J35=24137,"CHRISTIANO MARCONDES DE BARROS LIMA",IF(J35=135152,"ENRICO BORTPLUZO CASSIANO",IF(J35=136568,"ENRICO BORTPLUZO CASSIANO", IF(J35=130976,"MARYLIA CARVALHO PONCE",IF(J35=136668,"ALEXANDRE DA COSTA SOARES",IF(J35=52340,"OFFSHORE LISTED",IF(J35=158778,"CLAUDIO DE SOUZA PACINI",_xlfn.XLOOKUP(J35,[1]!Tabela33[ID ORACLE],[1]!Tabela33[BROKER],0,0,1))))))))))))</f>
        <v>MARYLIA CARVALHO PONCE</v>
      </c>
      <c r="E35" s="22">
        <f t="shared" si="6"/>
        <v>-148.44434717760001</v>
      </c>
      <c r="F35" s="9" t="str">
        <f t="shared" si="7"/>
        <v>REFINITIV</v>
      </c>
      <c r="G35" s="20">
        <f t="shared" si="2"/>
        <v>46023</v>
      </c>
      <c r="H35" s="23">
        <v>1170</v>
      </c>
      <c r="J35" s="41">
        <v>113487</v>
      </c>
      <c r="K35" s="1" t="s">
        <v>42</v>
      </c>
      <c r="L35" s="1" t="s">
        <v>17</v>
      </c>
      <c r="M35" s="29">
        <v>20.685648</v>
      </c>
      <c r="N35" s="2"/>
      <c r="O35" s="1"/>
      <c r="P35" s="26"/>
      <c r="Q35" s="27"/>
      <c r="R35" s="26"/>
      <c r="S35" s="27"/>
      <c r="T35" s="26"/>
      <c r="U35" s="27"/>
    </row>
    <row r="36" spans="1:78" customFormat="1" ht="15" customHeight="1" x14ac:dyDescent="0.25">
      <c r="A36" s="9" t="str">
        <f t="shared" si="3"/>
        <v>CUSTO MARKET DATA - JANEIRO/26-CBOE GLOBAL MARKETS-115154</v>
      </c>
      <c r="B36" s="20">
        <v>46023</v>
      </c>
      <c r="C36" s="21">
        <v>817393</v>
      </c>
      <c r="D36" s="9" t="str">
        <f>IF(J36=57036,"ALEXANDRE DA COSTA SOARES",IF(J36=24157,"JOSE MAURICIO GOMES TEIXEIRA",IF(J36=24203,"JOSE MAURICIO GOMES TEIXEIRA",IF(J36=24149,"CHRISTIANO MARCONDES DE BARROS LIMA",IF(J36=24137,"CHRISTIANO MARCONDES DE BARROS LIMA",IF(J36=135152,"ENRICO BORTPLUZO CASSIANO",IF(J36=136568,"ENRICO BORTPLUZO CASSIANO", IF(J36=130976,"MARYLIA CARVALHO PONCE",IF(J36=136668,"ALEXANDRE DA COSTA SOARES",IF(J36=52340,"OFFSHORE LISTED",IF(J36=158778,"CLAUDIO DE SOUZA PACINI",_xlfn.XLOOKUP(J36,[1]!Tabela33[ID ORACLE],[1]!Tabela33[BROKER],0,0,1))))))))))))</f>
        <v>FELIPE DE ANDRADE BASILE</v>
      </c>
      <c r="E36" s="22">
        <f t="shared" si="6"/>
        <v>-1822.1668399999999</v>
      </c>
      <c r="F36" s="9" t="str">
        <f t="shared" si="7"/>
        <v>CBOE GLOBAL MARKETS</v>
      </c>
      <c r="G36" s="20">
        <f t="shared" si="2"/>
        <v>46023</v>
      </c>
      <c r="H36" s="23">
        <v>1170</v>
      </c>
      <c r="J36" s="41">
        <v>115154</v>
      </c>
      <c r="K36" s="1" t="s">
        <v>46</v>
      </c>
      <c r="L36" s="1" t="s">
        <v>12</v>
      </c>
      <c r="M36" s="29">
        <v>348.4</v>
      </c>
      <c r="N36" s="2"/>
      <c r="O36" s="1"/>
      <c r="P36" s="26"/>
      <c r="Q36" s="27"/>
      <c r="R36" s="26"/>
      <c r="S36" s="27"/>
      <c r="T36" s="26"/>
      <c r="U36" s="27"/>
    </row>
    <row r="37" spans="1:78" customFormat="1" ht="15" customHeight="1" x14ac:dyDescent="0.25">
      <c r="A37" s="9" t="str">
        <f t="shared" si="3"/>
        <v>CUSTO MARKET DATA - JANEIRO/26-FIDESSA-115154</v>
      </c>
      <c r="B37" s="20">
        <v>46023</v>
      </c>
      <c r="C37" s="21">
        <v>817393</v>
      </c>
      <c r="D37" s="9" t="str">
        <f>IF(J37=57036,"ALEXANDRE DA COSTA SOARES",IF(J37=24157,"JOSE MAURICIO GOMES TEIXEIRA",IF(J37=24203,"JOSE MAURICIO GOMES TEIXEIRA",IF(J37=24149,"CHRISTIANO MARCONDES DE BARROS LIMA",IF(J37=24137,"CHRISTIANO MARCONDES DE BARROS LIMA",IF(J37=135152,"ENRICO BORTPLUZO CASSIANO",IF(J37=136568,"ENRICO BORTPLUZO CASSIANO", IF(J37=130976,"MARYLIA CARVALHO PONCE",IF(J37=136668,"ALEXANDRE DA COSTA SOARES",IF(J37=52340,"OFFSHORE LISTED",IF(J37=158778,"CLAUDIO DE SOUZA PACINI",_xlfn.XLOOKUP(J37,[1]!Tabela33[ID ORACLE],[1]!Tabela33[BROKER],0,0,1))))))))))))</f>
        <v>FELIPE DE ANDRADE BASILE</v>
      </c>
      <c r="E37" s="22">
        <f t="shared" si="6"/>
        <v>-4381.4131844988997</v>
      </c>
      <c r="F37" s="9" t="str">
        <f t="shared" si="7"/>
        <v>FIDESSA</v>
      </c>
      <c r="G37" s="20">
        <f t="shared" si="2"/>
        <v>46023</v>
      </c>
      <c r="H37" s="23">
        <v>1170</v>
      </c>
      <c r="J37" s="41">
        <v>115154</v>
      </c>
      <c r="K37" s="1" t="s">
        <v>47</v>
      </c>
      <c r="L37" s="1" t="s">
        <v>12</v>
      </c>
      <c r="M37" s="29">
        <v>837.73028899999997</v>
      </c>
      <c r="N37" s="2"/>
      <c r="O37" s="1"/>
      <c r="P37" s="26"/>
      <c r="Q37" s="27"/>
      <c r="R37" s="26"/>
      <c r="S37" s="27"/>
      <c r="T37" s="26"/>
      <c r="U37" s="27"/>
    </row>
    <row r="38" spans="1:78" customFormat="1" ht="15" customHeight="1" x14ac:dyDescent="0.25">
      <c r="A38" s="9" t="str">
        <f t="shared" si="3"/>
        <v>CUSTO MARKET DATA - JANEIRO/26-OPTIONS PRICE REPORTING AUTHORITY (OPRA)-115154</v>
      </c>
      <c r="B38" s="20">
        <v>46023</v>
      </c>
      <c r="C38" s="21">
        <v>817393</v>
      </c>
      <c r="D38" s="9" t="str">
        <f>IF(J38=57036,"ALEXANDRE DA COSTA SOARES",IF(J38=24157,"JOSE MAURICIO GOMES TEIXEIRA",IF(J38=24203,"JOSE MAURICIO GOMES TEIXEIRA",IF(J38=24149,"CHRISTIANO MARCONDES DE BARROS LIMA",IF(J38=24137,"CHRISTIANO MARCONDES DE BARROS LIMA",IF(J38=135152,"ENRICO BORTPLUZO CASSIANO",IF(J38=136568,"ENRICO BORTPLUZO CASSIANO", IF(J38=130976,"MARYLIA CARVALHO PONCE",IF(J38=136668,"ALEXANDRE DA COSTA SOARES",IF(J38=52340,"OFFSHORE LISTED",IF(J38=158778,"CLAUDIO DE SOUZA PACINI",_xlfn.XLOOKUP(J38,[1]!Tabela33[ID ORACLE],[1]!Tabela33[BROKER],0,0,1))))))))))))</f>
        <v>FELIPE DE ANDRADE BASILE</v>
      </c>
      <c r="E38" s="22">
        <f t="shared" si="6"/>
        <v>-523.48724662500001</v>
      </c>
      <c r="F38" s="9" t="str">
        <f t="shared" si="7"/>
        <v>OPTIONS PRICE REPORTING AUTHORITY (OPRA)</v>
      </c>
      <c r="G38" s="20">
        <f t="shared" si="2"/>
        <v>46023</v>
      </c>
      <c r="H38" s="23">
        <v>1170</v>
      </c>
      <c r="J38" s="41">
        <v>115154</v>
      </c>
      <c r="K38" s="1" t="s">
        <v>45</v>
      </c>
      <c r="L38" s="1" t="s">
        <v>12</v>
      </c>
      <c r="M38" s="29">
        <v>100.09125</v>
      </c>
      <c r="N38" s="2"/>
      <c r="O38" s="1"/>
      <c r="P38" s="26"/>
      <c r="Q38" s="27"/>
      <c r="R38" s="26"/>
      <c r="S38" s="27"/>
      <c r="T38" s="26"/>
      <c r="U38" s="27"/>
    </row>
    <row r="39" spans="1:78" customFormat="1" ht="15" customHeight="1" x14ac:dyDescent="0.25">
      <c r="A39" s="9" t="str">
        <f t="shared" si="3"/>
        <v>CUSTO MARKET DATA - JANEIRO/26-REFINITIV-115154</v>
      </c>
      <c r="B39" s="20">
        <v>46023</v>
      </c>
      <c r="C39" s="21">
        <v>817393</v>
      </c>
      <c r="D39" s="9" t="str">
        <f>IF(J39=57036,"ALEXANDRE DA COSTA SOARES",IF(J39=24157,"JOSE MAURICIO GOMES TEIXEIRA",IF(J39=24203,"JOSE MAURICIO GOMES TEIXEIRA",IF(J39=24149,"CHRISTIANO MARCONDES DE BARROS LIMA",IF(J39=24137,"CHRISTIANO MARCONDES DE BARROS LIMA",IF(J39=135152,"ENRICO BORTPLUZO CASSIANO",IF(J39=136568,"ENRICO BORTPLUZO CASSIANO", IF(J39=130976,"MARYLIA CARVALHO PONCE",IF(J39=136668,"ALEXANDRE DA COSTA SOARES",IF(J39=52340,"OFFSHORE LISTED",IF(J39=158778,"CLAUDIO DE SOUZA PACINI",_xlfn.XLOOKUP(J39,[1]!Tabela33[ID ORACLE],[1]!Tabela33[BROKER],0,0,1))))))))))))</f>
        <v>FELIPE DE ANDRADE BASILE</v>
      </c>
      <c r="E39" s="22">
        <f t="shared" si="6"/>
        <v>-148.44434717760001</v>
      </c>
      <c r="F39" s="9" t="str">
        <f t="shared" si="7"/>
        <v>REFINITIV</v>
      </c>
      <c r="G39" s="20">
        <f t="shared" si="2"/>
        <v>46023</v>
      </c>
      <c r="H39" s="23">
        <v>1170</v>
      </c>
      <c r="J39" s="41">
        <v>115154</v>
      </c>
      <c r="K39" s="1" t="s">
        <v>42</v>
      </c>
      <c r="L39" s="1" t="s">
        <v>17</v>
      </c>
      <c r="M39" s="29">
        <v>20.685648</v>
      </c>
      <c r="N39" s="2"/>
      <c r="O39" s="1"/>
      <c r="P39" s="26"/>
      <c r="Q39" s="27"/>
      <c r="R39" s="26"/>
      <c r="S39" s="27"/>
      <c r="T39" s="26"/>
      <c r="U39" s="27"/>
    </row>
    <row r="40" spans="1:78" customFormat="1" ht="15" customHeight="1" x14ac:dyDescent="0.25">
      <c r="A40" s="9" t="str">
        <f t="shared" si="3"/>
        <v>CUSTO MARKET DATA - JANEIRO/26-BLOOMBERG-119734</v>
      </c>
      <c r="B40" s="20">
        <v>46023</v>
      </c>
      <c r="C40" s="21">
        <v>817393</v>
      </c>
      <c r="D40" s="9" t="str">
        <f>IF(J40=57036,"ALEXANDRE DA COSTA SOARES",IF(J40=24157,"JOSE MAURICIO GOMES TEIXEIRA",IF(J40=24203,"JOSE MAURICIO GOMES TEIXEIRA",IF(J40=24149,"CHRISTIANO MARCONDES DE BARROS LIMA",IF(J40=24137,"CHRISTIANO MARCONDES DE BARROS LIMA",IF(J40=135152,"ENRICO BORTPLUZO CASSIANO",IF(J40=136568,"ENRICO BORTPLUZO CASSIANO", IF(J40=130976,"MARYLIA CARVALHO PONCE",IF(J40=136668,"ALEXANDRE DA COSTA SOARES",IF(J40=52340,"OFFSHORE LISTED",IF(J40=158778,"CLAUDIO DE SOUZA PACINI",_xlfn.XLOOKUP(J40,[1]!Tabela33[ID ORACLE],[1]!Tabela33[BROKER],0,0,1))))))))))))</f>
        <v>RAFAEL MARQUES MOREIRA DA COSTA</v>
      </c>
      <c r="E40" s="22">
        <f t="shared" si="6"/>
        <v>-52.301000000000002</v>
      </c>
      <c r="F40" s="9" t="str">
        <f t="shared" si="7"/>
        <v>BLOOMBERG</v>
      </c>
      <c r="G40" s="20">
        <f t="shared" si="2"/>
        <v>46023</v>
      </c>
      <c r="H40" s="23">
        <v>1170</v>
      </c>
      <c r="J40" s="41">
        <v>119734</v>
      </c>
      <c r="K40" s="1" t="s">
        <v>41</v>
      </c>
      <c r="L40" s="1" t="s">
        <v>12</v>
      </c>
      <c r="M40" s="29">
        <v>10</v>
      </c>
      <c r="N40" s="2"/>
      <c r="O40" s="1"/>
      <c r="P40" s="26"/>
      <c r="Q40" s="27"/>
      <c r="R40" s="26"/>
      <c r="S40" s="27"/>
      <c r="T40" s="26"/>
      <c r="U40" s="27"/>
    </row>
    <row r="41" spans="1:78" customFormat="1" ht="15" customHeight="1" x14ac:dyDescent="0.25">
      <c r="A41" s="9" t="str">
        <f t="shared" si="3"/>
        <v>CUSTO MARKET DATA - JANEIRO/26-BROADCAST-119734</v>
      </c>
      <c r="B41" s="20">
        <v>46023</v>
      </c>
      <c r="C41" s="21">
        <v>817393</v>
      </c>
      <c r="D41" s="9" t="str">
        <f>IF(J41=57036,"ALEXANDRE DA COSTA SOARES",IF(J41=24157,"JOSE MAURICIO GOMES TEIXEIRA",IF(J41=24203,"JOSE MAURICIO GOMES TEIXEIRA",IF(J41=24149,"CHRISTIANO MARCONDES DE BARROS LIMA",IF(J41=24137,"CHRISTIANO MARCONDES DE BARROS LIMA",IF(J41=135152,"ENRICO BORTPLUZO CASSIANO",IF(J41=136568,"ENRICO BORTPLUZO CASSIANO", IF(J41=130976,"MARYLIA CARVALHO PONCE",IF(J41=136668,"ALEXANDRE DA COSTA SOARES",IF(J41=52340,"OFFSHORE LISTED",IF(J41=158778,"CLAUDIO DE SOUZA PACINI",_xlfn.XLOOKUP(J41,[1]!Tabela33[ID ORACLE],[1]!Tabela33[BROKER],0,0,1))))))))))))</f>
        <v>RAFAEL MARQUES MOREIRA DA COSTA</v>
      </c>
      <c r="E41" s="22">
        <f t="shared" si="6"/>
        <v>-2598.0011990000003</v>
      </c>
      <c r="F41" s="9" t="str">
        <f t="shared" si="7"/>
        <v>BROADCAST</v>
      </c>
      <c r="G41" s="20">
        <f t="shared" si="2"/>
        <v>46023</v>
      </c>
      <c r="H41" s="23">
        <v>1170</v>
      </c>
      <c r="J41" s="41">
        <v>119734</v>
      </c>
      <c r="K41" s="1" t="s">
        <v>48</v>
      </c>
      <c r="L41" s="1" t="s">
        <v>49</v>
      </c>
      <c r="M41" s="29">
        <v>2598.0011990000003</v>
      </c>
      <c r="N41" s="2"/>
      <c r="O41" s="1"/>
      <c r="P41" s="26"/>
      <c r="Q41" s="27"/>
      <c r="R41" s="26"/>
      <c r="S41" s="27"/>
      <c r="T41" s="26"/>
      <c r="U41" s="27"/>
    </row>
    <row r="42" spans="1:78" customFormat="1" ht="15" customHeight="1" x14ac:dyDescent="0.25">
      <c r="A42" s="9" t="str">
        <f t="shared" si="3"/>
        <v>CUSTO MARKET DATA - JANEIRO/26-BLOOMBERG-122758</v>
      </c>
      <c r="B42" s="20">
        <v>46023</v>
      </c>
      <c r="C42" s="21">
        <v>817393</v>
      </c>
      <c r="D42" s="9" t="str">
        <f>IF(J42=57036,"ALEXANDRE DA COSTA SOARES",IF(J42=24157,"JOSE MAURICIO GOMES TEIXEIRA",IF(J42=24203,"JOSE MAURICIO GOMES TEIXEIRA",IF(J42=24149,"CHRISTIANO MARCONDES DE BARROS LIMA",IF(J42=24137,"CHRISTIANO MARCONDES DE BARROS LIMA",IF(J42=135152,"ENRICO BORTPLUZO CASSIANO",IF(J42=136568,"ENRICO BORTPLUZO CASSIANO", IF(J42=130976,"MARYLIA CARVALHO PONCE",IF(J42=136668,"ALEXANDRE DA COSTA SOARES",IF(J42=52340,"OFFSHORE LISTED",IF(J42=158778,"CLAUDIO DE SOUZA PACINI",_xlfn.XLOOKUP(J42,[1]!Tabela33[ID ORACLE],[1]!Tabela33[BROKER],0,0,1))))))))))))</f>
        <v>ANDRE FERREIRA DOS SANTOS</v>
      </c>
      <c r="E42" s="22">
        <f t="shared" si="6"/>
        <v>-6203.1449900110001</v>
      </c>
      <c r="F42" s="9" t="str">
        <f t="shared" si="7"/>
        <v>BLOOMBERG</v>
      </c>
      <c r="G42" s="20">
        <f t="shared" si="2"/>
        <v>46023</v>
      </c>
      <c r="H42" s="23">
        <v>1170</v>
      </c>
      <c r="J42" s="41">
        <v>122758</v>
      </c>
      <c r="K42" s="1" t="s">
        <v>41</v>
      </c>
      <c r="L42" s="1" t="s">
        <v>12</v>
      </c>
      <c r="M42" s="29">
        <v>1186.04711</v>
      </c>
      <c r="N42" s="2"/>
      <c r="O42" s="1"/>
      <c r="P42" s="26"/>
      <c r="Q42" s="27"/>
      <c r="R42" s="26"/>
      <c r="S42" s="27"/>
      <c r="T42" s="26"/>
      <c r="U42" s="27"/>
    </row>
    <row r="43" spans="1:78" customFormat="1" ht="15" customHeight="1" x14ac:dyDescent="0.25">
      <c r="A43" s="9" t="str">
        <f t="shared" si="3"/>
        <v>CUSTO MARKET DATA - JANEIRO/26-REFINITIV-122758</v>
      </c>
      <c r="B43" s="20">
        <v>46023</v>
      </c>
      <c r="C43" s="21">
        <v>817393</v>
      </c>
      <c r="D43" s="9" t="str">
        <f>IF(J43=57036,"ALEXANDRE DA COSTA SOARES",IF(J43=24157,"JOSE MAURICIO GOMES TEIXEIRA",IF(J43=24203,"JOSE MAURICIO GOMES TEIXEIRA",IF(J43=24149,"CHRISTIANO MARCONDES DE BARROS LIMA",IF(J43=24137,"CHRISTIANO MARCONDES DE BARROS LIMA",IF(J43=135152,"ENRICO BORTPLUZO CASSIANO",IF(J43=136568,"ENRICO BORTPLUZO CASSIANO", IF(J43=130976,"MARYLIA CARVALHO PONCE",IF(J43=136668,"ALEXANDRE DA COSTA SOARES",IF(J43=52340,"OFFSHORE LISTED",IF(J43=158778,"CLAUDIO DE SOUZA PACINI",_xlfn.XLOOKUP(J43,[1]!Tabela33[ID ORACLE],[1]!Tabela33[BROKER],0,0,1))))))))))))</f>
        <v>ANDRE FERREIRA DOS SANTOS</v>
      </c>
      <c r="E43" s="22">
        <f t="shared" si="6"/>
        <v>-148.44434717760001</v>
      </c>
      <c r="F43" s="9" t="str">
        <f t="shared" si="7"/>
        <v>REFINITIV</v>
      </c>
      <c r="G43" s="20">
        <f t="shared" si="2"/>
        <v>46023</v>
      </c>
      <c r="H43" s="23">
        <v>1170</v>
      </c>
      <c r="J43" s="41">
        <v>122758</v>
      </c>
      <c r="K43" s="1" t="s">
        <v>42</v>
      </c>
      <c r="L43" s="1" t="s">
        <v>17</v>
      </c>
      <c r="M43" s="29">
        <v>20.685648</v>
      </c>
      <c r="N43" s="2"/>
      <c r="O43" s="1"/>
      <c r="P43" s="26"/>
      <c r="Q43" s="27"/>
      <c r="R43" s="26"/>
      <c r="S43" s="27"/>
      <c r="T43" s="26"/>
      <c r="U43" s="27"/>
    </row>
    <row r="44" spans="1:78" customFormat="1" ht="15" customHeight="1" x14ac:dyDescent="0.25">
      <c r="A44" s="9" t="str">
        <f t="shared" si="3"/>
        <v>CUSTO MARKET DATA - JANEIRO/26-REFINITIV-125254</v>
      </c>
      <c r="B44" s="20">
        <v>46023</v>
      </c>
      <c r="C44" s="21">
        <v>817393</v>
      </c>
      <c r="D44" s="9" t="str">
        <f>IF(J44=57036,"ALEXANDRE DA COSTA SOARES",IF(J44=24157,"JOSE MAURICIO GOMES TEIXEIRA",IF(J44=24203,"JOSE MAURICIO GOMES TEIXEIRA",IF(J44=24149,"CHRISTIANO MARCONDES DE BARROS LIMA",IF(J44=24137,"CHRISTIANO MARCONDES DE BARROS LIMA",IF(J44=135152,"ENRICO BORTPLUZO CASSIANO",IF(J44=136568,"ENRICO BORTPLUZO CASSIANO", IF(J44=130976,"MARYLIA CARVALHO PONCE",IF(J44=136668,"ALEXANDRE DA COSTA SOARES",IF(J44=52340,"OFFSHORE LISTED",IF(J44=158778,"CLAUDIO DE SOUZA PACINI",_xlfn.XLOOKUP(J44,[1]!Tabela33[ID ORACLE],[1]!Tabela33[BROKER],0,0,1))))))))))))</f>
        <v>GUSTAVO D ELBOUX FERRIELLO</v>
      </c>
      <c r="E44" s="22">
        <f t="shared" si="6"/>
        <v>-148.44434717760001</v>
      </c>
      <c r="F44" s="9" t="str">
        <f t="shared" si="7"/>
        <v>REFINITIV</v>
      </c>
      <c r="G44" s="20">
        <f t="shared" si="2"/>
        <v>46023</v>
      </c>
      <c r="H44" s="23">
        <v>1170</v>
      </c>
      <c r="J44" s="41">
        <v>125254</v>
      </c>
      <c r="K44" s="1" t="s">
        <v>42</v>
      </c>
      <c r="L44" s="1" t="s">
        <v>17</v>
      </c>
      <c r="M44" s="29">
        <v>20.685648</v>
      </c>
      <c r="N44" s="2"/>
      <c r="O44" s="1"/>
      <c r="P44" s="26"/>
      <c r="Q44" s="27"/>
      <c r="R44" s="26"/>
      <c r="S44" s="27"/>
      <c r="T44" s="26"/>
      <c r="U44" s="27"/>
    </row>
    <row r="45" spans="1:78" ht="15" customHeight="1" x14ac:dyDescent="0.25">
      <c r="A45" s="9" t="str">
        <f t="shared" si="3"/>
        <v>CUSTO MARKET DATA - JANEIRO/26-FIDESSA-125412</v>
      </c>
      <c r="B45" s="20">
        <v>46023</v>
      </c>
      <c r="C45" s="21">
        <v>817393</v>
      </c>
      <c r="D45" s="9" t="str">
        <f>IF(J45=57036,"ALEXANDRE DA COSTA SOARES",IF(J45=24157,"JOSE MAURICIO GOMES TEIXEIRA",IF(J45=24203,"JOSE MAURICIO GOMES TEIXEIRA",IF(J45=24149,"CHRISTIANO MARCONDES DE BARROS LIMA",IF(J45=24137,"CHRISTIANO MARCONDES DE BARROS LIMA",IF(J45=135152,"ENRICO BORTPLUZO CASSIANO",IF(J45=136568,"ENRICO BORTPLUZO CASSIANO", IF(J45=130976,"MARYLIA CARVALHO PONCE",IF(J45=136668,"ALEXANDRE DA COSTA SOARES",IF(J45=52340,"OFFSHORE LISTED",IF(J45=158778,"CLAUDIO DE SOUZA PACINI",_xlfn.XLOOKUP(J45,[1]!Tabela33[ID ORACLE],[1]!Tabela33[BROKER],0,0,1))))))))))))</f>
        <v>GUSTAVO VALERIO FERREIRA DE ALBUQUERQUE</v>
      </c>
      <c r="E45" s="22">
        <f t="shared" si="6"/>
        <v>-1796.7134495687999</v>
      </c>
      <c r="F45" s="9" t="str">
        <f t="shared" si="7"/>
        <v>FIDESSA</v>
      </c>
      <c r="G45" s="20">
        <f t="shared" si="2"/>
        <v>46023</v>
      </c>
      <c r="H45" s="23">
        <v>1170</v>
      </c>
      <c r="J45" s="41">
        <v>125412</v>
      </c>
      <c r="K45" s="1" t="s">
        <v>47</v>
      </c>
      <c r="L45" s="1" t="s">
        <v>12</v>
      </c>
      <c r="M45" s="29">
        <v>343.53328799999997</v>
      </c>
      <c r="N45" s="2"/>
      <c r="Q45" s="27"/>
      <c r="S45" s="27"/>
      <c r="U45" s="27"/>
    </row>
    <row r="46" spans="1:78" s="25" customFormat="1" ht="15" customHeight="1" x14ac:dyDescent="0.25">
      <c r="A46" s="9" t="str">
        <f t="shared" si="3"/>
        <v>CUSTO MARKET DATA - JANEIRO/26-NYSE MARKET INC.-125412</v>
      </c>
      <c r="B46" s="20">
        <v>46023</v>
      </c>
      <c r="C46" s="21">
        <v>817393</v>
      </c>
      <c r="D46" s="9" t="str">
        <f>IF(J46=57036,"ALEXANDRE DA COSTA SOARES",IF(J46=24157,"JOSE MAURICIO GOMES TEIXEIRA",IF(J46=24203,"JOSE MAURICIO GOMES TEIXEIRA",IF(J46=24149,"CHRISTIANO MARCONDES DE BARROS LIMA",IF(J46=24137,"CHRISTIANO MARCONDES DE BARROS LIMA",IF(J46=135152,"ENRICO BORTPLUZO CASSIANO",IF(J46=136568,"ENRICO BORTPLUZO CASSIANO", IF(J46=130976,"MARYLIA CARVALHO PONCE",IF(J46=136668,"ALEXANDRE DA COSTA SOARES",IF(J46=52340,"OFFSHORE LISTED",IF(J46=158778,"CLAUDIO DE SOUZA PACINI",_xlfn.XLOOKUP(J46,[1]!Tabela33[ID ORACLE],[1]!Tabela33[BROKER],0,0,1))))))))))))</f>
        <v>GUSTAVO VALERIO FERREIRA DE ALBUQUERQUE</v>
      </c>
      <c r="E46" s="22">
        <f t="shared" si="6"/>
        <v>-1332.4595017500001</v>
      </c>
      <c r="F46" s="9" t="str">
        <f t="shared" si="7"/>
        <v>NYSE MARKET INC.</v>
      </c>
      <c r="G46" s="20">
        <f t="shared" si="2"/>
        <v>46023</v>
      </c>
      <c r="H46" s="23">
        <v>1170</v>
      </c>
      <c r="I46"/>
      <c r="J46" s="41">
        <v>125412</v>
      </c>
      <c r="K46" s="1" t="s">
        <v>44</v>
      </c>
      <c r="L46" s="1" t="s">
        <v>12</v>
      </c>
      <c r="M46" s="29">
        <v>254.76749999999998</v>
      </c>
      <c r="N46" s="2"/>
      <c r="O46" s="1"/>
      <c r="P46" s="26"/>
      <c r="Q46" s="27"/>
      <c r="R46" s="26"/>
      <c r="S46" s="27"/>
      <c r="T46" s="26"/>
      <c r="U46" s="27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s="25" customFormat="1" ht="15" customHeight="1" x14ac:dyDescent="0.25">
      <c r="A47" s="9" t="str">
        <f t="shared" si="3"/>
        <v>CUSTO MARKET DATA - JANEIRO/26-REFINITIV-125412</v>
      </c>
      <c r="B47" s="20">
        <v>46023</v>
      </c>
      <c r="C47" s="21">
        <v>817393</v>
      </c>
      <c r="D47" s="9" t="str">
        <f>IF(J47=57036,"ALEXANDRE DA COSTA SOARES",IF(J47=24157,"JOSE MAURICIO GOMES TEIXEIRA",IF(J47=24203,"JOSE MAURICIO GOMES TEIXEIRA",IF(J47=24149,"CHRISTIANO MARCONDES DE BARROS LIMA",IF(J47=24137,"CHRISTIANO MARCONDES DE BARROS LIMA",IF(J47=135152,"ENRICO BORTPLUZO CASSIANO",IF(J47=136568,"ENRICO BORTPLUZO CASSIANO", IF(J47=130976,"MARYLIA CARVALHO PONCE",IF(J47=136668,"ALEXANDRE DA COSTA SOARES",IF(J47=52340,"OFFSHORE LISTED",IF(J47=158778,"CLAUDIO DE SOUZA PACINI",_xlfn.XLOOKUP(J47,[1]!Tabela33[ID ORACLE],[1]!Tabela33[BROKER],0,0,1))))))))))))</f>
        <v>GUSTAVO VALERIO FERREIRA DE ALBUQUERQUE</v>
      </c>
      <c r="E47" s="22">
        <f t="shared" si="6"/>
        <v>-148.44434717760001</v>
      </c>
      <c r="F47" s="9" t="str">
        <f t="shared" si="7"/>
        <v>REFINITIV</v>
      </c>
      <c r="G47" s="20">
        <f t="shared" si="2"/>
        <v>46023</v>
      </c>
      <c r="H47" s="23">
        <v>1170</v>
      </c>
      <c r="I47"/>
      <c r="J47" s="41">
        <v>125412</v>
      </c>
      <c r="K47" s="1" t="s">
        <v>42</v>
      </c>
      <c r="L47" s="1" t="s">
        <v>17</v>
      </c>
      <c r="M47" s="29">
        <v>20.685648</v>
      </c>
      <c r="N47" s="2"/>
      <c r="O47" s="1"/>
      <c r="P47" s="26"/>
      <c r="Q47" s="27"/>
      <c r="R47" s="26"/>
      <c r="S47" s="27"/>
      <c r="T47" s="26"/>
      <c r="U47" s="27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s="25" customFormat="1" ht="15" customHeight="1" x14ac:dyDescent="0.25">
      <c r="A48" s="9" t="str">
        <f t="shared" si="3"/>
        <v>CUSTO MARKET DATA - JANEIRO/26-REFINITIV-125524</v>
      </c>
      <c r="B48" s="20">
        <v>46023</v>
      </c>
      <c r="C48" s="21">
        <v>817393</v>
      </c>
      <c r="D48" s="9" t="str">
        <f>IF(J48=57036,"ALEXANDRE DA COSTA SOARES",IF(J48=24157,"JOSE MAURICIO GOMES TEIXEIRA",IF(J48=24203,"JOSE MAURICIO GOMES TEIXEIRA",IF(J48=24149,"CHRISTIANO MARCONDES DE BARROS LIMA",IF(J48=24137,"CHRISTIANO MARCONDES DE BARROS LIMA",IF(J48=135152,"ENRICO BORTPLUZO CASSIANO",IF(J48=136568,"ENRICO BORTPLUZO CASSIANO", IF(J48=130976,"MARYLIA CARVALHO PONCE",IF(J48=136668,"ALEXANDRE DA COSTA SOARES",IF(J48=52340,"OFFSHORE LISTED",IF(J48=158778,"CLAUDIO DE SOUZA PACINI",_xlfn.XLOOKUP(J48,[1]!Tabela33[ID ORACLE],[1]!Tabela33[BROKER],0,0,1))))))))))))</f>
        <v>JUAREZ JOAQUIM DE LACERDA</v>
      </c>
      <c r="E48" s="22">
        <f t="shared" si="6"/>
        <v>-148.44434717760001</v>
      </c>
      <c r="F48" s="9" t="str">
        <f t="shared" si="7"/>
        <v>REFINITIV</v>
      </c>
      <c r="G48" s="20">
        <f t="shared" si="2"/>
        <v>46023</v>
      </c>
      <c r="H48" s="23">
        <v>1170</v>
      </c>
      <c r="I48"/>
      <c r="J48" s="41">
        <v>125524</v>
      </c>
      <c r="K48" s="1" t="s">
        <v>42</v>
      </c>
      <c r="L48" s="1" t="s">
        <v>17</v>
      </c>
      <c r="M48" s="29">
        <v>20.685648</v>
      </c>
      <c r="N48" s="2"/>
      <c r="O48" s="1"/>
      <c r="P48" s="26"/>
      <c r="Q48" s="27"/>
      <c r="R48" s="26"/>
      <c r="S48" s="27"/>
      <c r="T48" s="26"/>
      <c r="U48" s="27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customFormat="1" ht="15" customHeight="1" x14ac:dyDescent="0.25">
      <c r="A49" s="9" t="str">
        <f t="shared" si="3"/>
        <v>CUSTO MARKET DATA - JANEIRO/26-BLOOMBERG-127165</v>
      </c>
      <c r="B49" s="20">
        <v>46023</v>
      </c>
      <c r="C49" s="21">
        <v>817393</v>
      </c>
      <c r="D49" s="9" t="str">
        <f>IF(J49=57036,"ALEXANDRE DA COSTA SOARES",IF(J49=24157,"JOSE MAURICIO GOMES TEIXEIRA",IF(J49=24203,"JOSE MAURICIO GOMES TEIXEIRA",IF(J49=24149,"CHRISTIANO MARCONDES DE BARROS LIMA",IF(J49=24137,"CHRISTIANO MARCONDES DE BARROS LIMA",IF(J49=135152,"ENRICO BORTPLUZO CASSIANO",IF(J49=136568,"ENRICO BORTPLUZO CASSIANO", IF(J49=130976,"MARYLIA CARVALHO PONCE",IF(J49=136668,"ALEXANDRE DA COSTA SOARES",IF(J49=52340,"OFFSHORE LISTED",IF(J49=158778,"CLAUDIO DE SOUZA PACINI",_xlfn.XLOOKUP(J49,[1]!Tabela33[ID ORACLE],[1]!Tabela33[BROKER],0,0,1))))))))))))</f>
        <v>RODRIGO PENTAGNA</v>
      </c>
      <c r="E49" s="22">
        <f t="shared" si="6"/>
        <v>-12786.518255252102</v>
      </c>
      <c r="F49" s="9" t="str">
        <f t="shared" si="7"/>
        <v>BLOOMBERG</v>
      </c>
      <c r="G49" s="20">
        <f t="shared" si="2"/>
        <v>46023</v>
      </c>
      <c r="H49" s="23">
        <v>1170</v>
      </c>
      <c r="J49" s="41">
        <v>127165</v>
      </c>
      <c r="K49" s="1" t="s">
        <v>41</v>
      </c>
      <c r="L49" s="1" t="s">
        <v>12</v>
      </c>
      <c r="M49" s="29">
        <v>2444.7942210000001</v>
      </c>
      <c r="N49" s="2"/>
      <c r="O49" s="1"/>
      <c r="P49" s="26"/>
      <c r="Q49" s="27"/>
      <c r="R49" s="26"/>
      <c r="S49" s="27"/>
      <c r="T49" s="26"/>
      <c r="U49" s="27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customFormat="1" ht="15" customHeight="1" x14ac:dyDescent="0.25">
      <c r="A50" s="9" t="str">
        <f t="shared" si="3"/>
        <v>CUSTO MARKET DATA - JANEIRO/26-OPTIONS PRICE REPORTING AUTHORITY (OPRA)-127165</v>
      </c>
      <c r="B50" s="20">
        <v>46023</v>
      </c>
      <c r="C50" s="21">
        <v>817393</v>
      </c>
      <c r="D50" s="9" t="str">
        <f>IF(J50=57036,"ALEXANDRE DA COSTA SOARES",IF(J50=24157,"JOSE MAURICIO GOMES TEIXEIRA",IF(J50=24203,"JOSE MAURICIO GOMES TEIXEIRA",IF(J50=24149,"CHRISTIANO MARCONDES DE BARROS LIMA",IF(J50=24137,"CHRISTIANO MARCONDES DE BARROS LIMA",IF(J50=135152,"ENRICO BORTPLUZO CASSIANO",IF(J50=136568,"ENRICO BORTPLUZO CASSIANO", IF(J50=130976,"MARYLIA CARVALHO PONCE",IF(J50=136668,"ALEXANDRE DA COSTA SOARES",IF(J50=52340,"OFFSHORE LISTED",IF(J50=158778,"CLAUDIO DE SOUZA PACINI",_xlfn.XLOOKUP(J50,[1]!Tabela33[ID ORACLE],[1]!Tabela33[BROKER],0,0,1))))))))))))</f>
        <v>RODRIGO PENTAGNA</v>
      </c>
      <c r="E50" s="22">
        <f t="shared" si="6"/>
        <v>-164.74815000000001</v>
      </c>
      <c r="F50" s="9" t="str">
        <f t="shared" si="7"/>
        <v>OPTIONS PRICE REPORTING AUTHORITY (OPRA)</v>
      </c>
      <c r="G50" s="20">
        <f t="shared" si="2"/>
        <v>46023</v>
      </c>
      <c r="H50" s="23">
        <v>1170</v>
      </c>
      <c r="J50" s="41">
        <v>127165</v>
      </c>
      <c r="K50" s="1" t="s">
        <v>45</v>
      </c>
      <c r="L50" s="1" t="s">
        <v>12</v>
      </c>
      <c r="M50" s="29">
        <v>31.5</v>
      </c>
      <c r="N50" s="2"/>
      <c r="O50" s="1"/>
      <c r="P50" s="26"/>
      <c r="Q50" s="27"/>
      <c r="R50" s="26"/>
      <c r="S50" s="27"/>
      <c r="T50" s="26"/>
      <c r="U50" s="27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customFormat="1" ht="15" customHeight="1" x14ac:dyDescent="0.25">
      <c r="A51" s="9" t="str">
        <f t="shared" si="3"/>
        <v>CUSTO MARKET DATA - JANEIRO/26-REFINITIV-127165</v>
      </c>
      <c r="B51" s="20">
        <v>46023</v>
      </c>
      <c r="C51" s="21">
        <v>817393</v>
      </c>
      <c r="D51" s="9" t="str">
        <f>IF(J51=57036,"ALEXANDRE DA COSTA SOARES",IF(J51=24157,"JOSE MAURICIO GOMES TEIXEIRA",IF(J51=24203,"JOSE MAURICIO GOMES TEIXEIRA",IF(J51=24149,"CHRISTIANO MARCONDES DE BARROS LIMA",IF(J51=24137,"CHRISTIANO MARCONDES DE BARROS LIMA",IF(J51=135152,"ENRICO BORTPLUZO CASSIANO",IF(J51=136568,"ENRICO BORTPLUZO CASSIANO", IF(J51=130976,"MARYLIA CARVALHO PONCE",IF(J51=136668,"ALEXANDRE DA COSTA SOARES",IF(J51=52340,"OFFSHORE LISTED",IF(J51=158778,"CLAUDIO DE SOUZA PACINI",_xlfn.XLOOKUP(J51,[1]!Tabela33[ID ORACLE],[1]!Tabela33[BROKER],0,0,1))))))))))))</f>
        <v>RODRIGO PENTAGNA</v>
      </c>
      <c r="E51" s="22">
        <f t="shared" si="6"/>
        <v>-148.44434717760001</v>
      </c>
      <c r="F51" s="9" t="str">
        <f t="shared" si="7"/>
        <v>REFINITIV</v>
      </c>
      <c r="G51" s="20">
        <f t="shared" si="2"/>
        <v>46023</v>
      </c>
      <c r="H51" s="23">
        <v>1170</v>
      </c>
      <c r="J51" s="41">
        <v>127165</v>
      </c>
      <c r="K51" s="1" t="s">
        <v>42</v>
      </c>
      <c r="L51" s="1" t="s">
        <v>17</v>
      </c>
      <c r="M51" s="29">
        <v>20.685648</v>
      </c>
      <c r="N51" s="2"/>
      <c r="O51" s="1"/>
      <c r="P51" s="26"/>
      <c r="Q51" s="27"/>
      <c r="R51" s="26"/>
      <c r="S51" s="27"/>
      <c r="T51" s="26"/>
      <c r="U51" s="27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customFormat="1" ht="15" customHeight="1" x14ac:dyDescent="0.25">
      <c r="A52" s="9" t="str">
        <f t="shared" si="3"/>
        <v>CUSTO MARKET DATA - JANEIRO/26-REFINITIV-128628</v>
      </c>
      <c r="B52" s="20">
        <v>46023</v>
      </c>
      <c r="C52" s="21">
        <v>817393</v>
      </c>
      <c r="D52" s="9" t="str">
        <f>IF(J52=57036,"ALEXANDRE DA COSTA SOARES",IF(J52=24157,"JOSE MAURICIO GOMES TEIXEIRA",IF(J52=24203,"JOSE MAURICIO GOMES TEIXEIRA",IF(J52=24149,"CHRISTIANO MARCONDES DE BARROS LIMA",IF(J52=24137,"CHRISTIANO MARCONDES DE BARROS LIMA",IF(J52=135152,"ENRICO BORTPLUZO CASSIANO",IF(J52=136568,"ENRICO BORTPLUZO CASSIANO", IF(J52=130976,"MARYLIA CARVALHO PONCE",IF(J52=136668,"ALEXANDRE DA COSTA SOARES",IF(J52=52340,"OFFSHORE LISTED",IF(J52=158778,"CLAUDIO DE SOUZA PACINI",_xlfn.XLOOKUP(J52,[1]!Tabela33[ID ORACLE],[1]!Tabela33[BROKER],0,0,1))))))))))))</f>
        <v>MARCELLE DA SILVEIRA GIL CADILHE</v>
      </c>
      <c r="E52" s="22">
        <f t="shared" si="6"/>
        <v>-148.44434717760001</v>
      </c>
      <c r="F52" s="9" t="str">
        <f t="shared" si="7"/>
        <v>REFINITIV</v>
      </c>
      <c r="G52" s="20">
        <f t="shared" si="2"/>
        <v>46023</v>
      </c>
      <c r="H52" s="23">
        <v>1170</v>
      </c>
      <c r="J52" s="41">
        <v>128628</v>
      </c>
      <c r="K52" s="1" t="s">
        <v>42</v>
      </c>
      <c r="L52" s="1" t="s">
        <v>17</v>
      </c>
      <c r="M52" s="29">
        <v>20.685648</v>
      </c>
      <c r="N52" s="2"/>
      <c r="O52" s="1"/>
      <c r="P52" s="26"/>
      <c r="Q52" s="27"/>
      <c r="R52" s="26"/>
      <c r="S52" s="27"/>
      <c r="T52" s="26"/>
      <c r="U52" s="27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customFormat="1" ht="15" customHeight="1" x14ac:dyDescent="0.25">
      <c r="A53" s="9" t="str">
        <f t="shared" si="3"/>
        <v>CUSTO MARKET DATA - JANEIRO/26-REFINITIV-130976</v>
      </c>
      <c r="B53" s="20">
        <v>46023</v>
      </c>
      <c r="C53" s="21">
        <v>817393</v>
      </c>
      <c r="D53" s="9" t="str">
        <f>IF(J53=57036,"ALEXANDRE DA COSTA SOARES",IF(J53=24157,"JOSE MAURICIO GOMES TEIXEIRA",IF(J53=24203,"JOSE MAURICIO GOMES TEIXEIRA",IF(J53=24149,"CHRISTIANO MARCONDES DE BARROS LIMA",IF(J53=24137,"CHRISTIANO MARCONDES DE BARROS LIMA",IF(J53=135152,"ENRICO BORTPLUZO CASSIANO",IF(J53=136568,"ENRICO BORTPLUZO CASSIANO", IF(J53=130976,"MARYLIA CARVALHO PONCE",IF(J53=136668,"ALEXANDRE DA COSTA SOARES",IF(J53=52340,"OFFSHORE LISTED",IF(J53=158778,"CLAUDIO DE SOUZA PACINI",_xlfn.XLOOKUP(J53,[1]!Tabela33[ID ORACLE],[1]!Tabela33[BROKER],0,0,1))))))))))))</f>
        <v>MARYLIA CARVALHO PONCE</v>
      </c>
      <c r="E53" s="22">
        <f t="shared" si="6"/>
        <v>-148.44434717760001</v>
      </c>
      <c r="F53" s="9" t="str">
        <f t="shared" si="7"/>
        <v>REFINITIV</v>
      </c>
      <c r="G53" s="20">
        <f t="shared" si="2"/>
        <v>46023</v>
      </c>
      <c r="H53" s="23">
        <v>1170</v>
      </c>
      <c r="J53" s="41">
        <v>130976</v>
      </c>
      <c r="K53" s="1" t="s">
        <v>42</v>
      </c>
      <c r="L53" s="1" t="s">
        <v>17</v>
      </c>
      <c r="M53" s="29">
        <v>20.685648</v>
      </c>
      <c r="N53" s="2"/>
      <c r="O53" s="1"/>
      <c r="P53" s="26"/>
      <c r="Q53" s="27"/>
      <c r="R53" s="26"/>
      <c r="S53" s="27"/>
      <c r="T53" s="26"/>
      <c r="U53" s="27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customFormat="1" ht="15" customHeight="1" x14ac:dyDescent="0.25">
      <c r="A54" s="9" t="str">
        <f t="shared" si="3"/>
        <v>CUSTO MARKET DATA - JANEIRO/26-BLOOMBERG-131299</v>
      </c>
      <c r="B54" s="20">
        <v>46023</v>
      </c>
      <c r="C54" s="21">
        <v>817393</v>
      </c>
      <c r="D54" s="9" t="str">
        <f>IF(J54=57036,"ALEXANDRE DA COSTA SOARES",IF(J54=24157,"JOSE MAURICIO GOMES TEIXEIRA",IF(J54=24203,"JOSE MAURICIO GOMES TEIXEIRA",IF(J54=24149,"CHRISTIANO MARCONDES DE BARROS LIMA",IF(J54=24137,"CHRISTIANO MARCONDES DE BARROS LIMA",IF(J54=135152,"ENRICO BORTPLUZO CASSIANO",IF(J54=136568,"ENRICO BORTPLUZO CASSIANO", IF(J54=130976,"MARYLIA CARVALHO PONCE",IF(J54=136668,"ALEXANDRE DA COSTA SOARES",IF(J54=52340,"OFFSHORE LISTED",IF(J54=158778,"CLAUDIO DE SOUZA PACINI",_xlfn.XLOOKUP(J54,[1]!Tabela33[ID ORACLE],[1]!Tabela33[BROKER],0,0,1))))))))))))</f>
        <v>RODRIGO BETTI MARQUES</v>
      </c>
      <c r="E54" s="22">
        <f t="shared" si="6"/>
        <v>-12585.159405252101</v>
      </c>
      <c r="F54" s="9" t="str">
        <f t="shared" si="7"/>
        <v>BLOOMBERG</v>
      </c>
      <c r="G54" s="20">
        <f t="shared" si="2"/>
        <v>46023</v>
      </c>
      <c r="H54" s="23">
        <v>1170</v>
      </c>
      <c r="J54" s="41">
        <v>131299</v>
      </c>
      <c r="K54" s="1" t="s">
        <v>41</v>
      </c>
      <c r="L54" s="1" t="s">
        <v>12</v>
      </c>
      <c r="M54" s="29">
        <v>2406.2942210000001</v>
      </c>
      <c r="N54" s="2"/>
      <c r="O54" s="1"/>
      <c r="P54" s="26"/>
      <c r="Q54" s="27"/>
      <c r="R54" s="26"/>
      <c r="S54" s="27"/>
      <c r="T54" s="26"/>
      <c r="U54" s="27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customFormat="1" ht="15" customHeight="1" x14ac:dyDescent="0.25">
      <c r="A55" s="9" t="str">
        <f t="shared" si="3"/>
        <v>CUSTO MARKET DATA - JANEIRO/26-BLOOMBERG-132975</v>
      </c>
      <c r="B55" s="20">
        <v>46023</v>
      </c>
      <c r="C55" s="21">
        <v>817393</v>
      </c>
      <c r="D55" s="9" t="str">
        <f>IF(J55=57036,"ALEXANDRE DA COSTA SOARES",IF(J55=24157,"JOSE MAURICIO GOMES TEIXEIRA",IF(J55=24203,"JOSE MAURICIO GOMES TEIXEIRA",IF(J55=24149,"CHRISTIANO MARCONDES DE BARROS LIMA",IF(J55=24137,"CHRISTIANO MARCONDES DE BARROS LIMA",IF(J55=135152,"ENRICO BORTPLUZO CASSIANO",IF(J55=136568,"ENRICO BORTPLUZO CASSIANO", IF(J55=130976,"MARYLIA CARVALHO PONCE",IF(J55=136668,"ALEXANDRE DA COSTA SOARES",IF(J55=52340,"OFFSHORE LISTED",IF(J55=158778,"CLAUDIO DE SOUZA PACINI",_xlfn.XLOOKUP(J55,[1]!Tabela33[ID ORACLE],[1]!Tabela33[BROKER],0,0,1))))))))))))</f>
        <v>MATHEUS NACIF NESRALLAH</v>
      </c>
      <c r="E55" s="22">
        <f t="shared" si="6"/>
        <v>-52.301000000000002</v>
      </c>
      <c r="F55" s="9" t="str">
        <f t="shared" si="7"/>
        <v>BLOOMBERG</v>
      </c>
      <c r="G55" s="20">
        <f t="shared" si="2"/>
        <v>46023</v>
      </c>
      <c r="H55" s="23">
        <v>1170</v>
      </c>
      <c r="J55" s="41">
        <v>132975</v>
      </c>
      <c r="K55" s="1" t="s">
        <v>41</v>
      </c>
      <c r="L55" s="1" t="s">
        <v>12</v>
      </c>
      <c r="M55" s="29">
        <v>10</v>
      </c>
      <c r="N55" s="2"/>
      <c r="O55" s="1"/>
      <c r="P55" s="26"/>
      <c r="Q55" s="27"/>
      <c r="R55" s="26"/>
      <c r="S55" s="27"/>
      <c r="T55" s="26"/>
      <c r="U55" s="27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customFormat="1" ht="15" customHeight="1" x14ac:dyDescent="0.25">
      <c r="A56" s="9" t="str">
        <f t="shared" si="3"/>
        <v>CUSTO MARKET DATA - JANEIRO/26-REFINITIV-132975</v>
      </c>
      <c r="B56" s="20">
        <v>46023</v>
      </c>
      <c r="C56" s="21">
        <v>817393</v>
      </c>
      <c r="D56" s="9" t="str">
        <f>IF(J56=57036,"ALEXANDRE DA COSTA SOARES",IF(J56=24157,"JOSE MAURICIO GOMES TEIXEIRA",IF(J56=24203,"JOSE MAURICIO GOMES TEIXEIRA",IF(J56=24149,"CHRISTIANO MARCONDES DE BARROS LIMA",IF(J56=24137,"CHRISTIANO MARCONDES DE BARROS LIMA",IF(J56=135152,"ENRICO BORTPLUZO CASSIANO",IF(J56=136568,"ENRICO BORTPLUZO CASSIANO", IF(J56=130976,"MARYLIA CARVALHO PONCE",IF(J56=136668,"ALEXANDRE DA COSTA SOARES",IF(J56=52340,"OFFSHORE LISTED",IF(J56=158778,"CLAUDIO DE SOUZA PACINI",_xlfn.XLOOKUP(J56,[1]!Tabela33[ID ORACLE],[1]!Tabela33[BROKER],0,0,1))))))))))))</f>
        <v>MATHEUS NACIF NESRALLAH</v>
      </c>
      <c r="E56" s="22">
        <f t="shared" si="6"/>
        <v>-148.44434717760001</v>
      </c>
      <c r="F56" s="9" t="str">
        <f t="shared" si="7"/>
        <v>REFINITIV</v>
      </c>
      <c r="G56" s="20">
        <f t="shared" si="2"/>
        <v>46023</v>
      </c>
      <c r="H56" s="23">
        <v>1170</v>
      </c>
      <c r="J56" s="41">
        <v>132975</v>
      </c>
      <c r="K56" s="1" t="s">
        <v>42</v>
      </c>
      <c r="L56" s="1" t="s">
        <v>17</v>
      </c>
      <c r="M56" s="29">
        <v>20.685648</v>
      </c>
      <c r="N56" s="2"/>
      <c r="O56" s="1"/>
      <c r="P56" s="26"/>
      <c r="Q56" s="27"/>
      <c r="R56" s="26"/>
      <c r="S56" s="27"/>
      <c r="T56" s="26"/>
      <c r="U56" s="27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customFormat="1" ht="15" customHeight="1" x14ac:dyDescent="0.25">
      <c r="A57" s="9" t="str">
        <f t="shared" si="3"/>
        <v>CUSTO MARKET DATA - JANEIRO/26-BLOOMBERG-133842</v>
      </c>
      <c r="B57" s="20">
        <v>46023</v>
      </c>
      <c r="C57" s="21">
        <v>817393</v>
      </c>
      <c r="D57" s="9" t="str">
        <f>IF(J57=57036,"ALEXANDRE DA COSTA SOARES",IF(J57=24157,"JOSE MAURICIO GOMES TEIXEIRA",IF(J57=24203,"JOSE MAURICIO GOMES TEIXEIRA",IF(J57=24149,"CHRISTIANO MARCONDES DE BARROS LIMA",IF(J57=24137,"CHRISTIANO MARCONDES DE BARROS LIMA",IF(J57=135152,"ENRICO BORTPLUZO CASSIANO",IF(J57=136568,"ENRICO BORTPLUZO CASSIANO", IF(J57=130976,"MARYLIA CARVALHO PONCE",IF(J57=136668,"ALEXANDRE DA COSTA SOARES",IF(J57=52340,"OFFSHORE LISTED",IF(J57=158778,"CLAUDIO DE SOUZA PACINI",_xlfn.XLOOKUP(J57,[1]!Tabela33[ID ORACLE],[1]!Tabela33[BROKER],0,0,1))))))))))))</f>
        <v>FELIPE GOMES BASILE</v>
      </c>
      <c r="E57" s="22">
        <f t="shared" si="6"/>
        <v>-11795.414305252099</v>
      </c>
      <c r="F57" s="9" t="str">
        <f t="shared" si="7"/>
        <v>BLOOMBERG</v>
      </c>
      <c r="G57" s="20">
        <f t="shared" si="2"/>
        <v>46023</v>
      </c>
      <c r="H57" s="23">
        <v>1170</v>
      </c>
      <c r="J57" s="41">
        <v>133842</v>
      </c>
      <c r="K57" s="1" t="s">
        <v>41</v>
      </c>
      <c r="L57" s="1" t="s">
        <v>12</v>
      </c>
      <c r="M57" s="29">
        <v>2255.2942209999997</v>
      </c>
      <c r="N57" s="2"/>
      <c r="O57" s="1"/>
      <c r="P57" s="26"/>
      <c r="Q57" s="27"/>
      <c r="R57" s="26"/>
      <c r="S57" s="27"/>
      <c r="T57" s="26"/>
      <c r="U57" s="27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customFormat="1" ht="15" customHeight="1" x14ac:dyDescent="0.25">
      <c r="A58" s="9" t="str">
        <f t="shared" si="3"/>
        <v>CUSTO MARKET DATA - JANEIRO/26-REFINITIV-133842</v>
      </c>
      <c r="B58" s="20">
        <v>46023</v>
      </c>
      <c r="C58" s="21">
        <v>817393</v>
      </c>
      <c r="D58" s="9" t="str">
        <f>IF(J58=57036,"ALEXANDRE DA COSTA SOARES",IF(J58=24157,"JOSE MAURICIO GOMES TEIXEIRA",IF(J58=24203,"JOSE MAURICIO GOMES TEIXEIRA",IF(J58=24149,"CHRISTIANO MARCONDES DE BARROS LIMA",IF(J58=24137,"CHRISTIANO MARCONDES DE BARROS LIMA",IF(J58=135152,"ENRICO BORTPLUZO CASSIANO",IF(J58=136568,"ENRICO BORTPLUZO CASSIANO", IF(J58=130976,"MARYLIA CARVALHO PONCE",IF(J58=136668,"ALEXANDRE DA COSTA SOARES",IF(J58=52340,"OFFSHORE LISTED",IF(J58=158778,"CLAUDIO DE SOUZA PACINI",_xlfn.XLOOKUP(J58,[1]!Tabela33[ID ORACLE],[1]!Tabela33[BROKER],0,0,1))))))))))))</f>
        <v>FELIPE GOMES BASILE</v>
      </c>
      <c r="E58" s="22">
        <f t="shared" si="6"/>
        <v>-148.44434717760001</v>
      </c>
      <c r="F58" s="9" t="str">
        <f t="shared" si="7"/>
        <v>REFINITIV</v>
      </c>
      <c r="G58" s="20">
        <f t="shared" si="2"/>
        <v>46023</v>
      </c>
      <c r="H58" s="23">
        <v>1170</v>
      </c>
      <c r="J58" s="41">
        <v>133842</v>
      </c>
      <c r="K58" s="1" t="s">
        <v>42</v>
      </c>
      <c r="L58" s="1" t="s">
        <v>17</v>
      </c>
      <c r="M58" s="29">
        <v>20.685648</v>
      </c>
      <c r="N58" s="2"/>
      <c r="O58" s="1"/>
      <c r="P58" s="26"/>
      <c r="Q58" s="27"/>
      <c r="R58" s="26"/>
      <c r="S58" s="27"/>
      <c r="T58" s="26"/>
      <c r="U58" s="27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customFormat="1" ht="15" customHeight="1" x14ac:dyDescent="0.25">
      <c r="A59" s="9" t="str">
        <f t="shared" si="3"/>
        <v>CUSTO MARKET DATA - JANEIRO/26-BLOOMBERG-134703</v>
      </c>
      <c r="B59" s="20">
        <v>46023</v>
      </c>
      <c r="C59" s="21">
        <v>817393</v>
      </c>
      <c r="D59" s="9" t="str">
        <f>IF(J59=57036,"ALEXANDRE DA COSTA SOARES",IF(J59=24157,"JOSE MAURICIO GOMES TEIXEIRA",IF(J59=24203,"JOSE MAURICIO GOMES TEIXEIRA",IF(J59=24149,"CHRISTIANO MARCONDES DE BARROS LIMA",IF(J59=24137,"CHRISTIANO MARCONDES DE BARROS LIMA",IF(J59=135152,"ENRICO BORTPLUZO CASSIANO",IF(J59=136568,"ENRICO BORTPLUZO CASSIANO", IF(J59=130976,"MARYLIA CARVALHO PONCE",IF(J59=136668,"ALEXANDRE DA COSTA SOARES",IF(J59=52340,"OFFSHORE LISTED",IF(J59=158778,"CLAUDIO DE SOUZA PACINI",_xlfn.XLOOKUP(J59,[1]!Tabela33[ID ORACLE],[1]!Tabela33[BROKER],0,0,1))))))))))))</f>
        <v>DANIELA VODOVOZ</v>
      </c>
      <c r="E59" s="22">
        <f t="shared" si="6"/>
        <v>-12414.1351352521</v>
      </c>
      <c r="F59" s="9" t="str">
        <f t="shared" si="7"/>
        <v>BLOOMBERG</v>
      </c>
      <c r="G59" s="20">
        <f t="shared" si="2"/>
        <v>46023</v>
      </c>
      <c r="H59" s="23">
        <v>1170</v>
      </c>
      <c r="J59" s="41">
        <v>134703</v>
      </c>
      <c r="K59" s="1" t="s">
        <v>41</v>
      </c>
      <c r="L59" s="1" t="s">
        <v>12</v>
      </c>
      <c r="M59" s="29">
        <v>2373.5942209999998</v>
      </c>
      <c r="N59" s="2"/>
      <c r="O59" s="1"/>
      <c r="P59" s="26"/>
      <c r="Q59" s="27"/>
      <c r="R59" s="26"/>
      <c r="S59" s="27"/>
      <c r="T59" s="26"/>
      <c r="U59" s="27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25">
      <c r="A60" s="9" t="str">
        <f t="shared" si="3"/>
        <v>CUSTO MARKET DATA - JANEIRO/26-FIDESSA-134703</v>
      </c>
      <c r="B60" s="20">
        <v>46023</v>
      </c>
      <c r="C60" s="21">
        <v>817393</v>
      </c>
      <c r="D60" s="9" t="str">
        <f>IF(J60=57036,"ALEXANDRE DA COSTA SOARES",IF(J60=24157,"JOSE MAURICIO GOMES TEIXEIRA",IF(J60=24203,"JOSE MAURICIO GOMES TEIXEIRA",IF(J60=24149,"CHRISTIANO MARCONDES DE BARROS LIMA",IF(J60=24137,"CHRISTIANO MARCONDES DE BARROS LIMA",IF(J60=135152,"ENRICO BORTPLUZO CASSIANO",IF(J60=136568,"ENRICO BORTPLUZO CASSIANO", IF(J60=130976,"MARYLIA CARVALHO PONCE",IF(J60=136668,"ALEXANDRE DA COSTA SOARES",IF(J60=52340,"OFFSHORE LISTED",IF(J60=158778,"CLAUDIO DE SOUZA PACINI",_xlfn.XLOOKUP(J60,[1]!Tabela33[ID ORACLE],[1]!Tabela33[BROKER],0,0,1))))))))))))</f>
        <v>DANIELA VODOVOZ</v>
      </c>
      <c r="E60" s="22">
        <f t="shared" si="6"/>
        <v>-4.5675143213</v>
      </c>
      <c r="F60" s="9" t="str">
        <f t="shared" si="7"/>
        <v>FIDESSA</v>
      </c>
      <c r="G60" s="20">
        <f t="shared" si="2"/>
        <v>46023</v>
      </c>
      <c r="H60" s="23">
        <v>1170</v>
      </c>
      <c r="J60" s="41">
        <v>134703</v>
      </c>
      <c r="K60" s="1" t="s">
        <v>47</v>
      </c>
      <c r="L60" s="1" t="s">
        <v>12</v>
      </c>
      <c r="M60" s="29">
        <v>0.87331300000000001</v>
      </c>
      <c r="N60" s="2"/>
      <c r="Q60" s="27"/>
      <c r="S60" s="27"/>
      <c r="U60" s="27"/>
    </row>
    <row r="61" spans="1:78" ht="15" customHeight="1" x14ac:dyDescent="0.25">
      <c r="A61" s="9" t="str">
        <f t="shared" si="3"/>
        <v>CUSTO MARKET DATA - JANEIRO/26-NYSE MARKET INC.-134703</v>
      </c>
      <c r="B61" s="20">
        <v>46023</v>
      </c>
      <c r="C61" s="21">
        <v>817393</v>
      </c>
      <c r="D61" s="9" t="str">
        <f>IF(J61=57036,"ALEXANDRE DA COSTA SOARES",IF(J61=24157,"JOSE MAURICIO GOMES TEIXEIRA",IF(J61=24203,"JOSE MAURICIO GOMES TEIXEIRA",IF(J61=24149,"CHRISTIANO MARCONDES DE BARROS LIMA",IF(J61=24137,"CHRISTIANO MARCONDES DE BARROS LIMA",IF(J61=135152,"ENRICO BORTPLUZO CASSIANO",IF(J61=136568,"ENRICO BORTPLUZO CASSIANO", IF(J61=130976,"MARYLIA CARVALHO PONCE",IF(J61=136668,"ALEXANDRE DA COSTA SOARES",IF(J61=52340,"OFFSHORE LISTED",IF(J61=158778,"CLAUDIO DE SOUZA PACINI",_xlfn.XLOOKUP(J61,[1]!Tabela33[ID ORACLE],[1]!Tabela33[BROKER],0,0,1))))))))))))</f>
        <v>DANIELA VODOVOZ</v>
      </c>
      <c r="E61" s="22">
        <f t="shared" si="6"/>
        <v>-512.48442375000002</v>
      </c>
      <c r="F61" s="9" t="str">
        <f t="shared" si="7"/>
        <v>NYSE MARKET INC.</v>
      </c>
      <c r="G61" s="20">
        <f t="shared" si="2"/>
        <v>46023</v>
      </c>
      <c r="H61" s="23">
        <v>1170</v>
      </c>
      <c r="J61" s="41">
        <v>134703</v>
      </c>
      <c r="K61" s="1" t="s">
        <v>44</v>
      </c>
      <c r="L61" s="1" t="s">
        <v>12</v>
      </c>
      <c r="M61" s="29">
        <v>97.987499999999997</v>
      </c>
      <c r="N61" s="2"/>
      <c r="Q61" s="27"/>
      <c r="S61" s="27"/>
      <c r="U61" s="27"/>
    </row>
    <row r="62" spans="1:78" ht="15" customHeight="1" x14ac:dyDescent="0.25">
      <c r="A62" s="9" t="str">
        <f t="shared" si="3"/>
        <v>CUSTO MARKET DATA - JANEIRO/26-OPTIONS PRICE REPORTING AUTHORITY (OPRA)-134703</v>
      </c>
      <c r="B62" s="20">
        <v>46023</v>
      </c>
      <c r="C62" s="21">
        <v>817393</v>
      </c>
      <c r="D62" s="9" t="str">
        <f>IF(J62=57036,"ALEXANDRE DA COSTA SOARES",IF(J62=24157,"JOSE MAURICIO GOMES TEIXEIRA",IF(J62=24203,"JOSE MAURICIO GOMES TEIXEIRA",IF(J62=24149,"CHRISTIANO MARCONDES DE BARROS LIMA",IF(J62=24137,"CHRISTIANO MARCONDES DE BARROS LIMA",IF(J62=135152,"ENRICO BORTPLUZO CASSIANO",IF(J62=136568,"ENRICO BORTPLUZO CASSIANO", IF(J62=130976,"MARYLIA CARVALHO PONCE",IF(J62=136668,"ALEXANDRE DA COSTA SOARES",IF(J62=52340,"OFFSHORE LISTED",IF(J62=158778,"CLAUDIO DE SOUZA PACINI",_xlfn.XLOOKUP(J62,[1]!Tabela33[ID ORACLE],[1]!Tabela33[BROKER],0,0,1))))))))))))</f>
        <v>DANIELA VODOVOZ</v>
      </c>
      <c r="E62" s="22">
        <f t="shared" si="6"/>
        <v>-358.739096625</v>
      </c>
      <c r="F62" s="9" t="str">
        <f t="shared" si="7"/>
        <v>OPTIONS PRICE REPORTING AUTHORITY (OPRA)</v>
      </c>
      <c r="G62" s="20">
        <f t="shared" si="2"/>
        <v>46023</v>
      </c>
      <c r="H62" s="23">
        <v>1170</v>
      </c>
      <c r="J62" s="41">
        <v>134703</v>
      </c>
      <c r="K62" s="1" t="s">
        <v>45</v>
      </c>
      <c r="L62" s="1" t="s">
        <v>12</v>
      </c>
      <c r="M62" s="29">
        <v>68.591250000000002</v>
      </c>
      <c r="N62" s="2"/>
      <c r="Q62" s="27"/>
      <c r="S62" s="27"/>
      <c r="U62" s="27"/>
    </row>
    <row r="63" spans="1:78" ht="15" customHeight="1" x14ac:dyDescent="0.25">
      <c r="A63" s="9" t="str">
        <f t="shared" si="3"/>
        <v>CUSTO MARKET DATA - JANEIRO/26-REFINITIV-135064</v>
      </c>
      <c r="B63" s="20">
        <v>46023</v>
      </c>
      <c r="C63" s="21">
        <v>817393</v>
      </c>
      <c r="D63" s="9" t="str">
        <f>IF(J63=57036,"ALEXANDRE DA COSTA SOARES",IF(J63=24157,"JOSE MAURICIO GOMES TEIXEIRA",IF(J63=24203,"JOSE MAURICIO GOMES TEIXEIRA",IF(J63=24149,"CHRISTIANO MARCONDES DE BARROS LIMA",IF(J63=24137,"CHRISTIANO MARCONDES DE BARROS LIMA",IF(J63=135152,"ENRICO BORTPLUZO CASSIANO",IF(J63=136568,"ENRICO BORTPLUZO CASSIANO", IF(J63=130976,"MARYLIA CARVALHO PONCE",IF(J63=136668,"ALEXANDRE DA COSTA SOARES",IF(J63=52340,"OFFSHORE LISTED",IF(J63=158778,"CLAUDIO DE SOUZA PACINI",_xlfn.XLOOKUP(J63,[1]!Tabela33[ID ORACLE],[1]!Tabela33[BROKER],0,0,1))))))))))))</f>
        <v>ENRICO BORTPLUZO CASSIANO</v>
      </c>
      <c r="E63" s="22">
        <f t="shared" si="6"/>
        <v>-148.44434717760001</v>
      </c>
      <c r="F63" s="9" t="str">
        <f t="shared" si="7"/>
        <v>REFINITIV</v>
      </c>
      <c r="G63" s="20">
        <f t="shared" si="2"/>
        <v>46023</v>
      </c>
      <c r="H63" s="23">
        <v>1170</v>
      </c>
      <c r="J63" s="41">
        <v>135064</v>
      </c>
      <c r="K63" s="1" t="s">
        <v>42</v>
      </c>
      <c r="L63" s="1" t="s">
        <v>17</v>
      </c>
      <c r="M63" s="29">
        <v>20.685648</v>
      </c>
      <c r="N63" s="2"/>
      <c r="Q63" s="27"/>
      <c r="S63" s="27"/>
      <c r="U63" s="27"/>
    </row>
    <row r="64" spans="1:78" ht="15" customHeight="1" x14ac:dyDescent="0.25">
      <c r="A64" s="9" t="str">
        <f t="shared" si="3"/>
        <v>CUSTO MARKET DATA - JANEIRO/26-BLOOMBERG-135152</v>
      </c>
      <c r="B64" s="20">
        <v>46023</v>
      </c>
      <c r="C64" s="21">
        <v>817393</v>
      </c>
      <c r="D64" s="9" t="str">
        <f>IF(J64=57036,"ALEXANDRE DA COSTA SOARES",IF(J64=24157,"JOSE MAURICIO GOMES TEIXEIRA",IF(J64=24203,"JOSE MAURICIO GOMES TEIXEIRA",IF(J64=24149,"CHRISTIANO MARCONDES DE BARROS LIMA",IF(J64=24137,"CHRISTIANO MARCONDES DE BARROS LIMA",IF(J64=135152,"ENRICO BORTPLUZO CASSIANO",IF(J64=136568,"ENRICO BORTPLUZO CASSIANO", IF(J64=130976,"MARYLIA CARVALHO PONCE",IF(J64=136668,"ALEXANDRE DA COSTA SOARES",IF(J64=52340,"OFFSHORE LISTED",IF(J64=158778,"CLAUDIO DE SOUZA PACINI",_xlfn.XLOOKUP(J64,[1]!Tabela33[ID ORACLE],[1]!Tabela33[BROKER],0,0,1))))))))))))</f>
        <v>ENRICO BORTPLUZO CASSIANO</v>
      </c>
      <c r="E64" s="22">
        <f t="shared" si="6"/>
        <v>-11799.5983852521</v>
      </c>
      <c r="F64" s="9" t="str">
        <f t="shared" si="7"/>
        <v>BLOOMBERG</v>
      </c>
      <c r="G64" s="20">
        <f t="shared" si="2"/>
        <v>46023</v>
      </c>
      <c r="H64" s="23">
        <v>1170</v>
      </c>
      <c r="J64" s="41">
        <v>135152</v>
      </c>
      <c r="K64" s="1" t="s">
        <v>41</v>
      </c>
      <c r="L64" s="1" t="s">
        <v>12</v>
      </c>
      <c r="M64" s="29">
        <v>2256.0942209999998</v>
      </c>
      <c r="N64" s="2"/>
      <c r="Q64" s="27"/>
      <c r="S64" s="27"/>
      <c r="U64" s="27"/>
    </row>
    <row r="65" spans="1:78" ht="15" customHeight="1" x14ac:dyDescent="0.25">
      <c r="A65" s="9" t="str">
        <f t="shared" si="3"/>
        <v>CUSTO MARKET DATA - JANEIRO/26-REFINITIV-136568</v>
      </c>
      <c r="B65" s="20">
        <v>46023</v>
      </c>
      <c r="C65" s="21">
        <v>817393</v>
      </c>
      <c r="D65" s="9" t="str">
        <f>IF(J65=57036,"ALEXANDRE DA COSTA SOARES",IF(J65=24157,"JOSE MAURICIO GOMES TEIXEIRA",IF(J65=24203,"JOSE MAURICIO GOMES TEIXEIRA",IF(J65=24149,"CHRISTIANO MARCONDES DE BARROS LIMA",IF(J65=24137,"CHRISTIANO MARCONDES DE BARROS LIMA",IF(J65=135152,"ENRICO BORTPLUZO CASSIANO",IF(J65=136568,"ENRICO BORTPLUZO CASSIANO", IF(J65=130976,"MARYLIA CARVALHO PONCE",IF(J65=136668,"ALEXANDRE DA COSTA SOARES",IF(J65=52340,"OFFSHORE LISTED",IF(J65=158778,"CLAUDIO DE SOUZA PACINI",_xlfn.XLOOKUP(J65,[1]!Tabela33[ID ORACLE],[1]!Tabela33[BROKER],0,0,1))))))))))))</f>
        <v>ENRICO BORTPLUZO CASSIANO</v>
      </c>
      <c r="E65" s="22">
        <f t="shared" si="6"/>
        <v>-148.44434717760001</v>
      </c>
      <c r="F65" s="9" t="str">
        <f t="shared" si="7"/>
        <v>REFINITIV</v>
      </c>
      <c r="G65" s="20">
        <f t="shared" si="2"/>
        <v>46023</v>
      </c>
      <c r="H65" s="23">
        <v>1170</v>
      </c>
      <c r="J65" s="41">
        <v>136568</v>
      </c>
      <c r="K65" s="1" t="s">
        <v>42</v>
      </c>
      <c r="L65" s="1" t="s">
        <v>17</v>
      </c>
      <c r="M65" s="29">
        <v>20.685648</v>
      </c>
      <c r="N65" s="2"/>
      <c r="Q65" s="27"/>
      <c r="S65" s="27"/>
      <c r="U65" s="27"/>
    </row>
    <row r="66" spans="1:78" s="4" customFormat="1" ht="15" customHeight="1" x14ac:dyDescent="0.25">
      <c r="A66" s="9" t="str">
        <f t="shared" si="3"/>
        <v>CUSTO MARKET DATA - JANEIRO/26-OPTIONS PRICE REPORTING AUTHORITY (OPRA)-136668</v>
      </c>
      <c r="B66" s="20">
        <v>46023</v>
      </c>
      <c r="C66" s="21">
        <v>817393</v>
      </c>
      <c r="D66" s="9" t="str">
        <f>IF(J66=57036,"ALEXANDRE DA COSTA SOARES",IF(J66=24157,"JOSE MAURICIO GOMES TEIXEIRA",IF(J66=24203,"JOSE MAURICIO GOMES TEIXEIRA",IF(J66=24149,"CHRISTIANO MARCONDES DE BARROS LIMA",IF(J66=24137,"CHRISTIANO MARCONDES DE BARROS LIMA",IF(J66=135152,"ENRICO BORTPLUZO CASSIANO",IF(J66=136568,"ENRICO BORTPLUZO CASSIANO", IF(J66=130976,"MARYLIA CARVALHO PONCE",IF(J66=136668,"ALEXANDRE DA COSTA SOARES",IF(J66=52340,"OFFSHORE LISTED",IF(J66=158778,"CLAUDIO DE SOUZA PACINI",_xlfn.XLOOKUP(J66,[1]!Tabela33[ID ORACLE],[1]!Tabela33[BROKER],0,0,1))))))))))))</f>
        <v>ALEXANDRE DA COSTA SOARES</v>
      </c>
      <c r="E66" s="22">
        <f t="shared" si="6"/>
        <v>-164.74815000000001</v>
      </c>
      <c r="F66" s="9" t="str">
        <f t="shared" si="7"/>
        <v>OPTIONS PRICE REPORTING AUTHORITY (OPRA)</v>
      </c>
      <c r="G66" s="20">
        <f t="shared" si="2"/>
        <v>46023</v>
      </c>
      <c r="H66" s="23">
        <v>1170</v>
      </c>
      <c r="I66"/>
      <c r="J66" s="41">
        <v>136668</v>
      </c>
      <c r="K66" s="1" t="s">
        <v>45</v>
      </c>
      <c r="L66" s="1" t="s">
        <v>12</v>
      </c>
      <c r="M66" s="29">
        <v>31.5</v>
      </c>
      <c r="N66" s="2"/>
      <c r="O66" s="1"/>
      <c r="P66" s="26"/>
      <c r="Q66" s="27"/>
      <c r="R66" s="26"/>
      <c r="S66" s="27"/>
      <c r="T66" s="26"/>
      <c r="U66" s="27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s="4" customFormat="1" ht="15" customHeight="1" x14ac:dyDescent="0.25">
      <c r="A67" s="9" t="str">
        <f t="shared" si="3"/>
        <v>CUSTO MARKET DATA - JANEIRO/26-REFINITIV-136668</v>
      </c>
      <c r="B67" s="20">
        <v>46023</v>
      </c>
      <c r="C67" s="21">
        <v>817393</v>
      </c>
      <c r="D67" s="9" t="str">
        <f>IF(J67=57036,"ALEXANDRE DA COSTA SOARES",IF(J67=24157,"JOSE MAURICIO GOMES TEIXEIRA",IF(J67=24203,"JOSE MAURICIO GOMES TEIXEIRA",IF(J67=24149,"CHRISTIANO MARCONDES DE BARROS LIMA",IF(J67=24137,"CHRISTIANO MARCONDES DE BARROS LIMA",IF(J67=135152,"ENRICO BORTPLUZO CASSIANO",IF(J67=136568,"ENRICO BORTPLUZO CASSIANO", IF(J67=130976,"MARYLIA CARVALHO PONCE",IF(J67=136668,"ALEXANDRE DA COSTA SOARES",IF(J67=52340,"OFFSHORE LISTED",IF(J67=158778,"CLAUDIO DE SOUZA PACINI",_xlfn.XLOOKUP(J67,[1]!Tabela33[ID ORACLE],[1]!Tabela33[BROKER],0,0,1))))))))))))</f>
        <v>ALEXANDRE DA COSTA SOARES</v>
      </c>
      <c r="E67" s="22">
        <f t="shared" si="6"/>
        <v>-148.44434717760001</v>
      </c>
      <c r="F67" s="9" t="str">
        <f t="shared" si="7"/>
        <v>REFINITIV</v>
      </c>
      <c r="G67" s="20">
        <f t="shared" ref="G67:G130" si="8">B67</f>
        <v>46023</v>
      </c>
      <c r="H67" s="23">
        <v>1170</v>
      </c>
      <c r="I67"/>
      <c r="J67" s="41">
        <v>136668</v>
      </c>
      <c r="K67" s="1" t="s">
        <v>42</v>
      </c>
      <c r="L67" s="1" t="s">
        <v>17</v>
      </c>
      <c r="M67" s="29">
        <v>20.685648</v>
      </c>
      <c r="N67" s="2"/>
      <c r="O67" s="1"/>
      <c r="P67" s="26"/>
      <c r="Q67" s="27"/>
      <c r="R67" s="26"/>
      <c r="S67" s="27"/>
      <c r="T67" s="26"/>
      <c r="U67" s="27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25">
      <c r="A68" s="9" t="str">
        <f t="shared" si="3"/>
        <v>CUSTO MARKET DATA - JANEIRO/26-SYMPHONY COMMUNICATION SERVICES, LLC-136668</v>
      </c>
      <c r="B68" s="20">
        <v>46023</v>
      </c>
      <c r="C68" s="21">
        <v>817393</v>
      </c>
      <c r="D68" s="9" t="str">
        <f>IF(J68=57036,"ALEXANDRE DA COSTA SOARES",IF(J68=24157,"JOSE MAURICIO GOMES TEIXEIRA",IF(J68=24203,"JOSE MAURICIO GOMES TEIXEIRA",IF(J68=24149,"CHRISTIANO MARCONDES DE BARROS LIMA",IF(J68=24137,"CHRISTIANO MARCONDES DE BARROS LIMA",IF(J68=135152,"ENRICO BORTPLUZO CASSIANO",IF(J68=136568,"ENRICO BORTPLUZO CASSIANO", IF(J68=130976,"MARYLIA CARVALHO PONCE",IF(J68=136668,"ALEXANDRE DA COSTA SOARES",IF(J68=52340,"OFFSHORE LISTED",IF(J68=158778,"CLAUDIO DE SOUZA PACINI",_xlfn.XLOOKUP(J68,[1]!Tabela33[ID ORACLE],[1]!Tabela33[BROKER],0,0,1))))))))))))</f>
        <v>ALEXANDRE DA COSTA SOARES</v>
      </c>
      <c r="E68" s="22">
        <f t="shared" si="6"/>
        <v>-130.96824162500002</v>
      </c>
      <c r="F68" s="9" t="str">
        <f t="shared" si="7"/>
        <v>SYMPHONY COMMUNICATION SERVICES, LLC</v>
      </c>
      <c r="G68" s="20">
        <f t="shared" si="8"/>
        <v>46023</v>
      </c>
      <c r="H68" s="23">
        <v>1170</v>
      </c>
      <c r="J68" s="41">
        <v>136668</v>
      </c>
      <c r="K68" s="1" t="s">
        <v>50</v>
      </c>
      <c r="L68" s="1" t="s">
        <v>12</v>
      </c>
      <c r="M68" s="29">
        <v>25.041250000000002</v>
      </c>
      <c r="N68" s="2"/>
      <c r="Q68" s="27"/>
      <c r="S68" s="27"/>
      <c r="U68" s="27"/>
    </row>
    <row r="69" spans="1:78" ht="15" customHeight="1" x14ac:dyDescent="0.25">
      <c r="A69" s="9" t="str">
        <f t="shared" si="3"/>
        <v>CUSTO MARKET DATA - JANEIRO/26-BLOOMBERG-137478</v>
      </c>
      <c r="B69" s="20">
        <v>46023</v>
      </c>
      <c r="C69" s="21">
        <v>817393</v>
      </c>
      <c r="D69" s="9" t="str">
        <f>IF(J69=57036,"ALEXANDRE DA COSTA SOARES",IF(J69=24157,"JOSE MAURICIO GOMES TEIXEIRA",IF(J69=24203,"JOSE MAURICIO GOMES TEIXEIRA",IF(J69=24149,"CHRISTIANO MARCONDES DE BARROS LIMA",IF(J69=24137,"CHRISTIANO MARCONDES DE BARROS LIMA",IF(J69=135152,"ENRICO BORTPLUZO CASSIANO",IF(J69=136568,"ENRICO BORTPLUZO CASSIANO", IF(J69=130976,"MARYLIA CARVALHO PONCE",IF(J69=136668,"ALEXANDRE DA COSTA SOARES",IF(J69=52340,"OFFSHORE LISTED",IF(J69=158778,"CLAUDIO DE SOUZA PACINI",_xlfn.XLOOKUP(J69,[1]!Tabela33[ID ORACLE],[1]!Tabela33[BROKER],0,0,1))))))))))))</f>
        <v>ALEXANDRE BRENO STEVENS</v>
      </c>
      <c r="E69" s="22">
        <f t="shared" si="6"/>
        <v>-9230.8423225165006</v>
      </c>
      <c r="F69" s="9" t="str">
        <f t="shared" si="7"/>
        <v>BLOOMBERG</v>
      </c>
      <c r="G69" s="20">
        <f t="shared" si="8"/>
        <v>46023</v>
      </c>
      <c r="H69" s="23">
        <v>1170</v>
      </c>
      <c r="J69" s="41">
        <v>137478</v>
      </c>
      <c r="K69" s="1" t="s">
        <v>41</v>
      </c>
      <c r="L69" s="1" t="s">
        <v>12</v>
      </c>
      <c r="M69" s="29">
        <v>1764.945665</v>
      </c>
      <c r="N69" s="2"/>
      <c r="Q69" s="27"/>
      <c r="S69" s="27"/>
      <c r="U69" s="27"/>
    </row>
    <row r="70" spans="1:78" ht="15" customHeight="1" x14ac:dyDescent="0.25">
      <c r="A70" s="9" t="str">
        <f t="shared" si="3"/>
        <v>CUSTO MARKET DATA - JANEIRO/26-BLOOMBERG-139345</v>
      </c>
      <c r="B70" s="20">
        <v>46023</v>
      </c>
      <c r="C70" s="21">
        <v>817393</v>
      </c>
      <c r="D70" s="9" t="str">
        <f>IF(J70=57036,"ALEXANDRE DA COSTA SOARES",IF(J70=24157,"JOSE MAURICIO GOMES TEIXEIRA",IF(J70=24203,"JOSE MAURICIO GOMES TEIXEIRA",IF(J70=24149,"CHRISTIANO MARCONDES DE BARROS LIMA",IF(J70=24137,"CHRISTIANO MARCONDES DE BARROS LIMA",IF(J70=135152,"ENRICO BORTPLUZO CASSIANO",IF(J70=136568,"ENRICO BORTPLUZO CASSIANO", IF(J70=130976,"MARYLIA CARVALHO PONCE",IF(J70=136668,"ALEXANDRE DA COSTA SOARES",IF(J70=52340,"OFFSHORE LISTED",IF(J70=158778,"CLAUDIO DE SOUZA PACINI",_xlfn.XLOOKUP(J70,[1]!Tabela33[ID ORACLE],[1]!Tabela33[BROKER],0,0,1))))))))))))</f>
        <v>FELIPE MEIRELLES RACCAH</v>
      </c>
      <c r="E70" s="22">
        <f t="shared" si="6"/>
        <v>-11655.7706352521</v>
      </c>
      <c r="F70" s="9" t="str">
        <f t="shared" si="7"/>
        <v>BLOOMBERG</v>
      </c>
      <c r="G70" s="20">
        <f t="shared" si="8"/>
        <v>46023</v>
      </c>
      <c r="H70" s="23">
        <v>1170</v>
      </c>
      <c r="J70" s="41">
        <v>139345</v>
      </c>
      <c r="K70" s="1" t="s">
        <v>41</v>
      </c>
      <c r="L70" s="1" t="s">
        <v>12</v>
      </c>
      <c r="M70" s="29">
        <v>2228.5942209999998</v>
      </c>
      <c r="N70" s="2"/>
      <c r="Q70" s="27"/>
      <c r="S70" s="27"/>
      <c r="U70" s="27"/>
    </row>
    <row r="71" spans="1:78" ht="15" customHeight="1" x14ac:dyDescent="0.25">
      <c r="A71" s="9" t="str">
        <f t="shared" si="3"/>
        <v>CUSTO MARKET DATA - JANEIRO/26-BLOOMBERG-141745</v>
      </c>
      <c r="B71" s="20">
        <v>46023</v>
      </c>
      <c r="C71" s="21">
        <v>817393</v>
      </c>
      <c r="D71" s="9" t="str">
        <f>IF(J71=57036,"ALEXANDRE DA COSTA SOARES",IF(J71=24157,"JOSE MAURICIO GOMES TEIXEIRA",IF(J71=24203,"JOSE MAURICIO GOMES TEIXEIRA",IF(J71=24149,"CHRISTIANO MARCONDES DE BARROS LIMA",IF(J71=24137,"CHRISTIANO MARCONDES DE BARROS LIMA",IF(J71=135152,"ENRICO BORTPLUZO CASSIANO",IF(J71=136568,"ENRICO BORTPLUZO CASSIANO", IF(J71=130976,"MARYLIA CARVALHO PONCE",IF(J71=136668,"ALEXANDRE DA COSTA SOARES",IF(J71=52340,"OFFSHORE LISTED",IF(J71=158778,"CLAUDIO DE SOUZA PACINI",_xlfn.XLOOKUP(J71,[1]!Tabela33[ID ORACLE],[1]!Tabela33[BROKER],0,0,1))))))))))))</f>
        <v>EDRAS DURAES D ANUNCIACAO</v>
      </c>
      <c r="E71" s="22">
        <f t="shared" si="6"/>
        <v>-11655.7706352521</v>
      </c>
      <c r="F71" s="9" t="str">
        <f t="shared" si="7"/>
        <v>BLOOMBERG</v>
      </c>
      <c r="G71" s="20">
        <f t="shared" si="8"/>
        <v>46023</v>
      </c>
      <c r="H71" s="23">
        <v>1170</v>
      </c>
      <c r="J71" s="41">
        <v>141745</v>
      </c>
      <c r="K71" s="1" t="s">
        <v>41</v>
      </c>
      <c r="L71" s="1" t="s">
        <v>12</v>
      </c>
      <c r="M71" s="29">
        <v>2228.5942209999998</v>
      </c>
      <c r="N71" s="2"/>
      <c r="Q71" s="27"/>
      <c r="S71" s="27"/>
      <c r="U71" s="27"/>
    </row>
    <row r="72" spans="1:78" ht="15" customHeight="1" x14ac:dyDescent="0.25">
      <c r="A72" s="9" t="str">
        <f t="shared" si="3"/>
        <v>CUSTO MARKET DATA - JANEIRO/26-BLOOMBERG-142760</v>
      </c>
      <c r="B72" s="20">
        <v>46023</v>
      </c>
      <c r="C72" s="21">
        <v>817393</v>
      </c>
      <c r="D72" s="9" t="str">
        <f>IF(J72=57036,"ALEXANDRE DA COSTA SOARES",IF(J72=24157,"JOSE MAURICIO GOMES TEIXEIRA",IF(J72=24203,"JOSE MAURICIO GOMES TEIXEIRA",IF(J72=24149,"CHRISTIANO MARCONDES DE BARROS LIMA",IF(J72=24137,"CHRISTIANO MARCONDES DE BARROS LIMA",IF(J72=135152,"ENRICO BORTPLUZO CASSIANO",IF(J72=136568,"ENRICO BORTPLUZO CASSIANO", IF(J72=130976,"MARYLIA CARVALHO PONCE",IF(J72=136668,"ALEXANDRE DA COSTA SOARES",IF(J72=52340,"OFFSHORE LISTED",IF(J72=158778,"CLAUDIO DE SOUZA PACINI",_xlfn.XLOOKUP(J72,[1]!Tabela33[ID ORACLE],[1]!Tabela33[BROKER],0,0,1))))))))))))</f>
        <v>CARLOS THADEU DE FREITAS GOMES FILHO</v>
      </c>
      <c r="E72" s="22">
        <f t="shared" si="6"/>
        <v>-12355.732355405498</v>
      </c>
      <c r="F72" s="9" t="str">
        <f t="shared" si="7"/>
        <v>BLOOMBERG</v>
      </c>
      <c r="G72" s="20">
        <f t="shared" si="8"/>
        <v>46023</v>
      </c>
      <c r="H72" s="23">
        <v>1170</v>
      </c>
      <c r="J72" s="41">
        <v>142760</v>
      </c>
      <c r="K72" s="1" t="s">
        <v>41</v>
      </c>
      <c r="L72" s="1" t="s">
        <v>12</v>
      </c>
      <c r="M72" s="29">
        <v>2362.4275549999998</v>
      </c>
      <c r="N72" s="2"/>
      <c r="Q72" s="27"/>
      <c r="S72" s="27"/>
      <c r="U72" s="27"/>
    </row>
    <row r="73" spans="1:78" ht="15" customHeight="1" x14ac:dyDescent="0.25">
      <c r="A73" s="9" t="str">
        <f t="shared" si="3"/>
        <v>CUSTO MARKET DATA - JANEIRO/26-BLOOMBERG-150588</v>
      </c>
      <c r="B73" s="20">
        <v>46023</v>
      </c>
      <c r="C73" s="21">
        <v>817393</v>
      </c>
      <c r="D73" s="9" t="str">
        <f>IF(J73=57036,"ALEXANDRE DA COSTA SOARES",IF(J73=24157,"JOSE MAURICIO GOMES TEIXEIRA",IF(J73=24203,"JOSE MAURICIO GOMES TEIXEIRA",IF(J73=24149,"CHRISTIANO MARCONDES DE BARROS LIMA",IF(J73=24137,"CHRISTIANO MARCONDES DE BARROS LIMA",IF(J73=135152,"ENRICO BORTPLUZO CASSIANO",IF(J73=136568,"ENRICO BORTPLUZO CASSIANO", IF(J73=130976,"MARYLIA CARVALHO PONCE",IF(J73=136668,"ALEXANDRE DA COSTA SOARES",IF(J73=52340,"OFFSHORE LISTED",IF(J73=158778,"CLAUDIO DE SOUZA PACINI",_xlfn.XLOOKUP(J73,[1]!Tabela33[ID ORACLE],[1]!Tabela33[BROKER],0,0,1))))))))))))</f>
        <v>PAULO GUILHERME MENEZES FELIX</v>
      </c>
      <c r="E73" s="22">
        <f t="shared" si="6"/>
        <v>-52.301000000000002</v>
      </c>
      <c r="F73" s="9" t="str">
        <f t="shared" si="7"/>
        <v>BLOOMBERG</v>
      </c>
      <c r="G73" s="20">
        <f t="shared" si="8"/>
        <v>46023</v>
      </c>
      <c r="H73" s="23">
        <v>1170</v>
      </c>
      <c r="J73" s="41">
        <v>150588</v>
      </c>
      <c r="K73" s="1" t="s">
        <v>41</v>
      </c>
      <c r="L73" s="1" t="s">
        <v>12</v>
      </c>
      <c r="M73" s="29">
        <v>10</v>
      </c>
      <c r="N73" s="2"/>
      <c r="Q73" s="27"/>
      <c r="S73" s="27"/>
      <c r="U73" s="27"/>
    </row>
    <row r="74" spans="1:78" ht="15" customHeight="1" x14ac:dyDescent="0.25">
      <c r="A74" s="9" t="str">
        <f t="shared" si="3"/>
        <v>CUSTO MARKET DATA - JANEIRO/26-BLOOMBERG-152836</v>
      </c>
      <c r="B74" s="20">
        <v>46023</v>
      </c>
      <c r="C74" s="21">
        <v>817393</v>
      </c>
      <c r="D74" s="9" t="str">
        <f>IF(J74=57036,"ALEXANDRE DA COSTA SOARES",IF(J74=24157,"JOSE MAURICIO GOMES TEIXEIRA",IF(J74=24203,"JOSE MAURICIO GOMES TEIXEIRA",IF(J74=24149,"CHRISTIANO MARCONDES DE BARROS LIMA",IF(J74=24137,"CHRISTIANO MARCONDES DE BARROS LIMA",IF(J74=135152,"ENRICO BORTPLUZO CASSIANO",IF(J74=136568,"ENRICO BORTPLUZO CASSIANO", IF(J74=130976,"MARYLIA CARVALHO PONCE",IF(J74=136668,"ALEXANDRE DA COSTA SOARES",IF(J74=52340,"OFFSHORE LISTED",IF(J74=158778,"CLAUDIO DE SOUZA PACINI",_xlfn.XLOOKUP(J74,[1]!Tabela33[ID ORACLE],[1]!Tabela33[BROKER],0,0,1))))))))))))</f>
        <v>FELIPE DE SA TAVARES</v>
      </c>
      <c r="E74" s="22">
        <f t="shared" si="6"/>
        <v>-12557.9628852521</v>
      </c>
      <c r="F74" s="9" t="str">
        <f t="shared" si="7"/>
        <v>BLOOMBERG</v>
      </c>
      <c r="G74" s="20">
        <f t="shared" si="8"/>
        <v>46023</v>
      </c>
      <c r="H74" s="23">
        <v>1170</v>
      </c>
      <c r="J74" s="41">
        <v>152836</v>
      </c>
      <c r="K74" s="1" t="s">
        <v>41</v>
      </c>
      <c r="L74" s="1" t="s">
        <v>12</v>
      </c>
      <c r="M74" s="29">
        <v>2401.0942209999998</v>
      </c>
      <c r="N74" s="2"/>
      <c r="Q74" s="27"/>
      <c r="S74" s="27"/>
      <c r="U74" s="27"/>
    </row>
    <row r="75" spans="1:78" ht="15" customHeight="1" x14ac:dyDescent="0.25">
      <c r="A75" s="9" t="str">
        <f t="shared" si="3"/>
        <v>CUSTO MARKET DATA - JANEIRO/26-BLOOMBERG-153595</v>
      </c>
      <c r="B75" s="20">
        <v>46023</v>
      </c>
      <c r="C75" s="21">
        <v>817393</v>
      </c>
      <c r="D75" s="9" t="str">
        <f>IF(J75=57036,"ALEXANDRE DA COSTA SOARES",IF(J75=24157,"JOSE MAURICIO GOMES TEIXEIRA",IF(J75=24203,"JOSE MAURICIO GOMES TEIXEIRA",IF(J75=24149,"CHRISTIANO MARCONDES DE BARROS LIMA",IF(J75=24137,"CHRISTIANO MARCONDES DE BARROS LIMA",IF(J75=135152,"ENRICO BORTPLUZO CASSIANO",IF(J75=136568,"ENRICO BORTPLUZO CASSIANO", IF(J75=130976,"MARYLIA CARVALHO PONCE",IF(J75=136668,"ALEXANDRE DA COSTA SOARES",IF(J75=52340,"OFFSHORE LISTED",IF(J75=158778,"CLAUDIO DE SOUZA PACINI",_xlfn.XLOOKUP(J75,[1]!Tabela33[ID ORACLE],[1]!Tabela33[BROKER],0,0,1))))))))))))</f>
        <v>REINALDO ANDRE URBANO FILHO</v>
      </c>
      <c r="E75" s="22">
        <f t="shared" si="6"/>
        <v>-12622.293115252101</v>
      </c>
      <c r="F75" s="9" t="str">
        <f t="shared" si="7"/>
        <v>BLOOMBERG</v>
      </c>
      <c r="G75" s="20">
        <f t="shared" si="8"/>
        <v>46023</v>
      </c>
      <c r="H75" s="23">
        <v>1170</v>
      </c>
      <c r="J75" s="41">
        <v>153595</v>
      </c>
      <c r="K75" s="1" t="s">
        <v>41</v>
      </c>
      <c r="L75" s="1" t="s">
        <v>12</v>
      </c>
      <c r="M75" s="29">
        <v>2413.394221</v>
      </c>
      <c r="N75" s="2"/>
      <c r="Q75" s="27"/>
      <c r="S75" s="27"/>
      <c r="U75" s="27"/>
    </row>
    <row r="76" spans="1:78" ht="15" customHeight="1" x14ac:dyDescent="0.25">
      <c r="A76" s="9" t="str">
        <f t="shared" si="3"/>
        <v>CUSTO MARKET DATA - JANEIRO/26-BLOOMBERG-158778</v>
      </c>
      <c r="B76" s="20">
        <v>46023</v>
      </c>
      <c r="C76" s="21">
        <v>817393</v>
      </c>
      <c r="D76" s="9" t="str">
        <f>IF(J76=57036,"ALEXANDRE DA COSTA SOARES",IF(J76=24157,"JOSE MAURICIO GOMES TEIXEIRA",IF(J76=24203,"JOSE MAURICIO GOMES TEIXEIRA",IF(J76=24149,"CHRISTIANO MARCONDES DE BARROS LIMA",IF(J76=24137,"CHRISTIANO MARCONDES DE BARROS LIMA",IF(J76=135152,"ENRICO BORTPLUZO CASSIANO",IF(J76=136568,"ENRICO BORTPLUZO CASSIANO", IF(J76=130976,"MARYLIA CARVALHO PONCE",IF(J76=136668,"ALEXANDRE DA COSTA SOARES",IF(J76=52340,"OFFSHORE LISTED",IF(J76=158778,"CLAUDIO DE SOUZA PACINI",_xlfn.XLOOKUP(J76,[1]!Tabela33[ID ORACLE],[1]!Tabela33[BROKER],0,0,1))))))))))))</f>
        <v>CLAUDIO DE SOUZA PACINI</v>
      </c>
      <c r="E76" s="22">
        <f t="shared" si="6"/>
        <v>-52.301000000000002</v>
      </c>
      <c r="F76" s="9" t="str">
        <f t="shared" si="7"/>
        <v>BLOOMBERG</v>
      </c>
      <c r="G76" s="20">
        <f t="shared" si="8"/>
        <v>46023</v>
      </c>
      <c r="H76" s="23">
        <v>1170</v>
      </c>
      <c r="J76" s="41">
        <v>158778</v>
      </c>
      <c r="K76" s="1" t="s">
        <v>41</v>
      </c>
      <c r="L76" s="1" t="s">
        <v>12</v>
      </c>
      <c r="M76" s="29">
        <v>10</v>
      </c>
      <c r="N76" s="2"/>
      <c r="Q76" s="27"/>
      <c r="S76" s="27"/>
      <c r="U76" s="27"/>
    </row>
    <row r="77" spans="1:78" ht="15" customHeight="1" x14ac:dyDescent="0.25">
      <c r="A77" s="9" t="str">
        <f t="shared" si="3"/>
        <v>CUSTO MARKET DATA - JANEIRO/26-BLOOMBERG-22361</v>
      </c>
      <c r="B77" s="20">
        <v>46023</v>
      </c>
      <c r="C77" s="21">
        <v>817393</v>
      </c>
      <c r="D77" s="9" t="str">
        <f>IF(J77=57036,"ALEXANDRE DA COSTA SOARES",IF(J77=24157,"JOSE MAURICIO GOMES TEIXEIRA",IF(J77=24203,"JOSE MAURICIO GOMES TEIXEIRA",IF(J77=24149,"CHRISTIANO MARCONDES DE BARROS LIMA",IF(J77=24137,"CHRISTIANO MARCONDES DE BARROS LIMA",IF(J77=135152,"ENRICO BORTPLUZO CASSIANO",IF(J77=136568,"ENRICO BORTPLUZO CASSIANO", IF(J77=130976,"MARYLIA CARVALHO PONCE",IF(J77=136668,"ALEXANDRE DA COSTA SOARES",IF(J77=52340,"OFFSHORE LISTED",IF(J77=158778,"CLAUDIO DE SOUZA PACINI",_xlfn.XLOOKUP(J77,[1]!Tabela33[ID ORACLE],[1]!Tabela33[BROKER],0,0,1))))))))))))</f>
        <v>DANIEL TEIXEIRA SIQUEIRA GONÇALVES</v>
      </c>
      <c r="E77" s="22">
        <f t="shared" si="6"/>
        <v>-6203.1449900110001</v>
      </c>
      <c r="F77" s="9" t="str">
        <f t="shared" si="7"/>
        <v>BLOOMBERG</v>
      </c>
      <c r="G77" s="20">
        <f t="shared" si="8"/>
        <v>46023</v>
      </c>
      <c r="H77" s="23">
        <v>1170</v>
      </c>
      <c r="J77" s="41">
        <v>22361</v>
      </c>
      <c r="K77" s="1" t="s">
        <v>41</v>
      </c>
      <c r="L77" s="1" t="s">
        <v>12</v>
      </c>
      <c r="M77" s="29">
        <v>1186.04711</v>
      </c>
      <c r="N77" s="2"/>
      <c r="Q77" s="27"/>
      <c r="S77" s="27"/>
      <c r="U77" s="27"/>
    </row>
    <row r="78" spans="1:78" ht="15" customHeight="1" x14ac:dyDescent="0.25">
      <c r="A78" s="9" t="str">
        <f t="shared" si="3"/>
        <v>CUSTO MARKET DATA - JANEIRO/26-REFINITIV-22361</v>
      </c>
      <c r="B78" s="20">
        <v>46023</v>
      </c>
      <c r="C78" s="21">
        <v>817393</v>
      </c>
      <c r="D78" s="9" t="str">
        <f>IF(J78=57036,"ALEXANDRE DA COSTA SOARES",IF(J78=24157,"JOSE MAURICIO GOMES TEIXEIRA",IF(J78=24203,"JOSE MAURICIO GOMES TEIXEIRA",IF(J78=24149,"CHRISTIANO MARCONDES DE BARROS LIMA",IF(J78=24137,"CHRISTIANO MARCONDES DE BARROS LIMA",IF(J78=135152,"ENRICO BORTPLUZO CASSIANO",IF(J78=136568,"ENRICO BORTPLUZO CASSIANO", IF(J78=130976,"MARYLIA CARVALHO PONCE",IF(J78=136668,"ALEXANDRE DA COSTA SOARES",IF(J78=52340,"OFFSHORE LISTED",IF(J78=158778,"CLAUDIO DE SOUZA PACINI",_xlfn.XLOOKUP(J78,[1]!Tabela33[ID ORACLE],[1]!Tabela33[BROKER],0,0,1))))))))))))</f>
        <v>DANIEL TEIXEIRA SIQUEIRA GONÇALVES</v>
      </c>
      <c r="E78" s="22">
        <f t="shared" si="6"/>
        <v>-148.44434717760001</v>
      </c>
      <c r="F78" s="9" t="str">
        <f t="shared" si="7"/>
        <v>REFINITIV</v>
      </c>
      <c r="G78" s="20">
        <f t="shared" si="8"/>
        <v>46023</v>
      </c>
      <c r="H78" s="23">
        <v>1170</v>
      </c>
      <c r="J78" s="41">
        <v>22361</v>
      </c>
      <c r="K78" s="1" t="s">
        <v>42</v>
      </c>
      <c r="L78" s="1" t="s">
        <v>17</v>
      </c>
      <c r="M78" s="29">
        <v>20.685648</v>
      </c>
      <c r="N78" s="2"/>
      <c r="Q78" s="27"/>
      <c r="S78" s="27"/>
      <c r="U78" s="27"/>
    </row>
    <row r="79" spans="1:78" ht="15" customHeight="1" x14ac:dyDescent="0.25">
      <c r="A79" s="9" t="str">
        <f t="shared" si="3"/>
        <v>CUSTO MARKET DATA - JANEIRO/26-BLOOMBERG-24137</v>
      </c>
      <c r="B79" s="20">
        <v>46023</v>
      </c>
      <c r="C79" s="21">
        <v>817393</v>
      </c>
      <c r="D79" s="9" t="str">
        <f>IF(J79=57036,"ALEXANDRE DA COSTA SOARES",IF(J79=24157,"JOSE MAURICIO GOMES TEIXEIRA",IF(J79=24203,"JOSE MAURICIO GOMES TEIXEIRA",IF(J79=24149,"CHRISTIANO MARCONDES DE BARROS LIMA",IF(J79=24137,"CHRISTIANO MARCONDES DE BARROS LIMA",IF(J79=135152,"ENRICO BORTPLUZO CASSIANO",IF(J79=136568,"ENRICO BORTPLUZO CASSIANO", IF(J79=130976,"MARYLIA CARVALHO PONCE",IF(J79=136668,"ALEXANDRE DA COSTA SOARES",IF(J79=52340,"OFFSHORE LISTED",IF(J79=158778,"CLAUDIO DE SOUZA PACINI",_xlfn.XLOOKUP(J79,[1]!Tabela33[ID ORACLE],[1]!Tabela33[BROKER],0,0,1))))))))))))</f>
        <v>CHRISTIANO MARCONDES DE BARROS LIMA</v>
      </c>
      <c r="E79" s="22">
        <f t="shared" si="6"/>
        <v>-12065.2874652521</v>
      </c>
      <c r="F79" s="9" t="str">
        <f t="shared" si="7"/>
        <v>BLOOMBERG</v>
      </c>
      <c r="G79" s="20">
        <f t="shared" si="8"/>
        <v>46023</v>
      </c>
      <c r="H79" s="23">
        <v>1170</v>
      </c>
      <c r="J79" s="41">
        <v>24137</v>
      </c>
      <c r="K79" s="1" t="s">
        <v>41</v>
      </c>
      <c r="L79" s="1" t="s">
        <v>12</v>
      </c>
      <c r="M79" s="29">
        <v>2306.894221</v>
      </c>
      <c r="N79" s="2"/>
      <c r="Q79" s="27"/>
      <c r="S79" s="27"/>
      <c r="U79" s="27"/>
    </row>
    <row r="80" spans="1:78" customFormat="1" ht="15" customHeight="1" x14ac:dyDescent="0.25">
      <c r="A80" s="9" t="str">
        <f t="shared" ref="A80:A132" si="9">CONCATENATE($N$1,$I$1,F80,$I$1,J80)</f>
        <v>CUSTO MARKET DATA - JANEIRO/26-BLOOMBERG-24140</v>
      </c>
      <c r="B80" s="20">
        <v>46023</v>
      </c>
      <c r="C80" s="21">
        <v>817393</v>
      </c>
      <c r="D80" s="9" t="str">
        <f>IF(J80=57036,"ALEXANDRE DA COSTA SOARES",IF(J80=24157,"JOSE MAURICIO GOMES TEIXEIRA",IF(J80=24203,"JOSE MAURICIO GOMES TEIXEIRA",IF(J80=24149,"CHRISTIANO MARCONDES DE BARROS LIMA",IF(J80=24137,"CHRISTIANO MARCONDES DE BARROS LIMA",IF(J80=135152,"ENRICO BORTPLUZO CASSIANO",IF(J80=136568,"ENRICO BORTPLUZO CASSIANO", IF(J80=130976,"MARYLIA CARVALHO PONCE",IF(J80=136668,"ALEXANDRE DA COSTA SOARES",IF(J80=52340,"OFFSHORE LISTED",IF(J80=158778,"CLAUDIO DE SOUZA PACINI",_xlfn.XLOOKUP(J80,[1]!Tabela33[ID ORACLE],[1]!Tabela33[BROKER],0,0,1))))))))))))</f>
        <v>FRANCISCO JOSE DIAS CARVALHO</v>
      </c>
      <c r="E80" s="22">
        <f t="shared" si="6"/>
        <v>-9230.8423225165006</v>
      </c>
      <c r="F80" s="9" t="str">
        <f t="shared" si="7"/>
        <v>BLOOMBERG</v>
      </c>
      <c r="G80" s="20">
        <f t="shared" si="8"/>
        <v>46023</v>
      </c>
      <c r="H80" s="23">
        <v>1170</v>
      </c>
      <c r="J80" s="41">
        <v>24140</v>
      </c>
      <c r="K80" s="1" t="s">
        <v>41</v>
      </c>
      <c r="L80" s="1" t="s">
        <v>12</v>
      </c>
      <c r="M80" s="29">
        <v>1764.945665</v>
      </c>
      <c r="N80" s="2"/>
      <c r="O80" s="1"/>
      <c r="P80" s="26"/>
      <c r="Q80" s="27"/>
      <c r="R80" s="26"/>
      <c r="S80" s="27"/>
      <c r="T80" s="26"/>
      <c r="U80" s="27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</row>
    <row r="81" spans="1:78" customFormat="1" ht="15" customHeight="1" x14ac:dyDescent="0.25">
      <c r="A81" s="9" t="str">
        <f t="shared" si="9"/>
        <v>CUSTO MARKET DATA - JANEIRO/26-REFINITIV-24140</v>
      </c>
      <c r="B81" s="20">
        <v>46023</v>
      </c>
      <c r="C81" s="21">
        <v>817393</v>
      </c>
      <c r="D81" s="9" t="str">
        <f>IF(J81=57036,"ALEXANDRE DA COSTA SOARES",IF(J81=24157,"JOSE MAURICIO GOMES TEIXEIRA",IF(J81=24203,"JOSE MAURICIO GOMES TEIXEIRA",IF(J81=24149,"CHRISTIANO MARCONDES DE BARROS LIMA",IF(J81=24137,"CHRISTIANO MARCONDES DE BARROS LIMA",IF(J81=135152,"ENRICO BORTPLUZO CASSIANO",IF(J81=136568,"ENRICO BORTPLUZO CASSIANO", IF(J81=130976,"MARYLIA CARVALHO PONCE",IF(J81=136668,"ALEXANDRE DA COSTA SOARES",IF(J81=52340,"OFFSHORE LISTED",IF(J81=158778,"CLAUDIO DE SOUZA PACINI",_xlfn.XLOOKUP(J81,[1]!Tabela33[ID ORACLE],[1]!Tabela33[BROKER],0,0,1))))))))))))</f>
        <v>FRANCISCO JOSE DIAS CARVALHO</v>
      </c>
      <c r="E81" s="22">
        <f t="shared" si="6"/>
        <v>-148.44434717760001</v>
      </c>
      <c r="F81" s="9" t="str">
        <f t="shared" si="7"/>
        <v>REFINITIV</v>
      </c>
      <c r="G81" s="20">
        <f t="shared" si="8"/>
        <v>46023</v>
      </c>
      <c r="H81" s="23">
        <v>1170</v>
      </c>
      <c r="J81" s="41">
        <v>24140</v>
      </c>
      <c r="K81" s="1" t="s">
        <v>42</v>
      </c>
      <c r="L81" s="1" t="s">
        <v>17</v>
      </c>
      <c r="M81" s="29">
        <v>20.685648</v>
      </c>
      <c r="N81" s="2"/>
      <c r="O81" s="1"/>
      <c r="P81" s="26"/>
      <c r="Q81" s="27"/>
      <c r="R81" s="26"/>
      <c r="S81" s="27"/>
      <c r="T81" s="26"/>
      <c r="U81" s="27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</row>
    <row r="82" spans="1:78" customFormat="1" ht="15" customHeight="1" x14ac:dyDescent="0.25">
      <c r="A82" s="9" t="str">
        <f t="shared" si="9"/>
        <v>CUSTO MARKET DATA - JANEIRO/26-BLOOMBERG-24141</v>
      </c>
      <c r="B82" s="20">
        <v>46023</v>
      </c>
      <c r="C82" s="21">
        <v>817393</v>
      </c>
      <c r="D82" s="9" t="str">
        <f>IF(J82=57036,"ALEXANDRE DA COSTA SOARES",IF(J82=24157,"JOSE MAURICIO GOMES TEIXEIRA",IF(J82=24203,"JOSE MAURICIO GOMES TEIXEIRA",IF(J82=24149,"CHRISTIANO MARCONDES DE BARROS LIMA",IF(J82=24137,"CHRISTIANO MARCONDES DE BARROS LIMA",IF(J82=135152,"ENRICO BORTPLUZO CASSIANO",IF(J82=136568,"ENRICO BORTPLUZO CASSIANO", IF(J82=130976,"MARYLIA CARVALHO PONCE",IF(J82=136668,"ALEXANDRE DA COSTA SOARES",IF(J82=52340,"OFFSHORE LISTED",IF(J82=158778,"CLAUDIO DE SOUZA PACINI",_xlfn.XLOOKUP(J82,[1]!Tabela33[ID ORACLE],[1]!Tabela33[BROKER],0,0,1))))))))))))</f>
        <v>ANTONIO AUGUSTO DAS CHAGAS CARVALHO</v>
      </c>
      <c r="E82" s="22">
        <f t="shared" si="6"/>
        <v>-12622.293115252101</v>
      </c>
      <c r="F82" s="9" t="str">
        <f t="shared" si="7"/>
        <v>BLOOMBERG</v>
      </c>
      <c r="G82" s="20">
        <f t="shared" si="8"/>
        <v>46023</v>
      </c>
      <c r="H82" s="23">
        <v>1170</v>
      </c>
      <c r="J82" s="41">
        <v>24141</v>
      </c>
      <c r="K82" s="1" t="s">
        <v>41</v>
      </c>
      <c r="L82" s="1" t="s">
        <v>12</v>
      </c>
      <c r="M82" s="29">
        <v>2413.394221</v>
      </c>
      <c r="N82" s="2"/>
      <c r="O82" s="1"/>
      <c r="P82" s="26"/>
      <c r="Q82" s="27"/>
      <c r="R82" s="26"/>
      <c r="S82" s="27"/>
      <c r="T82" s="26"/>
      <c r="U82" s="27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</row>
    <row r="83" spans="1:78" customFormat="1" ht="15" customHeight="1" x14ac:dyDescent="0.25">
      <c r="A83" s="9" t="str">
        <f t="shared" si="9"/>
        <v>CUSTO MARKET DATA - JANEIRO/26-REFINITIV-24141</v>
      </c>
      <c r="B83" s="20">
        <v>46023</v>
      </c>
      <c r="C83" s="21">
        <v>817393</v>
      </c>
      <c r="D83" s="9" t="str">
        <f>IF(J83=57036,"ALEXANDRE DA COSTA SOARES",IF(J83=24157,"JOSE MAURICIO GOMES TEIXEIRA",IF(J83=24203,"JOSE MAURICIO GOMES TEIXEIRA",IF(J83=24149,"CHRISTIANO MARCONDES DE BARROS LIMA",IF(J83=24137,"CHRISTIANO MARCONDES DE BARROS LIMA",IF(J83=135152,"ENRICO BORTPLUZO CASSIANO",IF(J83=136568,"ENRICO BORTPLUZO CASSIANO", IF(J83=130976,"MARYLIA CARVALHO PONCE",IF(J83=136668,"ALEXANDRE DA COSTA SOARES",IF(J83=52340,"OFFSHORE LISTED",IF(J83=158778,"CLAUDIO DE SOUZA PACINI",_xlfn.XLOOKUP(J83,[1]!Tabela33[ID ORACLE],[1]!Tabela33[BROKER],0,0,1))))))))))))</f>
        <v>ANTONIO AUGUSTO DAS CHAGAS CARVALHO</v>
      </c>
      <c r="E83" s="22">
        <f t="shared" si="6"/>
        <v>-148.44434717760001</v>
      </c>
      <c r="F83" s="9" t="str">
        <f t="shared" si="7"/>
        <v>REFINITIV</v>
      </c>
      <c r="G83" s="20">
        <f t="shared" si="8"/>
        <v>46023</v>
      </c>
      <c r="H83" s="23">
        <v>1170</v>
      </c>
      <c r="J83" s="41">
        <v>24141</v>
      </c>
      <c r="K83" s="1" t="s">
        <v>42</v>
      </c>
      <c r="L83" s="1" t="s">
        <v>17</v>
      </c>
      <c r="M83" s="29">
        <v>20.685648</v>
      </c>
      <c r="N83" s="2"/>
      <c r="O83" s="1"/>
      <c r="P83" s="26"/>
      <c r="Q83" s="27"/>
      <c r="R83" s="26"/>
      <c r="S83" s="27"/>
      <c r="T83" s="26"/>
      <c r="U83" s="27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</row>
    <row r="84" spans="1:78" customFormat="1" ht="15" customHeight="1" x14ac:dyDescent="0.25">
      <c r="A84" s="9" t="str">
        <f t="shared" si="9"/>
        <v>CUSTO MARKET DATA - JANEIRO/26-BLOOMBERG-24149</v>
      </c>
      <c r="B84" s="20">
        <v>46023</v>
      </c>
      <c r="C84" s="21">
        <v>817393</v>
      </c>
      <c r="D84" s="9" t="str">
        <f>IF(J84=57036,"ALEXANDRE DA COSTA SOARES",IF(J84=24157,"JOSE MAURICIO GOMES TEIXEIRA",IF(J84=24203,"JOSE MAURICIO GOMES TEIXEIRA",IF(J84=24149,"CHRISTIANO MARCONDES DE BARROS LIMA",IF(J84=24137,"CHRISTIANO MARCONDES DE BARROS LIMA",IF(J84=135152,"ENRICO BORTPLUZO CASSIANO",IF(J84=136568,"ENRICO BORTPLUZO CASSIANO", IF(J84=130976,"MARYLIA CARVALHO PONCE",IF(J84=136668,"ALEXANDRE DA COSTA SOARES",IF(J84=52340,"OFFSHORE LISTED",IF(J84=158778,"CLAUDIO DE SOUZA PACINI",_xlfn.XLOOKUP(J84,[1]!Tabela33[ID ORACLE],[1]!Tabela33[BROKER],0,0,1))))))))))))</f>
        <v>CHRISTIANO MARCONDES DE BARROS LIMA</v>
      </c>
      <c r="E84" s="22">
        <f t="shared" si="6"/>
        <v>-12065.2874652521</v>
      </c>
      <c r="F84" s="9" t="str">
        <f t="shared" si="7"/>
        <v>BLOOMBERG</v>
      </c>
      <c r="G84" s="20">
        <f t="shared" si="8"/>
        <v>46023</v>
      </c>
      <c r="H84" s="23">
        <v>1170</v>
      </c>
      <c r="J84" s="41">
        <v>24149</v>
      </c>
      <c r="K84" s="1" t="s">
        <v>41</v>
      </c>
      <c r="L84" s="1" t="s">
        <v>12</v>
      </c>
      <c r="M84" s="29">
        <v>2306.894221</v>
      </c>
      <c r="N84" s="2"/>
      <c r="O84" s="1"/>
      <c r="P84" s="26"/>
      <c r="Q84" s="27"/>
      <c r="R84" s="26"/>
      <c r="S84" s="27"/>
      <c r="T84" s="26"/>
      <c r="U84" s="27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</row>
    <row r="85" spans="1:78" customFormat="1" ht="15" customHeight="1" x14ac:dyDescent="0.25">
      <c r="A85" s="9" t="str">
        <f t="shared" si="9"/>
        <v>CUSTO MARKET DATA - JANEIRO/26-BLOOMBERG-24156</v>
      </c>
      <c r="B85" s="20">
        <v>46023</v>
      </c>
      <c r="C85" s="21">
        <v>817393</v>
      </c>
      <c r="D85" s="9" t="str">
        <f>IF(J85=57036,"ALEXANDRE DA COSTA SOARES",IF(J85=24157,"JOSE MAURICIO GOMES TEIXEIRA",IF(J85=24203,"JOSE MAURICIO GOMES TEIXEIRA",IF(J85=24149,"CHRISTIANO MARCONDES DE BARROS LIMA",IF(J85=24137,"CHRISTIANO MARCONDES DE BARROS LIMA",IF(J85=135152,"ENRICO BORTPLUZO CASSIANO",IF(J85=136568,"ENRICO BORTPLUZO CASSIANO", IF(J85=130976,"MARYLIA CARVALHO PONCE",IF(J85=136668,"ALEXANDRE DA COSTA SOARES",IF(J85=52340,"OFFSHORE LISTED",IF(J85=158778,"CLAUDIO DE SOUZA PACINI",_xlfn.XLOOKUP(J85,[1]!Tabela33[ID ORACLE],[1]!Tabela33[BROKER],0,0,1))))))))))))</f>
        <v>JOSE MAURICIO GOMES TEIXEIRA</v>
      </c>
      <c r="E85" s="22">
        <f t="shared" si="6"/>
        <v>-12761.936785252099</v>
      </c>
      <c r="F85" s="9" t="str">
        <f t="shared" si="7"/>
        <v>BLOOMBERG</v>
      </c>
      <c r="G85" s="20">
        <f t="shared" si="8"/>
        <v>46023</v>
      </c>
      <c r="H85" s="23">
        <v>1170</v>
      </c>
      <c r="J85" s="41">
        <v>24156</v>
      </c>
      <c r="K85" s="1" t="s">
        <v>41</v>
      </c>
      <c r="L85" s="1" t="s">
        <v>12</v>
      </c>
      <c r="M85" s="29">
        <v>2440.0942209999998</v>
      </c>
      <c r="N85" s="2"/>
      <c r="O85" s="1"/>
      <c r="P85" s="26"/>
      <c r="Q85" s="27"/>
      <c r="R85" s="26"/>
      <c r="S85" s="27"/>
      <c r="T85" s="26"/>
      <c r="U85" s="27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</row>
    <row r="86" spans="1:78" customFormat="1" ht="15" customHeight="1" x14ac:dyDescent="0.25">
      <c r="A86" s="9" t="str">
        <f t="shared" si="9"/>
        <v>CUSTO MARKET DATA - JANEIRO/26-REFINITIV-24156</v>
      </c>
      <c r="B86" s="20">
        <v>46023</v>
      </c>
      <c r="C86" s="21">
        <v>817393</v>
      </c>
      <c r="D86" s="9" t="str">
        <f>IF(J86=57036,"ALEXANDRE DA COSTA SOARES",IF(J86=24157,"JOSE MAURICIO GOMES TEIXEIRA",IF(J86=24203,"JOSE MAURICIO GOMES TEIXEIRA",IF(J86=24149,"CHRISTIANO MARCONDES DE BARROS LIMA",IF(J86=24137,"CHRISTIANO MARCONDES DE BARROS LIMA",IF(J86=135152,"ENRICO BORTPLUZO CASSIANO",IF(J86=136568,"ENRICO BORTPLUZO CASSIANO", IF(J86=130976,"MARYLIA CARVALHO PONCE",IF(J86=136668,"ALEXANDRE DA COSTA SOARES",IF(J86=52340,"OFFSHORE LISTED",IF(J86=158778,"CLAUDIO DE SOUZA PACINI",_xlfn.XLOOKUP(J86,[1]!Tabela33[ID ORACLE],[1]!Tabela33[BROKER],0,0,1))))))))))))</f>
        <v>JOSE MAURICIO GOMES TEIXEIRA</v>
      </c>
      <c r="E86" s="22">
        <f t="shared" si="6"/>
        <v>-148.44434717760001</v>
      </c>
      <c r="F86" s="9" t="str">
        <f t="shared" si="7"/>
        <v>REFINITIV</v>
      </c>
      <c r="G86" s="20">
        <f t="shared" si="8"/>
        <v>46023</v>
      </c>
      <c r="H86" s="23">
        <v>1170</v>
      </c>
      <c r="J86" s="41">
        <v>24156</v>
      </c>
      <c r="K86" s="1" t="s">
        <v>42</v>
      </c>
      <c r="L86" s="1" t="s">
        <v>17</v>
      </c>
      <c r="M86" s="29">
        <v>20.685648</v>
      </c>
      <c r="N86" s="2"/>
      <c r="O86" s="1"/>
      <c r="P86" s="26"/>
      <c r="Q86" s="27"/>
      <c r="R86" s="26"/>
      <c r="S86" s="27"/>
      <c r="T86" s="26"/>
      <c r="U86" s="27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</row>
    <row r="87" spans="1:78" customFormat="1" ht="15" customHeight="1" x14ac:dyDescent="0.25">
      <c r="A87" s="9" t="str">
        <f t="shared" si="9"/>
        <v>CUSTO MARKET DATA - JANEIRO/26-BLOOMBERG-24157</v>
      </c>
      <c r="B87" s="20">
        <v>46023</v>
      </c>
      <c r="C87" s="21">
        <v>817393</v>
      </c>
      <c r="D87" s="9" t="str">
        <f>IF(J87=57036,"ALEXANDRE DA COSTA SOARES",IF(J87=24157,"JOSE MAURICIO GOMES TEIXEIRA",IF(J87=24203,"JOSE MAURICIO GOMES TEIXEIRA",IF(J87=24149,"CHRISTIANO MARCONDES DE BARROS LIMA",IF(J87=24137,"CHRISTIANO MARCONDES DE BARROS LIMA",IF(J87=135152,"ENRICO BORTPLUZO CASSIANO",IF(J87=136568,"ENRICO BORTPLUZO CASSIANO", IF(J87=130976,"MARYLIA CARVALHO PONCE",IF(J87=136668,"ALEXANDRE DA COSTA SOARES",IF(J87=52340,"OFFSHORE LISTED",IF(J87=158778,"CLAUDIO DE SOUZA PACINI",_xlfn.XLOOKUP(J87,[1]!Tabela33[ID ORACLE],[1]!Tabela33[BROKER],0,0,1))))))))))))</f>
        <v>JOSE MAURICIO GOMES TEIXEIRA</v>
      </c>
      <c r="E87" s="22">
        <f t="shared" si="6"/>
        <v>-12369.504945098701</v>
      </c>
      <c r="F87" s="9" t="str">
        <f t="shared" ref="F87:F132" si="10">IF(UPPER(K87)="Valor Analytics LLC","VALOR",UPPER(K87))</f>
        <v>BLOOMBERG</v>
      </c>
      <c r="G87" s="20">
        <f t="shared" si="8"/>
        <v>46023</v>
      </c>
      <c r="H87" s="23">
        <v>1170</v>
      </c>
      <c r="J87" s="41">
        <v>24157</v>
      </c>
      <c r="K87" s="1" t="s">
        <v>41</v>
      </c>
      <c r="L87" s="1" t="s">
        <v>12</v>
      </c>
      <c r="M87" s="29">
        <v>2365.0608870000001</v>
      </c>
      <c r="N87" s="2"/>
      <c r="O87" s="1"/>
      <c r="P87" s="26"/>
      <c r="Q87" s="27"/>
      <c r="R87" s="26"/>
      <c r="S87" s="27"/>
      <c r="T87" s="26"/>
      <c r="U87" s="27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</row>
    <row r="88" spans="1:78" customFormat="1" ht="15" customHeight="1" x14ac:dyDescent="0.25">
      <c r="A88" s="9" t="str">
        <f t="shared" si="9"/>
        <v>CUSTO MARKET DATA - JANEIRO/26-REFINITIV-24157</v>
      </c>
      <c r="B88" s="20">
        <v>46023</v>
      </c>
      <c r="C88" s="21">
        <v>817393</v>
      </c>
      <c r="D88" s="9" t="str">
        <f>IF(J88=57036,"ALEXANDRE DA COSTA SOARES",IF(J88=24157,"JOSE MAURICIO GOMES TEIXEIRA",IF(J88=24203,"JOSE MAURICIO GOMES TEIXEIRA",IF(J88=24149,"CHRISTIANO MARCONDES DE BARROS LIMA",IF(J88=24137,"CHRISTIANO MARCONDES DE BARROS LIMA",IF(J88=135152,"ENRICO BORTPLUZO CASSIANO",IF(J88=136568,"ENRICO BORTPLUZO CASSIANO", IF(J88=130976,"MARYLIA CARVALHO PONCE",IF(J88=136668,"ALEXANDRE DA COSTA SOARES",IF(J88=52340,"OFFSHORE LISTED",IF(J88=158778,"CLAUDIO DE SOUZA PACINI",_xlfn.XLOOKUP(J88,[1]!Tabela33[ID ORACLE],[1]!Tabela33[BROKER],0,0,1))))))))))))</f>
        <v>JOSE MAURICIO GOMES TEIXEIRA</v>
      </c>
      <c r="E88" s="22">
        <f t="shared" si="6"/>
        <v>-148.44434717760001</v>
      </c>
      <c r="F88" s="9" t="str">
        <f t="shared" si="10"/>
        <v>REFINITIV</v>
      </c>
      <c r="G88" s="20">
        <f t="shared" si="8"/>
        <v>46023</v>
      </c>
      <c r="H88" s="23">
        <v>1170</v>
      </c>
      <c r="J88" s="41">
        <v>24157</v>
      </c>
      <c r="K88" s="1" t="s">
        <v>42</v>
      </c>
      <c r="L88" s="1" t="s">
        <v>17</v>
      </c>
      <c r="M88" s="29">
        <v>20.685648</v>
      </c>
      <c r="N88" s="2"/>
      <c r="O88" s="1"/>
      <c r="P88" s="26"/>
      <c r="Q88" s="27"/>
      <c r="R88" s="26"/>
      <c r="S88" s="27"/>
      <c r="T88" s="26"/>
      <c r="U88" s="27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</row>
    <row r="89" spans="1:78" customFormat="1" ht="15" customHeight="1" x14ac:dyDescent="0.25">
      <c r="A89" s="9" t="str">
        <f t="shared" si="9"/>
        <v>CUSTO MARKET DATA - JANEIRO/26-REFINITIV-24170</v>
      </c>
      <c r="B89" s="20">
        <v>46023</v>
      </c>
      <c r="C89" s="21">
        <v>817393</v>
      </c>
      <c r="D89" s="9" t="str">
        <f>IF(J89=57036,"ALEXANDRE DA COSTA SOARES",IF(J89=24157,"JOSE MAURICIO GOMES TEIXEIRA",IF(J89=24203,"JOSE MAURICIO GOMES TEIXEIRA",IF(J89=24149,"CHRISTIANO MARCONDES DE BARROS LIMA",IF(J89=24137,"CHRISTIANO MARCONDES DE BARROS LIMA",IF(J89=135152,"ENRICO BORTPLUZO CASSIANO",IF(J89=136568,"ENRICO BORTPLUZO CASSIANO", IF(J89=130976,"MARYLIA CARVALHO PONCE",IF(J89=136668,"ALEXANDRE DA COSTA SOARES",IF(J89=52340,"OFFSHORE LISTED",IF(J89=158778,"CLAUDIO DE SOUZA PACINI",_xlfn.XLOOKUP(J89,[1]!Tabela33[ID ORACLE],[1]!Tabela33[BROKER],0,0,1))))))))))))</f>
        <v>ANDREA LICASSIA ALMEIDA SANTOS</v>
      </c>
      <c r="E89" s="22">
        <f t="shared" si="6"/>
        <v>-148.44434717760001</v>
      </c>
      <c r="F89" s="9" t="str">
        <f t="shared" si="10"/>
        <v>REFINITIV</v>
      </c>
      <c r="G89" s="20">
        <f t="shared" si="8"/>
        <v>46023</v>
      </c>
      <c r="H89" s="23">
        <v>1170</v>
      </c>
      <c r="J89" s="41">
        <v>24170</v>
      </c>
      <c r="K89" s="1" t="s">
        <v>42</v>
      </c>
      <c r="L89" s="1" t="s">
        <v>17</v>
      </c>
      <c r="M89" s="29">
        <v>20.685648</v>
      </c>
      <c r="N89" s="2"/>
      <c r="O89" s="1"/>
      <c r="P89" s="26"/>
      <c r="Q89" s="27"/>
      <c r="R89" s="26"/>
      <c r="S89" s="27"/>
      <c r="T89" s="26"/>
      <c r="U89" s="27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</row>
    <row r="90" spans="1:78" customFormat="1" ht="15" customHeight="1" x14ac:dyDescent="0.25">
      <c r="A90" s="9" t="str">
        <f t="shared" si="9"/>
        <v>CUSTO MARKET DATA - JANEIRO/26-BLOOMBERG-24182</v>
      </c>
      <c r="B90" s="20">
        <v>46023</v>
      </c>
      <c r="C90" s="21">
        <v>817393</v>
      </c>
      <c r="D90" s="9" t="str">
        <f>IF(J90=57036,"ALEXANDRE DA COSTA SOARES",IF(J90=24157,"JOSE MAURICIO GOMES TEIXEIRA",IF(J90=24203,"JOSE MAURICIO GOMES TEIXEIRA",IF(J90=24149,"CHRISTIANO MARCONDES DE BARROS LIMA",IF(J90=24137,"CHRISTIANO MARCONDES DE BARROS LIMA",IF(J90=135152,"ENRICO BORTPLUZO CASSIANO",IF(J90=136568,"ENRICO BORTPLUZO CASSIANO", IF(J90=130976,"MARYLIA CARVALHO PONCE",IF(J90=136668,"ALEXANDRE DA COSTA SOARES",IF(J90=52340,"OFFSHORE LISTED",IF(J90=158778,"CLAUDIO DE SOUZA PACINI",_xlfn.XLOOKUP(J90,[1]!Tabela33[ID ORACLE],[1]!Tabela33[BROKER],0,0,1))))))))))))</f>
        <v>ANTONIO AGIZ FILHO</v>
      </c>
      <c r="E90" s="22">
        <f t="shared" si="6"/>
        <v>-11655.7706352521</v>
      </c>
      <c r="F90" s="9" t="str">
        <f t="shared" si="10"/>
        <v>BLOOMBERG</v>
      </c>
      <c r="G90" s="20">
        <f t="shared" si="8"/>
        <v>46023</v>
      </c>
      <c r="H90" s="23">
        <v>1170</v>
      </c>
      <c r="J90" s="41">
        <v>24182</v>
      </c>
      <c r="K90" s="1" t="s">
        <v>41</v>
      </c>
      <c r="L90" s="1" t="s">
        <v>12</v>
      </c>
      <c r="M90" s="29">
        <v>2228.5942209999998</v>
      </c>
      <c r="N90" s="2"/>
      <c r="O90" s="1"/>
      <c r="P90" s="26"/>
      <c r="Q90" s="27"/>
      <c r="R90" s="26"/>
      <c r="S90" s="27"/>
      <c r="T90" s="26"/>
      <c r="U90" s="27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</row>
    <row r="91" spans="1:78" customFormat="1" ht="15" customHeight="1" x14ac:dyDescent="0.25">
      <c r="A91" s="9" t="str">
        <f t="shared" si="9"/>
        <v>CUSTO MARKET DATA - JANEIRO/26-REFINITIV-24183</v>
      </c>
      <c r="B91" s="20">
        <v>46023</v>
      </c>
      <c r="C91" s="21">
        <v>817393</v>
      </c>
      <c r="D91" s="9" t="str">
        <f>IF(J91=57036,"ALEXANDRE DA COSTA SOARES",IF(J91=24157,"JOSE MAURICIO GOMES TEIXEIRA",IF(J91=24203,"JOSE MAURICIO GOMES TEIXEIRA",IF(J91=24149,"CHRISTIANO MARCONDES DE BARROS LIMA",IF(J91=24137,"CHRISTIANO MARCONDES DE BARROS LIMA",IF(J91=135152,"ENRICO BORTPLUZO CASSIANO",IF(J91=136568,"ENRICO BORTPLUZO CASSIANO", IF(J91=130976,"MARYLIA CARVALHO PONCE",IF(J91=136668,"ALEXANDRE DA COSTA SOARES",IF(J91=52340,"OFFSHORE LISTED",IF(J91=158778,"CLAUDIO DE SOUZA PACINI",_xlfn.XLOOKUP(J91,[1]!Tabela33[ID ORACLE],[1]!Tabela33[BROKER],0,0,1))))))))))))</f>
        <v>CARLA REGINA DE SOUZA CARREIRA</v>
      </c>
      <c r="E91" s="22">
        <f t="shared" ref="E91:E148" si="11">-IF(L91="BRL",M91,IF(L91="GBP",M91*$R$1,IF(L91="CAD",M91*$T$1,M91*$P$1)))</f>
        <v>-148.44434717760001</v>
      </c>
      <c r="F91" s="9" t="str">
        <f t="shared" si="10"/>
        <v>REFINITIV</v>
      </c>
      <c r="G91" s="20">
        <f t="shared" si="8"/>
        <v>46023</v>
      </c>
      <c r="H91" s="23">
        <v>1170</v>
      </c>
      <c r="J91" s="41">
        <v>24183</v>
      </c>
      <c r="K91" s="1" t="s">
        <v>42</v>
      </c>
      <c r="L91" s="1" t="s">
        <v>17</v>
      </c>
      <c r="M91" s="29">
        <v>20.685648</v>
      </c>
      <c r="N91" s="2"/>
      <c r="O91" s="1"/>
      <c r="P91" s="26"/>
      <c r="Q91" s="27"/>
      <c r="R91" s="26"/>
      <c r="S91" s="27"/>
      <c r="T91" s="26"/>
      <c r="U91" s="27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</row>
    <row r="92" spans="1:78" customFormat="1" ht="15" customHeight="1" x14ac:dyDescent="0.25">
      <c r="A92" s="9" t="str">
        <f t="shared" si="9"/>
        <v>CUSTO MARKET DATA - JANEIRO/26-BLOOMBERG-24184</v>
      </c>
      <c r="B92" s="20">
        <v>46023</v>
      </c>
      <c r="C92" s="21">
        <v>817393</v>
      </c>
      <c r="D92" s="9" t="str">
        <f>IF(J92=57036,"ALEXANDRE DA COSTA SOARES",IF(J92=24157,"JOSE MAURICIO GOMES TEIXEIRA",IF(J92=24203,"JOSE MAURICIO GOMES TEIXEIRA",IF(J92=24149,"CHRISTIANO MARCONDES DE BARROS LIMA",IF(J92=24137,"CHRISTIANO MARCONDES DE BARROS LIMA",IF(J92=135152,"ENRICO BORTPLUZO CASSIANO",IF(J92=136568,"ENRICO BORTPLUZO CASSIANO", IF(J92=130976,"MARYLIA CARVALHO PONCE",IF(J92=136668,"ALEXANDRE DA COSTA SOARES",IF(J92=52340,"OFFSHORE LISTED",IF(J92=158778,"CLAUDIO DE SOUZA PACINI",_xlfn.XLOOKUP(J92,[1]!Tabela33[ID ORACLE],[1]!Tabela33[BROKER],0,0,1))))))))))))</f>
        <v>CHRISTIANO MARCONDES DE BARROS LIMA</v>
      </c>
      <c r="E92" s="22">
        <f t="shared" si="11"/>
        <v>-12368.633265252101</v>
      </c>
      <c r="F92" s="9" t="str">
        <f t="shared" si="10"/>
        <v>BLOOMBERG</v>
      </c>
      <c r="G92" s="20">
        <f t="shared" si="8"/>
        <v>46023</v>
      </c>
      <c r="H92" s="23">
        <v>1170</v>
      </c>
      <c r="J92" s="41">
        <v>24184</v>
      </c>
      <c r="K92" s="1" t="s">
        <v>41</v>
      </c>
      <c r="L92" s="1" t="s">
        <v>12</v>
      </c>
      <c r="M92" s="29">
        <v>2364.894221</v>
      </c>
      <c r="N92" s="2"/>
      <c r="O92" s="1"/>
      <c r="P92" s="26"/>
      <c r="Q92" s="27"/>
      <c r="R92" s="26"/>
      <c r="S92" s="27"/>
      <c r="T92" s="26"/>
      <c r="U92" s="27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</row>
    <row r="93" spans="1:78" customFormat="1" ht="15" customHeight="1" x14ac:dyDescent="0.25">
      <c r="A93" s="9" t="str">
        <f t="shared" si="9"/>
        <v>CUSTO MARKET DATA - JANEIRO/26-REFINITIV-24184</v>
      </c>
      <c r="B93" s="20">
        <v>46023</v>
      </c>
      <c r="C93" s="21">
        <v>817393</v>
      </c>
      <c r="D93" s="9" t="str">
        <f>IF(J93=57036,"ALEXANDRE DA COSTA SOARES",IF(J93=24157,"JOSE MAURICIO GOMES TEIXEIRA",IF(J93=24203,"JOSE MAURICIO GOMES TEIXEIRA",IF(J93=24149,"CHRISTIANO MARCONDES DE BARROS LIMA",IF(J93=24137,"CHRISTIANO MARCONDES DE BARROS LIMA",IF(J93=135152,"ENRICO BORTPLUZO CASSIANO",IF(J93=136568,"ENRICO BORTPLUZO CASSIANO", IF(J93=130976,"MARYLIA CARVALHO PONCE",IF(J93=136668,"ALEXANDRE DA COSTA SOARES",IF(J93=52340,"OFFSHORE LISTED",IF(J93=158778,"CLAUDIO DE SOUZA PACINI",_xlfn.XLOOKUP(J93,[1]!Tabela33[ID ORACLE],[1]!Tabela33[BROKER],0,0,1))))))))))))</f>
        <v>CHRISTIANO MARCONDES DE BARROS LIMA</v>
      </c>
      <c r="E93" s="22">
        <f t="shared" si="11"/>
        <v>-148.44434717760001</v>
      </c>
      <c r="F93" s="9" t="str">
        <f t="shared" si="10"/>
        <v>REFINITIV</v>
      </c>
      <c r="G93" s="20">
        <f t="shared" si="8"/>
        <v>46023</v>
      </c>
      <c r="H93" s="23">
        <v>1170</v>
      </c>
      <c r="J93" s="41">
        <v>24184</v>
      </c>
      <c r="K93" s="1" t="s">
        <v>42</v>
      </c>
      <c r="L93" s="1" t="s">
        <v>17</v>
      </c>
      <c r="M93" s="29">
        <v>20.685648</v>
      </c>
      <c r="N93" s="2"/>
      <c r="O93" s="1"/>
      <c r="P93" s="26"/>
      <c r="Q93" s="27"/>
      <c r="R93" s="26"/>
      <c r="S93" s="27"/>
      <c r="T93" s="26"/>
      <c r="U93" s="27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</row>
    <row r="94" spans="1:78" ht="15" customHeight="1" x14ac:dyDescent="0.25">
      <c r="A94" s="9" t="str">
        <f t="shared" si="9"/>
        <v>CUSTO MARKET DATA - JANEIRO/26-REFINITIV-24189</v>
      </c>
      <c r="B94" s="20">
        <v>46023</v>
      </c>
      <c r="C94" s="21">
        <v>817393</v>
      </c>
      <c r="D94" s="9" t="str">
        <f>IF(J94=57036,"ALEXANDRE DA COSTA SOARES",IF(J94=24157,"JOSE MAURICIO GOMES TEIXEIRA",IF(J94=24203,"JOSE MAURICIO GOMES TEIXEIRA",IF(J94=24149,"CHRISTIANO MARCONDES DE BARROS LIMA",IF(J94=24137,"CHRISTIANO MARCONDES DE BARROS LIMA",IF(J94=135152,"ENRICO BORTPLUZO CASSIANO",IF(J94=136568,"ENRICO BORTPLUZO CASSIANO", IF(J94=130976,"MARYLIA CARVALHO PONCE",IF(J94=136668,"ALEXANDRE DA COSTA SOARES",IF(J94=52340,"OFFSHORE LISTED",IF(J94=158778,"CLAUDIO DE SOUZA PACINI",_xlfn.XLOOKUP(J94,[1]!Tabela33[ID ORACLE],[1]!Tabela33[BROKER],0,0,1))))))))))))</f>
        <v>VINICIUS AMARAL DE MOURA</v>
      </c>
      <c r="E94" s="22">
        <f t="shared" si="11"/>
        <v>-148.44434717760001</v>
      </c>
      <c r="F94" s="9" t="str">
        <f t="shared" si="10"/>
        <v>REFINITIV</v>
      </c>
      <c r="G94" s="20">
        <f t="shared" si="8"/>
        <v>46023</v>
      </c>
      <c r="H94" s="23">
        <v>1170</v>
      </c>
      <c r="J94" s="41">
        <v>24189</v>
      </c>
      <c r="K94" s="1" t="s">
        <v>42</v>
      </c>
      <c r="L94" s="1" t="s">
        <v>17</v>
      </c>
      <c r="M94" s="29">
        <v>20.685648</v>
      </c>
      <c r="Q94" s="27"/>
      <c r="S94" s="27"/>
      <c r="U94" s="27"/>
    </row>
    <row r="95" spans="1:78" ht="15" customHeight="1" x14ac:dyDescent="0.25">
      <c r="A95" s="9" t="str">
        <f t="shared" si="9"/>
        <v>CUSTO MARKET DATA - JANEIRO/26-REFINITIV-24199</v>
      </c>
      <c r="B95" s="20">
        <v>46023</v>
      </c>
      <c r="C95" s="21">
        <v>817393</v>
      </c>
      <c r="D95" s="9" t="str">
        <f>IF(J95=57036,"ALEXANDRE DA COSTA SOARES",IF(J95=24157,"JOSE MAURICIO GOMES TEIXEIRA",IF(J95=24203,"JOSE MAURICIO GOMES TEIXEIRA",IF(J95=24149,"CHRISTIANO MARCONDES DE BARROS LIMA",IF(J95=24137,"CHRISTIANO MARCONDES DE BARROS LIMA",IF(J95=135152,"ENRICO BORTPLUZO CASSIANO",IF(J95=136568,"ENRICO BORTPLUZO CASSIANO", IF(J95=130976,"MARYLIA CARVALHO PONCE",IF(J95=136668,"ALEXANDRE DA COSTA SOARES",IF(J95=52340,"OFFSHORE LISTED",IF(J95=158778,"CLAUDIO DE SOUZA PACINI",_xlfn.XLOOKUP(J95,[1]!Tabela33[ID ORACLE],[1]!Tabela33[BROKER],0,0,1))))))))))))</f>
        <v>RICARDO FERREIRA DA COSTA</v>
      </c>
      <c r="E95" s="22">
        <f t="shared" si="11"/>
        <v>-148.44434717760001</v>
      </c>
      <c r="F95" s="9" t="str">
        <f t="shared" si="10"/>
        <v>REFINITIV</v>
      </c>
      <c r="G95" s="20">
        <f t="shared" si="8"/>
        <v>46023</v>
      </c>
      <c r="H95" s="23">
        <v>1170</v>
      </c>
      <c r="J95" s="41">
        <v>24199</v>
      </c>
      <c r="K95" s="1" t="s">
        <v>42</v>
      </c>
      <c r="L95" s="1" t="s">
        <v>17</v>
      </c>
      <c r="M95" s="29">
        <v>20.685648</v>
      </c>
      <c r="Q95" s="27"/>
      <c r="S95" s="27"/>
      <c r="U95" s="27"/>
    </row>
    <row r="96" spans="1:78" ht="15" customHeight="1" x14ac:dyDescent="0.25">
      <c r="A96" s="9" t="str">
        <f t="shared" si="9"/>
        <v>CUSTO MARKET DATA - JANEIRO/26-BLOOMBERG-24203</v>
      </c>
      <c r="B96" s="20">
        <v>46023</v>
      </c>
      <c r="C96" s="21">
        <v>817393</v>
      </c>
      <c r="D96" s="9" t="str">
        <f>IF(J96=57036,"ALEXANDRE DA COSTA SOARES",IF(J96=24157,"JOSE MAURICIO GOMES TEIXEIRA",IF(J96=24203,"JOSE MAURICIO GOMES TEIXEIRA",IF(J96=24149,"CHRISTIANO MARCONDES DE BARROS LIMA",IF(J96=24137,"CHRISTIANO MARCONDES DE BARROS LIMA",IF(J96=135152,"ENRICO BORTPLUZO CASSIANO",IF(J96=136568,"ENRICO BORTPLUZO CASSIANO", IF(J96=130976,"MARYLIA CARVALHO PONCE",IF(J96=136668,"ALEXANDRE DA COSTA SOARES",IF(J96=52340,"OFFSHORE LISTED",IF(J96=158778,"CLAUDIO DE SOUZA PACINI",_xlfn.XLOOKUP(J96,[1]!Tabela33[ID ORACLE],[1]!Tabela33[BROKER],0,0,1))))))))))))</f>
        <v>JOSE MAURICIO GOMES TEIXEIRA</v>
      </c>
      <c r="E96" s="22">
        <f t="shared" si="11"/>
        <v>-12622.293115252101</v>
      </c>
      <c r="F96" s="9" t="str">
        <f t="shared" si="10"/>
        <v>BLOOMBERG</v>
      </c>
      <c r="G96" s="20">
        <f t="shared" si="8"/>
        <v>46023</v>
      </c>
      <c r="H96" s="23">
        <v>1170</v>
      </c>
      <c r="J96" s="41">
        <v>24203</v>
      </c>
      <c r="K96" s="1" t="s">
        <v>41</v>
      </c>
      <c r="L96" s="1" t="s">
        <v>12</v>
      </c>
      <c r="M96" s="29">
        <v>2413.394221</v>
      </c>
      <c r="Q96" s="27"/>
      <c r="S96" s="27"/>
      <c r="U96" s="27"/>
    </row>
    <row r="97" spans="1:78" ht="15" customHeight="1" x14ac:dyDescent="0.25">
      <c r="A97" s="9" t="str">
        <f t="shared" si="9"/>
        <v>CUSTO MARKET DATA - JANEIRO/26-REFINITIV-24237</v>
      </c>
      <c r="B97" s="20">
        <v>46023</v>
      </c>
      <c r="C97" s="21">
        <v>817393</v>
      </c>
      <c r="D97" s="9" t="str">
        <f>IF(J97=57036,"ALEXANDRE DA COSTA SOARES",IF(J97=24157,"JOSE MAURICIO GOMES TEIXEIRA",IF(J97=24203,"JOSE MAURICIO GOMES TEIXEIRA",IF(J97=24149,"CHRISTIANO MARCONDES DE BARROS LIMA",IF(J97=24137,"CHRISTIANO MARCONDES DE BARROS LIMA",IF(J97=135152,"ENRICO BORTPLUZO CASSIANO",IF(J97=136568,"ENRICO BORTPLUZO CASSIANO", IF(J97=130976,"MARYLIA CARVALHO PONCE",IF(J97=136668,"ALEXANDRE DA COSTA SOARES",IF(J97=52340,"OFFSHORE LISTED",IF(J97=158778,"CLAUDIO DE SOUZA PACINI",_xlfn.XLOOKUP(J97,[1]!Tabela33[ID ORACLE],[1]!Tabela33[BROKER],0,0,1))))))))))))</f>
        <v>EDUARDO TADEU CARAPIA UTTEMBERG</v>
      </c>
      <c r="E97" s="22">
        <f t="shared" si="11"/>
        <v>-148.44434717760001</v>
      </c>
      <c r="F97" s="9" t="str">
        <f t="shared" si="10"/>
        <v>REFINITIV</v>
      </c>
      <c r="G97" s="20">
        <f t="shared" si="8"/>
        <v>46023</v>
      </c>
      <c r="H97" s="23">
        <v>1170</v>
      </c>
      <c r="J97" s="41">
        <v>24237</v>
      </c>
      <c r="K97" s="1" t="s">
        <v>42</v>
      </c>
      <c r="L97" s="1" t="s">
        <v>17</v>
      </c>
      <c r="M97" s="29">
        <v>20.685648</v>
      </c>
      <c r="Q97" s="27"/>
      <c r="S97" s="27"/>
      <c r="U97" s="27"/>
    </row>
    <row r="98" spans="1:78" customFormat="1" ht="15" customHeight="1" x14ac:dyDescent="0.25">
      <c r="A98" s="9" t="str">
        <f t="shared" si="9"/>
        <v>CUSTO MARKET DATA - JANEIRO/26-BLOOMBERG-24243</v>
      </c>
      <c r="B98" s="20">
        <v>46023</v>
      </c>
      <c r="C98" s="21">
        <v>817393</v>
      </c>
      <c r="D98" s="9" t="str">
        <f>IF(J98=57036,"ALEXANDRE DA COSTA SOARES",IF(J98=24157,"JOSE MAURICIO GOMES TEIXEIRA",IF(J98=24203,"JOSE MAURICIO GOMES TEIXEIRA",IF(J98=24149,"CHRISTIANO MARCONDES DE BARROS LIMA",IF(J98=24137,"CHRISTIANO MARCONDES DE BARROS LIMA",IF(J98=135152,"ENRICO BORTPLUZO CASSIANO",IF(J98=136568,"ENRICO BORTPLUZO CASSIANO", IF(J98=130976,"MARYLIA CARVALHO PONCE",IF(J98=136668,"ALEXANDRE DA COSTA SOARES",IF(J98=52340,"OFFSHORE LISTED",IF(J98=158778,"CLAUDIO DE SOUZA PACINI",_xlfn.XLOOKUP(J98,[1]!Tabela33[ID ORACLE],[1]!Tabela33[BROKER],0,0,1))))))))))))</f>
        <v>JOSÉ VERGARA</v>
      </c>
      <c r="E98" s="22">
        <f t="shared" si="11"/>
        <v>-11799.5983852521</v>
      </c>
      <c r="F98" s="9" t="str">
        <f t="shared" si="10"/>
        <v>BLOOMBERG</v>
      </c>
      <c r="G98" s="20">
        <f t="shared" si="8"/>
        <v>46023</v>
      </c>
      <c r="H98" s="23">
        <v>1170</v>
      </c>
      <c r="J98" s="41">
        <v>24243</v>
      </c>
      <c r="K98" s="1" t="s">
        <v>41</v>
      </c>
      <c r="L98" s="1" t="s">
        <v>12</v>
      </c>
      <c r="M98" s="29">
        <v>2256.0942209999998</v>
      </c>
      <c r="O98" s="1"/>
      <c r="P98" s="26"/>
      <c r="Q98" s="27"/>
      <c r="R98" s="26"/>
      <c r="S98" s="27"/>
      <c r="T98" s="26"/>
      <c r="U98" s="27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</row>
    <row r="99" spans="1:78" customFormat="1" ht="15" customHeight="1" x14ac:dyDescent="0.25">
      <c r="A99" s="9" t="str">
        <f t="shared" si="9"/>
        <v>CUSTO MARKET DATA - JANEIRO/26-BLOOMBERG-36538</v>
      </c>
      <c r="B99" s="20">
        <v>46023</v>
      </c>
      <c r="C99" s="21">
        <v>817393</v>
      </c>
      <c r="D99" s="9" t="str">
        <f>IF(J99=57036,"ALEXANDRE DA COSTA SOARES",IF(J99=24157,"JOSE MAURICIO GOMES TEIXEIRA",IF(J99=24203,"JOSE MAURICIO GOMES TEIXEIRA",IF(J99=24149,"CHRISTIANO MARCONDES DE BARROS LIMA",IF(J99=24137,"CHRISTIANO MARCONDES DE BARROS LIMA",IF(J99=135152,"ENRICO BORTPLUZO CASSIANO",IF(J99=136568,"ENRICO BORTPLUZO CASSIANO", IF(J99=130976,"MARYLIA CARVALHO PONCE",IF(J99=136668,"ALEXANDRE DA COSTA SOARES",IF(J99=52340,"OFFSHORE LISTED",IF(J99=158778,"CLAUDIO DE SOUZA PACINI",_xlfn.XLOOKUP(J99,[1]!Tabela33[ID ORACLE],[1]!Tabela33[BROKER],0,0,1))))))))))))</f>
        <v>CLYBAS PINTO FERRAZ NETO</v>
      </c>
      <c r="E99" s="22">
        <f t="shared" si="11"/>
        <v>-11799.5983852521</v>
      </c>
      <c r="F99" s="9" t="str">
        <f t="shared" si="10"/>
        <v>BLOOMBERG</v>
      </c>
      <c r="G99" s="20">
        <f t="shared" si="8"/>
        <v>46023</v>
      </c>
      <c r="H99" s="23">
        <v>1170</v>
      </c>
      <c r="J99" s="41">
        <v>36538</v>
      </c>
      <c r="K99" s="1" t="s">
        <v>41</v>
      </c>
      <c r="L99" s="1" t="s">
        <v>12</v>
      </c>
      <c r="M99" s="29">
        <v>2256.0942209999998</v>
      </c>
      <c r="O99" s="1"/>
      <c r="P99" s="26"/>
      <c r="Q99" s="27"/>
      <c r="R99" s="26"/>
      <c r="S99" s="27"/>
      <c r="T99" s="26"/>
      <c r="U99" s="27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</row>
    <row r="100" spans="1:78" customFormat="1" ht="15" customHeight="1" x14ac:dyDescent="0.25">
      <c r="A100" s="9" t="str">
        <f t="shared" si="9"/>
        <v>CUSTO MARKET DATA - JANEIRO/26-REFINITIV-36538</v>
      </c>
      <c r="B100" s="20">
        <v>46023</v>
      </c>
      <c r="C100" s="21">
        <v>817393</v>
      </c>
      <c r="D100" s="9" t="str">
        <f>IF(J100=57036,"ALEXANDRE DA COSTA SOARES",IF(J100=24157,"JOSE MAURICIO GOMES TEIXEIRA",IF(J100=24203,"JOSE MAURICIO GOMES TEIXEIRA",IF(J100=24149,"CHRISTIANO MARCONDES DE BARROS LIMA",IF(J100=24137,"CHRISTIANO MARCONDES DE BARROS LIMA",IF(J100=135152,"ENRICO BORTPLUZO CASSIANO",IF(J100=136568,"ENRICO BORTPLUZO CASSIANO", IF(J100=130976,"MARYLIA CARVALHO PONCE",IF(J100=136668,"ALEXANDRE DA COSTA SOARES",IF(J100=52340,"OFFSHORE LISTED",IF(J100=158778,"CLAUDIO DE SOUZA PACINI",_xlfn.XLOOKUP(J100,[1]!Tabela33[ID ORACLE],[1]!Tabela33[BROKER],0,0,1))))))))))))</f>
        <v>CLYBAS PINTO FERRAZ NETO</v>
      </c>
      <c r="E100" s="22">
        <f t="shared" si="11"/>
        <v>-148.44434717760001</v>
      </c>
      <c r="F100" s="9" t="str">
        <f t="shared" si="10"/>
        <v>REFINITIV</v>
      </c>
      <c r="G100" s="20">
        <f t="shared" si="8"/>
        <v>46023</v>
      </c>
      <c r="H100" s="23">
        <v>1170</v>
      </c>
      <c r="J100" s="41">
        <v>36538</v>
      </c>
      <c r="K100" s="1" t="s">
        <v>42</v>
      </c>
      <c r="L100" s="1" t="s">
        <v>17</v>
      </c>
      <c r="M100" s="29">
        <v>20.685648</v>
      </c>
      <c r="O100" s="1"/>
      <c r="P100" s="26"/>
      <c r="Q100" s="27"/>
      <c r="R100" s="26"/>
      <c r="S100" s="27"/>
      <c r="T100" s="26"/>
      <c r="U100" s="27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</row>
    <row r="101" spans="1:78" customFormat="1" ht="15" customHeight="1" x14ac:dyDescent="0.25">
      <c r="A101" s="9" t="str">
        <f t="shared" si="9"/>
        <v>CUSTO MARKET DATA - JANEIRO/26-BLOOMBERG-52340</v>
      </c>
      <c r="B101" s="20">
        <v>46023</v>
      </c>
      <c r="C101" s="21">
        <v>817393</v>
      </c>
      <c r="D101" s="9" t="str">
        <f>IF(J101=57036,"ALEXANDRE DA COSTA SOARES",IF(J101=24157,"JOSE MAURICIO GOMES TEIXEIRA",IF(J101=24203,"JOSE MAURICIO GOMES TEIXEIRA",IF(J101=24149,"CHRISTIANO MARCONDES DE BARROS LIMA",IF(J101=24137,"CHRISTIANO MARCONDES DE BARROS LIMA",IF(J101=135152,"ENRICO BORTPLUZO CASSIANO",IF(J101=136568,"ENRICO BORTPLUZO CASSIANO", IF(J101=130976,"MARYLIA CARVALHO PONCE",IF(J101=136668,"ALEXANDRE DA COSTA SOARES",IF(J101=52340,"OFFSHORE LISTED",IF(J101=158778,"CLAUDIO DE SOUZA PACINI",_xlfn.XLOOKUP(J101,[1]!Tabela33[ID ORACLE],[1]!Tabela33[BROKER],0,0,1))))))))))))</f>
        <v>OFFSHORE LISTED</v>
      </c>
      <c r="E101" s="22">
        <f t="shared" si="11"/>
        <v>-13898.9605252521</v>
      </c>
      <c r="F101" s="9" t="str">
        <f t="shared" si="10"/>
        <v>BLOOMBERG</v>
      </c>
      <c r="G101" s="20">
        <f t="shared" si="8"/>
        <v>46023</v>
      </c>
      <c r="H101" s="23">
        <v>1170</v>
      </c>
      <c r="J101" s="41">
        <v>52340</v>
      </c>
      <c r="K101" s="1" t="s">
        <v>41</v>
      </c>
      <c r="L101" s="1" t="s">
        <v>12</v>
      </c>
      <c r="M101" s="29">
        <v>2657.4942209999999</v>
      </c>
      <c r="O101" s="1"/>
      <c r="P101" s="26"/>
      <c r="Q101" s="27"/>
      <c r="R101" s="26"/>
      <c r="S101" s="27"/>
      <c r="T101" s="26"/>
      <c r="U101" s="27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</row>
    <row r="102" spans="1:78" customFormat="1" ht="15" customHeight="1" x14ac:dyDescent="0.25">
      <c r="A102" s="9" t="str">
        <f t="shared" si="9"/>
        <v>CUSTO MARKET DATA - JANEIRO/26-FIDESSA-52340</v>
      </c>
      <c r="B102" s="20">
        <v>46023</v>
      </c>
      <c r="C102" s="21">
        <v>817393</v>
      </c>
      <c r="D102" s="9" t="str">
        <f>IF(J102=57036,"ALEXANDRE DA COSTA SOARES",IF(J102=24157,"JOSE MAURICIO GOMES TEIXEIRA",IF(J102=24203,"JOSE MAURICIO GOMES TEIXEIRA",IF(J102=24149,"CHRISTIANO MARCONDES DE BARROS LIMA",IF(J102=24137,"CHRISTIANO MARCONDES DE BARROS LIMA",IF(J102=135152,"ENRICO BORTPLUZO CASSIANO",IF(J102=136568,"ENRICO BORTPLUZO CASSIANO", IF(J102=130976,"MARYLIA CARVALHO PONCE",IF(J102=136668,"ALEXANDRE DA COSTA SOARES",IF(J102=52340,"OFFSHORE LISTED",IF(J102=158778,"CLAUDIO DE SOUZA PACINI",_xlfn.XLOOKUP(J102,[1]!Tabela33[ID ORACLE],[1]!Tabela33[BROKER],0,0,1))))))))))))</f>
        <v>OFFSHORE LISTED</v>
      </c>
      <c r="E102" s="22">
        <f t="shared" si="11"/>
        <v>-1796.7134495687999</v>
      </c>
      <c r="F102" s="9" t="str">
        <f t="shared" si="10"/>
        <v>FIDESSA</v>
      </c>
      <c r="G102" s="20">
        <f t="shared" si="8"/>
        <v>46023</v>
      </c>
      <c r="H102" s="23">
        <v>1170</v>
      </c>
      <c r="J102" s="41">
        <v>52340</v>
      </c>
      <c r="K102" s="1" t="s">
        <v>47</v>
      </c>
      <c r="L102" s="1" t="s">
        <v>12</v>
      </c>
      <c r="M102" s="29">
        <v>343.53328799999997</v>
      </c>
      <c r="O102" s="1"/>
      <c r="P102" s="26"/>
      <c r="Q102" s="27"/>
      <c r="R102" s="26"/>
      <c r="S102" s="27"/>
      <c r="T102" s="26"/>
      <c r="U102" s="27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</row>
    <row r="103" spans="1:78" customFormat="1" ht="15" customHeight="1" x14ac:dyDescent="0.25">
      <c r="A103" s="9" t="str">
        <f t="shared" si="9"/>
        <v>CUSTO MARKET DATA - JANEIRO/26-NYSE MARKET INC.-52340</v>
      </c>
      <c r="B103" s="20">
        <v>46023</v>
      </c>
      <c r="C103" s="21">
        <v>817393</v>
      </c>
      <c r="D103" s="9" t="str">
        <f>IF(J103=57036,"ALEXANDRE DA COSTA SOARES",IF(J103=24157,"JOSE MAURICIO GOMES TEIXEIRA",IF(J103=24203,"JOSE MAURICIO GOMES TEIXEIRA",IF(J103=24149,"CHRISTIANO MARCONDES DE BARROS LIMA",IF(J103=24137,"CHRISTIANO MARCONDES DE BARROS LIMA",IF(J103=135152,"ENRICO BORTPLUZO CASSIANO",IF(J103=136568,"ENRICO BORTPLUZO CASSIANO", IF(J103=130976,"MARYLIA CARVALHO PONCE",IF(J103=136668,"ALEXANDRE DA COSTA SOARES",IF(J103=52340,"OFFSHORE LISTED",IF(J103=158778,"CLAUDIO DE SOUZA PACINI",_xlfn.XLOOKUP(J103,[1]!Tabela33[ID ORACLE],[1]!Tabela33[BROKER],0,0,1))))))))))))</f>
        <v>OFFSHORE LISTED</v>
      </c>
      <c r="E103" s="22">
        <f t="shared" si="11"/>
        <v>-1907.77050175</v>
      </c>
      <c r="F103" s="9" t="str">
        <f t="shared" si="10"/>
        <v>NYSE MARKET INC.</v>
      </c>
      <c r="G103" s="20">
        <f t="shared" si="8"/>
        <v>46023</v>
      </c>
      <c r="H103" s="23">
        <v>1170</v>
      </c>
      <c r="J103" s="41">
        <v>52340</v>
      </c>
      <c r="K103" s="1" t="s">
        <v>44</v>
      </c>
      <c r="L103" s="1" t="s">
        <v>12</v>
      </c>
      <c r="M103" s="29">
        <v>364.76749999999998</v>
      </c>
      <c r="O103" s="1"/>
      <c r="P103" s="26"/>
      <c r="Q103" s="27"/>
      <c r="R103" s="26"/>
      <c r="S103" s="27"/>
      <c r="T103" s="26"/>
      <c r="U103" s="27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</row>
    <row r="104" spans="1:78" customFormat="1" ht="15" customHeight="1" x14ac:dyDescent="0.25">
      <c r="A104" s="9" t="str">
        <f t="shared" si="9"/>
        <v>CUSTO MARKET DATA - JANEIRO/26-OPTIONS PRICE REPORTING AUTHORITY (OPRA)-52340</v>
      </c>
      <c r="B104" s="20">
        <v>46023</v>
      </c>
      <c r="C104" s="21">
        <v>817393</v>
      </c>
      <c r="D104" s="9" t="str">
        <f>IF(J104=57036,"ALEXANDRE DA COSTA SOARES",IF(J104=24157,"JOSE MAURICIO GOMES TEIXEIRA",IF(J104=24203,"JOSE MAURICIO GOMES TEIXEIRA",IF(J104=24149,"CHRISTIANO MARCONDES DE BARROS LIMA",IF(J104=24137,"CHRISTIANO MARCONDES DE BARROS LIMA",IF(J104=135152,"ENRICO BORTPLUZO CASSIANO",IF(J104=136568,"ENRICO BORTPLUZO CASSIANO", IF(J104=130976,"MARYLIA CARVALHO PONCE",IF(J104=136668,"ALEXANDRE DA COSTA SOARES",IF(J104=52340,"OFFSHORE LISTED",IF(J104=158778,"CLAUDIO DE SOUZA PACINI",_xlfn.XLOOKUP(J104,[1]!Tabela33[ID ORACLE],[1]!Tabela33[BROKER],0,0,1))))))))))))</f>
        <v>OFFSHORE LISTED</v>
      </c>
      <c r="E104" s="22">
        <f t="shared" si="11"/>
        <v>-164.74815000000001</v>
      </c>
      <c r="F104" s="9" t="str">
        <f t="shared" si="10"/>
        <v>OPTIONS PRICE REPORTING AUTHORITY (OPRA)</v>
      </c>
      <c r="G104" s="20">
        <f t="shared" si="8"/>
        <v>46023</v>
      </c>
      <c r="H104" s="23">
        <v>1170</v>
      </c>
      <c r="J104" s="41">
        <v>52340</v>
      </c>
      <c r="K104" s="1" t="s">
        <v>45</v>
      </c>
      <c r="L104" s="1" t="s">
        <v>12</v>
      </c>
      <c r="M104" s="29">
        <v>31.5</v>
      </c>
      <c r="O104" s="1"/>
      <c r="P104" s="26"/>
      <c r="Q104" s="27"/>
      <c r="R104" s="26"/>
      <c r="S104" s="27"/>
      <c r="T104" s="26"/>
      <c r="U104" s="27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</row>
    <row r="105" spans="1:78" customFormat="1" ht="15" customHeight="1" x14ac:dyDescent="0.25">
      <c r="A105" s="9" t="str">
        <f t="shared" si="9"/>
        <v>CUSTO MARKET DATA - JANEIRO/26-BLOOMBERG-56258</v>
      </c>
      <c r="B105" s="20">
        <v>46023</v>
      </c>
      <c r="C105" s="21">
        <v>817393</v>
      </c>
      <c r="D105" s="9" t="str">
        <f>IF(J105=57036,"ALEXANDRE DA COSTA SOARES",IF(J105=24157,"JOSE MAURICIO GOMES TEIXEIRA",IF(J105=24203,"JOSE MAURICIO GOMES TEIXEIRA",IF(J105=24149,"CHRISTIANO MARCONDES DE BARROS LIMA",IF(J105=24137,"CHRISTIANO MARCONDES DE BARROS LIMA",IF(J105=135152,"ENRICO BORTPLUZO CASSIANO",IF(J105=136568,"ENRICO BORTPLUZO CASSIANO", IF(J105=130976,"MARYLIA CARVALHO PONCE",IF(J105=136668,"ALEXANDRE DA COSTA SOARES",IF(J105=52340,"OFFSHORE LISTED",IF(J105=158778,"CLAUDIO DE SOUZA PACINI",_xlfn.XLOOKUP(J105,[1]!Tabela33[ID ORACLE],[1]!Tabela33[BROKER],0,0,1))))))))))))</f>
        <v>RAFFAELE SCURTI NETTO</v>
      </c>
      <c r="E105" s="22">
        <f t="shared" si="11"/>
        <v>-9230.8423225165006</v>
      </c>
      <c r="F105" s="9" t="str">
        <f t="shared" si="10"/>
        <v>BLOOMBERG</v>
      </c>
      <c r="G105" s="20">
        <f t="shared" si="8"/>
        <v>46023</v>
      </c>
      <c r="H105" s="23">
        <v>1170</v>
      </c>
      <c r="J105" s="41">
        <v>56258</v>
      </c>
      <c r="K105" s="1" t="s">
        <v>41</v>
      </c>
      <c r="L105" s="1" t="s">
        <v>12</v>
      </c>
      <c r="M105" s="29">
        <v>1764.945665</v>
      </c>
      <c r="O105" s="1"/>
      <c r="P105" s="26"/>
      <c r="Q105" s="27"/>
      <c r="R105" s="26"/>
      <c r="S105" s="27"/>
      <c r="T105" s="26"/>
      <c r="U105" s="27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</row>
    <row r="106" spans="1:78" customFormat="1" ht="15" customHeight="1" x14ac:dyDescent="0.25">
      <c r="A106" s="9" t="str">
        <f t="shared" si="9"/>
        <v>CUSTO MARKET DATA - JANEIRO/26-REFINITIV-56258</v>
      </c>
      <c r="B106" s="20">
        <v>46023</v>
      </c>
      <c r="C106" s="21">
        <v>817393</v>
      </c>
      <c r="D106" s="9" t="str">
        <f>IF(J106=57036,"ALEXANDRE DA COSTA SOARES",IF(J106=24157,"JOSE MAURICIO GOMES TEIXEIRA",IF(J106=24203,"JOSE MAURICIO GOMES TEIXEIRA",IF(J106=24149,"CHRISTIANO MARCONDES DE BARROS LIMA",IF(J106=24137,"CHRISTIANO MARCONDES DE BARROS LIMA",IF(J106=135152,"ENRICO BORTPLUZO CASSIANO",IF(J106=136568,"ENRICO BORTPLUZO CASSIANO", IF(J106=130976,"MARYLIA CARVALHO PONCE",IF(J106=136668,"ALEXANDRE DA COSTA SOARES",IF(J106=52340,"OFFSHORE LISTED",IF(J106=158778,"CLAUDIO DE SOUZA PACINI",_xlfn.XLOOKUP(J106,[1]!Tabela33[ID ORACLE],[1]!Tabela33[BROKER],0,0,1))))))))))))</f>
        <v>RAFFAELE SCURTI NETTO</v>
      </c>
      <c r="E106" s="22">
        <f t="shared" si="11"/>
        <v>-148.44434717760001</v>
      </c>
      <c r="F106" s="9" t="str">
        <f t="shared" si="10"/>
        <v>REFINITIV</v>
      </c>
      <c r="G106" s="20">
        <f t="shared" si="8"/>
        <v>46023</v>
      </c>
      <c r="H106" s="23">
        <v>1170</v>
      </c>
      <c r="J106" s="41">
        <v>56258</v>
      </c>
      <c r="K106" s="1" t="s">
        <v>42</v>
      </c>
      <c r="L106" s="1" t="s">
        <v>17</v>
      </c>
      <c r="M106" s="29">
        <v>20.685648</v>
      </c>
      <c r="O106" s="1"/>
      <c r="P106" s="26"/>
      <c r="Q106" s="27"/>
      <c r="R106" s="26"/>
      <c r="S106" s="27"/>
      <c r="T106" s="26"/>
      <c r="U106" s="27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</row>
    <row r="107" spans="1:78" customFormat="1" ht="15" customHeight="1" x14ac:dyDescent="0.25">
      <c r="A107" s="9" t="str">
        <f t="shared" si="9"/>
        <v>CUSTO MARKET DATA - JANEIRO/26-BLOOMBERG-57036</v>
      </c>
      <c r="B107" s="20">
        <v>46023</v>
      </c>
      <c r="C107" s="21">
        <v>817393</v>
      </c>
      <c r="D107" s="9" t="str">
        <f>IF(J107=57036,"ALEXANDRE DA COSTA SOARES",IF(J107=24157,"JOSE MAURICIO GOMES TEIXEIRA",IF(J107=24203,"JOSE MAURICIO GOMES TEIXEIRA",IF(J107=24149,"CHRISTIANO MARCONDES DE BARROS LIMA",IF(J107=24137,"CHRISTIANO MARCONDES DE BARROS LIMA",IF(J107=135152,"ENRICO BORTPLUZO CASSIANO",IF(J107=136568,"ENRICO BORTPLUZO CASSIANO", IF(J107=130976,"MARYLIA CARVALHO PONCE",IF(J107=136668,"ALEXANDRE DA COSTA SOARES",IF(J107=52340,"OFFSHORE LISTED",IF(J107=158778,"CLAUDIO DE SOUZA PACINI",_xlfn.XLOOKUP(J107,[1]!Tabela33[ID ORACLE],[1]!Tabela33[BROKER],0,0,1))))))))))))</f>
        <v>ALEXANDRE DA COSTA SOARES</v>
      </c>
      <c r="E107" s="22">
        <f t="shared" si="11"/>
        <v>-13827.831165252099</v>
      </c>
      <c r="F107" s="9" t="str">
        <f t="shared" si="10"/>
        <v>BLOOMBERG</v>
      </c>
      <c r="G107" s="20">
        <f t="shared" si="8"/>
        <v>46023</v>
      </c>
      <c r="H107" s="23">
        <v>1170</v>
      </c>
      <c r="J107" s="41">
        <v>57036</v>
      </c>
      <c r="K107" s="1" t="s">
        <v>41</v>
      </c>
      <c r="L107" s="1" t="s">
        <v>12</v>
      </c>
      <c r="M107" s="29">
        <v>2643.8942209999996</v>
      </c>
      <c r="O107" s="1"/>
      <c r="P107" s="26"/>
      <c r="Q107" s="27"/>
      <c r="R107" s="26"/>
      <c r="S107" s="27"/>
      <c r="T107" s="26"/>
      <c r="U107" s="27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</row>
    <row r="108" spans="1:78" customFormat="1" ht="15" customHeight="1" x14ac:dyDescent="0.25">
      <c r="A108" s="9" t="str">
        <f t="shared" si="9"/>
        <v>CUSTO MARKET DATA - JANEIRO/26-FIDESSA-57036</v>
      </c>
      <c r="B108" s="20">
        <v>46023</v>
      </c>
      <c r="C108" s="21">
        <v>817393</v>
      </c>
      <c r="D108" s="9" t="str">
        <f>IF(J108=57036,"ALEXANDRE DA COSTA SOARES",IF(J108=24157,"JOSE MAURICIO GOMES TEIXEIRA",IF(J108=24203,"JOSE MAURICIO GOMES TEIXEIRA",IF(J108=24149,"CHRISTIANO MARCONDES DE BARROS LIMA",IF(J108=24137,"CHRISTIANO MARCONDES DE BARROS LIMA",IF(J108=135152,"ENRICO BORTPLUZO CASSIANO",IF(J108=136568,"ENRICO BORTPLUZO CASSIANO", IF(J108=130976,"MARYLIA CARVALHO PONCE",IF(J108=136668,"ALEXANDRE DA COSTA SOARES",IF(J108=52340,"OFFSHORE LISTED",IF(J108=158778,"CLAUDIO DE SOUZA PACINI",_xlfn.XLOOKUP(J108,[1]!Tabela33[ID ORACLE],[1]!Tabela33[BROKER],0,0,1))))))))))))</f>
        <v>ALEXANDRE DA COSTA SOARES</v>
      </c>
      <c r="E108" s="22">
        <f t="shared" si="11"/>
        <v>-2117.3582760278</v>
      </c>
      <c r="F108" s="9" t="str">
        <f t="shared" si="10"/>
        <v>FIDESSA</v>
      </c>
      <c r="G108" s="20">
        <f t="shared" si="8"/>
        <v>46023</v>
      </c>
      <c r="H108" s="23">
        <v>1170</v>
      </c>
      <c r="J108" s="41">
        <v>57036</v>
      </c>
      <c r="K108" s="1" t="s">
        <v>47</v>
      </c>
      <c r="L108" s="1" t="s">
        <v>12</v>
      </c>
      <c r="M108" s="29">
        <v>404.84087799999998</v>
      </c>
      <c r="O108" s="1"/>
      <c r="P108" s="26"/>
      <c r="Q108" s="27"/>
      <c r="R108" s="26"/>
      <c r="S108" s="27"/>
      <c r="T108" s="26"/>
      <c r="U108" s="27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</row>
    <row r="109" spans="1:78" customFormat="1" ht="15" customHeight="1" x14ac:dyDescent="0.25">
      <c r="A109" s="9" t="str">
        <f t="shared" si="9"/>
        <v>CUSTO MARKET DATA - JANEIRO/26-NYSE MARKET INC.-57036</v>
      </c>
      <c r="B109" s="20">
        <v>46023</v>
      </c>
      <c r="C109" s="21">
        <v>817393</v>
      </c>
      <c r="D109" s="9" t="str">
        <f>IF(J109=57036,"ALEXANDRE DA COSTA SOARES",IF(J109=24157,"JOSE MAURICIO GOMES TEIXEIRA",IF(J109=24203,"JOSE MAURICIO GOMES TEIXEIRA",IF(J109=24149,"CHRISTIANO MARCONDES DE BARROS LIMA",IF(J109=24137,"CHRISTIANO MARCONDES DE BARROS LIMA",IF(J109=135152,"ENRICO BORTPLUZO CASSIANO",IF(J109=136568,"ENRICO BORTPLUZO CASSIANO", IF(J109=130976,"MARYLIA CARVALHO PONCE",IF(J109=136668,"ALEXANDRE DA COSTA SOARES",IF(J109=52340,"OFFSHORE LISTED",IF(J109=158778,"CLAUDIO DE SOUZA PACINI",_xlfn.XLOOKUP(J109,[1]!Tabela33[ID ORACLE],[1]!Tabela33[BROKER],0,0,1))))))))))))</f>
        <v>ALEXANDRE DA COSTA SOARES</v>
      </c>
      <c r="E109" s="22">
        <f t="shared" si="11"/>
        <v>-1543.33713375</v>
      </c>
      <c r="F109" s="9" t="str">
        <f t="shared" si="10"/>
        <v>NYSE MARKET INC.</v>
      </c>
      <c r="G109" s="20">
        <f t="shared" si="8"/>
        <v>46023</v>
      </c>
      <c r="H109" s="23">
        <v>1170</v>
      </c>
      <c r="J109" s="41">
        <v>57036</v>
      </c>
      <c r="K109" s="1" t="s">
        <v>44</v>
      </c>
      <c r="L109" s="1" t="s">
        <v>12</v>
      </c>
      <c r="M109" s="29">
        <v>295.08749999999998</v>
      </c>
      <c r="O109" s="1"/>
      <c r="P109" s="26"/>
      <c r="Q109" s="27"/>
      <c r="R109" s="26"/>
      <c r="S109" s="27"/>
      <c r="T109" s="26"/>
      <c r="U109" s="27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</row>
    <row r="110" spans="1:78" customFormat="1" ht="15" customHeight="1" x14ac:dyDescent="0.25">
      <c r="A110" s="9" t="str">
        <f t="shared" si="9"/>
        <v>CUSTO MARKET DATA - JANEIRO/26-OPTIONS PRICE REPORTING AUTHORITY (OPRA)-57036</v>
      </c>
      <c r="B110" s="20">
        <v>46023</v>
      </c>
      <c r="C110" s="21">
        <v>817393</v>
      </c>
      <c r="D110" s="9" t="str">
        <f>IF(J110=57036,"ALEXANDRE DA COSTA SOARES",IF(J110=24157,"JOSE MAURICIO GOMES TEIXEIRA",IF(J110=24203,"JOSE MAURICIO GOMES TEIXEIRA",IF(J110=24149,"CHRISTIANO MARCONDES DE BARROS LIMA",IF(J110=24137,"CHRISTIANO MARCONDES DE BARROS LIMA",IF(J110=135152,"ENRICO BORTPLUZO CASSIANO",IF(J110=136568,"ENRICO BORTPLUZO CASSIANO", IF(J110=130976,"MARYLIA CARVALHO PONCE",IF(J110=136668,"ALEXANDRE DA COSTA SOARES",IF(J110=52340,"OFFSHORE LISTED",IF(J110=158778,"CLAUDIO DE SOUZA PACINI",_xlfn.XLOOKUP(J110,[1]!Tabela33[ID ORACLE],[1]!Tabela33[BROKER],0,0,1))))))))))))</f>
        <v>ALEXANDRE DA COSTA SOARES</v>
      </c>
      <c r="E110" s="22">
        <f t="shared" si="11"/>
        <v>-508.86584831250002</v>
      </c>
      <c r="F110" s="9" t="str">
        <f t="shared" si="10"/>
        <v>OPTIONS PRICE REPORTING AUTHORITY (OPRA)</v>
      </c>
      <c r="G110" s="20">
        <f t="shared" si="8"/>
        <v>46023</v>
      </c>
      <c r="H110" s="23">
        <v>1170</v>
      </c>
      <c r="J110" s="41">
        <v>57036</v>
      </c>
      <c r="K110" s="1" t="s">
        <v>45</v>
      </c>
      <c r="L110" s="1" t="s">
        <v>12</v>
      </c>
      <c r="M110" s="29">
        <v>97.295625000000001</v>
      </c>
      <c r="O110" s="1"/>
      <c r="P110" s="26"/>
      <c r="Q110" s="27"/>
      <c r="R110" s="26"/>
      <c r="S110" s="27"/>
      <c r="T110" s="26"/>
      <c r="U110" s="27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</row>
    <row r="111" spans="1:78" ht="15" customHeight="1" x14ac:dyDescent="0.25">
      <c r="A111" s="9" t="str">
        <f t="shared" si="9"/>
        <v>CUSTO MARKET DATA - JANEIRO/26-REFINITIV-57036</v>
      </c>
      <c r="B111" s="20">
        <v>46023</v>
      </c>
      <c r="C111" s="21">
        <v>817393</v>
      </c>
      <c r="D111" s="9" t="str">
        <f>IF(J111=57036,"ALEXANDRE DA COSTA SOARES",IF(J111=24157,"JOSE MAURICIO GOMES TEIXEIRA",IF(J111=24203,"JOSE MAURICIO GOMES TEIXEIRA",IF(J111=24149,"CHRISTIANO MARCONDES DE BARROS LIMA",IF(J111=24137,"CHRISTIANO MARCONDES DE BARROS LIMA",IF(J111=135152,"ENRICO BORTPLUZO CASSIANO",IF(J111=136568,"ENRICO BORTPLUZO CASSIANO", IF(J111=130976,"MARYLIA CARVALHO PONCE",IF(J111=136668,"ALEXANDRE DA COSTA SOARES",IF(J111=52340,"OFFSHORE LISTED",IF(J111=158778,"CLAUDIO DE SOUZA PACINI",_xlfn.XLOOKUP(J111,[1]!Tabela33[ID ORACLE],[1]!Tabela33[BROKER],0,0,1))))))))))))</f>
        <v>ALEXANDRE DA COSTA SOARES</v>
      </c>
      <c r="E111" s="22">
        <f t="shared" si="11"/>
        <v>-148.44434717760001</v>
      </c>
      <c r="F111" s="9" t="str">
        <f t="shared" si="10"/>
        <v>REFINITIV</v>
      </c>
      <c r="G111" s="20">
        <f t="shared" si="8"/>
        <v>46023</v>
      </c>
      <c r="H111" s="23">
        <v>1170</v>
      </c>
      <c r="J111" s="41">
        <v>57036</v>
      </c>
      <c r="K111" s="1" t="s">
        <v>42</v>
      </c>
      <c r="L111" s="1" t="s">
        <v>17</v>
      </c>
      <c r="M111" s="29">
        <v>20.685648</v>
      </c>
      <c r="Q111" s="27"/>
      <c r="S111" s="27"/>
      <c r="U111" s="27"/>
    </row>
    <row r="112" spans="1:78" customFormat="1" ht="15" customHeight="1" x14ac:dyDescent="0.25">
      <c r="A112" s="9" t="str">
        <f t="shared" si="9"/>
        <v>CUSTO MARKET DATA - JANEIRO/26-BLOOMBERG-61086</v>
      </c>
      <c r="B112" s="20">
        <v>46023</v>
      </c>
      <c r="C112" s="21">
        <v>817393</v>
      </c>
      <c r="D112" s="9" t="str">
        <f>IF(J112=57036,"ALEXANDRE DA COSTA SOARES",IF(J112=24157,"JOSE MAURICIO GOMES TEIXEIRA",IF(J112=24203,"JOSE MAURICIO GOMES TEIXEIRA",IF(J112=24149,"CHRISTIANO MARCONDES DE BARROS LIMA",IF(J112=24137,"CHRISTIANO MARCONDES DE BARROS LIMA",IF(J112=135152,"ENRICO BORTPLUZO CASSIANO",IF(J112=136568,"ENRICO BORTPLUZO CASSIANO", IF(J112=130976,"MARYLIA CARVALHO PONCE",IF(J112=136668,"ALEXANDRE DA COSTA SOARES",IF(J112=52340,"OFFSHORE LISTED",IF(J112=158778,"CLAUDIO DE SOUZA PACINI",_xlfn.XLOOKUP(J112,[1]!Tabela33[ID ORACLE],[1]!Tabela33[BROKER],0,0,1))))))))))))</f>
        <v>ALEXANDRE DA COSTA SOARES</v>
      </c>
      <c r="E112" s="22">
        <f t="shared" si="11"/>
        <v>-5760.0834649233002</v>
      </c>
      <c r="F112" s="9" t="str">
        <f t="shared" si="10"/>
        <v>BLOOMBERG</v>
      </c>
      <c r="G112" s="20">
        <f t="shared" si="8"/>
        <v>46023</v>
      </c>
      <c r="H112" s="23">
        <v>1170</v>
      </c>
      <c r="J112" s="41">
        <v>61086</v>
      </c>
      <c r="K112" s="1" t="s">
        <v>41</v>
      </c>
      <c r="L112" s="1" t="s">
        <v>12</v>
      </c>
      <c r="M112" s="29">
        <v>1101.333333</v>
      </c>
      <c r="O112" s="1"/>
      <c r="P112" s="26"/>
      <c r="Q112" s="27"/>
      <c r="R112" s="26"/>
      <c r="S112" s="28"/>
      <c r="T112" s="26"/>
      <c r="U112" s="28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</row>
    <row r="113" spans="1:78" customFormat="1" ht="15" customHeight="1" x14ac:dyDescent="0.25">
      <c r="A113" s="9" t="str">
        <f t="shared" si="9"/>
        <v>CUSTO MARKET DATA - JANEIRO/26-FIDESSA-61086</v>
      </c>
      <c r="B113" s="20">
        <v>46023</v>
      </c>
      <c r="C113" s="21">
        <v>817393</v>
      </c>
      <c r="D113" s="9" t="str">
        <f>IF(J113=57036,"ALEXANDRE DA COSTA SOARES",IF(J113=24157,"JOSE MAURICIO GOMES TEIXEIRA",IF(J113=24203,"JOSE MAURICIO GOMES TEIXEIRA",IF(J113=24149,"CHRISTIANO MARCONDES DE BARROS LIMA",IF(J113=24137,"CHRISTIANO MARCONDES DE BARROS LIMA",IF(J113=135152,"ENRICO BORTPLUZO CASSIANO",IF(J113=136568,"ENRICO BORTPLUZO CASSIANO", IF(J113=130976,"MARYLIA CARVALHO PONCE",IF(J113=136668,"ALEXANDRE DA COSTA SOARES",IF(J113=52340,"OFFSHORE LISTED",IF(J113=158778,"CLAUDIO DE SOUZA PACINI",_xlfn.XLOOKUP(J113,[1]!Tabela33[ID ORACLE],[1]!Tabela33[BROKER],0,0,1))))))))))))</f>
        <v>ALEXANDRE DA COSTA SOARES</v>
      </c>
      <c r="E113" s="22">
        <f t="shared" si="11"/>
        <v>-2197.6539668189002</v>
      </c>
      <c r="F113" s="9" t="str">
        <f t="shared" si="10"/>
        <v>FIDESSA</v>
      </c>
      <c r="G113" s="20">
        <f t="shared" si="8"/>
        <v>46023</v>
      </c>
      <c r="H113" s="23">
        <v>1170</v>
      </c>
      <c r="J113" s="41">
        <v>61086</v>
      </c>
      <c r="K113" s="1" t="s">
        <v>47</v>
      </c>
      <c r="L113" s="1" t="s">
        <v>12</v>
      </c>
      <c r="M113" s="29">
        <v>420.193489</v>
      </c>
      <c r="O113" s="1"/>
      <c r="P113" s="26"/>
      <c r="Q113" s="27"/>
      <c r="R113" s="26"/>
      <c r="S113" s="28"/>
      <c r="T113" s="26"/>
      <c r="U113" s="28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</row>
    <row r="114" spans="1:78" customFormat="1" ht="15" customHeight="1" x14ac:dyDescent="0.25">
      <c r="A114" s="9" t="str">
        <f t="shared" si="9"/>
        <v>CUSTO MARKET DATA - JANEIRO/26-NYSE MARKET INC.-61086</v>
      </c>
      <c r="B114" s="20">
        <v>46023</v>
      </c>
      <c r="C114" s="21">
        <v>817393</v>
      </c>
      <c r="D114" s="9" t="str">
        <f>IF(J114=57036,"ALEXANDRE DA COSTA SOARES",IF(J114=24157,"JOSE MAURICIO GOMES TEIXEIRA",IF(J114=24203,"JOSE MAURICIO GOMES TEIXEIRA",IF(J114=24149,"CHRISTIANO MARCONDES DE BARROS LIMA",IF(J114=24137,"CHRISTIANO MARCONDES DE BARROS LIMA",IF(J114=135152,"ENRICO BORTPLUZO CASSIANO",IF(J114=136568,"ENRICO BORTPLUZO CASSIANO", IF(J114=130976,"MARYLIA CARVALHO PONCE",IF(J114=136668,"ALEXANDRE DA COSTA SOARES",IF(J114=52340,"OFFSHORE LISTED",IF(J114=158778,"CLAUDIO DE SOUZA PACINI",_xlfn.XLOOKUP(J114,[1]!Tabela33[ID ORACLE],[1]!Tabela33[BROKER],0,0,1))))))))))))</f>
        <v>ALEXANDRE DA COSTA SOARES</v>
      </c>
      <c r="E114" s="22">
        <f t="shared" si="11"/>
        <v>-1332.4595017500001</v>
      </c>
      <c r="F114" s="9" t="str">
        <f t="shared" si="10"/>
        <v>NYSE MARKET INC.</v>
      </c>
      <c r="G114" s="20">
        <f t="shared" si="8"/>
        <v>46023</v>
      </c>
      <c r="H114" s="23">
        <v>1170</v>
      </c>
      <c r="J114" s="41">
        <v>61086</v>
      </c>
      <c r="K114" s="1" t="s">
        <v>44</v>
      </c>
      <c r="L114" s="1" t="s">
        <v>12</v>
      </c>
      <c r="M114" s="29">
        <v>254.76749999999998</v>
      </c>
      <c r="O114" s="1"/>
      <c r="P114" s="26"/>
      <c r="Q114" s="27"/>
      <c r="R114" s="26"/>
      <c r="S114" s="28"/>
      <c r="T114" s="26"/>
      <c r="U114" s="28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</row>
    <row r="115" spans="1:78" customFormat="1" ht="15" customHeight="1" x14ac:dyDescent="0.25">
      <c r="A115" s="9" t="str">
        <f t="shared" si="9"/>
        <v>CUSTO MARKET DATA - JANEIRO/26-OPTIONS PRICE REPORTING AUTHORITY (OPRA)-61086</v>
      </c>
      <c r="B115" s="20">
        <v>46023</v>
      </c>
      <c r="C115" s="21">
        <v>817393</v>
      </c>
      <c r="D115" s="9" t="str">
        <f>IF(J115=57036,"ALEXANDRE DA COSTA SOARES",IF(J115=24157,"JOSE MAURICIO GOMES TEIXEIRA",IF(J115=24203,"JOSE MAURICIO GOMES TEIXEIRA",IF(J115=24149,"CHRISTIANO MARCONDES DE BARROS LIMA",IF(J115=24137,"CHRISTIANO MARCONDES DE BARROS LIMA",IF(J115=135152,"ENRICO BORTPLUZO CASSIANO",IF(J115=136568,"ENRICO BORTPLUZO CASSIANO", IF(J115=130976,"MARYLIA CARVALHO PONCE",IF(J115=136668,"ALEXANDRE DA COSTA SOARES",IF(J115=52340,"OFFSHORE LISTED",IF(J115=158778,"CLAUDIO DE SOUZA PACINI",_xlfn.XLOOKUP(J115,[1]!Tabela33[ID ORACLE],[1]!Tabela33[BROKER],0,0,1))))))))))))</f>
        <v>ALEXANDRE DA COSTA SOARES</v>
      </c>
      <c r="E115" s="22">
        <f t="shared" si="11"/>
        <v>-179.3695483125</v>
      </c>
      <c r="F115" s="9" t="str">
        <f t="shared" si="10"/>
        <v>OPTIONS PRICE REPORTING AUTHORITY (OPRA)</v>
      </c>
      <c r="G115" s="20">
        <f t="shared" si="8"/>
        <v>46023</v>
      </c>
      <c r="H115" s="23">
        <v>1170</v>
      </c>
      <c r="J115" s="41">
        <v>61086</v>
      </c>
      <c r="K115" s="1" t="s">
        <v>45</v>
      </c>
      <c r="L115" s="1" t="s">
        <v>12</v>
      </c>
      <c r="M115" s="29">
        <v>34.295625000000001</v>
      </c>
      <c r="O115" s="1"/>
      <c r="P115" s="26"/>
      <c r="Q115" s="27"/>
      <c r="R115" s="26"/>
      <c r="S115" s="28"/>
      <c r="T115" s="26"/>
      <c r="U115" s="28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</row>
    <row r="116" spans="1:78" customFormat="1" ht="15" customHeight="1" x14ac:dyDescent="0.25">
      <c r="A116" s="9" t="str">
        <f t="shared" si="9"/>
        <v>CUSTO MARKET DATA - JANEIRO/26-REFINITIV-61086</v>
      </c>
      <c r="B116" s="20">
        <v>46023</v>
      </c>
      <c r="C116" s="21">
        <v>817393</v>
      </c>
      <c r="D116" s="9" t="str">
        <f>IF(J116=57036,"ALEXANDRE DA COSTA SOARES",IF(J116=24157,"JOSE MAURICIO GOMES TEIXEIRA",IF(J116=24203,"JOSE MAURICIO GOMES TEIXEIRA",IF(J116=24149,"CHRISTIANO MARCONDES DE BARROS LIMA",IF(J116=24137,"CHRISTIANO MARCONDES DE BARROS LIMA",IF(J116=135152,"ENRICO BORTPLUZO CASSIANO",IF(J116=136568,"ENRICO BORTPLUZO CASSIANO", IF(J116=130976,"MARYLIA CARVALHO PONCE",IF(J116=136668,"ALEXANDRE DA COSTA SOARES",IF(J116=52340,"OFFSHORE LISTED",IF(J116=158778,"CLAUDIO DE SOUZA PACINI",_xlfn.XLOOKUP(J116,[1]!Tabela33[ID ORACLE],[1]!Tabela33[BROKER],0,0,1))))))))))))</f>
        <v>ALEXANDRE DA COSTA SOARES</v>
      </c>
      <c r="E116" s="22">
        <f t="shared" si="11"/>
        <v>-148.44434717760001</v>
      </c>
      <c r="F116" s="9" t="str">
        <f t="shared" si="10"/>
        <v>REFINITIV</v>
      </c>
      <c r="G116" s="20">
        <f t="shared" si="8"/>
        <v>46023</v>
      </c>
      <c r="H116" s="23">
        <v>1170</v>
      </c>
      <c r="J116" s="41">
        <v>61086</v>
      </c>
      <c r="K116" s="1" t="s">
        <v>42</v>
      </c>
      <c r="L116" s="1" t="s">
        <v>17</v>
      </c>
      <c r="M116" s="29">
        <v>20.685648</v>
      </c>
      <c r="O116" s="1"/>
      <c r="P116" s="26"/>
      <c r="Q116" s="27"/>
      <c r="R116" s="26"/>
      <c r="S116" s="28"/>
      <c r="T116" s="26"/>
      <c r="U116" s="28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</row>
    <row r="117" spans="1:78" customFormat="1" ht="15" customHeight="1" x14ac:dyDescent="0.25">
      <c r="A117" s="9" t="str">
        <f t="shared" si="9"/>
        <v>CUSTO MARKET DATA - JANEIRO/26-TORONTO STOCK EXCHANGE-61086</v>
      </c>
      <c r="B117" s="20">
        <v>46023</v>
      </c>
      <c r="C117" s="21">
        <v>817393</v>
      </c>
      <c r="D117" s="9" t="str">
        <f>IF(J117=57036,"ALEXANDRE DA COSTA SOARES",IF(J117=24157,"JOSE MAURICIO GOMES TEIXEIRA",IF(J117=24203,"JOSE MAURICIO GOMES TEIXEIRA",IF(J117=24149,"CHRISTIANO MARCONDES DE BARROS LIMA",IF(J117=24137,"CHRISTIANO MARCONDES DE BARROS LIMA",IF(J117=135152,"ENRICO BORTPLUZO CASSIANO",IF(J117=136568,"ENRICO BORTPLUZO CASSIANO", IF(J117=130976,"MARYLIA CARVALHO PONCE",IF(J117=136668,"ALEXANDRE DA COSTA SOARES",IF(J117=52340,"OFFSHORE LISTED",IF(J117=158778,"CLAUDIO DE SOUZA PACINI",_xlfn.XLOOKUP(J117,[1]!Tabela33[ID ORACLE],[1]!Tabela33[BROKER],0,0,1))))))))))))</f>
        <v>ALEXANDRE DA COSTA SOARES</v>
      </c>
      <c r="E117" s="22">
        <f t="shared" si="11"/>
        <v>-758.73262058849991</v>
      </c>
      <c r="F117" s="9" t="str">
        <f t="shared" si="10"/>
        <v>TORONTO STOCK EXCHANGE</v>
      </c>
      <c r="G117" s="20">
        <f t="shared" si="8"/>
        <v>46023</v>
      </c>
      <c r="H117" s="23">
        <v>1170</v>
      </c>
      <c r="J117" s="41">
        <v>61086</v>
      </c>
      <c r="K117" s="1" t="s">
        <v>51</v>
      </c>
      <c r="L117" s="1" t="s">
        <v>12</v>
      </c>
      <c r="M117" s="29">
        <v>145.07038499999999</v>
      </c>
      <c r="O117" s="1"/>
      <c r="P117" s="26"/>
      <c r="Q117" s="27"/>
      <c r="R117" s="26"/>
      <c r="S117" s="28"/>
      <c r="T117" s="26"/>
      <c r="U117" s="28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</row>
    <row r="118" spans="1:78" customFormat="1" ht="15" customHeight="1" x14ac:dyDescent="0.25">
      <c r="A118" s="9" t="str">
        <f t="shared" si="9"/>
        <v>CUSTO MARKET DATA - JANEIRO/26-BLOOMBERG-63203</v>
      </c>
      <c r="B118" s="20">
        <v>46023</v>
      </c>
      <c r="C118" s="21">
        <v>817393</v>
      </c>
      <c r="D118" s="9" t="str">
        <f>IF(J118=57036,"ALEXANDRE DA COSTA SOARES",IF(J118=24157,"JOSE MAURICIO GOMES TEIXEIRA",IF(J118=24203,"JOSE MAURICIO GOMES TEIXEIRA",IF(J118=24149,"CHRISTIANO MARCONDES DE BARROS LIMA",IF(J118=24137,"CHRISTIANO MARCONDES DE BARROS LIMA",IF(J118=135152,"ENRICO BORTPLUZO CASSIANO",IF(J118=136568,"ENRICO BORTPLUZO CASSIANO", IF(J118=130976,"MARYLIA CARVALHO PONCE",IF(J118=136668,"ALEXANDRE DA COSTA SOARES",IF(J118=52340,"OFFSHORE LISTED",IF(J118=158778,"CLAUDIO DE SOUZA PACINI",_xlfn.XLOOKUP(J118,[1]!Tabela33[ID ORACLE],[1]!Tabela33[BROKER],0,0,1))))))))))))</f>
        <v>FABIO SOARES PFAENDER</v>
      </c>
      <c r="E118" s="22">
        <f t="shared" si="11"/>
        <v>-12520.8291752521</v>
      </c>
      <c r="F118" s="9" t="str">
        <f t="shared" si="10"/>
        <v>BLOOMBERG</v>
      </c>
      <c r="G118" s="20">
        <f t="shared" si="8"/>
        <v>46023</v>
      </c>
      <c r="H118" s="23">
        <v>1170</v>
      </c>
      <c r="J118" s="41">
        <v>63203</v>
      </c>
      <c r="K118" s="1" t="s">
        <v>41</v>
      </c>
      <c r="L118" s="1" t="s">
        <v>12</v>
      </c>
      <c r="M118" s="29">
        <v>2393.9942209999999</v>
      </c>
      <c r="O118" s="1"/>
      <c r="P118" s="26"/>
      <c r="Q118" s="27"/>
      <c r="R118" s="26"/>
      <c r="S118" s="28"/>
      <c r="T118" s="26"/>
      <c r="U118" s="28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</row>
    <row r="119" spans="1:78" customFormat="1" ht="15" customHeight="1" x14ac:dyDescent="0.25">
      <c r="A119" s="9" t="str">
        <f t="shared" si="9"/>
        <v>CUSTO MARKET DATA - JANEIRO/26-REFINITIV-63203</v>
      </c>
      <c r="B119" s="20">
        <v>46023</v>
      </c>
      <c r="C119" s="21">
        <v>817393</v>
      </c>
      <c r="D119" s="9" t="str">
        <f>IF(J119=57036,"ALEXANDRE DA COSTA SOARES",IF(J119=24157,"JOSE MAURICIO GOMES TEIXEIRA",IF(J119=24203,"JOSE MAURICIO GOMES TEIXEIRA",IF(J119=24149,"CHRISTIANO MARCONDES DE BARROS LIMA",IF(J119=24137,"CHRISTIANO MARCONDES DE BARROS LIMA",IF(J119=135152,"ENRICO BORTPLUZO CASSIANO",IF(J119=136568,"ENRICO BORTPLUZO CASSIANO", IF(J119=130976,"MARYLIA CARVALHO PONCE",IF(J119=136668,"ALEXANDRE DA COSTA SOARES",IF(J119=52340,"OFFSHORE LISTED",IF(J119=158778,"CLAUDIO DE SOUZA PACINI",_xlfn.XLOOKUP(J119,[1]!Tabela33[ID ORACLE],[1]!Tabela33[BROKER],0,0,1))))))))))))</f>
        <v>FABIO SOARES PFAENDER</v>
      </c>
      <c r="E119" s="22">
        <f t="shared" si="11"/>
        <v>-148.44434717760001</v>
      </c>
      <c r="F119" s="9" t="str">
        <f t="shared" si="10"/>
        <v>REFINITIV</v>
      </c>
      <c r="G119" s="20">
        <f t="shared" si="8"/>
        <v>46023</v>
      </c>
      <c r="H119" s="23">
        <v>1170</v>
      </c>
      <c r="J119" s="41">
        <v>63203</v>
      </c>
      <c r="K119" s="1" t="s">
        <v>42</v>
      </c>
      <c r="L119" s="1" t="s">
        <v>17</v>
      </c>
      <c r="M119" s="29">
        <v>20.685648</v>
      </c>
      <c r="O119" s="1"/>
      <c r="P119" s="26"/>
      <c r="Q119" s="27"/>
      <c r="R119" s="26"/>
      <c r="S119" s="28"/>
      <c r="T119" s="26"/>
      <c r="U119" s="28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</row>
    <row r="120" spans="1:78" customFormat="1" ht="15" customHeight="1" x14ac:dyDescent="0.25">
      <c r="A120" s="9" t="str">
        <f t="shared" si="9"/>
        <v>CUSTO MARKET DATA - JANEIRO/26-BLOOMBERG-63705</v>
      </c>
      <c r="B120" s="20">
        <v>46023</v>
      </c>
      <c r="C120" s="21">
        <v>817393</v>
      </c>
      <c r="D120" s="9" t="str">
        <f>IF(J120=57036,"ALEXANDRE DA COSTA SOARES",IF(J120=24157,"JOSE MAURICIO GOMES TEIXEIRA",IF(J120=24203,"JOSE MAURICIO GOMES TEIXEIRA",IF(J120=24149,"CHRISTIANO MARCONDES DE BARROS LIMA",IF(J120=24137,"CHRISTIANO MARCONDES DE BARROS LIMA",IF(J120=135152,"ENRICO BORTPLUZO CASSIANO",IF(J120=136568,"ENRICO BORTPLUZO CASSIANO", IF(J120=130976,"MARYLIA CARVALHO PONCE",IF(J120=136668,"ALEXANDRE DA COSTA SOARES",IF(J120=52340,"OFFSHORE LISTED",IF(J120=158778,"CLAUDIO DE SOUZA PACINI",_xlfn.XLOOKUP(J120,[1]!Tabela33[ID ORACLE],[1]!Tabela33[BROKER],0,0,1))))))))))))</f>
        <v>ALEXANDRE DE CARVALHO GALHARDO</v>
      </c>
      <c r="E120" s="22">
        <f t="shared" si="11"/>
        <v>-12627.5232152521</v>
      </c>
      <c r="F120" s="9" t="str">
        <f t="shared" si="10"/>
        <v>BLOOMBERG</v>
      </c>
      <c r="G120" s="20">
        <f t="shared" si="8"/>
        <v>46023</v>
      </c>
      <c r="H120" s="23">
        <v>1170</v>
      </c>
      <c r="J120" s="41">
        <v>63705</v>
      </c>
      <c r="K120" s="1" t="s">
        <v>41</v>
      </c>
      <c r="L120" s="1" t="s">
        <v>12</v>
      </c>
      <c r="M120" s="29">
        <v>2414.394221</v>
      </c>
      <c r="O120" s="1"/>
      <c r="P120" s="26"/>
      <c r="Q120" s="27"/>
      <c r="R120" s="26"/>
      <c r="S120" s="28"/>
      <c r="T120" s="26"/>
      <c r="U120" s="28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</row>
    <row r="121" spans="1:78" customFormat="1" ht="15" customHeight="1" x14ac:dyDescent="0.25">
      <c r="A121" s="9" t="str">
        <f t="shared" si="9"/>
        <v>CUSTO MARKET DATA - JANEIRO/26-NYSE MARKET INC.-63705</v>
      </c>
      <c r="B121" s="20">
        <v>46023</v>
      </c>
      <c r="C121" s="21">
        <v>817393</v>
      </c>
      <c r="D121" s="9" t="str">
        <f>IF(J121=57036,"ALEXANDRE DA COSTA SOARES",IF(J121=24157,"JOSE MAURICIO GOMES TEIXEIRA",IF(J121=24203,"JOSE MAURICIO GOMES TEIXEIRA",IF(J121=24149,"CHRISTIANO MARCONDES DE BARROS LIMA",IF(J121=24137,"CHRISTIANO MARCONDES DE BARROS LIMA",IF(J121=135152,"ENRICO BORTPLUZO CASSIANO",IF(J121=136568,"ENRICO BORTPLUZO CASSIANO", IF(J121=130976,"MARYLIA CARVALHO PONCE",IF(J121=136668,"ALEXANDRE DA COSTA SOARES",IF(J121=52340,"OFFSHORE LISTED",IF(J121=158778,"CLAUDIO DE SOUZA PACINI",_xlfn.XLOOKUP(J121,[1]!Tabela33[ID ORACLE],[1]!Tabela33[BROKER],0,0,1))))))))))))</f>
        <v>ALEXANDRE DE CARVALHO GALHARDO</v>
      </c>
      <c r="E121" s="22">
        <f t="shared" si="11"/>
        <v>-141.21270000000001</v>
      </c>
      <c r="F121" s="9" t="str">
        <f t="shared" si="10"/>
        <v>NYSE MARKET INC.</v>
      </c>
      <c r="G121" s="20">
        <f t="shared" si="8"/>
        <v>46023</v>
      </c>
      <c r="H121" s="23">
        <v>1170</v>
      </c>
      <c r="J121" s="41">
        <v>63705</v>
      </c>
      <c r="K121" s="1" t="s">
        <v>44</v>
      </c>
      <c r="L121" s="1" t="s">
        <v>12</v>
      </c>
      <c r="M121" s="29">
        <v>27</v>
      </c>
      <c r="O121" s="1"/>
      <c r="P121" s="26"/>
      <c r="Q121" s="27"/>
      <c r="R121" s="26"/>
      <c r="S121" s="28"/>
      <c r="T121" s="26"/>
      <c r="U121" s="28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</row>
    <row r="122" spans="1:78" customFormat="1" ht="15" customHeight="1" x14ac:dyDescent="0.25">
      <c r="A122" s="9" t="str">
        <f t="shared" si="9"/>
        <v>CUSTO MARKET DATA - JANEIRO/26-BLOOMBERG-64098</v>
      </c>
      <c r="B122" s="20">
        <v>46023</v>
      </c>
      <c r="C122" s="21">
        <v>817393</v>
      </c>
      <c r="D122" s="9" t="str">
        <f>IF(J122=57036,"ALEXANDRE DA COSTA SOARES",IF(J122=24157,"JOSE MAURICIO GOMES TEIXEIRA",IF(J122=24203,"JOSE MAURICIO GOMES TEIXEIRA",IF(J122=24149,"CHRISTIANO MARCONDES DE BARROS LIMA",IF(J122=24137,"CHRISTIANO MARCONDES DE BARROS LIMA",IF(J122=135152,"ENRICO BORTPLUZO CASSIANO",IF(J122=136568,"ENRICO BORTPLUZO CASSIANO", IF(J122=130976,"MARYLIA CARVALHO PONCE",IF(J122=136668,"ALEXANDRE DA COSTA SOARES",IF(J122=52340,"OFFSHORE LISTED",IF(J122=158778,"CLAUDIO DE SOUZA PACINI",_xlfn.XLOOKUP(J122,[1]!Tabela33[ID ORACLE],[1]!Tabela33[BROKER],0,0,1))))))))))))</f>
        <v>HAMILTON DEL MONACO FILHO</v>
      </c>
      <c r="E122" s="22">
        <f t="shared" si="11"/>
        <v>-13439.7577452521</v>
      </c>
      <c r="F122" s="9" t="str">
        <f t="shared" si="10"/>
        <v>BLOOMBERG</v>
      </c>
      <c r="G122" s="20">
        <f t="shared" si="8"/>
        <v>46023</v>
      </c>
      <c r="H122" s="23">
        <v>1170</v>
      </c>
      <c r="J122" s="41">
        <v>64098</v>
      </c>
      <c r="K122" s="1" t="s">
        <v>41</v>
      </c>
      <c r="L122" s="1" t="s">
        <v>12</v>
      </c>
      <c r="M122" s="29">
        <v>2569.6942209999997</v>
      </c>
      <c r="O122" s="1"/>
      <c r="P122" s="26"/>
      <c r="Q122" s="27"/>
      <c r="R122" s="26"/>
      <c r="S122" s="42"/>
      <c r="T122" s="26"/>
      <c r="U122" s="42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</row>
    <row r="123" spans="1:78" customFormat="1" ht="15" customHeight="1" x14ac:dyDescent="0.25">
      <c r="A123" s="9" t="str">
        <f t="shared" si="9"/>
        <v>CUSTO MARKET DATA - JANEIRO/26-NYSE MARKET INC.-64098</v>
      </c>
      <c r="B123" s="20">
        <v>46023</v>
      </c>
      <c r="C123" s="21">
        <v>817393</v>
      </c>
      <c r="D123" s="9" t="str">
        <f>IF(J123=57036,"ALEXANDRE DA COSTA SOARES",IF(J123=24157,"JOSE MAURICIO GOMES TEIXEIRA",IF(J123=24203,"JOSE MAURICIO GOMES TEIXEIRA",IF(J123=24149,"CHRISTIANO MARCONDES DE BARROS LIMA",IF(J123=24137,"CHRISTIANO MARCONDES DE BARROS LIMA",IF(J123=135152,"ENRICO BORTPLUZO CASSIANO",IF(J123=136568,"ENRICO BORTPLUZO CASSIANO", IF(J123=130976,"MARYLIA CARVALHO PONCE",IF(J123=136668,"ALEXANDRE DA COSTA SOARES",IF(J123=52340,"OFFSHORE LISTED",IF(J123=158778,"CLAUDIO DE SOUZA PACINI",_xlfn.XLOOKUP(J123,[1]!Tabela33[ID ORACLE],[1]!Tabela33[BROKER],0,0,1))))))))))))</f>
        <v>HAMILTON DEL MONACO FILHO</v>
      </c>
      <c r="E123" s="22">
        <f t="shared" si="11"/>
        <v>-1725.933</v>
      </c>
      <c r="F123" s="9" t="str">
        <f t="shared" si="10"/>
        <v>NYSE MARKET INC.</v>
      </c>
      <c r="G123" s="20">
        <f t="shared" si="8"/>
        <v>46023</v>
      </c>
      <c r="H123" s="23">
        <v>1170</v>
      </c>
      <c r="J123" s="41">
        <v>64098</v>
      </c>
      <c r="K123" s="1" t="s">
        <v>44</v>
      </c>
      <c r="L123" s="1" t="s">
        <v>12</v>
      </c>
      <c r="M123" s="29">
        <v>330</v>
      </c>
      <c r="O123" s="1"/>
      <c r="P123" s="26"/>
      <c r="Q123" s="27"/>
      <c r="R123" s="26"/>
      <c r="S123" s="42"/>
      <c r="T123" s="26"/>
      <c r="U123" s="42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</row>
    <row r="124" spans="1:78" customFormat="1" ht="15" customHeight="1" x14ac:dyDescent="0.25">
      <c r="A124" s="9" t="str">
        <f t="shared" si="9"/>
        <v>CUSTO MARKET DATA - JANEIRO/26-OPTIONS PRICE REPORTING AUTHORITY (OPRA)-64098</v>
      </c>
      <c r="B124" s="20">
        <v>46023</v>
      </c>
      <c r="C124" s="21">
        <v>817393</v>
      </c>
      <c r="D124" s="9" t="str">
        <f>IF(J124=57036,"ALEXANDRE DA COSTA SOARES",IF(J124=24157,"JOSE MAURICIO GOMES TEIXEIRA",IF(J124=24203,"JOSE MAURICIO GOMES TEIXEIRA",IF(J124=24149,"CHRISTIANO MARCONDES DE BARROS LIMA",IF(J124=24137,"CHRISTIANO MARCONDES DE BARROS LIMA",IF(J124=135152,"ENRICO BORTPLUZO CASSIANO",IF(J124=136568,"ENRICO BORTPLUZO CASSIANO", IF(J124=130976,"MARYLIA CARVALHO PONCE",IF(J124=136668,"ALEXANDRE DA COSTA SOARES",IF(J124=52340,"OFFSHORE LISTED",IF(J124=158778,"CLAUDIO DE SOUZA PACINI",_xlfn.XLOOKUP(J124,[1]!Tabela33[ID ORACLE],[1]!Tabela33[BROKER],0,0,1))))))))))))</f>
        <v>HAMILTON DEL MONACO FILHO</v>
      </c>
      <c r="E124" s="22">
        <f t="shared" si="11"/>
        <v>-164.74815000000001</v>
      </c>
      <c r="F124" s="9" t="str">
        <f t="shared" si="10"/>
        <v>OPTIONS PRICE REPORTING AUTHORITY (OPRA)</v>
      </c>
      <c r="G124" s="20">
        <f t="shared" si="8"/>
        <v>46023</v>
      </c>
      <c r="H124" s="23">
        <v>1170</v>
      </c>
      <c r="J124" s="41">
        <v>64098</v>
      </c>
      <c r="K124" s="1" t="s">
        <v>45</v>
      </c>
      <c r="L124" s="1" t="s">
        <v>12</v>
      </c>
      <c r="M124" s="29">
        <v>31.5</v>
      </c>
      <c r="O124" s="1"/>
      <c r="P124" s="26"/>
      <c r="Q124" s="27"/>
      <c r="R124" s="26"/>
      <c r="S124" s="42"/>
      <c r="T124" s="26"/>
      <c r="U124" s="42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</row>
    <row r="125" spans="1:78" customFormat="1" ht="15" customHeight="1" x14ac:dyDescent="0.25">
      <c r="A125" s="9" t="str">
        <f t="shared" si="9"/>
        <v>CUSTO MARKET DATA - JANEIRO/26-REFINITIV-64098</v>
      </c>
      <c r="B125" s="20">
        <v>46023</v>
      </c>
      <c r="C125" s="21">
        <v>817393</v>
      </c>
      <c r="D125" s="9" t="str">
        <f>IF(J125=57036,"ALEXANDRE DA COSTA SOARES",IF(J125=24157,"JOSE MAURICIO GOMES TEIXEIRA",IF(J125=24203,"JOSE MAURICIO GOMES TEIXEIRA",IF(J125=24149,"CHRISTIANO MARCONDES DE BARROS LIMA",IF(J125=24137,"CHRISTIANO MARCONDES DE BARROS LIMA",IF(J125=135152,"ENRICO BORTPLUZO CASSIANO",IF(J125=136568,"ENRICO BORTPLUZO CASSIANO", IF(J125=130976,"MARYLIA CARVALHO PONCE",IF(J125=136668,"ALEXANDRE DA COSTA SOARES",IF(J125=52340,"OFFSHORE LISTED",IF(J125=158778,"CLAUDIO DE SOUZA PACINI",_xlfn.XLOOKUP(J125,[1]!Tabela33[ID ORACLE],[1]!Tabela33[BROKER],0,0,1))))))))))))</f>
        <v>HAMILTON DEL MONACO FILHO</v>
      </c>
      <c r="E125" s="22">
        <f t="shared" si="11"/>
        <v>-148.44434717760001</v>
      </c>
      <c r="F125" s="9" t="str">
        <f t="shared" si="10"/>
        <v>REFINITIV</v>
      </c>
      <c r="G125" s="20">
        <f t="shared" si="8"/>
        <v>46023</v>
      </c>
      <c r="H125" s="23">
        <v>1170</v>
      </c>
      <c r="J125" s="41">
        <v>64098</v>
      </c>
      <c r="K125" s="1" t="s">
        <v>42</v>
      </c>
      <c r="L125" s="1" t="s">
        <v>17</v>
      </c>
      <c r="M125" s="29">
        <v>20.685648</v>
      </c>
      <c r="O125" s="1"/>
      <c r="P125" s="26"/>
      <c r="Q125" s="27"/>
      <c r="R125" s="26"/>
      <c r="S125" s="42"/>
      <c r="T125" s="26"/>
      <c r="U125" s="42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</row>
    <row r="126" spans="1:78" ht="15" customHeight="1" x14ac:dyDescent="0.25">
      <c r="A126" s="9" t="str">
        <f t="shared" si="9"/>
        <v>CUSTO MARKET DATA - JANEIRO/26-SYMPHONY COMMUNICATION SERVICES, LLC-64098</v>
      </c>
      <c r="B126" s="20">
        <v>46023</v>
      </c>
      <c r="C126" s="21">
        <v>817393</v>
      </c>
      <c r="D126" s="9" t="str">
        <f>IF(J126=57036,"ALEXANDRE DA COSTA SOARES",IF(J126=24157,"JOSE MAURICIO GOMES TEIXEIRA",IF(J126=24203,"JOSE MAURICIO GOMES TEIXEIRA",IF(J126=24149,"CHRISTIANO MARCONDES DE BARROS LIMA",IF(J126=24137,"CHRISTIANO MARCONDES DE BARROS LIMA",IF(J126=135152,"ENRICO BORTPLUZO CASSIANO",IF(J126=136568,"ENRICO BORTPLUZO CASSIANO", IF(J126=130976,"MARYLIA CARVALHO PONCE",IF(J126=136668,"ALEXANDRE DA COSTA SOARES",IF(J126=52340,"OFFSHORE LISTED",IF(J126=158778,"CLAUDIO DE SOUZA PACINI",_xlfn.XLOOKUP(J126,[1]!Tabela33[ID ORACLE],[1]!Tabela33[BROKER],0,0,1))))))))))))</f>
        <v>HAMILTON DEL MONACO FILHO</v>
      </c>
      <c r="E126" s="22">
        <f t="shared" si="11"/>
        <v>-130.96824162500002</v>
      </c>
      <c r="F126" s="9" t="str">
        <f t="shared" si="10"/>
        <v>SYMPHONY COMMUNICATION SERVICES, LLC</v>
      </c>
      <c r="G126" s="20">
        <f t="shared" si="8"/>
        <v>46023</v>
      </c>
      <c r="H126" s="23">
        <v>1170</v>
      </c>
      <c r="J126" s="41">
        <v>64098</v>
      </c>
      <c r="K126" s="1" t="s">
        <v>50</v>
      </c>
      <c r="L126" s="1" t="s">
        <v>12</v>
      </c>
      <c r="M126" s="29">
        <v>25.041250000000002</v>
      </c>
      <c r="Q126" s="27"/>
      <c r="S126" s="42"/>
      <c r="U126" s="42"/>
    </row>
    <row r="127" spans="1:78" ht="15" customHeight="1" x14ac:dyDescent="0.25">
      <c r="A127" s="9" t="str">
        <f t="shared" si="9"/>
        <v>CUSTO MARKET DATA - JANEIRO/26-BLOOMBERG-66546</v>
      </c>
      <c r="B127" s="20">
        <v>46023</v>
      </c>
      <c r="C127" s="21">
        <v>817393</v>
      </c>
      <c r="D127" s="9" t="str">
        <f>IF(J127=57036,"ALEXANDRE DA COSTA SOARES",IF(J127=24157,"JOSE MAURICIO GOMES TEIXEIRA",IF(J127=24203,"JOSE MAURICIO GOMES TEIXEIRA",IF(J127=24149,"CHRISTIANO MARCONDES DE BARROS LIMA",IF(J127=24137,"CHRISTIANO MARCONDES DE BARROS LIMA",IF(J127=135152,"ENRICO BORTPLUZO CASSIANO",IF(J127=136568,"ENRICO BORTPLUZO CASSIANO", IF(J127=130976,"MARYLIA CARVALHO PONCE",IF(J127=136668,"ALEXANDRE DA COSTA SOARES",IF(J127=52340,"OFFSHORE LISTED",IF(J127=158778,"CLAUDIO DE SOUZA PACINI",_xlfn.XLOOKUP(J127,[1]!Tabela33[ID ORACLE],[1]!Tabela33[BROKER],0,0,1))))))))))))</f>
        <v>ERMINIO OLIVI LUCCI</v>
      </c>
      <c r="E127" s="22">
        <f t="shared" si="11"/>
        <v>-12414.1351352521</v>
      </c>
      <c r="F127" s="9" t="str">
        <f t="shared" si="10"/>
        <v>BLOOMBERG</v>
      </c>
      <c r="G127" s="20">
        <f t="shared" si="8"/>
        <v>46023</v>
      </c>
      <c r="H127" s="23">
        <v>1170</v>
      </c>
      <c r="J127" s="41">
        <v>66546</v>
      </c>
      <c r="K127" s="1" t="s">
        <v>41</v>
      </c>
      <c r="L127" s="1" t="s">
        <v>12</v>
      </c>
      <c r="M127" s="29">
        <v>2373.5942209999998</v>
      </c>
      <c r="Q127" s="27"/>
      <c r="S127" s="42"/>
      <c r="U127" s="42"/>
    </row>
    <row r="128" spans="1:78" ht="15" customHeight="1" x14ac:dyDescent="0.25">
      <c r="A128" s="9" t="str">
        <f t="shared" si="9"/>
        <v>CUSTO MARKET DATA - JANEIRO/26-REFINITIV-67829</v>
      </c>
      <c r="B128" s="20">
        <v>46023</v>
      </c>
      <c r="C128" s="21">
        <v>817393</v>
      </c>
      <c r="D128" s="9" t="str">
        <f>IF(J128=57036,"ALEXANDRE DA COSTA SOARES",IF(J128=24157,"JOSE MAURICIO GOMES TEIXEIRA",IF(J128=24203,"JOSE MAURICIO GOMES TEIXEIRA",IF(J128=24149,"CHRISTIANO MARCONDES DE BARROS LIMA",IF(J128=24137,"CHRISTIANO MARCONDES DE BARROS LIMA",IF(J128=135152,"ENRICO BORTPLUZO CASSIANO",IF(J128=136568,"ENRICO BORTPLUZO CASSIANO", IF(J128=130976,"MARYLIA CARVALHO PONCE",IF(J128=136668,"ALEXANDRE DA COSTA SOARES",IF(J128=52340,"OFFSHORE LISTED",IF(J128=158778,"CLAUDIO DE SOUZA PACINI",_xlfn.XLOOKUP(J128,[1]!Tabela33[ID ORACLE],[1]!Tabela33[BROKER],0,0,1))))))))))))</f>
        <v>WESLEY MARQUES DA SILVA</v>
      </c>
      <c r="E128" s="22">
        <f t="shared" si="11"/>
        <v>-148.44434717760001</v>
      </c>
      <c r="F128" s="9" t="str">
        <f t="shared" si="10"/>
        <v>REFINITIV</v>
      </c>
      <c r="G128" s="20">
        <f t="shared" si="8"/>
        <v>46023</v>
      </c>
      <c r="H128" s="23">
        <v>1170</v>
      </c>
      <c r="J128" s="41">
        <v>67829</v>
      </c>
      <c r="K128" s="1" t="s">
        <v>42</v>
      </c>
      <c r="L128" s="1" t="s">
        <v>17</v>
      </c>
      <c r="M128" s="29">
        <v>20.685648</v>
      </c>
      <c r="Q128" s="27"/>
      <c r="S128" s="42"/>
      <c r="U128" s="42"/>
    </row>
    <row r="129" spans="1:78" ht="15" customHeight="1" x14ac:dyDescent="0.25">
      <c r="A129" s="9" t="str">
        <f t="shared" si="9"/>
        <v>CUSTO MARKET DATA - JANEIRO/26-BLOOMBERG-67841</v>
      </c>
      <c r="B129" s="20">
        <v>46023</v>
      </c>
      <c r="C129" s="21">
        <v>817393</v>
      </c>
      <c r="D129" s="9" t="str">
        <f>IF(J129=57036,"ALEXANDRE DA COSTA SOARES",IF(J129=24157,"JOSE MAURICIO GOMES TEIXEIRA",IF(J129=24203,"JOSE MAURICIO GOMES TEIXEIRA",IF(J129=24149,"CHRISTIANO MARCONDES DE BARROS LIMA",IF(J129=24137,"CHRISTIANO MARCONDES DE BARROS LIMA",IF(J129=135152,"ENRICO BORTPLUZO CASSIANO",IF(J129=136568,"ENRICO BORTPLUZO CASSIANO", IF(J129=130976,"MARYLIA CARVALHO PONCE",IF(J129=136668,"ALEXANDRE DA COSTA SOARES",IF(J129=52340,"OFFSHORE LISTED",IF(J129=158778,"CLAUDIO DE SOUZA PACINI",_xlfn.XLOOKUP(J129,[1]!Tabela33[ID ORACLE],[1]!Tabela33[BROKER],0,0,1))))))))))))</f>
        <v>FERNANDO FERREIRA FEITOSA</v>
      </c>
      <c r="E129" s="22">
        <f t="shared" si="11"/>
        <v>-52.301000000000002</v>
      </c>
      <c r="F129" s="9" t="str">
        <f t="shared" si="10"/>
        <v>BLOOMBERG</v>
      </c>
      <c r="G129" s="20">
        <f t="shared" si="8"/>
        <v>46023</v>
      </c>
      <c r="H129" s="23">
        <v>1170</v>
      </c>
      <c r="J129" s="41">
        <v>67841</v>
      </c>
      <c r="K129" s="1" t="s">
        <v>41</v>
      </c>
      <c r="L129" s="1" t="s">
        <v>12</v>
      </c>
      <c r="M129" s="29">
        <v>10</v>
      </c>
      <c r="Q129" s="27"/>
      <c r="S129" s="42"/>
      <c r="U129" s="42"/>
    </row>
    <row r="130" spans="1:78" ht="15" customHeight="1" x14ac:dyDescent="0.25">
      <c r="A130" s="9" t="str">
        <f t="shared" si="9"/>
        <v>CUSTO MARKET DATA - JANEIRO/26-REFINITIV-67841</v>
      </c>
      <c r="B130" s="20">
        <v>46023</v>
      </c>
      <c r="C130" s="21">
        <v>817393</v>
      </c>
      <c r="D130" s="9" t="str">
        <f>IF(J130=57036,"ALEXANDRE DA COSTA SOARES",IF(J130=24157,"JOSE MAURICIO GOMES TEIXEIRA",IF(J130=24203,"JOSE MAURICIO GOMES TEIXEIRA",IF(J130=24149,"CHRISTIANO MARCONDES DE BARROS LIMA",IF(J130=24137,"CHRISTIANO MARCONDES DE BARROS LIMA",IF(J130=135152,"ENRICO BORTPLUZO CASSIANO",IF(J130=136568,"ENRICO BORTPLUZO CASSIANO", IF(J130=130976,"MARYLIA CARVALHO PONCE",IF(J130=136668,"ALEXANDRE DA COSTA SOARES",IF(J130=52340,"OFFSHORE LISTED",IF(J130=158778,"CLAUDIO DE SOUZA PACINI",_xlfn.XLOOKUP(J130,[1]!Tabela33[ID ORACLE],[1]!Tabela33[BROKER],0,0,1))))))))))))</f>
        <v>FERNANDO FERREIRA FEITOSA</v>
      </c>
      <c r="E130" s="22">
        <f t="shared" si="11"/>
        <v>-148.44434717760001</v>
      </c>
      <c r="F130" s="9" t="str">
        <f t="shared" si="10"/>
        <v>REFINITIV</v>
      </c>
      <c r="G130" s="20">
        <f t="shared" si="8"/>
        <v>46023</v>
      </c>
      <c r="H130" s="23">
        <v>1170</v>
      </c>
      <c r="J130" s="41">
        <v>67841</v>
      </c>
      <c r="K130" s="1" t="s">
        <v>42</v>
      </c>
      <c r="L130" s="1" t="s">
        <v>17</v>
      </c>
      <c r="M130" s="29">
        <v>20.685648</v>
      </c>
      <c r="Q130" s="27"/>
      <c r="S130" s="42"/>
      <c r="U130" s="42"/>
    </row>
    <row r="131" spans="1:78" ht="15" customHeight="1" x14ac:dyDescent="0.25">
      <c r="A131" s="9" t="str">
        <f t="shared" si="9"/>
        <v>CUSTO MARKET DATA - JANEIRO/26-REFINITIV-67842</v>
      </c>
      <c r="B131" s="20">
        <v>46023</v>
      </c>
      <c r="C131" s="21">
        <v>817393</v>
      </c>
      <c r="D131" s="32" t="s">
        <v>22</v>
      </c>
      <c r="E131" s="22">
        <f t="shared" si="11"/>
        <v>-148.44434717760001</v>
      </c>
      <c r="F131" s="9" t="str">
        <f t="shared" si="10"/>
        <v>REFINITIV</v>
      </c>
      <c r="G131" s="20">
        <f t="shared" ref="G131:G148" si="12">B131</f>
        <v>46023</v>
      </c>
      <c r="H131" s="23">
        <v>1170</v>
      </c>
      <c r="J131" s="41">
        <v>67842</v>
      </c>
      <c r="K131" s="1" t="s">
        <v>42</v>
      </c>
      <c r="L131" s="1" t="s">
        <v>17</v>
      </c>
      <c r="M131" s="29">
        <v>20.685648</v>
      </c>
      <c r="Q131" s="27"/>
      <c r="S131" s="42"/>
      <c r="U131" s="42"/>
    </row>
    <row r="132" spans="1:78" ht="15" customHeight="1" x14ac:dyDescent="0.25">
      <c r="A132" s="9" t="str">
        <f t="shared" si="9"/>
        <v>CUSTO MARKET DATA - JANEIRO/26-BLOOMBERG-67843</v>
      </c>
      <c r="B132" s="20">
        <v>46023</v>
      </c>
      <c r="C132" s="21">
        <v>817393</v>
      </c>
      <c r="D132" s="9" t="str">
        <f>IF(J132=57036,"ALEXANDRE DA COSTA SOARES",IF(J132=24157,"JOSE MAURICIO GOMES TEIXEIRA",IF(J132=24203,"JOSE MAURICIO GOMES TEIXEIRA",IF(J132=24149,"CHRISTIANO MARCONDES DE BARROS LIMA",IF(J132=24137,"CHRISTIANO MARCONDES DE BARROS LIMA",IF(J132=135152,"ENRICO BORTPLUZO CASSIANO",IF(J132=136568,"ENRICO BORTPLUZO CASSIANO", IF(J132=130976,"MARYLIA CARVALHO PONCE",IF(J132=136668,"ALEXANDRE DA COSTA SOARES",IF(J132=52340,"OFFSHORE LISTED",IF(J132=158778,"CLAUDIO DE SOUZA PACINI",_xlfn.XLOOKUP(J132,[1]!Tabela33[ID ORACLE],[1]!Tabela33[BROKER],0,0,1))))))))))))</f>
        <v>ANTÔNIO MARTINS NETO</v>
      </c>
      <c r="E132" s="22">
        <f t="shared" si="11"/>
        <v>-11756.885905405499</v>
      </c>
      <c r="F132" s="9" t="str">
        <f t="shared" si="10"/>
        <v>BLOOMBERG</v>
      </c>
      <c r="G132" s="20">
        <f t="shared" si="12"/>
        <v>46023</v>
      </c>
      <c r="H132" s="23">
        <v>1170</v>
      </c>
      <c r="J132" s="41">
        <v>67843</v>
      </c>
      <c r="K132" s="1" t="s">
        <v>41</v>
      </c>
      <c r="L132" s="1" t="s">
        <v>12</v>
      </c>
      <c r="M132" s="29">
        <v>2247.9275549999998</v>
      </c>
      <c r="Q132" s="27"/>
      <c r="S132" s="42"/>
      <c r="U132" s="42"/>
    </row>
    <row r="133" spans="1:78" ht="15" customHeight="1" x14ac:dyDescent="0.25">
      <c r="A133" s="9" t="str">
        <f>CONCATENATE($N$1,$I$1,F133,$I$1,J133)</f>
        <v>CUSTO MARKET DATA - JANEIRO/26-REFINITIV-67843</v>
      </c>
      <c r="B133" s="20">
        <v>46023</v>
      </c>
      <c r="C133" s="21">
        <v>817393</v>
      </c>
      <c r="D133" s="9" t="str">
        <f>IF(J133=57036,"ALEXANDRE DA COSTA SOARES",IF(J133=24157,"JOSE MAURICIO GOMES TEIXEIRA",IF(J133=24203,"JOSE MAURICIO GOMES TEIXEIRA",IF(J133=24149,"CHRISTIANO MARCONDES DE BARROS LIMA",IF(J133=24137,"CHRISTIANO MARCONDES DE BARROS LIMA",IF(J133=135152,"ENRICO BORTPLUZO CASSIANO",IF(J133=136568,"ENRICO BORTPLUZO CASSIANO", IF(J133=130976,"MARYLIA CARVALHO PONCE",IF(J133=136668,"ALEXANDRE DA COSTA SOARES",IF(J133=52340,"OFFSHORE LISTED",IF(J133=158778,"CLAUDIO DE SOUZA PACINI",_xlfn.XLOOKUP(J133,[1]!Tabela33[ID ORACLE],[1]!Tabela33[BROKER],0,0,1))))))))))))</f>
        <v>ANTÔNIO MARTINS NETO</v>
      </c>
      <c r="E133" s="22">
        <f t="shared" si="11"/>
        <v>-148.44434717760001</v>
      </c>
      <c r="F133" s="9" t="str">
        <f>IF(UPPER(K133)="Valor Analytics LLC","VALOR",UPPER(K133))</f>
        <v>REFINITIV</v>
      </c>
      <c r="G133" s="20">
        <f t="shared" si="12"/>
        <v>46023</v>
      </c>
      <c r="H133" s="23">
        <v>1170</v>
      </c>
      <c r="J133" s="41">
        <v>67843</v>
      </c>
      <c r="K133" s="1" t="s">
        <v>42</v>
      </c>
      <c r="L133" s="1" t="s">
        <v>17</v>
      </c>
      <c r="M133" s="29">
        <v>20.685648</v>
      </c>
      <c r="Q133" s="27"/>
    </row>
    <row r="134" spans="1:78" ht="15" customHeight="1" x14ac:dyDescent="0.25">
      <c r="A134" s="9" t="str">
        <f>CONCATENATE($N$1,$I$1,F134,$I$1,J134)</f>
        <v>CUSTO MARKET DATA - JANEIRO/26-BLOOMBERG-70461</v>
      </c>
      <c r="B134" s="20">
        <v>46023</v>
      </c>
      <c r="C134" s="21">
        <v>817393</v>
      </c>
      <c r="D134" s="9" t="str">
        <f>IF(J134=57036,"ALEXANDRE DA COSTA SOARES",IF(J134=24157,"JOSE MAURICIO GOMES TEIXEIRA",IF(J134=24203,"JOSE MAURICIO GOMES TEIXEIRA",IF(J134=24149,"CHRISTIANO MARCONDES DE BARROS LIMA",IF(J134=24137,"CHRISTIANO MARCONDES DE BARROS LIMA",IF(J134=135152,"ENRICO BORTPLUZO CASSIANO",IF(J134=136568,"ENRICO BORTPLUZO CASSIANO", IF(J134=130976,"MARYLIA CARVALHO PONCE",IF(J134=136668,"ALEXANDRE DA COSTA SOARES",IF(J134=52340,"OFFSHORE LISTED",IF(J134=158778,"CLAUDIO DE SOUZA PACINI",_xlfn.XLOOKUP(J134,[1]!Tabela33[ID ORACLE],[1]!Tabela33[BROKER],0,0,1))))))))))))</f>
        <v>ALVARO LUIZ RICOTTA SOARES</v>
      </c>
      <c r="E134" s="22">
        <f t="shared" si="11"/>
        <v>-9230.8423225165006</v>
      </c>
      <c r="F134" s="9" t="str">
        <f>IF(UPPER(K134)="Valor Analytics LLC","VALOR",UPPER(K134))</f>
        <v>BLOOMBERG</v>
      </c>
      <c r="G134" s="20">
        <f t="shared" si="12"/>
        <v>46023</v>
      </c>
      <c r="H134" s="23">
        <v>1170</v>
      </c>
      <c r="J134" s="41">
        <v>70461</v>
      </c>
      <c r="K134" s="1" t="s">
        <v>41</v>
      </c>
      <c r="L134" s="1" t="s">
        <v>12</v>
      </c>
      <c r="M134" s="29">
        <v>1764.945665</v>
      </c>
      <c r="Q134" s="27"/>
    </row>
    <row r="135" spans="1:78" customFormat="1" ht="15" customHeight="1" x14ac:dyDescent="0.25">
      <c r="A135" s="9" t="str">
        <f>CONCATENATE($N$1,$I$1,F135,$I$1,J135)</f>
        <v>CUSTO MARKET DATA - JANEIRO/26-BLOOMBERG-70953</v>
      </c>
      <c r="B135" s="20">
        <v>46023</v>
      </c>
      <c r="C135" s="21">
        <v>817393</v>
      </c>
      <c r="D135" s="9" t="str">
        <f>IF(J135=57036,"ALEXANDRE DA COSTA SOARES",IF(J135=24157,"JOSE MAURICIO GOMES TEIXEIRA",IF(J135=24203,"JOSE MAURICIO GOMES TEIXEIRA",IF(J135=24149,"CHRISTIANO MARCONDES DE BARROS LIMA",IF(J135=24137,"CHRISTIANO MARCONDES DE BARROS LIMA",IF(J135=135152,"ENRICO BORTPLUZO CASSIANO",IF(J135=136568,"ENRICO BORTPLUZO CASSIANO", IF(J135=130976,"MARYLIA CARVALHO PONCE",IF(J135=136668,"ALEXANDRE DA COSTA SOARES",IF(J135=52340,"OFFSHORE LISTED",IF(J135=158778,"CLAUDIO DE SOUZA PACINI",_xlfn.XLOOKUP(J135,[1]!Tabela33[ID ORACLE],[1]!Tabela33[BROKER],0,0,1))))))))))))</f>
        <v>CARLOS BASILE</v>
      </c>
      <c r="E135" s="22">
        <f t="shared" si="11"/>
        <v>-12761.936785252099</v>
      </c>
      <c r="F135" s="9" t="str">
        <f>IF(UPPER(K135)="Valor Analytics LLC","VALOR",UPPER(K135))</f>
        <v>BLOOMBERG</v>
      </c>
      <c r="G135" s="20">
        <f t="shared" si="12"/>
        <v>46023</v>
      </c>
      <c r="H135" s="23">
        <v>1170</v>
      </c>
      <c r="J135" s="41">
        <v>70953</v>
      </c>
      <c r="K135" s="1" t="s">
        <v>41</v>
      </c>
      <c r="L135" s="1" t="s">
        <v>12</v>
      </c>
      <c r="M135" s="29">
        <v>2440.0942209999998</v>
      </c>
      <c r="O135" s="1"/>
      <c r="P135" s="26"/>
      <c r="Q135" s="27"/>
      <c r="R135" s="26"/>
      <c r="S135" s="28"/>
      <c r="T135" s="26"/>
      <c r="U135" s="28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</row>
    <row r="136" spans="1:78" ht="15" customHeight="1" x14ac:dyDescent="0.25">
      <c r="A136" s="9" t="str">
        <f t="shared" ref="A136:A141" si="13">CONCATENATE($N$1,$I$1,F136,$I$1,J136)</f>
        <v>CUSTO MARKET DATA - JANEIRO/26-REFINITIV-72574</v>
      </c>
      <c r="B136" s="20">
        <v>46023</v>
      </c>
      <c r="C136" s="21">
        <v>817393</v>
      </c>
      <c r="D136" s="9" t="str">
        <f>IF(J136=57036,"ALEXANDRE DA COSTA SOARES",IF(J136=24157,"JOSE MAURICIO GOMES TEIXEIRA",IF(J136=24203,"JOSE MAURICIO GOMES TEIXEIRA",IF(J136=24149,"CHRISTIANO MARCONDES DE BARROS LIMA",IF(J136=24137,"CHRISTIANO MARCONDES DE BARROS LIMA",IF(J136=135152,"ENRICO BORTPLUZO CASSIANO",IF(J136=136568,"ENRICO BORTPLUZO CASSIANO", IF(J136=130976,"MARYLIA CARVALHO PONCE",IF(J136=136668,"ALEXANDRE DA COSTA SOARES",IF(J136=52340,"OFFSHORE LISTED",IF(J136=158778,"CLAUDIO DE SOUZA PACINI",_xlfn.XLOOKUP(J136,[1]!Tabela33[ID ORACLE],[1]!Tabela33[BROKER],0,0,1))))))))))))</f>
        <v>CARLOS JOSE SEPPE MILANI</v>
      </c>
      <c r="E136" s="22">
        <f t="shared" si="11"/>
        <v>-148.44434717760001</v>
      </c>
      <c r="F136" s="9" t="str">
        <f t="shared" ref="F136:F141" si="14">IF(UPPER(K136)="Valor Analytics LLC","VALOR",UPPER(K136))</f>
        <v>REFINITIV</v>
      </c>
      <c r="G136" s="20">
        <f t="shared" si="12"/>
        <v>46023</v>
      </c>
      <c r="H136" s="23">
        <v>1170</v>
      </c>
      <c r="J136" s="41">
        <v>72574</v>
      </c>
      <c r="K136" s="1" t="s">
        <v>42</v>
      </c>
      <c r="L136" s="1" t="s">
        <v>17</v>
      </c>
      <c r="M136" s="29">
        <v>20.685648</v>
      </c>
      <c r="Q136" s="27"/>
    </row>
    <row r="137" spans="1:78" ht="15" customHeight="1" x14ac:dyDescent="0.25">
      <c r="A137" s="9" t="str">
        <f t="shared" si="13"/>
        <v>CUSTO MARKET DATA - JANEIRO/26-BLOOMBERG-100142</v>
      </c>
      <c r="B137" s="20">
        <v>46023</v>
      </c>
      <c r="C137" s="21">
        <v>817393</v>
      </c>
      <c r="D137" s="9" t="str">
        <f>IF(J137=57036,"ALEXANDRE DA COSTA SOARES",IF(J137=24157,"JOSE MAURICIO GOMES TEIXEIRA",IF(J137=24203,"JOSE MAURICIO GOMES TEIXEIRA",IF(J137=24149,"CHRISTIANO MARCONDES DE BARROS LIMA",IF(J137=24137,"CHRISTIANO MARCONDES DE BARROS LIMA",IF(J137=135152,"ENRICO BORTPLUZO CASSIANO",IF(J137=136568,"ENRICO BORTPLUZO CASSIANO", IF(J137=130976,"MARYLIA CARVALHO PONCE",IF(J137=136668,"ALEXANDRE DA COSTA SOARES",IF(J137=52340,"OFFSHORE LISTED",IF(J137=158778,"CLAUDIO DE SOUZA PACINI",_xlfn.XLOOKUP(J137,[1]!Tabela33[ID ORACLE],[1]!Tabela33[BROKER],0,0,1))))))))))))</f>
        <v>RAFAEL TENORIO CAVALCANTI</v>
      </c>
      <c r="E137" s="22">
        <f t="shared" si="11"/>
        <v>-12551.193980000002</v>
      </c>
      <c r="F137" s="9" t="str">
        <f t="shared" si="14"/>
        <v>BLOOMBERG</v>
      </c>
      <c r="G137" s="20">
        <f t="shared" si="12"/>
        <v>46023</v>
      </c>
      <c r="H137" s="23">
        <v>1170</v>
      </c>
      <c r="J137" s="41">
        <v>100142</v>
      </c>
      <c r="K137" s="1" t="s">
        <v>41</v>
      </c>
      <c r="L137" s="1" t="s">
        <v>12</v>
      </c>
      <c r="M137" s="29">
        <v>2399.8000000000002</v>
      </c>
      <c r="Q137" s="27"/>
    </row>
    <row r="138" spans="1:78" ht="15" customHeight="1" x14ac:dyDescent="0.25">
      <c r="A138" s="9" t="str">
        <f t="shared" si="13"/>
        <v>CUSTO MARKET DATA - JANEIRO/26-BLOOMBERG-136667</v>
      </c>
      <c r="B138" s="20">
        <v>46023</v>
      </c>
      <c r="C138" s="21">
        <v>817393</v>
      </c>
      <c r="D138" s="9" t="str">
        <f>IF(J138=57036,"ALEXANDRE DA COSTA SOARES",IF(J138=24157,"JOSE MAURICIO GOMES TEIXEIRA",IF(J138=24203,"JOSE MAURICIO GOMES TEIXEIRA",IF(J138=24149,"CHRISTIANO MARCONDES DE BARROS LIMA",IF(J138=24137,"CHRISTIANO MARCONDES DE BARROS LIMA",IF(J138=135152,"ENRICO BORTPLUZO CASSIANO",IF(J138=136568,"ENRICO BORTPLUZO CASSIANO", IF(J138=130976,"MARYLIA CARVALHO PONCE",IF(J138=136668,"ALEXANDRE DA COSTA SOARES",IF(J138=52340,"OFFSHORE LISTED",IF(J138=158778,"CLAUDIO DE SOUZA PACINI",_xlfn.XLOOKUP(J138,[1]!Tabela33[ID ORACLE],[1]!Tabela33[BROKER],0,0,1))))))))))))</f>
        <v>HUGO BIANCHI RIBEIRO</v>
      </c>
      <c r="E138" s="22">
        <f t="shared" si="11"/>
        <v>-12551.193980000002</v>
      </c>
      <c r="F138" s="9" t="str">
        <f t="shared" si="14"/>
        <v>BLOOMBERG</v>
      </c>
      <c r="G138" s="20">
        <f t="shared" si="12"/>
        <v>46023</v>
      </c>
      <c r="H138" s="23">
        <v>1170</v>
      </c>
      <c r="J138" s="41">
        <v>136667</v>
      </c>
      <c r="K138" s="1" t="s">
        <v>41</v>
      </c>
      <c r="L138" s="1" t="s">
        <v>12</v>
      </c>
      <c r="M138" s="29">
        <v>2399.8000000000002</v>
      </c>
      <c r="Q138" s="27"/>
    </row>
    <row r="139" spans="1:78" ht="15" customHeight="1" x14ac:dyDescent="0.25">
      <c r="A139" s="9" t="str">
        <f t="shared" si="13"/>
        <v>CUSTO MARKET DATA - JANEIRO/26-BLOOMBERG-66729</v>
      </c>
      <c r="B139" s="20">
        <v>46023</v>
      </c>
      <c r="C139" s="21">
        <v>817393</v>
      </c>
      <c r="D139" s="9" t="str">
        <f>IF(J139=57036,"ALEXANDRE DA COSTA SOARES",IF(J139=24157,"JOSE MAURICIO GOMES TEIXEIRA",IF(J139=24203,"JOSE MAURICIO GOMES TEIXEIRA",IF(J139=24149,"CHRISTIANO MARCONDES DE BARROS LIMA",IF(J139=24137,"CHRISTIANO MARCONDES DE BARROS LIMA",IF(J139=135152,"ENRICO BORTPLUZO CASSIANO",IF(J139=136568,"ENRICO BORTPLUZO CASSIANO", IF(J139=130976,"MARYLIA CARVALHO PONCE",IF(J139=136668,"ALEXANDRE DA COSTA SOARES",IF(J139=52340,"OFFSHORE LISTED",IF(J139=158778,"CLAUDIO DE SOUZA PACINI",_xlfn.XLOOKUP(J139,[1]!Tabela33[ID ORACLE],[1]!Tabela33[BROKER],0,0,1))))))))))))</f>
        <v>PAOLO FRANCA LIDA</v>
      </c>
      <c r="E139" s="22">
        <f t="shared" si="11"/>
        <v>-11792.829480000002</v>
      </c>
      <c r="F139" s="9" t="str">
        <f t="shared" si="14"/>
        <v>BLOOMBERG</v>
      </c>
      <c r="G139" s="20">
        <f t="shared" si="12"/>
        <v>46023</v>
      </c>
      <c r="H139" s="23">
        <v>1170</v>
      </c>
      <c r="J139" s="41">
        <v>66729</v>
      </c>
      <c r="K139" s="1" t="s">
        <v>41</v>
      </c>
      <c r="L139" s="1" t="s">
        <v>12</v>
      </c>
      <c r="M139" s="29">
        <v>2254.8000000000002</v>
      </c>
      <c r="N139" s="1"/>
      <c r="Q139" s="27"/>
    </row>
    <row r="140" spans="1:78" customFormat="1" ht="15" customHeight="1" x14ac:dyDescent="0.25">
      <c r="A140" s="9" t="str">
        <f t="shared" si="13"/>
        <v>CUSTO MARKET DATA - JANEIRO/26-BLOOMBERG-128550</v>
      </c>
      <c r="B140" s="20">
        <v>46023</v>
      </c>
      <c r="C140" s="21">
        <v>817393</v>
      </c>
      <c r="D140" s="9" t="str">
        <f>IF(J140=57036,"ALEXANDRE DA COSTA SOARES",IF(J140=24157,"JOSE MAURICIO GOMES TEIXEIRA",IF(J140=24203,"JOSE MAURICIO GOMES TEIXEIRA",IF(J140=24149,"CHRISTIANO MARCONDES DE BARROS LIMA",IF(J140=24137,"CHRISTIANO MARCONDES DE BARROS LIMA",IF(J140=135152,"ENRICO BORTPLUZO CASSIANO",IF(J140=136568,"ENRICO BORTPLUZO CASSIANO", IF(J140=130976,"MARYLIA CARVALHO PONCE",IF(J140=136668,"ALEXANDRE DA COSTA SOARES",IF(J140=52340,"OFFSHORE LISTED",IF(J140=158778,"CLAUDIO DE SOUZA PACINI",_xlfn.XLOOKUP(J140,[1]!Tabela33[ID ORACLE],[1]!Tabela33[BROKER],0,0,1))))))))))))</f>
        <v>ALINE FAUSTINI</v>
      </c>
      <c r="E140" s="22">
        <f t="shared" si="11"/>
        <v>-14373.400547839599</v>
      </c>
      <c r="F140" s="9" t="str">
        <f t="shared" si="14"/>
        <v>BLOOMBERG</v>
      </c>
      <c r="G140" s="20">
        <f t="shared" si="12"/>
        <v>46023</v>
      </c>
      <c r="H140" s="23">
        <v>1170</v>
      </c>
      <c r="J140" s="41">
        <v>128550</v>
      </c>
      <c r="K140" s="1" t="s">
        <v>41</v>
      </c>
      <c r="L140" s="1" t="s">
        <v>12</v>
      </c>
      <c r="M140" s="1">
        <v>2748.2075959999997</v>
      </c>
      <c r="N140" s="1"/>
      <c r="O140" s="1"/>
      <c r="P140" s="26"/>
      <c r="Q140" s="27"/>
      <c r="R140" s="26"/>
      <c r="S140" s="28"/>
      <c r="T140" s="26"/>
      <c r="U140" s="28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</row>
    <row r="141" spans="1:78" customFormat="1" ht="15" customHeight="1" x14ac:dyDescent="0.25">
      <c r="A141" s="9" t="str">
        <f t="shared" si="13"/>
        <v>CUSTO MARKET DATA - JANEIRO/26-NYSE MARKET INC.-128550</v>
      </c>
      <c r="B141" s="20">
        <v>46023</v>
      </c>
      <c r="C141" s="21">
        <v>817393</v>
      </c>
      <c r="D141" s="9" t="str">
        <f>IF(J141=57036,"ALEXANDRE DA COSTA SOARES",IF(J141=24157,"JOSE MAURICIO GOMES TEIXEIRA",IF(J141=24203,"JOSE MAURICIO GOMES TEIXEIRA",IF(J141=24149,"CHRISTIANO MARCONDES DE BARROS LIMA",IF(J141=24137,"CHRISTIANO MARCONDES DE BARROS LIMA",IF(J141=135152,"ENRICO BORTPLUZO CASSIANO",IF(J141=136568,"ENRICO BORTPLUZO CASSIANO", IF(J141=130976,"MARYLIA CARVALHO PONCE",IF(J141=136668,"ALEXANDRE DA COSTA SOARES",IF(J141=52340,"OFFSHORE LISTED",IF(J141=158778,"CLAUDIO DE SOUZA PACINI",_xlfn.XLOOKUP(J141,[1]!Tabela33[ID ORACLE],[1]!Tabela33[BROKER],0,0,1))))))))))))</f>
        <v>ALINE FAUSTINI</v>
      </c>
      <c r="E141" s="22">
        <f t="shared" si="11"/>
        <v>-153.74532712499999</v>
      </c>
      <c r="F141" s="9" t="str">
        <f t="shared" si="14"/>
        <v>NYSE MARKET INC.</v>
      </c>
      <c r="G141" s="20">
        <f t="shared" si="12"/>
        <v>46023</v>
      </c>
      <c r="H141" s="23">
        <v>1170</v>
      </c>
      <c r="J141" s="41">
        <v>128550</v>
      </c>
      <c r="K141" s="1" t="s">
        <v>44</v>
      </c>
      <c r="L141" s="1" t="s">
        <v>12</v>
      </c>
      <c r="M141" s="1">
        <v>29.396249999999998</v>
      </c>
      <c r="N141" s="1"/>
      <c r="O141" s="1"/>
      <c r="P141" s="26"/>
      <c r="Q141" s="27"/>
      <c r="R141" s="26"/>
      <c r="S141" s="28"/>
      <c r="T141" s="26"/>
      <c r="U141" s="28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</row>
    <row r="142" spans="1:78" ht="15" customHeight="1" x14ac:dyDescent="0.25">
      <c r="A142" s="9" t="str">
        <f t="shared" ref="A142:A147" si="15">CONCATENATE($N$1,$I$1,F142,$I$1,J142)</f>
        <v>CUSTO MARKET DATA - JANEIRO/26-REFINITIV-128550</v>
      </c>
      <c r="B142" s="20">
        <v>46023</v>
      </c>
      <c r="C142" s="21">
        <v>817393</v>
      </c>
      <c r="D142" s="9" t="str">
        <f>IF(J142=57036,"ALEXANDRE DA COSTA SOARES",IF(J142=24157,"JOSE MAURICIO GOMES TEIXEIRA",IF(J142=24203,"JOSE MAURICIO GOMES TEIXEIRA",IF(J142=24149,"CHRISTIANO MARCONDES DE BARROS LIMA",IF(J142=24137,"CHRISTIANO MARCONDES DE BARROS LIMA",IF(J142=135152,"ENRICO BORTPLUZO CASSIANO",IF(J142=136568,"ENRICO BORTPLUZO CASSIANO", IF(J142=130976,"MARYLIA CARVALHO PONCE",IF(J142=136668,"ALEXANDRE DA COSTA SOARES",IF(J142=52340,"OFFSHORE LISTED",IF(J142=158778,"CLAUDIO DE SOUZA PACINI",_xlfn.XLOOKUP(J142,[1]!Tabela33[ID ORACLE],[1]!Tabela33[BROKER],0,0,1))))))))))))</f>
        <v>ALINE FAUSTINI</v>
      </c>
      <c r="E142" s="22">
        <f t="shared" si="11"/>
        <v>-375.68563803440003</v>
      </c>
      <c r="F142" s="9" t="str">
        <f t="shared" ref="F142:F147" si="16">IF(UPPER(K142)="Valor Analytics LLC","VALOR",UPPER(K142))</f>
        <v>REFINITIV</v>
      </c>
      <c r="G142" s="20">
        <f t="shared" si="12"/>
        <v>46023</v>
      </c>
      <c r="H142" s="23">
        <v>1170</v>
      </c>
      <c r="J142" s="41">
        <v>128550</v>
      </c>
      <c r="K142" s="1" t="s">
        <v>42</v>
      </c>
      <c r="L142" s="1" t="s">
        <v>17</v>
      </c>
      <c r="M142" s="1">
        <v>52.351612000000003</v>
      </c>
      <c r="N142" s="1"/>
      <c r="Q142" s="27"/>
    </row>
    <row r="143" spans="1:78" ht="15" customHeight="1" x14ac:dyDescent="0.25">
      <c r="A143" s="9" t="str">
        <f t="shared" si="15"/>
        <v>CUSTO MARKET DATA - JANEIRO/26-BLOOMBERG-153754</v>
      </c>
      <c r="B143" s="20">
        <v>46023</v>
      </c>
      <c r="C143" s="21">
        <v>817393</v>
      </c>
      <c r="D143" s="9" t="str">
        <f>IF(J143=57036,"ALEXANDRE DA COSTA SOARES",IF(J143=24157,"JOSE MAURICIO GOMES TEIXEIRA",IF(J143=24203,"JOSE MAURICIO GOMES TEIXEIRA",IF(J143=24149,"CHRISTIANO MARCONDES DE BARROS LIMA",IF(J143=24137,"CHRISTIANO MARCONDES DE BARROS LIMA",IF(J143=135152,"ENRICO BORTPLUZO CASSIANO",IF(J143=136568,"ENRICO BORTPLUZO CASSIANO", IF(J143=130976,"MARYLIA CARVALHO PONCE",IF(J143=136668,"ALEXANDRE DA COSTA SOARES",IF(J143=52340,"OFFSHORE LISTED",IF(J143=158778,"CLAUDIO DE SOUZA PACINI",_xlfn.XLOOKUP(J143,[1]!Tabela33[ID ORACLE],[1]!Tabela33[BROKER],0,0,1))))))))))))</f>
        <v>CLAUDIO DE SOUZA PACINI</v>
      </c>
      <c r="E143" s="22">
        <f t="shared" si="11"/>
        <v>-17441.826426358701</v>
      </c>
      <c r="F143" s="9" t="str">
        <f t="shared" si="16"/>
        <v>BLOOMBERG</v>
      </c>
      <c r="G143" s="20">
        <f t="shared" si="12"/>
        <v>46023</v>
      </c>
      <c r="H143" s="23">
        <v>1170</v>
      </c>
      <c r="J143" s="41">
        <v>153754</v>
      </c>
      <c r="K143" s="1" t="s">
        <v>41</v>
      </c>
      <c r="L143" s="1" t="s">
        <v>12</v>
      </c>
      <c r="M143" s="1">
        <v>3334.8934870000003</v>
      </c>
      <c r="N143" s="1"/>
      <c r="Q143" s="27"/>
    </row>
    <row r="144" spans="1:78" ht="15" customHeight="1" x14ac:dyDescent="0.25">
      <c r="A144" s="9" t="str">
        <f t="shared" si="15"/>
        <v>CUSTO MARKET DATA - JANEIRO/26-FIDESSA-153754</v>
      </c>
      <c r="B144" s="20">
        <v>46023</v>
      </c>
      <c r="C144" s="21">
        <v>817393</v>
      </c>
      <c r="D144" s="9" t="str">
        <f>IF(J144=57036,"ALEXANDRE DA COSTA SOARES",IF(J144=24157,"JOSE MAURICIO GOMES TEIXEIRA",IF(J144=24203,"JOSE MAURICIO GOMES TEIXEIRA",IF(J144=24149,"CHRISTIANO MARCONDES DE BARROS LIMA",IF(J144=24137,"CHRISTIANO MARCONDES DE BARROS LIMA",IF(J144=135152,"ENRICO BORTPLUZO CASSIANO",IF(J144=136568,"ENRICO BORTPLUZO CASSIANO", IF(J144=130976,"MARYLIA CARVALHO PONCE",IF(J144=136668,"ALEXANDRE DA COSTA SOARES",IF(J144=52340,"OFFSHORE LISTED",IF(J144=158778,"CLAUDIO DE SOUZA PACINI",_xlfn.XLOOKUP(J144,[1]!Tabela33[ID ORACLE],[1]!Tabela33[BROKER],0,0,1))))))))))))</f>
        <v>CLAUDIO DE SOUZA PACINI</v>
      </c>
      <c r="E144" s="22">
        <f t="shared" si="11"/>
        <v>-1801.2809638901001</v>
      </c>
      <c r="F144" s="9" t="str">
        <f t="shared" si="16"/>
        <v>FIDESSA</v>
      </c>
      <c r="G144" s="20">
        <f t="shared" si="12"/>
        <v>46023</v>
      </c>
      <c r="H144" s="23">
        <v>1170</v>
      </c>
      <c r="J144" s="41">
        <v>153754</v>
      </c>
      <c r="K144" s="1" t="s">
        <v>47</v>
      </c>
      <c r="L144" s="1" t="s">
        <v>12</v>
      </c>
      <c r="M144" s="1">
        <v>344.40660100000002</v>
      </c>
      <c r="N144" s="1"/>
      <c r="Q144" s="27"/>
    </row>
    <row r="145" spans="1:17" ht="15" customHeight="1" x14ac:dyDescent="0.25">
      <c r="A145" s="9" t="str">
        <f t="shared" si="15"/>
        <v>CUSTO MARKET DATA - JANEIRO/26-NYSE MARKET INC.-153754</v>
      </c>
      <c r="B145" s="20">
        <v>46023</v>
      </c>
      <c r="C145" s="21">
        <v>817393</v>
      </c>
      <c r="D145" s="9" t="str">
        <f>IF(J145=57036,"ALEXANDRE DA COSTA SOARES",IF(J145=24157,"JOSE MAURICIO GOMES TEIXEIRA",IF(J145=24203,"JOSE MAURICIO GOMES TEIXEIRA",IF(J145=24149,"CHRISTIANO MARCONDES DE BARROS LIMA",IF(J145=24137,"CHRISTIANO MARCONDES DE BARROS LIMA",IF(J145=135152,"ENRICO BORTPLUZO CASSIANO",IF(J145=136568,"ENRICO BORTPLUZO CASSIANO", IF(J145=130976,"MARYLIA CARVALHO PONCE",IF(J145=136668,"ALEXANDRE DA COSTA SOARES",IF(J145=52340,"OFFSHORE LISTED",IF(J145=158778,"CLAUDIO DE SOUZA PACINI",_xlfn.XLOOKUP(J145,[1]!Tabela33[ID ORACLE],[1]!Tabela33[BROKER],0,0,1))))))))))))</f>
        <v>CLAUDIO DE SOUZA PACINI</v>
      </c>
      <c r="E145" s="22">
        <f t="shared" si="11"/>
        <v>-2221.5765017499998</v>
      </c>
      <c r="F145" s="9" t="str">
        <f t="shared" si="16"/>
        <v>NYSE MARKET INC.</v>
      </c>
      <c r="G145" s="20">
        <f t="shared" si="12"/>
        <v>46023</v>
      </c>
      <c r="H145" s="23">
        <v>1170</v>
      </c>
      <c r="J145" s="41">
        <v>153754</v>
      </c>
      <c r="K145" s="1" t="s">
        <v>44</v>
      </c>
      <c r="L145" s="1" t="s">
        <v>12</v>
      </c>
      <c r="M145" s="1">
        <v>424.76749999999998</v>
      </c>
      <c r="N145" s="1"/>
      <c r="Q145" s="27"/>
    </row>
    <row r="146" spans="1:17" ht="15" customHeight="1" x14ac:dyDescent="0.25">
      <c r="A146" s="9" t="str">
        <f t="shared" si="15"/>
        <v>CUSTO MARKET DATA - JANEIRO/26-OPTIONS PRICE REPORTING AUTHORITY (OPRA)-153754</v>
      </c>
      <c r="B146" s="20">
        <v>46023</v>
      </c>
      <c r="C146" s="21">
        <v>817393</v>
      </c>
      <c r="D146" s="9" t="str">
        <f>IF(J146=57036,"ALEXANDRE DA COSTA SOARES",IF(J146=24157,"JOSE MAURICIO GOMES TEIXEIRA",IF(J146=24203,"JOSE MAURICIO GOMES TEIXEIRA",IF(J146=24149,"CHRISTIANO MARCONDES DE BARROS LIMA",IF(J146=24137,"CHRISTIANO MARCONDES DE BARROS LIMA",IF(J146=135152,"ENRICO BORTPLUZO CASSIANO",IF(J146=136568,"ENRICO BORTPLUZO CASSIANO", IF(J146=130976,"MARYLIA CARVALHO PONCE",IF(J146=136668,"ALEXANDRE DA COSTA SOARES",IF(J146=52340,"OFFSHORE LISTED",IF(J146=158778,"CLAUDIO DE SOUZA PACINI",_xlfn.XLOOKUP(J146,[1]!Tabela33[ID ORACLE],[1]!Tabela33[BROKER],0,0,1))))))))))))</f>
        <v>CLAUDIO DE SOUZA PACINI</v>
      </c>
      <c r="E146" s="22">
        <f t="shared" si="11"/>
        <v>-344.11769831250001</v>
      </c>
      <c r="F146" s="9" t="str">
        <f t="shared" si="16"/>
        <v>OPTIONS PRICE REPORTING AUTHORITY (OPRA)</v>
      </c>
      <c r="G146" s="20">
        <f t="shared" si="12"/>
        <v>46023</v>
      </c>
      <c r="H146" s="23">
        <v>1170</v>
      </c>
      <c r="J146" s="41">
        <v>153754</v>
      </c>
      <c r="K146" s="1" t="s">
        <v>45</v>
      </c>
      <c r="L146" s="1" t="s">
        <v>12</v>
      </c>
      <c r="M146" s="1">
        <v>65.795625000000001</v>
      </c>
      <c r="N146" s="1"/>
      <c r="Q146" s="27"/>
    </row>
    <row r="147" spans="1:17" ht="15" customHeight="1" x14ac:dyDescent="0.25">
      <c r="A147" s="9" t="str">
        <f t="shared" si="15"/>
        <v>CUSTO MARKET DATA - JANEIRO/26-TORONTO STOCK EXCHANGE-153754</v>
      </c>
      <c r="B147" s="20">
        <v>46023</v>
      </c>
      <c r="C147" s="21">
        <v>817393</v>
      </c>
      <c r="D147" s="9" t="str">
        <f>IF(J147=57036,"ALEXANDRE DA COSTA SOARES",IF(J147=24157,"JOSE MAURICIO GOMES TEIXEIRA",IF(J147=24203,"JOSE MAURICIO GOMES TEIXEIRA",IF(J147=24149,"CHRISTIANO MARCONDES DE BARROS LIMA",IF(J147=24137,"CHRISTIANO MARCONDES DE BARROS LIMA",IF(J147=135152,"ENRICO BORTPLUZO CASSIANO",IF(J147=136568,"ENRICO BORTPLUZO CASSIANO", IF(J147=130976,"MARYLIA CARVALHO PONCE",IF(J147=136668,"ALEXANDRE DA COSTA SOARES",IF(J147=52340,"OFFSHORE LISTED",IF(J147=158778,"CLAUDIO DE SOUZA PACINI",_xlfn.XLOOKUP(J147,[1]!Tabela33[ID ORACLE],[1]!Tabela33[BROKER],0,0,1))))))))))))</f>
        <v>CLAUDIO DE SOUZA PACINI</v>
      </c>
      <c r="E147" s="22">
        <f t="shared" si="11"/>
        <v>-344.54591275000001</v>
      </c>
      <c r="F147" s="9" t="str">
        <f t="shared" si="16"/>
        <v>TORONTO STOCK EXCHANGE</v>
      </c>
      <c r="G147" s="20">
        <f t="shared" si="12"/>
        <v>46023</v>
      </c>
      <c r="H147" s="23">
        <v>1170</v>
      </c>
      <c r="J147" s="41">
        <v>153754</v>
      </c>
      <c r="K147" s="1" t="s">
        <v>51</v>
      </c>
      <c r="L147" s="1" t="s">
        <v>12</v>
      </c>
      <c r="M147" s="1">
        <v>65.877499999999998</v>
      </c>
      <c r="N147" s="1"/>
      <c r="Q147" s="27"/>
    </row>
    <row r="148" spans="1:17" ht="15" customHeight="1" x14ac:dyDescent="0.25">
      <c r="A148" s="9" t="str">
        <f>CONCATENATE($N$1,$I$1,F148,$I$1,J148)</f>
        <v>CUSTO MARKET DATA - JANEIRO/26-TRADE THE NEWS, INC.-153754</v>
      </c>
      <c r="B148" s="20">
        <v>46023</v>
      </c>
      <c r="C148" s="21">
        <v>817393</v>
      </c>
      <c r="D148" s="9" t="str">
        <f>IF(J148=57036,"ALEXANDRE DA COSTA SOARES",IF(J148=24157,"JOSE MAURICIO GOMES TEIXEIRA",IF(J148=24203,"JOSE MAURICIO GOMES TEIXEIRA",IF(J148=24149,"CHRISTIANO MARCONDES DE BARROS LIMA",IF(J148=24137,"CHRISTIANO MARCONDES DE BARROS LIMA",IF(J148=135152,"ENRICO BORTPLUZO CASSIANO",IF(J148=136568,"ENRICO BORTPLUZO CASSIANO", IF(J148=130976,"MARYLIA CARVALHO PONCE",IF(J148=136668,"ALEXANDRE DA COSTA SOARES",IF(J148=52340,"OFFSHORE LISTED",IF(J148=158778,"CLAUDIO DE SOUZA PACINI",_xlfn.XLOOKUP(J148,[1]!Tabela33[ID ORACLE],[1]!Tabela33[BROKER],0,0,1))))))))))))</f>
        <v>CLAUDIO DE SOUZA PACINI</v>
      </c>
      <c r="E148" s="22">
        <f t="shared" si="11"/>
        <v>-1161.0822000000001</v>
      </c>
      <c r="F148" s="9" t="str">
        <f>IF(UPPER(K148)="Valor Analytics LLC","VALOR",UPPER(K148))</f>
        <v>TRADE THE NEWS, INC.</v>
      </c>
      <c r="G148" s="20">
        <f t="shared" si="12"/>
        <v>46023</v>
      </c>
      <c r="H148" s="23">
        <v>1170</v>
      </c>
      <c r="J148" s="41">
        <v>153754</v>
      </c>
      <c r="K148" s="1" t="s">
        <v>52</v>
      </c>
      <c r="L148" s="1" t="s">
        <v>12</v>
      </c>
      <c r="M148" s="1">
        <v>222</v>
      </c>
      <c r="N148" s="1"/>
      <c r="Q148" s="27"/>
    </row>
    <row r="1048562" spans="3:3" ht="15" customHeight="1" x14ac:dyDescent="0.25">
      <c r="C1048562" s="21"/>
    </row>
  </sheetData>
  <autoFilter ref="A1:BZ148" xr:uid="{EA25979D-19FA-45F3-AB5A-DBC56DF80931}"/>
  <mergeCells count="11">
    <mergeCell ref="N2:N3"/>
    <mergeCell ref="O2:O3"/>
    <mergeCell ref="N4:N5"/>
    <mergeCell ref="O4:O5"/>
    <mergeCell ref="N6:N7"/>
    <mergeCell ref="O6:O7"/>
    <mergeCell ref="N8:N9"/>
    <mergeCell ref="O8:O9"/>
    <mergeCell ref="N10:N11"/>
    <mergeCell ref="O10:O11"/>
    <mergeCell ref="N12:N24"/>
  </mergeCells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1CAB-E253-459E-BB46-E5FD589CBB3E}">
  <dimension ref="A1:BZ1048563"/>
  <sheetViews>
    <sheetView showGridLines="0" zoomScaleNormal="100" workbookViewId="0">
      <selection activeCell="A2" sqref="A2:A3"/>
    </sheetView>
  </sheetViews>
  <sheetFormatPr defaultRowHeight="15" customHeight="1" x14ac:dyDescent="0.25"/>
  <cols>
    <col min="1" max="1" width="48.85546875" style="1" customWidth="1"/>
    <col min="2" max="2" width="19.140625" style="3" bestFit="1" customWidth="1"/>
    <col min="3" max="3" width="8.42578125" style="4" customWidth="1"/>
    <col min="4" max="4" width="34.7109375" style="1" bestFit="1" customWidth="1"/>
    <col min="5" max="5" width="10" style="2" bestFit="1" customWidth="1"/>
    <col min="6" max="6" width="17.42578125" style="1" bestFit="1" customWidth="1"/>
    <col min="7" max="7" width="19.140625" style="3" bestFit="1" customWidth="1"/>
    <col min="8" max="8" width="16.28515625" style="19" bestFit="1" customWidth="1"/>
    <col min="9" max="9" width="2.7109375" customWidth="1"/>
    <col min="10" max="10" width="14" style="1" customWidth="1"/>
    <col min="11" max="11" width="28.28515625" style="1" bestFit="1" customWidth="1"/>
    <col min="12" max="12" width="8.7109375" style="1" customWidth="1"/>
    <col min="13" max="13" width="23.28515625" style="2" bestFit="1" customWidth="1"/>
    <col min="14" max="14" width="53.5703125" bestFit="1" customWidth="1"/>
    <col min="15" max="15" width="6.140625" style="1" bestFit="1" customWidth="1"/>
    <col min="16" max="16" width="11.5703125" style="26" bestFit="1" customWidth="1"/>
    <col min="17" max="17" width="9.140625" style="28" bestFit="1" customWidth="1"/>
    <col min="18" max="18" width="11.5703125" style="26" bestFit="1" customWidth="1"/>
    <col min="19" max="19" width="9.140625" style="28" bestFit="1" customWidth="1"/>
    <col min="20" max="20" width="11.5703125" style="26" bestFit="1" customWidth="1"/>
    <col min="21" max="21" width="9.140625" style="28"/>
    <col min="22" max="16384" width="9.140625" style="1"/>
  </cols>
  <sheetData>
    <row r="1" spans="1:21" ht="15" customHeight="1" x14ac:dyDescent="0.2">
      <c r="A1" s="33" t="s">
        <v>0</v>
      </c>
      <c r="B1" s="30" t="s">
        <v>7</v>
      </c>
      <c r="C1" s="33" t="s">
        <v>1</v>
      </c>
      <c r="D1" s="33" t="s">
        <v>2</v>
      </c>
      <c r="E1" s="34" t="s">
        <v>3</v>
      </c>
      <c r="F1" s="33" t="s">
        <v>4</v>
      </c>
      <c r="G1" s="30" t="s">
        <v>5</v>
      </c>
      <c r="H1" s="33" t="s">
        <v>6</v>
      </c>
      <c r="I1" s="33" t="s">
        <v>16</v>
      </c>
      <c r="J1" s="35" t="s">
        <v>8</v>
      </c>
      <c r="K1" s="35" t="s">
        <v>9</v>
      </c>
      <c r="L1" s="35" t="s">
        <v>10</v>
      </c>
      <c r="M1" s="36" t="s">
        <v>11</v>
      </c>
      <c r="N1" s="32" t="s">
        <v>53</v>
      </c>
      <c r="P1" s="37">
        <v>5.1494999999999997</v>
      </c>
      <c r="Q1" s="38" t="s">
        <v>12</v>
      </c>
      <c r="R1" s="39">
        <v>6.9240000000000004</v>
      </c>
      <c r="S1" s="38" t="s">
        <v>17</v>
      </c>
      <c r="T1" s="37">
        <v>3.7757999999999998</v>
      </c>
      <c r="U1" s="38" t="s">
        <v>23</v>
      </c>
    </row>
    <row r="2" spans="1:21" ht="15" customHeight="1" x14ac:dyDescent="0.25">
      <c r="A2" s="5" t="str">
        <f t="shared" ref="A2:A7" si="0">CONCATENATE($N$1,$I$1,F2,$I$1,J2)</f>
        <v>CUSTO MARKET DATA - FEVEREIRO/26-BLOOMBERG-67829</v>
      </c>
      <c r="B2" s="6">
        <v>46054</v>
      </c>
      <c r="C2" s="7">
        <v>817393</v>
      </c>
      <c r="D2" s="5" t="s">
        <v>15</v>
      </c>
      <c r="E2" s="8">
        <f>-IF(L2="BRL",M2,M2*$P$1)/2</f>
        <v>-6207.7848859432497</v>
      </c>
      <c r="F2" s="5" t="str">
        <f>UPPER(K2)</f>
        <v>BLOOMBERG</v>
      </c>
      <c r="G2" s="6">
        <f>B2</f>
        <v>46054</v>
      </c>
      <c r="H2" s="16">
        <v>1170</v>
      </c>
      <c r="J2" s="18">
        <v>67829</v>
      </c>
      <c r="K2" s="14" t="s">
        <v>41</v>
      </c>
      <c r="L2" s="15" t="s">
        <v>12</v>
      </c>
      <c r="M2" s="8">
        <v>2411.0243270000001</v>
      </c>
      <c r="N2" s="47" t="s">
        <v>26</v>
      </c>
      <c r="O2" s="49">
        <v>67829</v>
      </c>
      <c r="Q2" s="27"/>
      <c r="S2" s="27"/>
      <c r="U2" s="27"/>
    </row>
    <row r="3" spans="1:21" ht="15" customHeight="1" x14ac:dyDescent="0.25">
      <c r="A3" s="10" t="str">
        <f t="shared" si="0"/>
        <v>CUSTO MARKET DATA - FEVEREIRO/26-BLOOMBERG-67829</v>
      </c>
      <c r="B3" s="24">
        <v>46054</v>
      </c>
      <c r="C3" s="11">
        <v>817393</v>
      </c>
      <c r="D3" s="10" t="s">
        <v>24</v>
      </c>
      <c r="E3" s="12">
        <f>-IF(L3="BRL",M3,M3*$P$1)/2</f>
        <v>-6207.7848859432497</v>
      </c>
      <c r="F3" s="10" t="str">
        <f t="shared" ref="F3:F11" si="1">UPPER(K3)</f>
        <v>BLOOMBERG</v>
      </c>
      <c r="G3" s="24">
        <f t="shared" ref="G3:G67" si="2">B3</f>
        <v>46054</v>
      </c>
      <c r="H3" s="17">
        <v>1170</v>
      </c>
      <c r="J3" s="17">
        <v>67829</v>
      </c>
      <c r="K3" s="17" t="s">
        <v>41</v>
      </c>
      <c r="L3" s="13" t="s">
        <v>12</v>
      </c>
      <c r="M3" s="12">
        <v>2411.0243270000001</v>
      </c>
      <c r="N3" s="48"/>
      <c r="O3" s="50"/>
      <c r="Q3" s="27"/>
      <c r="S3" s="27"/>
      <c r="U3" s="27"/>
    </row>
    <row r="4" spans="1:21" ht="15" customHeight="1" x14ac:dyDescent="0.25">
      <c r="A4" s="5" t="str">
        <f t="shared" si="0"/>
        <v>CUSTO MARKET DATA - FEVEREIRO/26-BLOOMBERG-67825</v>
      </c>
      <c r="B4" s="6">
        <v>46054</v>
      </c>
      <c r="C4" s="7">
        <v>817393</v>
      </c>
      <c r="D4" s="5" t="s">
        <v>28</v>
      </c>
      <c r="E4" s="8">
        <f>-IF(L4="BRL",M4,M4*$P$1)/2</f>
        <v>-5866.1155609432508</v>
      </c>
      <c r="F4" s="5" t="str">
        <f t="shared" si="1"/>
        <v>BLOOMBERG</v>
      </c>
      <c r="G4" s="6">
        <f t="shared" si="2"/>
        <v>46054</v>
      </c>
      <c r="H4" s="16">
        <v>1170</v>
      </c>
      <c r="J4" s="18">
        <v>67825</v>
      </c>
      <c r="K4" s="18" t="s">
        <v>41</v>
      </c>
      <c r="L4" s="15" t="s">
        <v>12</v>
      </c>
      <c r="M4" s="8">
        <v>2278.3243270000003</v>
      </c>
      <c r="N4" s="47" t="s">
        <v>25</v>
      </c>
      <c r="O4" s="49">
        <v>67825</v>
      </c>
      <c r="Q4" s="27"/>
      <c r="S4" s="27"/>
      <c r="U4" s="27"/>
    </row>
    <row r="5" spans="1:21" ht="15" customHeight="1" x14ac:dyDescent="0.25">
      <c r="A5" s="10" t="str">
        <f t="shared" si="0"/>
        <v>CUSTO MARKET DATA - FEVEREIRO/26-BLOOMBERG-67825</v>
      </c>
      <c r="B5" s="24">
        <v>46054</v>
      </c>
      <c r="C5" s="11">
        <v>817393</v>
      </c>
      <c r="D5" s="10" t="s">
        <v>27</v>
      </c>
      <c r="E5" s="12">
        <f>-IF(L5="BRL",M5,M5*$P$1)/2</f>
        <v>-5866.1155609432508</v>
      </c>
      <c r="F5" s="10" t="str">
        <f t="shared" si="1"/>
        <v>BLOOMBERG</v>
      </c>
      <c r="G5" s="24">
        <f t="shared" si="2"/>
        <v>46054</v>
      </c>
      <c r="H5" s="17">
        <v>1170</v>
      </c>
      <c r="J5" s="17">
        <v>67825</v>
      </c>
      <c r="K5" s="17" t="s">
        <v>41</v>
      </c>
      <c r="L5" s="13" t="s">
        <v>12</v>
      </c>
      <c r="M5" s="12">
        <v>2278.3243270000003</v>
      </c>
      <c r="N5" s="48"/>
      <c r="O5" s="50"/>
      <c r="Q5" s="27"/>
      <c r="S5" s="27"/>
      <c r="U5" s="27"/>
    </row>
    <row r="6" spans="1:21" ht="15" customHeight="1" x14ac:dyDescent="0.25">
      <c r="A6" s="5" t="str">
        <f t="shared" si="0"/>
        <v>CUSTO MARKET DATA - FEVEREIRO/26-REFINITIV-103090</v>
      </c>
      <c r="B6" s="6">
        <v>46054</v>
      </c>
      <c r="C6" s="7">
        <v>817393</v>
      </c>
      <c r="D6" s="5" t="s">
        <v>13</v>
      </c>
      <c r="E6" s="8">
        <f>-IF(L6="BRL",M6,IF(L6="GBP",M6*R1,M6*$P$1))/2</f>
        <v>-71.613713376000007</v>
      </c>
      <c r="F6" s="5" t="str">
        <f t="shared" si="1"/>
        <v>REFINITIV</v>
      </c>
      <c r="G6" s="6">
        <f t="shared" si="2"/>
        <v>46054</v>
      </c>
      <c r="H6" s="16">
        <v>1170</v>
      </c>
      <c r="J6" s="18">
        <v>103090</v>
      </c>
      <c r="K6" s="18" t="s">
        <v>42</v>
      </c>
      <c r="L6" s="15" t="s">
        <v>17</v>
      </c>
      <c r="M6" s="8">
        <v>20.685648</v>
      </c>
      <c r="N6" s="47" t="s">
        <v>18</v>
      </c>
      <c r="O6" s="49">
        <v>103090</v>
      </c>
      <c r="Q6" s="27"/>
      <c r="S6" s="27"/>
      <c r="U6" s="27"/>
    </row>
    <row r="7" spans="1:21" ht="15" customHeight="1" x14ac:dyDescent="0.25">
      <c r="A7" s="10" t="str">
        <f t="shared" si="0"/>
        <v>CUSTO MARKET DATA - FEVEREIRO/26-REFINITIV-103090</v>
      </c>
      <c r="B7" s="24">
        <v>46054</v>
      </c>
      <c r="C7" s="11">
        <v>817393</v>
      </c>
      <c r="D7" s="10" t="s">
        <v>14</v>
      </c>
      <c r="E7" s="12">
        <f>-IF(L7="BRL",M7,IF(L7="GBP",M7*R1,M7*$P$1))/2</f>
        <v>-71.613713376000007</v>
      </c>
      <c r="F7" s="10" t="str">
        <f t="shared" si="1"/>
        <v>REFINITIV</v>
      </c>
      <c r="G7" s="24">
        <f t="shared" si="2"/>
        <v>46054</v>
      </c>
      <c r="H7" s="17">
        <v>1170</v>
      </c>
      <c r="J7" s="17">
        <v>103090</v>
      </c>
      <c r="K7" s="17" t="s">
        <v>42</v>
      </c>
      <c r="L7" s="13" t="s">
        <v>17</v>
      </c>
      <c r="M7" s="12">
        <v>20.685648</v>
      </c>
      <c r="N7" s="48"/>
      <c r="O7" s="50"/>
      <c r="Q7" s="27"/>
      <c r="S7" s="27"/>
      <c r="U7" s="27"/>
    </row>
    <row r="8" spans="1:21" ht="15" customHeight="1" x14ac:dyDescent="0.25">
      <c r="A8" s="5" t="str">
        <f t="shared" ref="A8:A80" si="3">CONCATENATE($N$1,$I$1,F8,$I$1,J8)</f>
        <v>CUSTO MARKET DATA - FEVEREIRO/26-BLOOMBERG-72574</v>
      </c>
      <c r="B8" s="6">
        <v>46054</v>
      </c>
      <c r="C8" s="7">
        <v>817393</v>
      </c>
      <c r="D8" s="5" t="s">
        <v>19</v>
      </c>
      <c r="E8" s="8">
        <f>-IF(L8="BRL",M8,IF(L8="GBP",M8*#REF!,M8*$P$1))/2</f>
        <v>-6111.2317609432503</v>
      </c>
      <c r="F8" s="5" t="str">
        <f t="shared" si="1"/>
        <v>BLOOMBERG</v>
      </c>
      <c r="G8" s="6">
        <f t="shared" si="2"/>
        <v>46054</v>
      </c>
      <c r="H8" s="16">
        <v>1170</v>
      </c>
      <c r="J8" s="18">
        <v>72574</v>
      </c>
      <c r="K8" s="18" t="s">
        <v>41</v>
      </c>
      <c r="L8" s="15" t="s">
        <v>12</v>
      </c>
      <c r="M8" s="8">
        <v>2373.5243270000001</v>
      </c>
      <c r="N8" s="47" t="s">
        <v>21</v>
      </c>
      <c r="O8" s="49"/>
      <c r="Q8" s="27"/>
      <c r="S8" s="27"/>
      <c r="U8" s="27"/>
    </row>
    <row r="9" spans="1:21" ht="15" customHeight="1" x14ac:dyDescent="0.25">
      <c r="A9" s="10" t="str">
        <f t="shared" si="3"/>
        <v>CUSTO MARKET DATA - FEVEREIRO/26-BLOOMBERG-72574</v>
      </c>
      <c r="B9" s="24">
        <v>46054</v>
      </c>
      <c r="C9" s="11">
        <v>817393</v>
      </c>
      <c r="D9" s="10" t="s">
        <v>20</v>
      </c>
      <c r="E9" s="12">
        <f>-IF(L9="BRL",M9,IF(L9="GBP",M9*#REF!,M9*$P$1))/2</f>
        <v>-6111.2317609432503</v>
      </c>
      <c r="F9" s="10" t="str">
        <f t="shared" si="1"/>
        <v>BLOOMBERG</v>
      </c>
      <c r="G9" s="24">
        <f t="shared" si="2"/>
        <v>46054</v>
      </c>
      <c r="H9" s="17">
        <v>1170</v>
      </c>
      <c r="J9" s="17">
        <v>72574</v>
      </c>
      <c r="K9" s="17" t="s">
        <v>41</v>
      </c>
      <c r="L9" s="13" t="s">
        <v>12</v>
      </c>
      <c r="M9" s="12">
        <v>2373.5243270000001</v>
      </c>
      <c r="N9" s="48"/>
      <c r="O9" s="50"/>
      <c r="Q9" s="27"/>
      <c r="S9" s="27"/>
      <c r="U9" s="27"/>
    </row>
    <row r="10" spans="1:21" ht="15" customHeight="1" x14ac:dyDescent="0.25">
      <c r="A10" s="5" t="str">
        <f t="shared" si="3"/>
        <v>CUSTO MARKET DATA - FEVEREIRO/26-BLOOMBERG-135064</v>
      </c>
      <c r="B10" s="6">
        <v>46054</v>
      </c>
      <c r="C10" s="7">
        <v>817393</v>
      </c>
      <c r="D10" s="5" t="s">
        <v>29</v>
      </c>
      <c r="E10" s="8">
        <f>-IF(L10="BRL",M10,IF(L10="GBP",M10*#REF!,M10*$P$1))/2</f>
        <v>-6182.0373859432502</v>
      </c>
      <c r="F10" s="5" t="str">
        <f t="shared" si="1"/>
        <v>BLOOMBERG</v>
      </c>
      <c r="G10" s="6">
        <f t="shared" si="2"/>
        <v>46054</v>
      </c>
      <c r="H10" s="16">
        <v>1170</v>
      </c>
      <c r="J10" s="18">
        <v>135064</v>
      </c>
      <c r="K10" s="18" t="s">
        <v>41</v>
      </c>
      <c r="L10" s="15" t="s">
        <v>12</v>
      </c>
      <c r="M10" s="8">
        <v>2401.0243270000001</v>
      </c>
      <c r="N10" s="47" t="s">
        <v>30</v>
      </c>
      <c r="O10" s="49"/>
      <c r="Q10" s="27"/>
      <c r="S10" s="27"/>
      <c r="U10" s="27"/>
    </row>
    <row r="11" spans="1:21" ht="15" customHeight="1" x14ac:dyDescent="0.25">
      <c r="A11" s="10" t="str">
        <f t="shared" si="3"/>
        <v>CUSTO MARKET DATA - FEVEREIRO/26-BLOOMBERG-135064</v>
      </c>
      <c r="B11" s="24">
        <v>46054</v>
      </c>
      <c r="C11" s="11">
        <v>817393</v>
      </c>
      <c r="D11" s="10" t="s">
        <v>22</v>
      </c>
      <c r="E11" s="12">
        <f>-IF(L11="BRL",M11,IF(L11="GBP",M11*#REF!,M11*$P$1))/2</f>
        <v>-6182.0373859432502</v>
      </c>
      <c r="F11" s="10" t="str">
        <f t="shared" si="1"/>
        <v>BLOOMBERG</v>
      </c>
      <c r="G11" s="24">
        <f t="shared" si="2"/>
        <v>46054</v>
      </c>
      <c r="H11" s="17">
        <v>1170</v>
      </c>
      <c r="J11" s="17">
        <v>135064</v>
      </c>
      <c r="K11" s="17" t="s">
        <v>41</v>
      </c>
      <c r="L11" s="13" t="s">
        <v>12</v>
      </c>
      <c r="M11" s="12">
        <v>2401.0243270000001</v>
      </c>
      <c r="N11" s="48"/>
      <c r="O11" s="50"/>
      <c r="Q11" s="27"/>
      <c r="S11" s="27"/>
      <c r="U11" s="27"/>
    </row>
    <row r="12" spans="1:21" ht="15" customHeight="1" x14ac:dyDescent="0.25">
      <c r="A12" s="5" t="str">
        <f t="shared" si="3"/>
        <v>CUSTO MARKET DATA - FEVEREIRO/26-Bloomberg-151474</v>
      </c>
      <c r="B12" s="30">
        <v>46054</v>
      </c>
      <c r="C12" s="7">
        <v>817393</v>
      </c>
      <c r="D12" s="5" t="s">
        <v>32</v>
      </c>
      <c r="E12" s="8">
        <f>-IF(L12="BRL",M12,IF(L12="GBP",M12*$R$1,IF(L12="CAD",M12*$T$1,M12*$P$1)))/13</f>
        <v>-3.961153846153846</v>
      </c>
      <c r="F12" s="5" t="str">
        <f>K12</f>
        <v>Bloomberg</v>
      </c>
      <c r="G12" s="30">
        <f t="shared" si="2"/>
        <v>46054</v>
      </c>
      <c r="H12" s="16">
        <v>1170</v>
      </c>
      <c r="J12" s="16">
        <v>151474</v>
      </c>
      <c r="K12" s="16" t="s">
        <v>41</v>
      </c>
      <c r="L12" s="31" t="s">
        <v>12</v>
      </c>
      <c r="M12" s="8">
        <v>10</v>
      </c>
      <c r="N12" s="47" t="s">
        <v>31</v>
      </c>
      <c r="O12" s="26"/>
      <c r="Q12" s="27"/>
      <c r="S12" s="27"/>
      <c r="U12" s="27"/>
    </row>
    <row r="13" spans="1:21" ht="15" customHeight="1" x14ac:dyDescent="0.25">
      <c r="A13" s="5" t="str">
        <f>CONCATENATE($N$1,$I$1,F13,$I$1,J13)</f>
        <v>CUSTO MARKET DATA - FEVEREIRO/26-Bloomberg-151474</v>
      </c>
      <c r="B13" s="30">
        <v>46054</v>
      </c>
      <c r="C13" s="7">
        <v>817393</v>
      </c>
      <c r="D13" s="5" t="s">
        <v>24</v>
      </c>
      <c r="E13" s="8">
        <f t="shared" ref="E13:E24" si="4">-IF(L13="BRL",M13,IF(L13="GBP",M13*$R$1,IF(L13="CAD",M13*$T$1,M13*$P$1)))/13</f>
        <v>-3.961153846153846</v>
      </c>
      <c r="F13" s="5" t="str">
        <f t="shared" ref="F13:F24" si="5">K13</f>
        <v>Bloomberg</v>
      </c>
      <c r="G13" s="30">
        <f t="shared" si="2"/>
        <v>46054</v>
      </c>
      <c r="H13" s="16">
        <v>1170</v>
      </c>
      <c r="J13" s="16">
        <v>151474</v>
      </c>
      <c r="K13" s="16" t="s">
        <v>41</v>
      </c>
      <c r="L13" s="31" t="s">
        <v>12</v>
      </c>
      <c r="M13" s="8">
        <v>10</v>
      </c>
      <c r="N13" s="51"/>
      <c r="O13" s="26"/>
      <c r="Q13" s="27"/>
      <c r="S13" s="27"/>
      <c r="U13" s="27"/>
    </row>
    <row r="14" spans="1:21" ht="15" customHeight="1" x14ac:dyDescent="0.25">
      <c r="A14" s="5" t="str">
        <f t="shared" si="3"/>
        <v>CUSTO MARKET DATA - FEVEREIRO/26-Bloomberg-151474</v>
      </c>
      <c r="B14" s="30">
        <v>46054</v>
      </c>
      <c r="C14" s="7">
        <v>817393</v>
      </c>
      <c r="D14" s="5" t="s">
        <v>33</v>
      </c>
      <c r="E14" s="8">
        <f t="shared" si="4"/>
        <v>-3.961153846153846</v>
      </c>
      <c r="F14" s="5" t="str">
        <f t="shared" si="5"/>
        <v>Bloomberg</v>
      </c>
      <c r="G14" s="30">
        <f t="shared" si="2"/>
        <v>46054</v>
      </c>
      <c r="H14" s="16">
        <v>1170</v>
      </c>
      <c r="J14" s="16">
        <v>151474</v>
      </c>
      <c r="K14" s="16" t="s">
        <v>41</v>
      </c>
      <c r="L14" s="31" t="s">
        <v>12</v>
      </c>
      <c r="M14" s="8">
        <v>10</v>
      </c>
      <c r="N14" s="51"/>
      <c r="O14" s="26"/>
      <c r="Q14" s="27"/>
      <c r="S14" s="27"/>
      <c r="U14" s="27"/>
    </row>
    <row r="15" spans="1:21" ht="15" customHeight="1" x14ac:dyDescent="0.25">
      <c r="A15" s="5" t="str">
        <f t="shared" si="3"/>
        <v>CUSTO MARKET DATA - FEVEREIRO/26-Bloomberg-151474</v>
      </c>
      <c r="B15" s="30">
        <v>46054</v>
      </c>
      <c r="C15" s="7">
        <v>817393</v>
      </c>
      <c r="D15" s="5" t="s">
        <v>34</v>
      </c>
      <c r="E15" s="8">
        <f t="shared" si="4"/>
        <v>-3.961153846153846</v>
      </c>
      <c r="F15" s="5" t="str">
        <f t="shared" si="5"/>
        <v>Bloomberg</v>
      </c>
      <c r="G15" s="30">
        <f t="shared" si="2"/>
        <v>46054</v>
      </c>
      <c r="H15" s="16">
        <v>1170</v>
      </c>
      <c r="J15" s="16">
        <v>151474</v>
      </c>
      <c r="K15" s="16" t="s">
        <v>41</v>
      </c>
      <c r="L15" s="31" t="s">
        <v>12</v>
      </c>
      <c r="M15" s="8">
        <v>10</v>
      </c>
      <c r="N15" s="51"/>
      <c r="O15" s="26"/>
      <c r="Q15" s="27"/>
      <c r="S15" s="27"/>
      <c r="U15" s="27"/>
    </row>
    <row r="16" spans="1:21" ht="15" customHeight="1" x14ac:dyDescent="0.25">
      <c r="A16" s="5" t="str">
        <f t="shared" si="3"/>
        <v>CUSTO MARKET DATA - FEVEREIRO/26-Bloomberg-151474</v>
      </c>
      <c r="B16" s="30">
        <v>46054</v>
      </c>
      <c r="C16" s="7">
        <v>817393</v>
      </c>
      <c r="D16" s="5" t="s">
        <v>15</v>
      </c>
      <c r="E16" s="8">
        <f t="shared" si="4"/>
        <v>-3.961153846153846</v>
      </c>
      <c r="F16" s="5" t="str">
        <f t="shared" si="5"/>
        <v>Bloomberg</v>
      </c>
      <c r="G16" s="30">
        <f t="shared" si="2"/>
        <v>46054</v>
      </c>
      <c r="H16" s="16">
        <v>1170</v>
      </c>
      <c r="J16" s="16">
        <v>151474</v>
      </c>
      <c r="K16" s="16" t="s">
        <v>41</v>
      </c>
      <c r="L16" s="31" t="s">
        <v>12</v>
      </c>
      <c r="M16" s="8">
        <v>10</v>
      </c>
      <c r="N16" s="51"/>
      <c r="O16" s="26"/>
      <c r="Q16" s="27"/>
      <c r="S16" s="27"/>
      <c r="U16" s="27"/>
    </row>
    <row r="17" spans="1:21" ht="15" customHeight="1" x14ac:dyDescent="0.25">
      <c r="A17" s="5" t="str">
        <f t="shared" si="3"/>
        <v>CUSTO MARKET DATA - FEVEREIRO/26-Bloomberg-151474</v>
      </c>
      <c r="B17" s="30">
        <v>46054</v>
      </c>
      <c r="C17" s="7">
        <v>817393</v>
      </c>
      <c r="D17" s="5" t="s">
        <v>27</v>
      </c>
      <c r="E17" s="8">
        <f t="shared" si="4"/>
        <v>-3.961153846153846</v>
      </c>
      <c r="F17" s="5" t="str">
        <f t="shared" si="5"/>
        <v>Bloomberg</v>
      </c>
      <c r="G17" s="30">
        <f t="shared" si="2"/>
        <v>46054</v>
      </c>
      <c r="H17" s="16">
        <v>1170</v>
      </c>
      <c r="J17" s="16">
        <v>151474</v>
      </c>
      <c r="K17" s="16" t="s">
        <v>41</v>
      </c>
      <c r="L17" s="31" t="s">
        <v>12</v>
      </c>
      <c r="M17" s="8">
        <v>10</v>
      </c>
      <c r="N17" s="51"/>
      <c r="O17" s="26"/>
      <c r="Q17" s="27"/>
      <c r="S17" s="27"/>
      <c r="U17" s="27"/>
    </row>
    <row r="18" spans="1:21" ht="15" customHeight="1" x14ac:dyDescent="0.25">
      <c r="A18" s="5" t="str">
        <f t="shared" si="3"/>
        <v>CUSTO MARKET DATA - FEVEREIRO/26-Bloomberg-151474</v>
      </c>
      <c r="B18" s="30">
        <v>46054</v>
      </c>
      <c r="C18" s="7">
        <v>817393</v>
      </c>
      <c r="D18" s="5" t="s">
        <v>28</v>
      </c>
      <c r="E18" s="8">
        <f t="shared" si="4"/>
        <v>-3.961153846153846</v>
      </c>
      <c r="F18" s="5" t="str">
        <f t="shared" si="5"/>
        <v>Bloomberg</v>
      </c>
      <c r="G18" s="30">
        <f t="shared" si="2"/>
        <v>46054</v>
      </c>
      <c r="H18" s="16">
        <v>1170</v>
      </c>
      <c r="J18" s="16">
        <v>151474</v>
      </c>
      <c r="K18" s="16" t="s">
        <v>41</v>
      </c>
      <c r="L18" s="31" t="s">
        <v>12</v>
      </c>
      <c r="M18" s="8">
        <v>10</v>
      </c>
      <c r="N18" s="51"/>
      <c r="O18" s="26"/>
      <c r="Q18" s="27"/>
      <c r="S18" s="27"/>
      <c r="U18" s="27"/>
    </row>
    <row r="19" spans="1:21" ht="15" customHeight="1" x14ac:dyDescent="0.25">
      <c r="A19" s="5" t="str">
        <f t="shared" si="3"/>
        <v>CUSTO MARKET DATA - FEVEREIRO/26-Bloomberg-151474</v>
      </c>
      <c r="B19" s="30">
        <v>46054</v>
      </c>
      <c r="C19" s="7">
        <v>817393</v>
      </c>
      <c r="D19" s="5" t="s">
        <v>19</v>
      </c>
      <c r="E19" s="8">
        <f t="shared" si="4"/>
        <v>-3.961153846153846</v>
      </c>
      <c r="F19" s="5" t="str">
        <f t="shared" si="5"/>
        <v>Bloomberg</v>
      </c>
      <c r="G19" s="30">
        <f t="shared" si="2"/>
        <v>46054</v>
      </c>
      <c r="H19" s="16">
        <v>1170</v>
      </c>
      <c r="J19" s="16">
        <v>151474</v>
      </c>
      <c r="K19" s="16" t="s">
        <v>41</v>
      </c>
      <c r="L19" s="31" t="s">
        <v>12</v>
      </c>
      <c r="M19" s="8">
        <v>10</v>
      </c>
      <c r="N19" s="51"/>
      <c r="O19" s="26"/>
      <c r="Q19" s="27"/>
      <c r="S19" s="27"/>
      <c r="U19" s="27"/>
    </row>
    <row r="20" spans="1:21" ht="15" customHeight="1" x14ac:dyDescent="0.25">
      <c r="A20" s="5" t="str">
        <f t="shared" si="3"/>
        <v>CUSTO MARKET DATA - FEVEREIRO/26-Bloomberg-151474</v>
      </c>
      <c r="B20" s="30">
        <v>46054</v>
      </c>
      <c r="C20" s="7">
        <v>817393</v>
      </c>
      <c r="D20" s="5" t="s">
        <v>35</v>
      </c>
      <c r="E20" s="8">
        <f t="shared" si="4"/>
        <v>-3.961153846153846</v>
      </c>
      <c r="F20" s="5" t="str">
        <f t="shared" si="5"/>
        <v>Bloomberg</v>
      </c>
      <c r="G20" s="30">
        <f t="shared" si="2"/>
        <v>46054</v>
      </c>
      <c r="H20" s="16">
        <v>1170</v>
      </c>
      <c r="J20" s="16">
        <v>151474</v>
      </c>
      <c r="K20" s="16" t="s">
        <v>41</v>
      </c>
      <c r="L20" s="31" t="s">
        <v>12</v>
      </c>
      <c r="M20" s="8">
        <v>10</v>
      </c>
      <c r="N20" s="51"/>
      <c r="O20" s="26"/>
      <c r="Q20" s="27"/>
      <c r="S20" s="27"/>
      <c r="U20" s="27"/>
    </row>
    <row r="21" spans="1:21" ht="15" customHeight="1" x14ac:dyDescent="0.25">
      <c r="A21" s="5" t="str">
        <f t="shared" si="3"/>
        <v>CUSTO MARKET DATA - FEVEREIRO/26-Bloomberg-151474</v>
      </c>
      <c r="B21" s="30">
        <v>46054</v>
      </c>
      <c r="C21" s="7">
        <v>817393</v>
      </c>
      <c r="D21" s="5" t="s">
        <v>20</v>
      </c>
      <c r="E21" s="8">
        <f t="shared" si="4"/>
        <v>-3.961153846153846</v>
      </c>
      <c r="F21" s="5" t="str">
        <f t="shared" si="5"/>
        <v>Bloomberg</v>
      </c>
      <c r="G21" s="30">
        <f t="shared" si="2"/>
        <v>46054</v>
      </c>
      <c r="H21" s="16">
        <v>1170</v>
      </c>
      <c r="J21" s="16">
        <v>151474</v>
      </c>
      <c r="K21" s="16" t="s">
        <v>41</v>
      </c>
      <c r="L21" s="31" t="s">
        <v>12</v>
      </c>
      <c r="M21" s="8">
        <v>10</v>
      </c>
      <c r="N21" s="51"/>
      <c r="O21" s="26"/>
      <c r="Q21" s="27"/>
      <c r="S21" s="27"/>
      <c r="U21" s="27"/>
    </row>
    <row r="22" spans="1:21" ht="15" customHeight="1" x14ac:dyDescent="0.25">
      <c r="A22" s="5" t="str">
        <f t="shared" si="3"/>
        <v>CUSTO MARKET DATA - FEVEREIRO/26-Bloomberg-151474</v>
      </c>
      <c r="B22" s="30">
        <v>46054</v>
      </c>
      <c r="C22" s="7">
        <v>817393</v>
      </c>
      <c r="D22" s="5" t="s">
        <v>43</v>
      </c>
      <c r="E22" s="8">
        <f t="shared" si="4"/>
        <v>-3.961153846153846</v>
      </c>
      <c r="F22" s="5" t="str">
        <f t="shared" si="5"/>
        <v>Bloomberg</v>
      </c>
      <c r="G22" s="30">
        <f t="shared" si="2"/>
        <v>46054</v>
      </c>
      <c r="H22" s="16">
        <v>1170</v>
      </c>
      <c r="J22" s="16">
        <v>151474</v>
      </c>
      <c r="K22" s="16" t="s">
        <v>41</v>
      </c>
      <c r="L22" s="31" t="s">
        <v>12</v>
      </c>
      <c r="M22" s="8">
        <v>10</v>
      </c>
      <c r="N22" s="51"/>
      <c r="O22" s="26"/>
      <c r="Q22" s="27"/>
      <c r="S22" s="27"/>
      <c r="U22" s="27"/>
    </row>
    <row r="23" spans="1:21" ht="15" customHeight="1" x14ac:dyDescent="0.25">
      <c r="A23" s="5" t="str">
        <f t="shared" si="3"/>
        <v>CUSTO MARKET DATA - FEVEREIRO/26-Bloomberg-151474</v>
      </c>
      <c r="B23" s="30">
        <v>46054</v>
      </c>
      <c r="C23" s="7">
        <v>817393</v>
      </c>
      <c r="D23" s="5" t="s">
        <v>36</v>
      </c>
      <c r="E23" s="8">
        <f t="shared" si="4"/>
        <v>-3.961153846153846</v>
      </c>
      <c r="F23" s="5" t="str">
        <f t="shared" si="5"/>
        <v>Bloomberg</v>
      </c>
      <c r="G23" s="30">
        <f t="shared" si="2"/>
        <v>46054</v>
      </c>
      <c r="H23" s="16">
        <v>1170</v>
      </c>
      <c r="J23" s="16">
        <v>151474</v>
      </c>
      <c r="K23" s="16" t="s">
        <v>41</v>
      </c>
      <c r="L23" s="31" t="s">
        <v>12</v>
      </c>
      <c r="M23" s="8">
        <v>10</v>
      </c>
      <c r="N23" s="51"/>
      <c r="O23" s="26"/>
      <c r="Q23" s="27"/>
      <c r="S23" s="27"/>
      <c r="U23" s="27"/>
    </row>
    <row r="24" spans="1:21" ht="15" customHeight="1" x14ac:dyDescent="0.25">
      <c r="A24" s="10" t="str">
        <f t="shared" si="3"/>
        <v>CUSTO MARKET DATA - FEVEREIRO/26-Bloomberg-151474</v>
      </c>
      <c r="B24" s="24">
        <v>46054</v>
      </c>
      <c r="C24" s="11">
        <v>817393</v>
      </c>
      <c r="D24" s="10" t="s">
        <v>37</v>
      </c>
      <c r="E24" s="12">
        <f t="shared" si="4"/>
        <v>-3.961153846153846</v>
      </c>
      <c r="F24" s="10" t="str">
        <f t="shared" si="5"/>
        <v>Bloomberg</v>
      </c>
      <c r="G24" s="24">
        <f t="shared" si="2"/>
        <v>46054</v>
      </c>
      <c r="H24" s="17">
        <v>1170</v>
      </c>
      <c r="J24" s="17">
        <v>151474</v>
      </c>
      <c r="K24" s="17" t="s">
        <v>41</v>
      </c>
      <c r="L24" s="13" t="s">
        <v>12</v>
      </c>
      <c r="M24" s="12">
        <v>10</v>
      </c>
      <c r="N24" s="48"/>
      <c r="Q24" s="27"/>
      <c r="S24" s="27"/>
      <c r="U24" s="27"/>
    </row>
    <row r="25" spans="1:21" ht="15" customHeight="1" x14ac:dyDescent="0.25">
      <c r="A25" s="10" t="str">
        <f t="shared" si="3"/>
        <v>CUSTO MARKET DATA - FEVEREIRO/26-BLOOMBERG-133472</v>
      </c>
      <c r="B25" s="24">
        <v>46054</v>
      </c>
      <c r="C25" s="11">
        <v>817393</v>
      </c>
      <c r="D25" s="10" t="s">
        <v>38</v>
      </c>
      <c r="E25" s="12">
        <f>-IF(L25="BRL",M25,IF(L25="GBP",M25*$R$1,IF(L25="CAD",M25*$T$1,M25*$P$1)))</f>
        <v>-51.494999999999997</v>
      </c>
      <c r="F25" s="10" t="str">
        <f>UPPER(K25)</f>
        <v>BLOOMBERG</v>
      </c>
      <c r="G25" s="24">
        <f t="shared" si="2"/>
        <v>46054</v>
      </c>
      <c r="H25" s="17">
        <v>1170</v>
      </c>
      <c r="J25" s="17">
        <v>133472</v>
      </c>
      <c r="K25" s="17" t="s">
        <v>41</v>
      </c>
      <c r="L25" s="13" t="s">
        <v>12</v>
      </c>
      <c r="M25" s="12">
        <v>10</v>
      </c>
      <c r="N25" s="40" t="s">
        <v>39</v>
      </c>
      <c r="Q25" s="27"/>
      <c r="S25" s="27"/>
      <c r="U25" s="27"/>
    </row>
    <row r="26" spans="1:21" ht="15" customHeight="1" x14ac:dyDescent="0.25">
      <c r="A26" s="9" t="str">
        <f t="shared" si="3"/>
        <v>CUSTO MARKET DATA - FEVEREIRO/26-BLOOMBERG-159800</v>
      </c>
      <c r="B26" s="20">
        <v>46054</v>
      </c>
      <c r="C26" s="21">
        <v>817393</v>
      </c>
      <c r="D26" s="9" t="str">
        <f>IF(J26=57036,"ALEXANDRE DA COSTA SOARES",IF(J26=24157,"JOSE MAURICIO GOMES TEIXEIRA",IF(J26=24203,"JOSE MAURICIO GOMES TEIXEIRA",IF(J26=24149,"CHRISTIANO MARCONDES DE BARROS LIMA",IF(J26=24137,"CHRISTIANO MARCONDES DE BARROS LIMA",IF(J26=135152,"ENRICO BORTPLUZO CASSIANO",IF(J26=136568,"ENRICO BORTPLUZO CASSIANO", IF(J26=130976,"MARYLIA CARVALHO PONCE",IF(J26=136668,"ALEXANDRE DA COSTA SOARES",IF(J26=52340,"OFFSHORE LISTED",IF(J26=158778,"CLAUDIO DE SOUZA PACINI",IF(J26=159800,"CLAUDIO DE SOUZA PACINI",_xlfn.XLOOKUP(J26,[1]!Tabela33[ID ORACLE],[1]!Tabela33[BROKER],0,0,1)))))))))))))</f>
        <v>CLAUDIO DE SOUZA PACINI</v>
      </c>
      <c r="E26" s="22">
        <f>-IF(L26="BRL",M26,IF(L26="GBP",M26*$R$1,IF(L26="CAD",M26*$T$1,M26*$P$1)))</f>
        <v>-5468.7689999999993</v>
      </c>
      <c r="F26" s="9" t="str">
        <f>IF(UPPER(K26)="Valor Analytics LLC","VALOR",UPPER(K26))</f>
        <v>BLOOMBERG</v>
      </c>
      <c r="G26" s="20">
        <v>46113</v>
      </c>
      <c r="H26" s="23">
        <v>1170</v>
      </c>
      <c r="J26" s="41">
        <v>159800</v>
      </c>
      <c r="K26" s="1" t="s">
        <v>41</v>
      </c>
      <c r="L26" s="1" t="s">
        <v>12</v>
      </c>
      <c r="M26" s="29">
        <v>1062</v>
      </c>
      <c r="N26" s="2"/>
      <c r="Q26" s="27"/>
      <c r="S26" s="27"/>
      <c r="U26" s="27"/>
    </row>
    <row r="27" spans="1:21" ht="15" customHeight="1" x14ac:dyDescent="0.25">
      <c r="A27" s="9" t="str">
        <f>CONCATENATE($N$1,$I$1,F27,$I$1,J27)</f>
        <v>CUSTO MARKET DATA - FEVEREIRO/26-BLOOMBERG-22361</v>
      </c>
      <c r="B27" s="20">
        <v>46054</v>
      </c>
      <c r="C27" s="21">
        <v>817393</v>
      </c>
      <c r="D27" s="9" t="str">
        <f>IF(J27=57036,"ALEXANDRE DA COSTA SOARES",IF(J27=24157,"JOSE MAURICIO GOMES TEIXEIRA",IF(J27=24203,"JOSE MAURICIO GOMES TEIXEIRA",IF(J27=24149,"CHRISTIANO MARCONDES DE BARROS LIMA",IF(J27=24137,"CHRISTIANO MARCONDES DE BARROS LIMA",IF(J27=135152,"ENRICO BORTPLUZO CASSIANO",IF(J27=136568,"ENRICO BORTPLUZO CASSIANO", IF(J27=130976,"MARYLIA CARVALHO PONCE",IF(J27=136668,"ALEXANDRE DA COSTA SOARES",IF(J27=52340,"OFFSHORE LISTED",IF(J27=158778,"CLAUDIO DE SOUZA PACINI",IF(J27=159800,"CLAUDIO DE SOUZA PACINI",_xlfn.XLOOKUP(J27,[1]!Tabela33[ID ORACLE],[1]!Tabela33[BROKER],0,0,1)))))))))))))</f>
        <v>DANIEL TEIXEIRA SIQUEIRA GONÇALVES</v>
      </c>
      <c r="E27" s="22">
        <f>-IF(L27="BRL",M27,IF(L27="GBP",M27*$R$1,IF(L27="CAD",M27*$T$1,M27*$P$1)))</f>
        <v>-1689.9851918864999</v>
      </c>
      <c r="F27" s="9" t="str">
        <f>IF(UPPER(K27)="Valor Analytics LLC","VALOR",UPPER(K27))</f>
        <v>BLOOMBERG</v>
      </c>
      <c r="G27" s="20">
        <f>B27</f>
        <v>46054</v>
      </c>
      <c r="H27" s="23">
        <v>1170</v>
      </c>
      <c r="J27" s="41">
        <v>22361</v>
      </c>
      <c r="K27" s="1" t="s">
        <v>41</v>
      </c>
      <c r="L27" s="1" t="s">
        <v>12</v>
      </c>
      <c r="M27" s="29">
        <v>328.184327</v>
      </c>
      <c r="N27" s="2"/>
      <c r="Q27" s="27"/>
      <c r="S27" s="27"/>
      <c r="U27" s="27"/>
    </row>
    <row r="28" spans="1:21" ht="15" customHeight="1" x14ac:dyDescent="0.25">
      <c r="A28" s="9" t="str">
        <f t="shared" si="3"/>
        <v>CUSTO MARKET DATA - FEVEREIRO/26-REFINITIV-105071</v>
      </c>
      <c r="B28" s="20">
        <v>46054</v>
      </c>
      <c r="C28" s="21">
        <v>817393</v>
      </c>
      <c r="D28" s="9" t="str">
        <f>IF(J28=57036,"ALEXANDRE DA COSTA SOARES",IF(J28=24157,"JOSE MAURICIO GOMES TEIXEIRA",IF(J28=24203,"JOSE MAURICIO GOMES TEIXEIRA",IF(J28=24149,"CHRISTIANO MARCONDES DE BARROS LIMA",IF(J28=24137,"CHRISTIANO MARCONDES DE BARROS LIMA",IF(J28=135152,"ENRICO BORTPLUZO CASSIANO",IF(J28=136568,"ENRICO BORTPLUZO CASSIANO", IF(J28=130976,"MARYLIA CARVALHO PONCE",IF(J28=136668,"ALEXANDRE DA COSTA SOARES",IF(J28=52340,"OFFSHORE LISTED",IF(J28=158778,"CLAUDIO DE SOUZA PACINI",IF(J28=159800,"CLAUDIO DE SOUZA PACINI",_xlfn.XLOOKUP(J28,[1]!Tabela33[ID ORACLE],[1]!Tabela33[BROKER],0,0,1)))))))))))))</f>
        <v>RODRIGO MOURA MARQUES</v>
      </c>
      <c r="E28" s="22">
        <f t="shared" ref="E28:E91" si="6">-IF(L28="BRL",M28,IF(L28="GBP",M28*$R$1,IF(L28="CAD",M28*$T$1,M28*$P$1)))</f>
        <v>-143.22742675200001</v>
      </c>
      <c r="F28" s="9" t="str">
        <f t="shared" ref="F28:F91" si="7">IF(UPPER(K28)="Valor Analytics LLC","VALOR",UPPER(K28))</f>
        <v>REFINITIV</v>
      </c>
      <c r="G28" s="20">
        <f t="shared" si="2"/>
        <v>46054</v>
      </c>
      <c r="H28" s="23">
        <v>1170</v>
      </c>
      <c r="J28" s="41">
        <v>105071</v>
      </c>
      <c r="K28" s="1" t="s">
        <v>42</v>
      </c>
      <c r="L28" s="1" t="s">
        <v>17</v>
      </c>
      <c r="M28" s="29">
        <v>20.685648</v>
      </c>
      <c r="N28" s="2"/>
      <c r="Q28" s="27"/>
      <c r="S28" s="27"/>
      <c r="U28" s="27"/>
    </row>
    <row r="29" spans="1:21" ht="15" customHeight="1" x14ac:dyDescent="0.25">
      <c r="A29" s="9" t="str">
        <f t="shared" si="3"/>
        <v>CUSTO MARKET DATA - FEVEREIRO/26-BLOOMBERG-106970</v>
      </c>
      <c r="B29" s="20">
        <v>46054</v>
      </c>
      <c r="C29" s="21">
        <v>817393</v>
      </c>
      <c r="D29" s="9" t="str">
        <f>IF(J29=57036,"ALEXANDRE DA COSTA SOARES",IF(J29=24157,"JOSE MAURICIO GOMES TEIXEIRA",IF(J29=24203,"JOSE MAURICIO GOMES TEIXEIRA",IF(J29=24149,"CHRISTIANO MARCONDES DE BARROS LIMA",IF(J29=24137,"CHRISTIANO MARCONDES DE BARROS LIMA",IF(J29=135152,"ENRICO BORTPLUZO CASSIANO",IF(J29=136568,"ENRICO BORTPLUZO CASSIANO", IF(J29=130976,"MARYLIA CARVALHO PONCE",IF(J29=136668,"ALEXANDRE DA COSTA SOARES",IF(J29=52340,"OFFSHORE LISTED",IF(J29=158778,"CLAUDIO DE SOUZA PACINI",IF(J29=159800,"CLAUDIO DE SOUZA PACINI",_xlfn.XLOOKUP(J29,[1]!Tabela33[ID ORACLE],[1]!Tabela33[BROKER],0,0,1)))))))))))))</f>
        <v>CESAR MARIANO SCARAMBONE MENEZES</v>
      </c>
      <c r="E29" s="22">
        <f t="shared" si="6"/>
        <v>-12222.463521886501</v>
      </c>
      <c r="F29" s="9" t="str">
        <f t="shared" si="7"/>
        <v>BLOOMBERG</v>
      </c>
      <c r="G29" s="20">
        <f t="shared" si="2"/>
        <v>46054</v>
      </c>
      <c r="H29" s="23">
        <v>1170</v>
      </c>
      <c r="J29" s="41">
        <v>106970</v>
      </c>
      <c r="K29" s="1" t="s">
        <v>41</v>
      </c>
      <c r="L29" s="1" t="s">
        <v>12</v>
      </c>
      <c r="M29" s="29">
        <v>2373.5243270000001</v>
      </c>
      <c r="N29" s="2"/>
      <c r="Q29" s="27"/>
      <c r="S29" s="27"/>
      <c r="U29" s="27"/>
    </row>
    <row r="30" spans="1:21" ht="15" customHeight="1" x14ac:dyDescent="0.25">
      <c r="A30" s="9" t="str">
        <f t="shared" si="3"/>
        <v>CUSTO MARKET DATA - FEVEREIRO/26-REFINITIV-106970</v>
      </c>
      <c r="B30" s="20">
        <v>46054</v>
      </c>
      <c r="C30" s="21">
        <v>817393</v>
      </c>
      <c r="D30" s="9" t="str">
        <f>IF(J30=57036,"ALEXANDRE DA COSTA SOARES",IF(J30=24157,"JOSE MAURICIO GOMES TEIXEIRA",IF(J30=24203,"JOSE MAURICIO GOMES TEIXEIRA",IF(J30=24149,"CHRISTIANO MARCONDES DE BARROS LIMA",IF(J30=24137,"CHRISTIANO MARCONDES DE BARROS LIMA",IF(J30=135152,"ENRICO BORTPLUZO CASSIANO",IF(J30=136568,"ENRICO BORTPLUZO CASSIANO", IF(J30=130976,"MARYLIA CARVALHO PONCE",IF(J30=136668,"ALEXANDRE DA COSTA SOARES",IF(J30=52340,"OFFSHORE LISTED",IF(J30=158778,"CLAUDIO DE SOUZA PACINI",IF(J30=159800,"CLAUDIO DE SOUZA PACINI",_xlfn.XLOOKUP(J30,[1]!Tabela33[ID ORACLE],[1]!Tabela33[BROKER],0,0,1)))))))))))))</f>
        <v>CESAR MARIANO SCARAMBONE MENEZES</v>
      </c>
      <c r="E30" s="22">
        <f t="shared" si="6"/>
        <v>-143.22742675200001</v>
      </c>
      <c r="F30" s="9" t="str">
        <f t="shared" si="7"/>
        <v>REFINITIV</v>
      </c>
      <c r="G30" s="20">
        <f t="shared" si="2"/>
        <v>46054</v>
      </c>
      <c r="H30" s="23">
        <v>1170</v>
      </c>
      <c r="J30" s="41">
        <v>106970</v>
      </c>
      <c r="K30" s="1" t="s">
        <v>42</v>
      </c>
      <c r="L30" s="1" t="s">
        <v>17</v>
      </c>
      <c r="M30" s="29">
        <v>20.685648</v>
      </c>
      <c r="N30" s="2"/>
      <c r="Q30" s="27"/>
      <c r="S30" s="27"/>
      <c r="U30" s="27"/>
    </row>
    <row r="31" spans="1:21" ht="15" customHeight="1" x14ac:dyDescent="0.25">
      <c r="A31" s="9" t="str">
        <f t="shared" si="3"/>
        <v>CUSTO MARKET DATA - FEVEREIRO/26-REFINITIV-108911</v>
      </c>
      <c r="B31" s="20">
        <v>46054</v>
      </c>
      <c r="C31" s="21">
        <v>817393</v>
      </c>
      <c r="D31" s="9" t="str">
        <f>IF(J31=57036,"ALEXANDRE DA COSTA SOARES",IF(J31=24157,"JOSE MAURICIO GOMES TEIXEIRA",IF(J31=24203,"JOSE MAURICIO GOMES TEIXEIRA",IF(J31=24149,"CHRISTIANO MARCONDES DE BARROS LIMA",IF(J31=24137,"CHRISTIANO MARCONDES DE BARROS LIMA",IF(J31=135152,"ENRICO BORTPLUZO CASSIANO",IF(J31=136568,"ENRICO BORTPLUZO CASSIANO", IF(J31=130976,"MARYLIA CARVALHO PONCE",IF(J31=136668,"ALEXANDRE DA COSTA SOARES",IF(J31=52340,"OFFSHORE LISTED",IF(J31=158778,"CLAUDIO DE SOUZA PACINI",IF(J31=159800,"CLAUDIO DE SOUZA PACINI",_xlfn.XLOOKUP(J31,[1]!Tabela33[ID ORACLE],[1]!Tabela33[BROKER],0,0,1)))))))))))))</f>
        <v>ALI MOHAMAD KANSAOU</v>
      </c>
      <c r="E31" s="22">
        <f t="shared" si="6"/>
        <v>-143.22742675200001</v>
      </c>
      <c r="F31" s="9" t="str">
        <f t="shared" si="7"/>
        <v>REFINITIV</v>
      </c>
      <c r="G31" s="20">
        <f t="shared" si="2"/>
        <v>46054</v>
      </c>
      <c r="H31" s="23">
        <v>1170</v>
      </c>
      <c r="J31" s="41">
        <v>108911</v>
      </c>
      <c r="K31" s="1" t="s">
        <v>42</v>
      </c>
      <c r="L31" s="1" t="s">
        <v>17</v>
      </c>
      <c r="M31" s="29">
        <v>20.685648</v>
      </c>
      <c r="N31" s="2"/>
      <c r="Q31" s="27"/>
      <c r="S31" s="27"/>
      <c r="U31" s="27"/>
    </row>
    <row r="32" spans="1:21" ht="15" customHeight="1" x14ac:dyDescent="0.25">
      <c r="A32" s="9" t="str">
        <f t="shared" si="3"/>
        <v>CUSTO MARKET DATA - FEVEREIRO/26-BLOOMBERG-61086</v>
      </c>
      <c r="B32" s="20">
        <v>46054</v>
      </c>
      <c r="C32" s="21">
        <v>817393</v>
      </c>
      <c r="D32" s="9" t="str">
        <f>IF(J32=57036,"ALEXANDRE DA COSTA SOARES",IF(J32=24157,"JOSE MAURICIO GOMES TEIXEIRA",IF(J32=24203,"JOSE MAURICIO GOMES TEIXEIRA",IF(J32=24149,"CHRISTIANO MARCONDES DE BARROS LIMA",IF(J32=24137,"CHRISTIANO MARCONDES DE BARROS LIMA",IF(J32=135152,"ENRICO BORTPLUZO CASSIANO",IF(J32=136568,"ENRICO BORTPLUZO CASSIANO", IF(J32=130976,"MARYLIA CARVALHO PONCE",IF(J32=136668,"ALEXANDRE DA COSTA SOARES",IF(J32=52340,"OFFSHORE LISTED",IF(J32=158778,"CLAUDIO DE SOUZA PACINI",IF(J32=159800,"CLAUDIO DE SOUZA PACINI",_xlfn.XLOOKUP(J32,[1]!Tabela33[ID ORACLE],[1]!Tabela33[BROKER],0,0,1)))))))))))))</f>
        <v>ALEXANDRE DA COSTA SOARES</v>
      </c>
      <c r="E32" s="22">
        <f t="shared" si="6"/>
        <v>-13221.9814718865</v>
      </c>
      <c r="F32" s="9" t="str">
        <f t="shared" si="7"/>
        <v>BLOOMBERG</v>
      </c>
      <c r="G32" s="20">
        <f t="shared" si="2"/>
        <v>46054</v>
      </c>
      <c r="H32" s="23">
        <v>1170</v>
      </c>
      <c r="J32" s="41">
        <v>61086</v>
      </c>
      <c r="K32" s="1" t="s">
        <v>41</v>
      </c>
      <c r="L32" s="1" t="s">
        <v>12</v>
      </c>
      <c r="M32" s="29">
        <v>2567.624327</v>
      </c>
      <c r="N32" s="2"/>
      <c r="Q32" s="27"/>
      <c r="S32" s="27"/>
      <c r="U32" s="27"/>
    </row>
    <row r="33" spans="1:78" ht="15" customHeight="1" x14ac:dyDescent="0.25">
      <c r="A33" s="9" t="str">
        <f t="shared" si="3"/>
        <v>CUSTO MARKET DATA - FEVEREIRO/26-NYSE MARKET INC.-61086</v>
      </c>
      <c r="B33" s="20">
        <v>46054</v>
      </c>
      <c r="C33" s="21">
        <v>817393</v>
      </c>
      <c r="D33" s="9" t="str">
        <f>IF(J33=57036,"ALEXANDRE DA COSTA SOARES",IF(J33=24157,"JOSE MAURICIO GOMES TEIXEIRA",IF(J33=24203,"JOSE MAURICIO GOMES TEIXEIRA",IF(J33=24149,"CHRISTIANO MARCONDES DE BARROS LIMA",IF(J33=24137,"CHRISTIANO MARCONDES DE BARROS LIMA",IF(J33=135152,"ENRICO BORTPLUZO CASSIANO",IF(J33=136568,"ENRICO BORTPLUZO CASSIANO", IF(J33=130976,"MARYLIA CARVALHO PONCE",IF(J33=136668,"ALEXANDRE DA COSTA SOARES",IF(J33=52340,"OFFSHORE LISTED",IF(J33=158778,"CLAUDIO DE SOUZA PACINI",IF(J33=159800,"CLAUDIO DE SOUZA PACINI",_xlfn.XLOOKUP(J33,[1]!Tabela33[ID ORACLE],[1]!Tabela33[BROKER],0,0,1)))))))))))))</f>
        <v>ALEXANDRE DA COSTA SOARES</v>
      </c>
      <c r="E33" s="22">
        <f t="shared" si="6"/>
        <v>-257.47499999999997</v>
      </c>
      <c r="F33" s="9" t="str">
        <f t="shared" si="7"/>
        <v>NYSE MARKET INC.</v>
      </c>
      <c r="G33" s="20">
        <f t="shared" si="2"/>
        <v>46054</v>
      </c>
      <c r="H33" s="23">
        <v>1170</v>
      </c>
      <c r="J33" s="41">
        <v>61086</v>
      </c>
      <c r="K33" s="1" t="s">
        <v>44</v>
      </c>
      <c r="L33" s="1" t="s">
        <v>12</v>
      </c>
      <c r="M33" s="29">
        <v>50</v>
      </c>
      <c r="N33" s="2"/>
      <c r="Q33" s="27"/>
      <c r="S33" s="27"/>
      <c r="U33" s="27"/>
    </row>
    <row r="34" spans="1:78" ht="15" customHeight="1" x14ac:dyDescent="0.25">
      <c r="A34" s="9" t="str">
        <f t="shared" si="3"/>
        <v>CUSTO MARKET DATA - FEVEREIRO/26-OPTIONS PRICE REPORTING AUTHORITY (OPRA)-111439</v>
      </c>
      <c r="B34" s="20">
        <v>46054</v>
      </c>
      <c r="C34" s="21">
        <v>817393</v>
      </c>
      <c r="D34" s="9" t="str">
        <f>IF(J34=57036,"ALEXANDRE DA COSTA SOARES",IF(J34=24157,"JOSE MAURICIO GOMES TEIXEIRA",IF(J34=24203,"JOSE MAURICIO GOMES TEIXEIRA",IF(J34=24149,"CHRISTIANO MARCONDES DE BARROS LIMA",IF(J34=24137,"CHRISTIANO MARCONDES DE BARROS LIMA",IF(J34=135152,"ENRICO BORTPLUZO CASSIANO",IF(J34=136568,"ENRICO BORTPLUZO CASSIANO", IF(J34=130976,"MARYLIA CARVALHO PONCE",IF(J34=136668,"ALEXANDRE DA COSTA SOARES",IF(J34=52340,"OFFSHORE LISTED",IF(J34=158778,"CLAUDIO DE SOUZA PACINI",IF(J34=159800,"CLAUDIO DE SOUZA PACINI",_xlfn.XLOOKUP(J34,[1]!Tabela33[ID ORACLE],[1]!Tabela33[BROKER],0,0,1)))))))))))))</f>
        <v>GUSTAVO BURMAS CARVALHO</v>
      </c>
      <c r="E34" s="22">
        <f t="shared" si="6"/>
        <v>-162.20925</v>
      </c>
      <c r="F34" s="9" t="str">
        <f t="shared" si="7"/>
        <v>OPTIONS PRICE REPORTING AUTHORITY (OPRA)</v>
      </c>
      <c r="G34" s="20">
        <f t="shared" si="2"/>
        <v>46054</v>
      </c>
      <c r="H34" s="23">
        <v>1170</v>
      </c>
      <c r="J34" s="41">
        <v>111439</v>
      </c>
      <c r="K34" s="1" t="s">
        <v>45</v>
      </c>
      <c r="L34" s="1" t="s">
        <v>12</v>
      </c>
      <c r="M34" s="29">
        <v>31.5</v>
      </c>
      <c r="N34" s="2"/>
      <c r="Q34" s="27"/>
      <c r="S34" s="27"/>
      <c r="U34" s="27"/>
    </row>
    <row r="35" spans="1:78" ht="15" customHeight="1" x14ac:dyDescent="0.25">
      <c r="A35" s="9" t="str">
        <f t="shared" si="3"/>
        <v>CUSTO MARKET DATA - FEVEREIRO/26-REFINITIV-111439</v>
      </c>
      <c r="B35" s="20">
        <v>46054</v>
      </c>
      <c r="C35" s="21">
        <v>817393</v>
      </c>
      <c r="D35" s="9" t="str">
        <f>IF(J35=57036,"ALEXANDRE DA COSTA SOARES",IF(J35=24157,"JOSE MAURICIO GOMES TEIXEIRA",IF(J35=24203,"JOSE MAURICIO GOMES TEIXEIRA",IF(J35=24149,"CHRISTIANO MARCONDES DE BARROS LIMA",IF(J35=24137,"CHRISTIANO MARCONDES DE BARROS LIMA",IF(J35=135152,"ENRICO BORTPLUZO CASSIANO",IF(J35=136568,"ENRICO BORTPLUZO CASSIANO", IF(J35=130976,"MARYLIA CARVALHO PONCE",IF(J35=136668,"ALEXANDRE DA COSTA SOARES",IF(J35=52340,"OFFSHORE LISTED",IF(J35=158778,"CLAUDIO DE SOUZA PACINI",IF(J35=159800,"CLAUDIO DE SOUZA PACINI",_xlfn.XLOOKUP(J35,[1]!Tabela33[ID ORACLE],[1]!Tabela33[BROKER],0,0,1)))))))))))))</f>
        <v>GUSTAVO BURMAS CARVALHO</v>
      </c>
      <c r="E35" s="22">
        <f t="shared" si="6"/>
        <v>-143.22742675200001</v>
      </c>
      <c r="F35" s="9" t="str">
        <f t="shared" si="7"/>
        <v>REFINITIV</v>
      </c>
      <c r="G35" s="20">
        <f t="shared" si="2"/>
        <v>46054</v>
      </c>
      <c r="H35" s="23">
        <v>1170</v>
      </c>
      <c r="J35" s="41">
        <v>111439</v>
      </c>
      <c r="K35" s="1" t="s">
        <v>42</v>
      </c>
      <c r="L35" s="1" t="s">
        <v>17</v>
      </c>
      <c r="M35" s="29">
        <v>20.685648</v>
      </c>
      <c r="N35" s="2"/>
      <c r="Q35" s="27"/>
      <c r="S35" s="27"/>
      <c r="T35" s="27"/>
      <c r="U35" s="27"/>
    </row>
    <row r="36" spans="1:78" customFormat="1" ht="15" customHeight="1" x14ac:dyDescent="0.25">
      <c r="A36" s="9" t="str">
        <f t="shared" si="3"/>
        <v>CUSTO MARKET DATA - FEVEREIRO/26-BLOOMBERG-113487</v>
      </c>
      <c r="B36" s="20">
        <v>46054</v>
      </c>
      <c r="C36" s="21">
        <v>817393</v>
      </c>
      <c r="D36" s="9" t="str">
        <f>IF(J36=57036,"ALEXANDRE DA COSTA SOARES",IF(J36=24157,"JOSE MAURICIO GOMES TEIXEIRA",IF(J36=24203,"JOSE MAURICIO GOMES TEIXEIRA",IF(J36=24149,"CHRISTIANO MARCONDES DE BARROS LIMA",IF(J36=24137,"CHRISTIANO MARCONDES DE BARROS LIMA",IF(J36=135152,"ENRICO BORTPLUZO CASSIANO",IF(J36=136568,"ENRICO BORTPLUZO CASSIANO", IF(J36=130976,"MARYLIA CARVALHO PONCE",IF(J36=136668,"ALEXANDRE DA COSTA SOARES",IF(J36=52340,"OFFSHORE LISTED",IF(J36=158778,"CLAUDIO DE SOUZA PACINI",IF(J36=159800,"CLAUDIO DE SOUZA PACINI",_xlfn.XLOOKUP(J36,[1]!Tabela33[ID ORACLE],[1]!Tabela33[BROKER],0,0,1)))))))))))))</f>
        <v>MARYLIA CARVALHO PONCE</v>
      </c>
      <c r="E36" s="22">
        <f t="shared" si="6"/>
        <v>-12222.463521886501</v>
      </c>
      <c r="F36" s="9" t="str">
        <f t="shared" si="7"/>
        <v>BLOOMBERG</v>
      </c>
      <c r="G36" s="20">
        <f t="shared" si="2"/>
        <v>46054</v>
      </c>
      <c r="H36" s="23">
        <v>1170</v>
      </c>
      <c r="J36" s="41">
        <v>113487</v>
      </c>
      <c r="K36" s="1" t="s">
        <v>41</v>
      </c>
      <c r="L36" s="1" t="s">
        <v>12</v>
      </c>
      <c r="M36" s="29">
        <v>2373.5243270000001</v>
      </c>
      <c r="N36" s="2"/>
      <c r="O36" s="1"/>
      <c r="P36" s="26"/>
      <c r="Q36" s="27"/>
      <c r="R36" s="26"/>
      <c r="S36" s="27"/>
      <c r="T36" s="26"/>
      <c r="U36" s="27"/>
    </row>
    <row r="37" spans="1:78" customFormat="1" ht="15" customHeight="1" x14ac:dyDescent="0.25">
      <c r="A37" s="9" t="str">
        <f t="shared" si="3"/>
        <v>CUSTO MARKET DATA - FEVEREIRO/26-REFINITIV-113487</v>
      </c>
      <c r="B37" s="20">
        <v>46054</v>
      </c>
      <c r="C37" s="21">
        <v>817393</v>
      </c>
      <c r="D37" s="9" t="str">
        <f>IF(J37=57036,"ALEXANDRE DA COSTA SOARES",IF(J37=24157,"JOSE MAURICIO GOMES TEIXEIRA",IF(J37=24203,"JOSE MAURICIO GOMES TEIXEIRA",IF(J37=24149,"CHRISTIANO MARCONDES DE BARROS LIMA",IF(J37=24137,"CHRISTIANO MARCONDES DE BARROS LIMA",IF(J37=135152,"ENRICO BORTPLUZO CASSIANO",IF(J37=136568,"ENRICO BORTPLUZO CASSIANO", IF(J37=130976,"MARYLIA CARVALHO PONCE",IF(J37=136668,"ALEXANDRE DA COSTA SOARES",IF(J37=52340,"OFFSHORE LISTED",IF(J37=158778,"CLAUDIO DE SOUZA PACINI",IF(J37=159800,"CLAUDIO DE SOUZA PACINI",_xlfn.XLOOKUP(J37,[1]!Tabela33[ID ORACLE],[1]!Tabela33[BROKER],0,0,1)))))))))))))</f>
        <v>MARYLIA CARVALHO PONCE</v>
      </c>
      <c r="E37" s="22">
        <f t="shared" si="6"/>
        <v>-143.22742675200001</v>
      </c>
      <c r="F37" s="9" t="str">
        <f t="shared" si="7"/>
        <v>REFINITIV</v>
      </c>
      <c r="G37" s="20">
        <f t="shared" si="2"/>
        <v>46054</v>
      </c>
      <c r="H37" s="23">
        <v>1170</v>
      </c>
      <c r="J37" s="41">
        <v>113487</v>
      </c>
      <c r="K37" s="1" t="s">
        <v>42</v>
      </c>
      <c r="L37" s="1" t="s">
        <v>17</v>
      </c>
      <c r="M37" s="29">
        <v>20.685648</v>
      </c>
      <c r="N37" s="2"/>
      <c r="O37" s="1"/>
      <c r="P37" s="26"/>
      <c r="Q37" s="27"/>
      <c r="R37" s="26"/>
      <c r="S37" s="27"/>
      <c r="T37" s="26"/>
      <c r="U37" s="27"/>
    </row>
    <row r="38" spans="1:78" customFormat="1" ht="15" customHeight="1" x14ac:dyDescent="0.25">
      <c r="A38" s="9" t="str">
        <f t="shared" si="3"/>
        <v>CUSTO MARKET DATA - FEVEREIRO/26-CBOE GLOBAL MARKETS-115154</v>
      </c>
      <c r="B38" s="20">
        <v>46054</v>
      </c>
      <c r="C38" s="21">
        <v>817393</v>
      </c>
      <c r="D38" s="9" t="str">
        <f>IF(J38=57036,"ALEXANDRE DA COSTA SOARES",IF(J38=24157,"JOSE MAURICIO GOMES TEIXEIRA",IF(J38=24203,"JOSE MAURICIO GOMES TEIXEIRA",IF(J38=24149,"CHRISTIANO MARCONDES DE BARROS LIMA",IF(J38=24137,"CHRISTIANO MARCONDES DE BARROS LIMA",IF(J38=135152,"ENRICO BORTPLUZO CASSIANO",IF(J38=136568,"ENRICO BORTPLUZO CASSIANO", IF(J38=130976,"MARYLIA CARVALHO PONCE",IF(J38=136668,"ALEXANDRE DA COSTA SOARES",IF(J38=52340,"OFFSHORE LISTED",IF(J38=158778,"CLAUDIO DE SOUZA PACINI",IF(J38=159800,"CLAUDIO DE SOUZA PACINI",_xlfn.XLOOKUP(J38,[1]!Tabela33[ID ORACLE],[1]!Tabela33[BROKER],0,0,1)))))))))))))</f>
        <v>FELIPE DE ANDRADE BASILE</v>
      </c>
      <c r="E38" s="22">
        <f t="shared" si="6"/>
        <v>-1794.1029632834998</v>
      </c>
      <c r="F38" s="9" t="str">
        <f t="shared" si="7"/>
        <v>CBOE GLOBAL MARKETS</v>
      </c>
      <c r="G38" s="20">
        <f t="shared" si="2"/>
        <v>46054</v>
      </c>
      <c r="H38" s="23">
        <v>1170</v>
      </c>
      <c r="J38" s="41">
        <v>115154</v>
      </c>
      <c r="K38" s="1" t="s">
        <v>46</v>
      </c>
      <c r="L38" s="1" t="s">
        <v>12</v>
      </c>
      <c r="M38" s="29">
        <v>348.40333299999998</v>
      </c>
      <c r="N38" s="2"/>
      <c r="O38" s="1"/>
      <c r="P38" s="26"/>
      <c r="Q38" s="27"/>
      <c r="R38" s="26"/>
      <c r="S38" s="27"/>
      <c r="T38" s="26"/>
      <c r="U38" s="27"/>
    </row>
    <row r="39" spans="1:78" customFormat="1" ht="15" customHeight="1" x14ac:dyDescent="0.25">
      <c r="A39" s="9" t="str">
        <f t="shared" si="3"/>
        <v>CUSTO MARKET DATA - FEVEREIRO/26-FIDESSA-115154</v>
      </c>
      <c r="B39" s="20">
        <v>46054</v>
      </c>
      <c r="C39" s="21">
        <v>817393</v>
      </c>
      <c r="D39" s="9" t="str">
        <f>IF(J39=57036,"ALEXANDRE DA COSTA SOARES",IF(J39=24157,"JOSE MAURICIO GOMES TEIXEIRA",IF(J39=24203,"JOSE MAURICIO GOMES TEIXEIRA",IF(J39=24149,"CHRISTIANO MARCONDES DE BARROS LIMA",IF(J39=24137,"CHRISTIANO MARCONDES DE BARROS LIMA",IF(J39=135152,"ENRICO BORTPLUZO CASSIANO",IF(J39=136568,"ENRICO BORTPLUZO CASSIANO", IF(J39=130976,"MARYLIA CARVALHO PONCE",IF(J39=136668,"ALEXANDRE DA COSTA SOARES",IF(J39=52340,"OFFSHORE LISTED",IF(J39=158778,"CLAUDIO DE SOUZA PACINI",IF(J39=159800,"CLAUDIO DE SOUZA PACINI",_xlfn.XLOOKUP(J39,[1]!Tabela33[ID ORACLE],[1]!Tabela33[BROKER],0,0,1)))))))))))))</f>
        <v>FELIPE DE ANDRADE BASILE</v>
      </c>
      <c r="E39" s="22">
        <f t="shared" si="6"/>
        <v>-22.650338374500279</v>
      </c>
      <c r="F39" s="9" t="str">
        <f t="shared" si="7"/>
        <v>FIDESSA</v>
      </c>
      <c r="G39" s="20">
        <f t="shared" si="2"/>
        <v>46054</v>
      </c>
      <c r="H39" s="23">
        <v>1170</v>
      </c>
      <c r="J39" s="41">
        <v>115154</v>
      </c>
      <c r="K39" s="1" t="s">
        <v>47</v>
      </c>
      <c r="L39" s="1" t="s">
        <v>12</v>
      </c>
      <c r="M39" s="29">
        <v>4.3985510000000545</v>
      </c>
      <c r="N39" s="2"/>
      <c r="O39" s="1"/>
      <c r="P39" s="26"/>
      <c r="Q39" s="27"/>
      <c r="R39" s="26"/>
      <c r="S39" s="27"/>
      <c r="T39" s="26"/>
      <c r="U39" s="27"/>
    </row>
    <row r="40" spans="1:78" customFormat="1" ht="15" customHeight="1" x14ac:dyDescent="0.25">
      <c r="A40" s="9" t="str">
        <f t="shared" si="3"/>
        <v>CUSTO MARKET DATA - FEVEREIRO/26-NYSE MARKET INC.-115154</v>
      </c>
      <c r="B40" s="20">
        <v>46054</v>
      </c>
      <c r="C40" s="21">
        <v>817393</v>
      </c>
      <c r="D40" s="9" t="str">
        <f>IF(J40=57036,"ALEXANDRE DA COSTA SOARES",IF(J40=24157,"JOSE MAURICIO GOMES TEIXEIRA",IF(J40=24203,"JOSE MAURICIO GOMES TEIXEIRA",IF(J40=24149,"CHRISTIANO MARCONDES DE BARROS LIMA",IF(J40=24137,"CHRISTIANO MARCONDES DE BARROS LIMA",IF(J40=135152,"ENRICO BORTPLUZO CASSIANO",IF(J40=136568,"ENRICO BORTPLUZO CASSIANO", IF(J40=130976,"MARYLIA CARVALHO PONCE",IF(J40=136668,"ALEXANDRE DA COSTA SOARES",IF(J40=52340,"OFFSHORE LISTED",IF(J40=158778,"CLAUDIO DE SOUZA PACINI",IF(J40=159800,"CLAUDIO DE SOUZA PACINI",_xlfn.XLOOKUP(J40,[1]!Tabela33[ID ORACLE],[1]!Tabela33[BROKER],0,0,1)))))))))))))</f>
        <v>FELIPE DE ANDRADE BASILE</v>
      </c>
      <c r="E40" s="22">
        <f t="shared" si="6"/>
        <v>-1031.6508299999998</v>
      </c>
      <c r="F40" s="9" t="str">
        <f t="shared" si="7"/>
        <v>NYSE MARKET INC.</v>
      </c>
      <c r="G40" s="20">
        <f t="shared" si="2"/>
        <v>46054</v>
      </c>
      <c r="H40" s="23">
        <v>1170</v>
      </c>
      <c r="J40" s="41">
        <v>115154</v>
      </c>
      <c r="K40" s="1" t="s">
        <v>44</v>
      </c>
      <c r="L40" s="1" t="s">
        <v>12</v>
      </c>
      <c r="M40" s="29">
        <v>200.33999999999997</v>
      </c>
      <c r="N40" s="2"/>
      <c r="O40" s="1"/>
      <c r="P40" s="26"/>
      <c r="Q40" s="27"/>
      <c r="R40" s="26"/>
      <c r="S40" s="27"/>
      <c r="T40" s="26"/>
      <c r="U40" s="27"/>
    </row>
    <row r="41" spans="1:78" customFormat="1" ht="15" customHeight="1" x14ac:dyDescent="0.25">
      <c r="A41" s="9" t="str">
        <f t="shared" si="3"/>
        <v>CUSTO MARKET DATA - FEVEREIRO/26-OPTIONS PRICE REPORTING AUTHORITY (OPRA)-115154</v>
      </c>
      <c r="B41" s="20">
        <v>46054</v>
      </c>
      <c r="C41" s="21">
        <v>817393</v>
      </c>
      <c r="D41" s="9" t="str">
        <f>IF(J41=57036,"ALEXANDRE DA COSTA SOARES",IF(J41=24157,"JOSE MAURICIO GOMES TEIXEIRA",IF(J41=24203,"JOSE MAURICIO GOMES TEIXEIRA",IF(J41=24149,"CHRISTIANO MARCONDES DE BARROS LIMA",IF(J41=24137,"CHRISTIANO MARCONDES DE BARROS LIMA",IF(J41=135152,"ENRICO BORTPLUZO CASSIANO",IF(J41=136568,"ENRICO BORTPLUZO CASSIANO", IF(J41=130976,"MARYLIA CARVALHO PONCE",IF(J41=136668,"ALEXANDRE DA COSTA SOARES",IF(J41=52340,"OFFSHORE LISTED",IF(J41=158778,"CLAUDIO DE SOUZA PACINI",IF(J41=159800,"CLAUDIO DE SOUZA PACINI",_xlfn.XLOOKUP(J41,[1]!Tabela33[ID ORACLE],[1]!Tabela33[BROKER],0,0,1)))))))))))))</f>
        <v>FELIPE DE ANDRADE BASILE</v>
      </c>
      <c r="E41" s="22">
        <f t="shared" si="6"/>
        <v>-868.6755918749999</v>
      </c>
      <c r="F41" s="9" t="str">
        <f t="shared" si="7"/>
        <v>OPTIONS PRICE REPORTING AUTHORITY (OPRA)</v>
      </c>
      <c r="G41" s="20">
        <f t="shared" si="2"/>
        <v>46054</v>
      </c>
      <c r="H41" s="23">
        <v>1170</v>
      </c>
      <c r="J41" s="41">
        <v>115154</v>
      </c>
      <c r="K41" s="1" t="s">
        <v>45</v>
      </c>
      <c r="L41" s="1" t="s">
        <v>12</v>
      </c>
      <c r="M41" s="29">
        <v>168.69125</v>
      </c>
      <c r="N41" s="2"/>
      <c r="O41" s="1"/>
      <c r="P41" s="26"/>
      <c r="Q41" s="27"/>
      <c r="R41" s="26"/>
      <c r="S41" s="27"/>
      <c r="T41" s="26"/>
      <c r="U41" s="27"/>
    </row>
    <row r="42" spans="1:78" customFormat="1" ht="15" customHeight="1" x14ac:dyDescent="0.25">
      <c r="A42" s="9" t="str">
        <f t="shared" si="3"/>
        <v>CUSTO MARKET DATA - FEVEREIRO/26-REFINITIV-115154</v>
      </c>
      <c r="B42" s="20">
        <v>46054</v>
      </c>
      <c r="C42" s="21">
        <v>817393</v>
      </c>
      <c r="D42" s="9" t="str">
        <f>IF(J42=57036,"ALEXANDRE DA COSTA SOARES",IF(J42=24157,"JOSE MAURICIO GOMES TEIXEIRA",IF(J42=24203,"JOSE MAURICIO GOMES TEIXEIRA",IF(J42=24149,"CHRISTIANO MARCONDES DE BARROS LIMA",IF(J42=24137,"CHRISTIANO MARCONDES DE BARROS LIMA",IF(J42=135152,"ENRICO BORTPLUZO CASSIANO",IF(J42=136568,"ENRICO BORTPLUZO CASSIANO", IF(J42=130976,"MARYLIA CARVALHO PONCE",IF(J42=136668,"ALEXANDRE DA COSTA SOARES",IF(J42=52340,"OFFSHORE LISTED",IF(J42=158778,"CLAUDIO DE SOUZA PACINI",IF(J42=159800,"CLAUDIO DE SOUZA PACINI",_xlfn.XLOOKUP(J42,[1]!Tabela33[ID ORACLE],[1]!Tabela33[BROKER],0,0,1)))))))))))))</f>
        <v>FELIPE DE ANDRADE BASILE</v>
      </c>
      <c r="E42" s="22">
        <f t="shared" si="6"/>
        <v>-143.22742675200001</v>
      </c>
      <c r="F42" s="9" t="str">
        <f t="shared" si="7"/>
        <v>REFINITIV</v>
      </c>
      <c r="G42" s="20">
        <f t="shared" si="2"/>
        <v>46054</v>
      </c>
      <c r="H42" s="23">
        <v>1170</v>
      </c>
      <c r="J42" s="41">
        <v>115154</v>
      </c>
      <c r="K42" s="1" t="s">
        <v>42</v>
      </c>
      <c r="L42" s="1" t="s">
        <v>17</v>
      </c>
      <c r="M42" s="29">
        <v>20.685648</v>
      </c>
      <c r="N42" s="2"/>
      <c r="O42" s="1"/>
      <c r="P42" s="26"/>
      <c r="Q42" s="27"/>
      <c r="R42" s="26"/>
      <c r="S42" s="27"/>
      <c r="T42" s="26"/>
      <c r="U42" s="27"/>
    </row>
    <row r="43" spans="1:78" customFormat="1" ht="15" customHeight="1" x14ac:dyDescent="0.25">
      <c r="A43" s="9" t="str">
        <f t="shared" si="3"/>
        <v>CUSTO MARKET DATA - FEVEREIRO/26-TORONTO STOCK EXCHANGE-115154</v>
      </c>
      <c r="B43" s="20">
        <v>46054</v>
      </c>
      <c r="C43" s="21">
        <v>817393</v>
      </c>
      <c r="D43" s="9" t="str">
        <f>IF(J43=57036,"ALEXANDRE DA COSTA SOARES",IF(J43=24157,"JOSE MAURICIO GOMES TEIXEIRA",IF(J43=24203,"JOSE MAURICIO GOMES TEIXEIRA",IF(J43=24149,"CHRISTIANO MARCONDES DE BARROS LIMA",IF(J43=24137,"CHRISTIANO MARCONDES DE BARROS LIMA",IF(J43=135152,"ENRICO BORTPLUZO CASSIANO",IF(J43=136568,"ENRICO BORTPLUZO CASSIANO", IF(J43=130976,"MARYLIA CARVALHO PONCE",IF(J43=136668,"ALEXANDRE DA COSTA SOARES",IF(J43=52340,"OFFSHORE LISTED",IF(J43=158778,"CLAUDIO DE SOUZA PACINI",IF(J43=159800,"CLAUDIO DE SOUZA PACINI",_xlfn.XLOOKUP(J43,[1]!Tabela33[ID ORACLE],[1]!Tabela33[BROKER],0,0,1)))))))))))))</f>
        <v>FELIPE DE ANDRADE BASILE</v>
      </c>
      <c r="E43" s="22">
        <f t="shared" si="6"/>
        <v>-519.51898141649997</v>
      </c>
      <c r="F43" s="9" t="str">
        <f t="shared" si="7"/>
        <v>TORONTO STOCK EXCHANGE</v>
      </c>
      <c r="G43" s="20">
        <f t="shared" si="2"/>
        <v>46054</v>
      </c>
      <c r="H43" s="23">
        <v>1170</v>
      </c>
      <c r="J43" s="41">
        <v>115154</v>
      </c>
      <c r="K43" s="1" t="s">
        <v>51</v>
      </c>
      <c r="L43" s="1" t="s">
        <v>12</v>
      </c>
      <c r="M43" s="29">
        <v>100.88726699999999</v>
      </c>
      <c r="N43" s="2"/>
      <c r="O43" s="1"/>
      <c r="P43" s="26"/>
      <c r="Q43" s="27"/>
      <c r="R43" s="26"/>
      <c r="S43" s="27"/>
      <c r="T43" s="26"/>
      <c r="U43" s="27"/>
    </row>
    <row r="44" spans="1:78" customFormat="1" ht="15" customHeight="1" x14ac:dyDescent="0.25">
      <c r="A44" s="9" t="str">
        <f t="shared" si="3"/>
        <v>CUSTO MARKET DATA - FEVEREIRO/26-BLOOMBERG-119734</v>
      </c>
      <c r="B44" s="20">
        <v>46054</v>
      </c>
      <c r="C44" s="21">
        <v>817393</v>
      </c>
      <c r="D44" s="9" t="str">
        <f>IF(J44=57036,"ALEXANDRE DA COSTA SOARES",IF(J44=24157,"JOSE MAURICIO GOMES TEIXEIRA",IF(J44=24203,"JOSE MAURICIO GOMES TEIXEIRA",IF(J44=24149,"CHRISTIANO MARCONDES DE BARROS LIMA",IF(J44=24137,"CHRISTIANO MARCONDES DE BARROS LIMA",IF(J44=135152,"ENRICO BORTPLUZO CASSIANO",IF(J44=136568,"ENRICO BORTPLUZO CASSIANO", IF(J44=130976,"MARYLIA CARVALHO PONCE",IF(J44=136668,"ALEXANDRE DA COSTA SOARES",IF(J44=52340,"OFFSHORE LISTED",IF(J44=158778,"CLAUDIO DE SOUZA PACINI",IF(J44=159800,"CLAUDIO DE SOUZA PACINI",_xlfn.XLOOKUP(J44,[1]!Tabela33[ID ORACLE],[1]!Tabela33[BROKER],0,0,1)))))))))))))</f>
        <v>RAFAEL MARQUES MOREIRA DA COSTA</v>
      </c>
      <c r="E44" s="22">
        <f t="shared" si="6"/>
        <v>-51.494999999999997</v>
      </c>
      <c r="F44" s="9" t="str">
        <f t="shared" si="7"/>
        <v>BLOOMBERG</v>
      </c>
      <c r="G44" s="20">
        <f t="shared" si="2"/>
        <v>46054</v>
      </c>
      <c r="H44" s="23">
        <v>1170</v>
      </c>
      <c r="J44" s="41">
        <v>119734</v>
      </c>
      <c r="K44" s="1" t="s">
        <v>41</v>
      </c>
      <c r="L44" s="1" t="s">
        <v>12</v>
      </c>
      <c r="M44" s="29">
        <v>10</v>
      </c>
      <c r="N44" s="2"/>
      <c r="O44" s="1"/>
      <c r="P44" s="26"/>
      <c r="Q44" s="27"/>
      <c r="R44" s="26"/>
      <c r="S44" s="27"/>
      <c r="T44" s="26"/>
      <c r="U44" s="27"/>
    </row>
    <row r="45" spans="1:78" customFormat="1" ht="15" customHeight="1" x14ac:dyDescent="0.25">
      <c r="A45" s="9" t="str">
        <f t="shared" si="3"/>
        <v>CUSTO MARKET DATA - FEVEREIRO/26-BROADCAST-119734</v>
      </c>
      <c r="B45" s="20">
        <v>46054</v>
      </c>
      <c r="C45" s="21">
        <v>817393</v>
      </c>
      <c r="D45" s="9" t="str">
        <f>IF(J45=57036,"ALEXANDRE DA COSTA SOARES",IF(J45=24157,"JOSE MAURICIO GOMES TEIXEIRA",IF(J45=24203,"JOSE MAURICIO GOMES TEIXEIRA",IF(J45=24149,"CHRISTIANO MARCONDES DE BARROS LIMA",IF(J45=24137,"CHRISTIANO MARCONDES DE BARROS LIMA",IF(J45=135152,"ENRICO BORTPLUZO CASSIANO",IF(J45=136568,"ENRICO BORTPLUZO CASSIANO", IF(J45=130976,"MARYLIA CARVALHO PONCE",IF(J45=136668,"ALEXANDRE DA COSTA SOARES",IF(J45=52340,"OFFSHORE LISTED",IF(J45=158778,"CLAUDIO DE SOUZA PACINI",IF(J45=159800,"CLAUDIO DE SOUZA PACINI",_xlfn.XLOOKUP(J45,[1]!Tabela33[ID ORACLE],[1]!Tabela33[BROKER],0,0,1)))))))))))))</f>
        <v>RAFAEL MARQUES MOREIRA DA COSTA</v>
      </c>
      <c r="E45" s="22">
        <f t="shared" si="6"/>
        <v>-2598.0012019999999</v>
      </c>
      <c r="F45" s="9" t="str">
        <f t="shared" si="7"/>
        <v>BROADCAST</v>
      </c>
      <c r="G45" s="20">
        <f t="shared" si="2"/>
        <v>46054</v>
      </c>
      <c r="H45" s="23">
        <v>1170</v>
      </c>
      <c r="J45" s="41">
        <v>119734</v>
      </c>
      <c r="K45" s="1" t="s">
        <v>48</v>
      </c>
      <c r="L45" s="1" t="s">
        <v>49</v>
      </c>
      <c r="M45" s="29">
        <v>2598.0012019999999</v>
      </c>
      <c r="N45" s="2"/>
      <c r="O45" s="1"/>
      <c r="P45" s="26"/>
      <c r="Q45" s="27"/>
      <c r="R45" s="26"/>
      <c r="S45" s="27"/>
      <c r="T45" s="26"/>
      <c r="U45" s="27"/>
    </row>
    <row r="46" spans="1:78" ht="15" customHeight="1" x14ac:dyDescent="0.25">
      <c r="A46" s="9" t="str">
        <f t="shared" si="3"/>
        <v>CUSTO MARKET DATA - FEVEREIRO/26-BLOOMBERG-122758</v>
      </c>
      <c r="B46" s="20">
        <v>46054</v>
      </c>
      <c r="C46" s="21">
        <v>817393</v>
      </c>
      <c r="D46" s="9" t="str">
        <f>IF(J46=57036,"ALEXANDRE DA COSTA SOARES",IF(J46=24157,"JOSE MAURICIO GOMES TEIXEIRA",IF(J46=24203,"JOSE MAURICIO GOMES TEIXEIRA",IF(J46=24149,"CHRISTIANO MARCONDES DE BARROS LIMA",IF(J46=24137,"CHRISTIANO MARCONDES DE BARROS LIMA",IF(J46=135152,"ENRICO BORTPLUZO CASSIANO",IF(J46=136568,"ENRICO BORTPLUZO CASSIANO", IF(J46=130976,"MARYLIA CARVALHO PONCE",IF(J46=136668,"ALEXANDRE DA COSTA SOARES",IF(J46=52340,"OFFSHORE LISTED",IF(J46=158778,"CLAUDIO DE SOUZA PACINI",IF(J46=159800,"CLAUDIO DE SOUZA PACINI",_xlfn.XLOOKUP(J46,[1]!Tabela33[ID ORACLE],[1]!Tabela33[BROKER],0,0,1)))))))))))))</f>
        <v>ANDRE FERREIRA DOS SANTOS</v>
      </c>
      <c r="E46" s="22">
        <f t="shared" si="6"/>
        <v>-6182.0373885179997</v>
      </c>
      <c r="F46" s="9" t="str">
        <f t="shared" si="7"/>
        <v>BLOOMBERG</v>
      </c>
      <c r="G46" s="20">
        <f t="shared" si="2"/>
        <v>46054</v>
      </c>
      <c r="H46" s="23">
        <v>1170</v>
      </c>
      <c r="J46" s="41">
        <v>122758</v>
      </c>
      <c r="K46" s="1" t="s">
        <v>41</v>
      </c>
      <c r="L46" s="1" t="s">
        <v>12</v>
      </c>
      <c r="M46" s="29">
        <v>1200.512164</v>
      </c>
      <c r="N46" s="2"/>
      <c r="Q46" s="27"/>
      <c r="S46" s="27"/>
      <c r="U46" s="27"/>
    </row>
    <row r="47" spans="1:78" s="25" customFormat="1" ht="15" customHeight="1" x14ac:dyDescent="0.25">
      <c r="A47" s="9" t="str">
        <f t="shared" si="3"/>
        <v>CUSTO MARKET DATA - FEVEREIRO/26-REFINITIV-122758</v>
      </c>
      <c r="B47" s="20">
        <v>46054</v>
      </c>
      <c r="C47" s="21">
        <v>817393</v>
      </c>
      <c r="D47" s="9" t="str">
        <f>IF(J47=57036,"ALEXANDRE DA COSTA SOARES",IF(J47=24157,"JOSE MAURICIO GOMES TEIXEIRA",IF(J47=24203,"JOSE MAURICIO GOMES TEIXEIRA",IF(J47=24149,"CHRISTIANO MARCONDES DE BARROS LIMA",IF(J47=24137,"CHRISTIANO MARCONDES DE BARROS LIMA",IF(J47=135152,"ENRICO BORTPLUZO CASSIANO",IF(J47=136568,"ENRICO BORTPLUZO CASSIANO", IF(J47=130976,"MARYLIA CARVALHO PONCE",IF(J47=136668,"ALEXANDRE DA COSTA SOARES",IF(J47=52340,"OFFSHORE LISTED",IF(J47=158778,"CLAUDIO DE SOUZA PACINI",IF(J47=159800,"CLAUDIO DE SOUZA PACINI",_xlfn.XLOOKUP(J47,[1]!Tabela33[ID ORACLE],[1]!Tabela33[BROKER],0,0,1)))))))))))))</f>
        <v>ANDRE FERREIRA DOS SANTOS</v>
      </c>
      <c r="E47" s="22">
        <f t="shared" si="6"/>
        <v>-143.22742675200001</v>
      </c>
      <c r="F47" s="9" t="str">
        <f t="shared" si="7"/>
        <v>REFINITIV</v>
      </c>
      <c r="G47" s="20">
        <f t="shared" si="2"/>
        <v>46054</v>
      </c>
      <c r="H47" s="23">
        <v>1170</v>
      </c>
      <c r="I47"/>
      <c r="J47" s="41">
        <v>122758</v>
      </c>
      <c r="K47" s="1" t="s">
        <v>42</v>
      </c>
      <c r="L47" s="1" t="s">
        <v>17</v>
      </c>
      <c r="M47" s="29">
        <v>20.685648</v>
      </c>
      <c r="N47" s="2"/>
      <c r="O47" s="1"/>
      <c r="P47" s="26"/>
      <c r="Q47" s="27"/>
      <c r="R47" s="26"/>
      <c r="S47" s="27"/>
      <c r="T47" s="26"/>
      <c r="U47" s="27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s="25" customFormat="1" ht="15" customHeight="1" x14ac:dyDescent="0.25">
      <c r="A48" s="9" t="str">
        <f t="shared" si="3"/>
        <v>CUSTO MARKET DATA - FEVEREIRO/26-REFINITIV-125254</v>
      </c>
      <c r="B48" s="20">
        <v>46054</v>
      </c>
      <c r="C48" s="21">
        <v>817393</v>
      </c>
      <c r="D48" s="9" t="str">
        <f>IF(J48=57036,"ALEXANDRE DA COSTA SOARES",IF(J48=24157,"JOSE MAURICIO GOMES TEIXEIRA",IF(J48=24203,"JOSE MAURICIO GOMES TEIXEIRA",IF(J48=24149,"CHRISTIANO MARCONDES DE BARROS LIMA",IF(J48=24137,"CHRISTIANO MARCONDES DE BARROS LIMA",IF(J48=135152,"ENRICO BORTPLUZO CASSIANO",IF(J48=136568,"ENRICO BORTPLUZO CASSIANO", IF(J48=130976,"MARYLIA CARVALHO PONCE",IF(J48=136668,"ALEXANDRE DA COSTA SOARES",IF(J48=52340,"OFFSHORE LISTED",IF(J48=158778,"CLAUDIO DE SOUZA PACINI",IF(J48=159800,"CLAUDIO DE SOUZA PACINI",_xlfn.XLOOKUP(J48,[1]!Tabela33[ID ORACLE],[1]!Tabela33[BROKER],0,0,1)))))))))))))</f>
        <v>GUSTAVO D ELBOUX FERRIELLO</v>
      </c>
      <c r="E48" s="22">
        <f t="shared" si="6"/>
        <v>-143.22742675200001</v>
      </c>
      <c r="F48" s="9" t="str">
        <f t="shared" si="7"/>
        <v>REFINITIV</v>
      </c>
      <c r="G48" s="20">
        <f t="shared" si="2"/>
        <v>46054</v>
      </c>
      <c r="H48" s="23">
        <v>1170</v>
      </c>
      <c r="I48"/>
      <c r="J48" s="41">
        <v>125254</v>
      </c>
      <c r="K48" s="1" t="s">
        <v>42</v>
      </c>
      <c r="L48" s="1" t="s">
        <v>17</v>
      </c>
      <c r="M48" s="29">
        <v>20.685648</v>
      </c>
      <c r="N48" s="2"/>
      <c r="O48" s="1"/>
      <c r="P48" s="26"/>
      <c r="Q48" s="27"/>
      <c r="R48" s="26"/>
      <c r="S48" s="27"/>
      <c r="T48" s="26"/>
      <c r="U48" s="27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s="25" customFormat="1" ht="15" customHeight="1" x14ac:dyDescent="0.25">
      <c r="A49" s="9" t="str">
        <f t="shared" si="3"/>
        <v>CUSTO MARKET DATA - FEVEREIRO/26-FIDESSA-125412</v>
      </c>
      <c r="B49" s="20">
        <v>46054</v>
      </c>
      <c r="C49" s="21">
        <v>817393</v>
      </c>
      <c r="D49" s="9" t="str">
        <f>IF(J49=57036,"ALEXANDRE DA COSTA SOARES",IF(J49=24157,"JOSE MAURICIO GOMES TEIXEIRA",IF(J49=24203,"JOSE MAURICIO GOMES TEIXEIRA",IF(J49=24149,"CHRISTIANO MARCONDES DE BARROS LIMA",IF(J49=24137,"CHRISTIANO MARCONDES DE BARROS LIMA",IF(J49=135152,"ENRICO BORTPLUZO CASSIANO",IF(J49=136568,"ENRICO BORTPLUZO CASSIANO", IF(J49=130976,"MARYLIA CARVALHO PONCE",IF(J49=136668,"ALEXANDRE DA COSTA SOARES",IF(J49=52340,"OFFSHORE LISTED",IF(J49=158778,"CLAUDIO DE SOUZA PACINI",IF(J49=159800,"CLAUDIO DE SOUZA PACINI",_xlfn.XLOOKUP(J49,[1]!Tabela33[ID ORACLE],[1]!Tabela33[BROKER],0,0,1)))))))))))))</f>
        <v>GUSTAVO VALERIO FERREIRA DE ALBUQUERQUE</v>
      </c>
      <c r="E49" s="22">
        <f t="shared" si="6"/>
        <v>-1814.2682353499999</v>
      </c>
      <c r="F49" s="9" t="str">
        <f t="shared" si="7"/>
        <v>FIDESSA</v>
      </c>
      <c r="G49" s="20">
        <f t="shared" si="2"/>
        <v>46054</v>
      </c>
      <c r="H49" s="23">
        <v>1170</v>
      </c>
      <c r="I49"/>
      <c r="J49" s="41">
        <v>125412</v>
      </c>
      <c r="K49" s="1" t="s">
        <v>47</v>
      </c>
      <c r="L49" s="1" t="s">
        <v>12</v>
      </c>
      <c r="M49" s="29">
        <v>352.3193</v>
      </c>
      <c r="N49" s="2"/>
      <c r="O49" s="1"/>
      <c r="P49" s="26"/>
      <c r="Q49" s="27"/>
      <c r="R49" s="26"/>
      <c r="S49" s="27"/>
      <c r="T49" s="26"/>
      <c r="U49" s="27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customFormat="1" ht="15" customHeight="1" x14ac:dyDescent="0.25">
      <c r="A50" s="9" t="str">
        <f t="shared" si="3"/>
        <v>CUSTO MARKET DATA - FEVEREIRO/26-NYSE MARKET INC.-125412</v>
      </c>
      <c r="B50" s="20">
        <v>46054</v>
      </c>
      <c r="C50" s="21">
        <v>817393</v>
      </c>
      <c r="D50" s="9" t="str">
        <f>IF(J50=57036,"ALEXANDRE DA COSTA SOARES",IF(J50=24157,"JOSE MAURICIO GOMES TEIXEIRA",IF(J50=24203,"JOSE MAURICIO GOMES TEIXEIRA",IF(J50=24149,"CHRISTIANO MARCONDES DE BARROS LIMA",IF(J50=24137,"CHRISTIANO MARCONDES DE BARROS LIMA",IF(J50=135152,"ENRICO BORTPLUZO CASSIANO",IF(J50=136568,"ENRICO BORTPLUZO CASSIANO", IF(J50=130976,"MARYLIA CARVALHO PONCE",IF(J50=136668,"ALEXANDRE DA COSTA SOARES",IF(J50=52340,"OFFSHORE LISTED",IF(J50=158778,"CLAUDIO DE SOUZA PACINI",IF(J50=159800,"CLAUDIO DE SOUZA PACINI",_xlfn.XLOOKUP(J50,[1]!Tabela33[ID ORACLE],[1]!Tabela33[BROKER],0,0,1)))))))))))))</f>
        <v>GUSTAVO VALERIO FERREIRA DE ALBUQUERQUE</v>
      </c>
      <c r="E50" s="22">
        <f t="shared" si="6"/>
        <v>-1311.9252412499998</v>
      </c>
      <c r="F50" s="9" t="str">
        <f t="shared" si="7"/>
        <v>NYSE MARKET INC.</v>
      </c>
      <c r="G50" s="20">
        <f t="shared" si="2"/>
        <v>46054</v>
      </c>
      <c r="H50" s="23">
        <v>1170</v>
      </c>
      <c r="J50" s="41">
        <v>125412</v>
      </c>
      <c r="K50" s="1" t="s">
        <v>44</v>
      </c>
      <c r="L50" s="1" t="s">
        <v>12</v>
      </c>
      <c r="M50" s="29">
        <v>254.76749999999998</v>
      </c>
      <c r="N50" s="2"/>
      <c r="O50" s="1"/>
      <c r="P50" s="26"/>
      <c r="Q50" s="27"/>
      <c r="R50" s="26"/>
      <c r="S50" s="27"/>
      <c r="T50" s="26"/>
      <c r="U50" s="27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customFormat="1" ht="15" customHeight="1" x14ac:dyDescent="0.25">
      <c r="A51" s="9" t="str">
        <f t="shared" si="3"/>
        <v>CUSTO MARKET DATA - FEVEREIRO/26-REFINITIV-125412</v>
      </c>
      <c r="B51" s="20">
        <v>46054</v>
      </c>
      <c r="C51" s="21">
        <v>817393</v>
      </c>
      <c r="D51" s="9" t="str">
        <f>IF(J51=57036,"ALEXANDRE DA COSTA SOARES",IF(J51=24157,"JOSE MAURICIO GOMES TEIXEIRA",IF(J51=24203,"JOSE MAURICIO GOMES TEIXEIRA",IF(J51=24149,"CHRISTIANO MARCONDES DE BARROS LIMA",IF(J51=24137,"CHRISTIANO MARCONDES DE BARROS LIMA",IF(J51=135152,"ENRICO BORTPLUZO CASSIANO",IF(J51=136568,"ENRICO BORTPLUZO CASSIANO", IF(J51=130976,"MARYLIA CARVALHO PONCE",IF(J51=136668,"ALEXANDRE DA COSTA SOARES",IF(J51=52340,"OFFSHORE LISTED",IF(J51=158778,"CLAUDIO DE SOUZA PACINI",IF(J51=159800,"CLAUDIO DE SOUZA PACINI",_xlfn.XLOOKUP(J51,[1]!Tabela33[ID ORACLE],[1]!Tabela33[BROKER],0,0,1)))))))))))))</f>
        <v>GUSTAVO VALERIO FERREIRA DE ALBUQUERQUE</v>
      </c>
      <c r="E51" s="22">
        <f t="shared" si="6"/>
        <v>-143.22742675200001</v>
      </c>
      <c r="F51" s="9" t="str">
        <f t="shared" si="7"/>
        <v>REFINITIV</v>
      </c>
      <c r="G51" s="20">
        <f t="shared" si="2"/>
        <v>46054</v>
      </c>
      <c r="H51" s="23">
        <v>1170</v>
      </c>
      <c r="J51" s="41">
        <v>125412</v>
      </c>
      <c r="K51" s="1" t="s">
        <v>42</v>
      </c>
      <c r="L51" s="1" t="s">
        <v>17</v>
      </c>
      <c r="M51" s="29">
        <v>20.685648</v>
      </c>
      <c r="N51" s="2"/>
      <c r="O51" s="1"/>
      <c r="P51" s="26"/>
      <c r="Q51" s="27"/>
      <c r="R51" s="26"/>
      <c r="S51" s="27"/>
      <c r="T51" s="26"/>
      <c r="U51" s="27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customFormat="1" ht="15" customHeight="1" x14ac:dyDescent="0.25">
      <c r="A52" s="9" t="str">
        <f t="shared" si="3"/>
        <v>CUSTO MARKET DATA - FEVEREIRO/26-REFINITIV-125524</v>
      </c>
      <c r="B52" s="20">
        <v>46054</v>
      </c>
      <c r="C52" s="21">
        <v>817393</v>
      </c>
      <c r="D52" s="9" t="str">
        <f>IF(J52=57036,"ALEXANDRE DA COSTA SOARES",IF(J52=24157,"JOSE MAURICIO GOMES TEIXEIRA",IF(J52=24203,"JOSE MAURICIO GOMES TEIXEIRA",IF(J52=24149,"CHRISTIANO MARCONDES DE BARROS LIMA",IF(J52=24137,"CHRISTIANO MARCONDES DE BARROS LIMA",IF(J52=135152,"ENRICO BORTPLUZO CASSIANO",IF(J52=136568,"ENRICO BORTPLUZO CASSIANO", IF(J52=130976,"MARYLIA CARVALHO PONCE",IF(J52=136668,"ALEXANDRE DA COSTA SOARES",IF(J52=52340,"OFFSHORE LISTED",IF(J52=158778,"CLAUDIO DE SOUZA PACINI",IF(J52=159800,"CLAUDIO DE SOUZA PACINI",_xlfn.XLOOKUP(J52,[1]!Tabela33[ID ORACLE],[1]!Tabela33[BROKER],0,0,1)))))))))))))</f>
        <v>JUAREZ JOAQUIM DE LACERDA</v>
      </c>
      <c r="E52" s="22">
        <f t="shared" si="6"/>
        <v>-143.22742675200001</v>
      </c>
      <c r="F52" s="9" t="str">
        <f t="shared" si="7"/>
        <v>REFINITIV</v>
      </c>
      <c r="G52" s="20">
        <f t="shared" si="2"/>
        <v>46054</v>
      </c>
      <c r="H52" s="23">
        <v>1170</v>
      </c>
      <c r="J52" s="41">
        <v>125524</v>
      </c>
      <c r="K52" s="1" t="s">
        <v>42</v>
      </c>
      <c r="L52" s="1" t="s">
        <v>17</v>
      </c>
      <c r="M52" s="29">
        <v>20.685648</v>
      </c>
      <c r="N52" s="2"/>
      <c r="O52" s="1"/>
      <c r="P52" s="26"/>
      <c r="Q52" s="27"/>
      <c r="R52" s="26"/>
      <c r="S52" s="27"/>
      <c r="T52" s="26"/>
      <c r="U52" s="27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customFormat="1" ht="15" customHeight="1" x14ac:dyDescent="0.25">
      <c r="A53" s="9" t="str">
        <f t="shared" si="3"/>
        <v>CUSTO MARKET DATA - FEVEREIRO/26-BLOOMBERG-127165</v>
      </c>
      <c r="B53" s="20">
        <v>46054</v>
      </c>
      <c r="C53" s="21">
        <v>817393</v>
      </c>
      <c r="D53" s="9" t="str">
        <f>IF(J53=57036,"ALEXANDRE DA COSTA SOARES",IF(J53=24157,"JOSE MAURICIO GOMES TEIXEIRA",IF(J53=24203,"JOSE MAURICIO GOMES TEIXEIRA",IF(J53=24149,"CHRISTIANO MARCONDES DE BARROS LIMA",IF(J53=24137,"CHRISTIANO MARCONDES DE BARROS LIMA",IF(J53=135152,"ENRICO BORTPLUZO CASSIANO",IF(J53=136568,"ENRICO BORTPLUZO CASSIANO", IF(J53=130976,"MARYLIA CARVALHO PONCE",IF(J53=136668,"ALEXANDRE DA COSTA SOARES",IF(J53=52340,"OFFSHORE LISTED",IF(J53=158778,"CLAUDIO DE SOUZA PACINI",IF(J53=159800,"CLAUDIO DE SOUZA PACINI",_xlfn.XLOOKUP(J53,[1]!Tabela33[ID ORACLE],[1]!Tabela33[BROKER],0,0,1)))))))))))))</f>
        <v>RODRIGO PENTAGNA</v>
      </c>
      <c r="E53" s="22">
        <f t="shared" si="6"/>
        <v>-12589.107921886502</v>
      </c>
      <c r="F53" s="9" t="str">
        <f t="shared" si="7"/>
        <v>BLOOMBERG</v>
      </c>
      <c r="G53" s="20">
        <f t="shared" si="2"/>
        <v>46054</v>
      </c>
      <c r="H53" s="23">
        <v>1170</v>
      </c>
      <c r="J53" s="41">
        <v>127165</v>
      </c>
      <c r="K53" s="1" t="s">
        <v>41</v>
      </c>
      <c r="L53" s="1" t="s">
        <v>12</v>
      </c>
      <c r="M53" s="29">
        <v>2444.7243270000004</v>
      </c>
      <c r="N53" s="2"/>
      <c r="O53" s="1"/>
      <c r="P53" s="26"/>
      <c r="Q53" s="27"/>
      <c r="R53" s="26"/>
      <c r="S53" s="27"/>
      <c r="T53" s="26"/>
      <c r="U53" s="27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customFormat="1" ht="15" customHeight="1" x14ac:dyDescent="0.25">
      <c r="A54" s="9" t="str">
        <f t="shared" si="3"/>
        <v>CUSTO MARKET DATA - FEVEREIRO/26-OPTIONS PRICE REPORTING AUTHORITY (OPRA)-127165</v>
      </c>
      <c r="B54" s="20">
        <v>46054</v>
      </c>
      <c r="C54" s="21">
        <v>817393</v>
      </c>
      <c r="D54" s="9" t="str">
        <f>IF(J54=57036,"ALEXANDRE DA COSTA SOARES",IF(J54=24157,"JOSE MAURICIO GOMES TEIXEIRA",IF(J54=24203,"JOSE MAURICIO GOMES TEIXEIRA",IF(J54=24149,"CHRISTIANO MARCONDES DE BARROS LIMA",IF(J54=24137,"CHRISTIANO MARCONDES DE BARROS LIMA",IF(J54=135152,"ENRICO BORTPLUZO CASSIANO",IF(J54=136568,"ENRICO BORTPLUZO CASSIANO", IF(J54=130976,"MARYLIA CARVALHO PONCE",IF(J54=136668,"ALEXANDRE DA COSTA SOARES",IF(J54=52340,"OFFSHORE LISTED",IF(J54=158778,"CLAUDIO DE SOUZA PACINI",IF(J54=159800,"CLAUDIO DE SOUZA PACINI",_xlfn.XLOOKUP(J54,[1]!Tabela33[ID ORACLE],[1]!Tabela33[BROKER],0,0,1)))))))))))))</f>
        <v>RODRIGO PENTAGNA</v>
      </c>
      <c r="E54" s="22">
        <f t="shared" si="6"/>
        <v>-162.20925</v>
      </c>
      <c r="F54" s="9" t="str">
        <f t="shared" si="7"/>
        <v>OPTIONS PRICE REPORTING AUTHORITY (OPRA)</v>
      </c>
      <c r="G54" s="20">
        <f t="shared" si="2"/>
        <v>46054</v>
      </c>
      <c r="H54" s="23">
        <v>1170</v>
      </c>
      <c r="J54" s="41">
        <v>127165</v>
      </c>
      <c r="K54" s="1" t="s">
        <v>45</v>
      </c>
      <c r="L54" s="1" t="s">
        <v>12</v>
      </c>
      <c r="M54" s="29">
        <v>31.5</v>
      </c>
      <c r="N54" s="2"/>
      <c r="O54" s="1"/>
      <c r="P54" s="26"/>
      <c r="Q54" s="27"/>
      <c r="R54" s="26"/>
      <c r="S54" s="27"/>
      <c r="T54" s="26"/>
      <c r="U54" s="27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customFormat="1" ht="15" customHeight="1" x14ac:dyDescent="0.25">
      <c r="A55" s="9" t="str">
        <f t="shared" si="3"/>
        <v>CUSTO MARKET DATA - FEVEREIRO/26-REFINITIV-127165</v>
      </c>
      <c r="B55" s="20">
        <v>46054</v>
      </c>
      <c r="C55" s="21">
        <v>817393</v>
      </c>
      <c r="D55" s="9" t="str">
        <f>IF(J55=57036,"ALEXANDRE DA COSTA SOARES",IF(J55=24157,"JOSE MAURICIO GOMES TEIXEIRA",IF(J55=24203,"JOSE MAURICIO GOMES TEIXEIRA",IF(J55=24149,"CHRISTIANO MARCONDES DE BARROS LIMA",IF(J55=24137,"CHRISTIANO MARCONDES DE BARROS LIMA",IF(J55=135152,"ENRICO BORTPLUZO CASSIANO",IF(J55=136568,"ENRICO BORTPLUZO CASSIANO", IF(J55=130976,"MARYLIA CARVALHO PONCE",IF(J55=136668,"ALEXANDRE DA COSTA SOARES",IF(J55=52340,"OFFSHORE LISTED",IF(J55=158778,"CLAUDIO DE SOUZA PACINI",IF(J55=159800,"CLAUDIO DE SOUZA PACINI",_xlfn.XLOOKUP(J55,[1]!Tabela33[ID ORACLE],[1]!Tabela33[BROKER],0,0,1)))))))))))))</f>
        <v>RODRIGO PENTAGNA</v>
      </c>
      <c r="E55" s="22">
        <f t="shared" si="6"/>
        <v>-143.22742675200001</v>
      </c>
      <c r="F55" s="9" t="str">
        <f t="shared" si="7"/>
        <v>REFINITIV</v>
      </c>
      <c r="G55" s="20">
        <f t="shared" si="2"/>
        <v>46054</v>
      </c>
      <c r="H55" s="23">
        <v>1170</v>
      </c>
      <c r="J55" s="41">
        <v>127165</v>
      </c>
      <c r="K55" s="1" t="s">
        <v>42</v>
      </c>
      <c r="L55" s="1" t="s">
        <v>17</v>
      </c>
      <c r="M55" s="29">
        <v>20.685648</v>
      </c>
      <c r="N55" s="2"/>
      <c r="O55" s="1"/>
      <c r="P55" s="26"/>
      <c r="Q55" s="27"/>
      <c r="R55" s="26"/>
      <c r="S55" s="27"/>
      <c r="T55" s="26"/>
      <c r="U55" s="27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customFormat="1" ht="15" customHeight="1" x14ac:dyDescent="0.25">
      <c r="A56" s="9" t="str">
        <f t="shared" si="3"/>
        <v>CUSTO MARKET DATA - FEVEREIRO/26-REFINITIV-130976</v>
      </c>
      <c r="B56" s="20">
        <v>46054</v>
      </c>
      <c r="C56" s="21">
        <v>817393</v>
      </c>
      <c r="D56" s="9" t="str">
        <f>IF(J56=57036,"ALEXANDRE DA COSTA SOARES",IF(J56=24157,"JOSE MAURICIO GOMES TEIXEIRA",IF(J56=24203,"JOSE MAURICIO GOMES TEIXEIRA",IF(J56=24149,"CHRISTIANO MARCONDES DE BARROS LIMA",IF(J56=24137,"CHRISTIANO MARCONDES DE BARROS LIMA",IF(J56=135152,"ENRICO BORTPLUZO CASSIANO",IF(J56=136568,"ENRICO BORTPLUZO CASSIANO", IF(J56=130976,"MARYLIA CARVALHO PONCE",IF(J56=136668,"ALEXANDRE DA COSTA SOARES",IF(J56=52340,"OFFSHORE LISTED",IF(J56=158778,"CLAUDIO DE SOUZA PACINI",IF(J56=159800,"CLAUDIO DE SOUZA PACINI",_xlfn.XLOOKUP(J56,[1]!Tabela33[ID ORACLE],[1]!Tabela33[BROKER],0,0,1)))))))))))))</f>
        <v>MARYLIA CARVALHO PONCE</v>
      </c>
      <c r="E56" s="22">
        <f t="shared" si="6"/>
        <v>-143.22742675200001</v>
      </c>
      <c r="F56" s="9" t="str">
        <f t="shared" si="7"/>
        <v>REFINITIV</v>
      </c>
      <c r="G56" s="20">
        <f t="shared" si="2"/>
        <v>46054</v>
      </c>
      <c r="H56" s="23">
        <v>1170</v>
      </c>
      <c r="J56" s="41">
        <v>130976</v>
      </c>
      <c r="K56" s="1" t="s">
        <v>42</v>
      </c>
      <c r="L56" s="1" t="s">
        <v>17</v>
      </c>
      <c r="M56" s="29">
        <v>20.685648</v>
      </c>
      <c r="N56" s="2"/>
      <c r="O56" s="1"/>
      <c r="P56" s="26"/>
      <c r="Q56" s="27"/>
      <c r="R56" s="26"/>
      <c r="S56" s="27"/>
      <c r="T56" s="26"/>
      <c r="U56" s="27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customFormat="1" ht="15" customHeight="1" x14ac:dyDescent="0.25">
      <c r="A57" s="9" t="str">
        <f t="shared" si="3"/>
        <v>CUSTO MARKET DATA - FEVEREIRO/26-BLOOMBERG-131299</v>
      </c>
      <c r="B57" s="20">
        <v>46054</v>
      </c>
      <c r="C57" s="21">
        <v>817393</v>
      </c>
      <c r="D57" s="9" t="str">
        <f>IF(J57=57036,"ALEXANDRE DA COSTA SOARES",IF(J57=24157,"JOSE MAURICIO GOMES TEIXEIRA",IF(J57=24203,"JOSE MAURICIO GOMES TEIXEIRA",IF(J57=24149,"CHRISTIANO MARCONDES DE BARROS LIMA",IF(J57=24137,"CHRISTIANO MARCONDES DE BARROS LIMA",IF(J57=135152,"ENRICO BORTPLUZO CASSIANO",IF(J57=136568,"ENRICO BORTPLUZO CASSIANO", IF(J57=130976,"MARYLIA CARVALHO PONCE",IF(J57=136668,"ALEXANDRE DA COSTA SOARES",IF(J57=52340,"OFFSHORE LISTED",IF(J57=158778,"CLAUDIO DE SOUZA PACINI",IF(J57=159800,"CLAUDIO DE SOUZA PACINI",_xlfn.XLOOKUP(J57,[1]!Tabela33[ID ORACLE],[1]!Tabela33[BROKER],0,0,1)))))))))))))</f>
        <v>RODRIGO BETTI MARQUES</v>
      </c>
      <c r="E57" s="22">
        <f t="shared" si="6"/>
        <v>-12913.526421886501</v>
      </c>
      <c r="F57" s="9" t="str">
        <f t="shared" si="7"/>
        <v>BLOOMBERG</v>
      </c>
      <c r="G57" s="20">
        <f t="shared" si="2"/>
        <v>46054</v>
      </c>
      <c r="H57" s="23">
        <v>1170</v>
      </c>
      <c r="J57" s="41">
        <v>131299</v>
      </c>
      <c r="K57" s="1" t="s">
        <v>41</v>
      </c>
      <c r="L57" s="1" t="s">
        <v>12</v>
      </c>
      <c r="M57" s="29">
        <v>2507.7243270000004</v>
      </c>
      <c r="N57" s="2"/>
      <c r="O57" s="1"/>
      <c r="P57" s="26"/>
      <c r="Q57" s="27"/>
      <c r="R57" s="26"/>
      <c r="S57" s="27"/>
      <c r="T57" s="26"/>
      <c r="U57" s="27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customFormat="1" ht="15" customHeight="1" x14ac:dyDescent="0.25">
      <c r="A58" s="9" t="str">
        <f t="shared" si="3"/>
        <v>CUSTO MARKET DATA - FEVEREIRO/26-BLOOMBERG-132975</v>
      </c>
      <c r="B58" s="20">
        <v>46054</v>
      </c>
      <c r="C58" s="21">
        <v>817393</v>
      </c>
      <c r="D58" s="9" t="str">
        <f>IF(J58=57036,"ALEXANDRE DA COSTA SOARES",IF(J58=24157,"JOSE MAURICIO GOMES TEIXEIRA",IF(J58=24203,"JOSE MAURICIO GOMES TEIXEIRA",IF(J58=24149,"CHRISTIANO MARCONDES DE BARROS LIMA",IF(J58=24137,"CHRISTIANO MARCONDES DE BARROS LIMA",IF(J58=135152,"ENRICO BORTPLUZO CASSIANO",IF(J58=136568,"ENRICO BORTPLUZO CASSIANO", IF(J58=130976,"MARYLIA CARVALHO PONCE",IF(J58=136668,"ALEXANDRE DA COSTA SOARES",IF(J58=52340,"OFFSHORE LISTED",IF(J58=158778,"CLAUDIO DE SOUZA PACINI",IF(J58=159800,"CLAUDIO DE SOUZA PACINI",_xlfn.XLOOKUP(J58,[1]!Tabela33[ID ORACLE],[1]!Tabela33[BROKER],0,0,1)))))))))))))</f>
        <v>MATHEUS NACIF NESRALLAH</v>
      </c>
      <c r="E58" s="22">
        <f t="shared" si="6"/>
        <v>-51.494999999999997</v>
      </c>
      <c r="F58" s="9" t="str">
        <f t="shared" si="7"/>
        <v>BLOOMBERG</v>
      </c>
      <c r="G58" s="20">
        <f t="shared" si="2"/>
        <v>46054</v>
      </c>
      <c r="H58" s="23">
        <v>1170</v>
      </c>
      <c r="J58" s="41">
        <v>132975</v>
      </c>
      <c r="K58" s="1" t="s">
        <v>41</v>
      </c>
      <c r="L58" s="1" t="s">
        <v>12</v>
      </c>
      <c r="M58" s="29">
        <v>10</v>
      </c>
      <c r="N58" s="2"/>
      <c r="O58" s="1"/>
      <c r="P58" s="26"/>
      <c r="Q58" s="27"/>
      <c r="R58" s="26"/>
      <c r="S58" s="27"/>
      <c r="T58" s="26"/>
      <c r="U58" s="27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customFormat="1" ht="15" customHeight="1" x14ac:dyDescent="0.25">
      <c r="A59" s="9" t="str">
        <f t="shared" si="3"/>
        <v>CUSTO MARKET DATA - FEVEREIRO/26-REFINITIV-132975</v>
      </c>
      <c r="B59" s="20">
        <v>46054</v>
      </c>
      <c r="C59" s="21">
        <v>817393</v>
      </c>
      <c r="D59" s="9" t="str">
        <f>IF(J59=57036,"ALEXANDRE DA COSTA SOARES",IF(J59=24157,"JOSE MAURICIO GOMES TEIXEIRA",IF(J59=24203,"JOSE MAURICIO GOMES TEIXEIRA",IF(J59=24149,"CHRISTIANO MARCONDES DE BARROS LIMA",IF(J59=24137,"CHRISTIANO MARCONDES DE BARROS LIMA",IF(J59=135152,"ENRICO BORTPLUZO CASSIANO",IF(J59=136568,"ENRICO BORTPLUZO CASSIANO", IF(J59=130976,"MARYLIA CARVALHO PONCE",IF(J59=136668,"ALEXANDRE DA COSTA SOARES",IF(J59=52340,"OFFSHORE LISTED",IF(J59=158778,"CLAUDIO DE SOUZA PACINI",IF(J59=159800,"CLAUDIO DE SOUZA PACINI",_xlfn.XLOOKUP(J59,[1]!Tabela33[ID ORACLE],[1]!Tabela33[BROKER],0,0,1)))))))))))))</f>
        <v>MATHEUS NACIF NESRALLAH</v>
      </c>
      <c r="E59" s="22">
        <f t="shared" si="6"/>
        <v>-143.22742675200001</v>
      </c>
      <c r="F59" s="9" t="str">
        <f t="shared" si="7"/>
        <v>REFINITIV</v>
      </c>
      <c r="G59" s="20">
        <f t="shared" si="2"/>
        <v>46054</v>
      </c>
      <c r="H59" s="23">
        <v>1170</v>
      </c>
      <c r="J59" s="41">
        <v>132975</v>
      </c>
      <c r="K59" s="1" t="s">
        <v>42</v>
      </c>
      <c r="L59" s="1" t="s">
        <v>17</v>
      </c>
      <c r="M59" s="29">
        <v>20.685648</v>
      </c>
      <c r="N59" s="2"/>
      <c r="O59" s="1"/>
      <c r="P59" s="26"/>
      <c r="Q59" s="27"/>
      <c r="R59" s="26"/>
      <c r="S59" s="27"/>
      <c r="T59" s="26"/>
      <c r="U59" s="27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customFormat="1" ht="15" customHeight="1" x14ac:dyDescent="0.25">
      <c r="A60" s="9" t="str">
        <f t="shared" si="3"/>
        <v>CUSTO MARKET DATA - FEVEREIRO/26-BLOOMBERG-133842</v>
      </c>
      <c r="B60" s="20">
        <v>46054</v>
      </c>
      <c r="C60" s="21">
        <v>817393</v>
      </c>
      <c r="D60" s="9" t="str">
        <f>IF(J60=57036,"ALEXANDRE DA COSTA SOARES",IF(J60=24157,"JOSE MAURICIO GOMES TEIXEIRA",IF(J60=24203,"JOSE MAURICIO GOMES TEIXEIRA",IF(J60=24149,"CHRISTIANO MARCONDES DE BARROS LIMA",IF(J60=24137,"CHRISTIANO MARCONDES DE BARROS LIMA",IF(J60=135152,"ENRICO BORTPLUZO CASSIANO",IF(J60=136568,"ENRICO BORTPLUZO CASSIANO", IF(J60=130976,"MARYLIA CARVALHO PONCE",IF(J60=136668,"ALEXANDRE DA COSTA SOARES",IF(J60=52340,"OFFSHORE LISTED",IF(J60=158778,"CLAUDIO DE SOUZA PACINI",IF(J60=159800,"CLAUDIO DE SOUZA PACINI",_xlfn.XLOOKUP(J60,[1]!Tabela33[ID ORACLE],[1]!Tabela33[BROKER],0,0,1)))))))))))))</f>
        <v>FELIPE GOMES BASILE</v>
      </c>
      <c r="E60" s="22">
        <f t="shared" si="6"/>
        <v>-11613.277671886499</v>
      </c>
      <c r="F60" s="9" t="str">
        <f t="shared" si="7"/>
        <v>BLOOMBERG</v>
      </c>
      <c r="G60" s="20">
        <f t="shared" si="2"/>
        <v>46054</v>
      </c>
      <c r="H60" s="23">
        <v>1170</v>
      </c>
      <c r="J60" s="41">
        <v>133842</v>
      </c>
      <c r="K60" s="1" t="s">
        <v>41</v>
      </c>
      <c r="L60" s="1" t="s">
        <v>12</v>
      </c>
      <c r="M60" s="29">
        <v>2255.2243269999999</v>
      </c>
      <c r="N60" s="2"/>
      <c r="O60" s="1"/>
      <c r="P60" s="26"/>
      <c r="Q60" s="27"/>
      <c r="R60" s="26"/>
      <c r="S60" s="27"/>
      <c r="T60" s="26"/>
      <c r="U60" s="27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25">
      <c r="A61" s="9" t="str">
        <f t="shared" si="3"/>
        <v>CUSTO MARKET DATA - FEVEREIRO/26-REFINITIV-133842</v>
      </c>
      <c r="B61" s="20">
        <v>46054</v>
      </c>
      <c r="C61" s="21">
        <v>817393</v>
      </c>
      <c r="D61" s="9" t="str">
        <f>IF(J61=57036,"ALEXANDRE DA COSTA SOARES",IF(J61=24157,"JOSE MAURICIO GOMES TEIXEIRA",IF(J61=24203,"JOSE MAURICIO GOMES TEIXEIRA",IF(J61=24149,"CHRISTIANO MARCONDES DE BARROS LIMA",IF(J61=24137,"CHRISTIANO MARCONDES DE BARROS LIMA",IF(J61=135152,"ENRICO BORTPLUZO CASSIANO",IF(J61=136568,"ENRICO BORTPLUZO CASSIANO", IF(J61=130976,"MARYLIA CARVALHO PONCE",IF(J61=136668,"ALEXANDRE DA COSTA SOARES",IF(J61=52340,"OFFSHORE LISTED",IF(J61=158778,"CLAUDIO DE SOUZA PACINI",IF(J61=159800,"CLAUDIO DE SOUZA PACINI",_xlfn.XLOOKUP(J61,[1]!Tabela33[ID ORACLE],[1]!Tabela33[BROKER],0,0,1)))))))))))))</f>
        <v>FELIPE GOMES BASILE</v>
      </c>
      <c r="E61" s="22">
        <f t="shared" si="6"/>
        <v>-143.22742675200001</v>
      </c>
      <c r="F61" s="9" t="str">
        <f t="shared" si="7"/>
        <v>REFINITIV</v>
      </c>
      <c r="G61" s="20">
        <f t="shared" si="2"/>
        <v>46054</v>
      </c>
      <c r="H61" s="23">
        <v>1170</v>
      </c>
      <c r="J61" s="41">
        <v>133842</v>
      </c>
      <c r="K61" s="1" t="s">
        <v>42</v>
      </c>
      <c r="L61" s="1" t="s">
        <v>17</v>
      </c>
      <c r="M61" s="29">
        <v>20.685648</v>
      </c>
      <c r="N61" s="2"/>
      <c r="Q61" s="27"/>
      <c r="S61" s="27"/>
      <c r="U61" s="27"/>
    </row>
    <row r="62" spans="1:78" ht="15" customHeight="1" x14ac:dyDescent="0.25">
      <c r="A62" s="9" t="str">
        <f t="shared" si="3"/>
        <v>CUSTO MARKET DATA - FEVEREIRO/26-BLOOMBERG-134703</v>
      </c>
      <c r="B62" s="20">
        <v>46054</v>
      </c>
      <c r="C62" s="21">
        <v>817393</v>
      </c>
      <c r="D62" s="9" t="str">
        <f>IF(J62=57036,"ALEXANDRE DA COSTA SOARES",IF(J62=24157,"JOSE MAURICIO GOMES TEIXEIRA",IF(J62=24203,"JOSE MAURICIO GOMES TEIXEIRA",IF(J62=24149,"CHRISTIANO MARCONDES DE BARROS LIMA",IF(J62=24137,"CHRISTIANO MARCONDES DE BARROS LIMA",IF(J62=135152,"ENRICO BORTPLUZO CASSIANO",IF(J62=136568,"ENRICO BORTPLUZO CASSIANO", IF(J62=130976,"MARYLIA CARVALHO PONCE",IF(J62=136668,"ALEXANDRE DA COSTA SOARES",IF(J62=52340,"OFFSHORE LISTED",IF(J62=158778,"CLAUDIO DE SOUZA PACINI",IF(J62=159800,"CLAUDIO DE SOUZA PACINI",_xlfn.XLOOKUP(J62,[1]!Tabela33[ID ORACLE],[1]!Tabela33[BROKER],0,0,1)))))))))))))</f>
        <v>DANIELA VODOVOZ</v>
      </c>
      <c r="E62" s="22">
        <f t="shared" si="6"/>
        <v>-12222.463521886501</v>
      </c>
      <c r="F62" s="9" t="str">
        <f t="shared" si="7"/>
        <v>BLOOMBERG</v>
      </c>
      <c r="G62" s="20">
        <f t="shared" si="2"/>
        <v>46054</v>
      </c>
      <c r="H62" s="23">
        <v>1170</v>
      </c>
      <c r="J62" s="41">
        <v>134703</v>
      </c>
      <c r="K62" s="1" t="s">
        <v>41</v>
      </c>
      <c r="L62" s="1" t="s">
        <v>12</v>
      </c>
      <c r="M62" s="29">
        <v>2373.5243270000001</v>
      </c>
      <c r="N62" s="2"/>
      <c r="Q62" s="27"/>
      <c r="S62" s="27"/>
      <c r="U62" s="27"/>
    </row>
    <row r="63" spans="1:78" ht="15" customHeight="1" x14ac:dyDescent="0.25">
      <c r="A63" s="9" t="str">
        <f t="shared" si="3"/>
        <v>CUSTO MARKET DATA - FEVEREIRO/26-FIDESSA-134703</v>
      </c>
      <c r="B63" s="20">
        <v>46054</v>
      </c>
      <c r="C63" s="21">
        <v>817393</v>
      </c>
      <c r="D63" s="9" t="str">
        <f>IF(J63=57036,"ALEXANDRE DA COSTA SOARES",IF(J63=24157,"JOSE MAURICIO GOMES TEIXEIRA",IF(J63=24203,"JOSE MAURICIO GOMES TEIXEIRA",IF(J63=24149,"CHRISTIANO MARCONDES DE BARROS LIMA",IF(J63=24137,"CHRISTIANO MARCONDES DE BARROS LIMA",IF(J63=135152,"ENRICO BORTPLUZO CASSIANO",IF(J63=136568,"ENRICO BORTPLUZO CASSIANO", IF(J63=130976,"MARYLIA CARVALHO PONCE",IF(J63=136668,"ALEXANDRE DA COSTA SOARES",IF(J63=52340,"OFFSHORE LISTED",IF(J63=158778,"CLAUDIO DE SOUZA PACINI",IF(J63=159800,"CLAUDIO DE SOUZA PACINI",_xlfn.XLOOKUP(J63,[1]!Tabela33[ID ORACLE],[1]!Tabela33[BROKER],0,0,1)))))))))))))</f>
        <v>DANIELA VODOVOZ</v>
      </c>
      <c r="E63" s="22">
        <f t="shared" si="6"/>
        <v>-4.4291518935000003</v>
      </c>
      <c r="F63" s="9" t="str">
        <f t="shared" si="7"/>
        <v>FIDESSA</v>
      </c>
      <c r="G63" s="20">
        <f t="shared" si="2"/>
        <v>46054</v>
      </c>
      <c r="H63" s="23">
        <v>1170</v>
      </c>
      <c r="J63" s="41">
        <v>134703</v>
      </c>
      <c r="K63" s="1" t="s">
        <v>47</v>
      </c>
      <c r="L63" s="1" t="s">
        <v>12</v>
      </c>
      <c r="M63" s="29">
        <v>0.86011300000000002</v>
      </c>
      <c r="N63" s="2"/>
      <c r="Q63" s="27"/>
      <c r="S63" s="27"/>
      <c r="U63" s="27"/>
    </row>
    <row r="64" spans="1:78" ht="15" customHeight="1" x14ac:dyDescent="0.25">
      <c r="A64" s="9" t="str">
        <f t="shared" si="3"/>
        <v>CUSTO MARKET DATA - FEVEREIRO/26-NYSE MARKET INC.-134703</v>
      </c>
      <c r="B64" s="20">
        <v>46054</v>
      </c>
      <c r="C64" s="21">
        <v>817393</v>
      </c>
      <c r="D64" s="9" t="str">
        <f>IF(J64=57036,"ALEXANDRE DA COSTA SOARES",IF(J64=24157,"JOSE MAURICIO GOMES TEIXEIRA",IF(J64=24203,"JOSE MAURICIO GOMES TEIXEIRA",IF(J64=24149,"CHRISTIANO MARCONDES DE BARROS LIMA",IF(J64=24137,"CHRISTIANO MARCONDES DE BARROS LIMA",IF(J64=135152,"ENRICO BORTPLUZO CASSIANO",IF(J64=136568,"ENRICO BORTPLUZO CASSIANO", IF(J64=130976,"MARYLIA CARVALHO PONCE",IF(J64=136668,"ALEXANDRE DA COSTA SOARES",IF(J64=52340,"OFFSHORE LISTED",IF(J64=158778,"CLAUDIO DE SOUZA PACINI",IF(J64=159800,"CLAUDIO DE SOUZA PACINI",_xlfn.XLOOKUP(J64,[1]!Tabela33[ID ORACLE],[1]!Tabela33[BROKER],0,0,1)))))))))))))</f>
        <v>DANIELA VODOVOZ</v>
      </c>
      <c r="E64" s="22">
        <f t="shared" si="6"/>
        <v>-504.58663124999998</v>
      </c>
      <c r="F64" s="9" t="str">
        <f t="shared" si="7"/>
        <v>NYSE MARKET INC.</v>
      </c>
      <c r="G64" s="20">
        <f t="shared" si="2"/>
        <v>46054</v>
      </c>
      <c r="H64" s="23">
        <v>1170</v>
      </c>
      <c r="J64" s="41">
        <v>134703</v>
      </c>
      <c r="K64" s="1" t="s">
        <v>44</v>
      </c>
      <c r="L64" s="1" t="s">
        <v>12</v>
      </c>
      <c r="M64" s="29">
        <v>97.987499999999997</v>
      </c>
      <c r="N64" s="2"/>
      <c r="Q64" s="27"/>
      <c r="S64" s="27"/>
      <c r="U64" s="27"/>
    </row>
    <row r="65" spans="1:78" ht="15" customHeight="1" x14ac:dyDescent="0.25">
      <c r="A65" s="9" t="str">
        <f t="shared" si="3"/>
        <v>CUSTO MARKET DATA - FEVEREIRO/26-OPTIONS PRICE REPORTING AUTHORITY (OPRA)-134703</v>
      </c>
      <c r="B65" s="20">
        <v>46054</v>
      </c>
      <c r="C65" s="21">
        <v>817393</v>
      </c>
      <c r="D65" s="9" t="str">
        <f>IF(J65=57036,"ALEXANDRE DA COSTA SOARES",IF(J65=24157,"JOSE MAURICIO GOMES TEIXEIRA",IF(J65=24203,"JOSE MAURICIO GOMES TEIXEIRA",IF(J65=24149,"CHRISTIANO MARCONDES DE BARROS LIMA",IF(J65=24137,"CHRISTIANO MARCONDES DE BARROS LIMA",IF(J65=135152,"ENRICO BORTPLUZO CASSIANO",IF(J65=136568,"ENRICO BORTPLUZO CASSIANO", IF(J65=130976,"MARYLIA CARVALHO PONCE",IF(J65=136668,"ALEXANDRE DA COSTA SOARES",IF(J65=52340,"OFFSHORE LISTED",IF(J65=158778,"CLAUDIO DE SOUZA PACINI",IF(J65=159800,"CLAUDIO DE SOUZA PACINI",_xlfn.XLOOKUP(J65,[1]!Tabela33[ID ORACLE],[1]!Tabela33[BROKER],0,0,1)))))))))))))</f>
        <v>DANIELA VODOVOZ</v>
      </c>
      <c r="E65" s="22">
        <f t="shared" si="6"/>
        <v>-353.21064187500002</v>
      </c>
      <c r="F65" s="9" t="str">
        <f t="shared" si="7"/>
        <v>OPTIONS PRICE REPORTING AUTHORITY (OPRA)</v>
      </c>
      <c r="G65" s="20">
        <f t="shared" si="2"/>
        <v>46054</v>
      </c>
      <c r="H65" s="23">
        <v>1170</v>
      </c>
      <c r="J65" s="41">
        <v>134703</v>
      </c>
      <c r="K65" s="1" t="s">
        <v>45</v>
      </c>
      <c r="L65" s="1" t="s">
        <v>12</v>
      </c>
      <c r="M65" s="29">
        <v>68.591250000000002</v>
      </c>
      <c r="N65" s="2"/>
      <c r="Q65" s="27"/>
      <c r="S65" s="27"/>
      <c r="U65" s="27"/>
    </row>
    <row r="66" spans="1:78" ht="15" customHeight="1" x14ac:dyDescent="0.25">
      <c r="A66" s="9" t="str">
        <f t="shared" si="3"/>
        <v>CUSTO MARKET DATA - FEVEREIRO/26-REFINITIV-135064</v>
      </c>
      <c r="B66" s="20">
        <v>46054</v>
      </c>
      <c r="C66" s="21">
        <v>817393</v>
      </c>
      <c r="D66" s="9" t="str">
        <f>IF(J66=57036,"ALEXANDRE DA COSTA SOARES",IF(J66=24157,"JOSE MAURICIO GOMES TEIXEIRA",IF(J66=24203,"JOSE MAURICIO GOMES TEIXEIRA",IF(J66=24149,"CHRISTIANO MARCONDES DE BARROS LIMA",IF(J66=24137,"CHRISTIANO MARCONDES DE BARROS LIMA",IF(J66=135152,"ENRICO BORTPLUZO CASSIANO",IF(J66=136568,"ENRICO BORTPLUZO CASSIANO", IF(J66=130976,"MARYLIA CARVALHO PONCE",IF(J66=136668,"ALEXANDRE DA COSTA SOARES",IF(J66=52340,"OFFSHORE LISTED",IF(J66=158778,"CLAUDIO DE SOUZA PACINI",IF(J66=159800,"CLAUDIO DE SOUZA PACINI",_xlfn.XLOOKUP(J66,[1]!Tabela33[ID ORACLE],[1]!Tabela33[BROKER],0,0,1)))))))))))))</f>
        <v>ENRICO BORTPLUZO CASSIANO</v>
      </c>
      <c r="E66" s="22">
        <f t="shared" si="6"/>
        <v>-143.22742675200001</v>
      </c>
      <c r="F66" s="9" t="str">
        <f t="shared" si="7"/>
        <v>REFINITIV</v>
      </c>
      <c r="G66" s="20">
        <f t="shared" si="2"/>
        <v>46054</v>
      </c>
      <c r="H66" s="23">
        <v>1170</v>
      </c>
      <c r="J66" s="41">
        <v>135064</v>
      </c>
      <c r="K66" s="1" t="s">
        <v>42</v>
      </c>
      <c r="L66" s="1" t="s">
        <v>17</v>
      </c>
      <c r="M66" s="29">
        <v>20.685648</v>
      </c>
      <c r="N66" s="2"/>
      <c r="Q66" s="27"/>
      <c r="S66" s="27"/>
      <c r="U66" s="27"/>
    </row>
    <row r="67" spans="1:78" s="4" customFormat="1" ht="15" customHeight="1" x14ac:dyDescent="0.25">
      <c r="A67" s="9" t="str">
        <f t="shared" si="3"/>
        <v>CUSTO MARKET DATA - FEVEREIRO/26-BLOOMBERG-135152</v>
      </c>
      <c r="B67" s="20">
        <v>46054</v>
      </c>
      <c r="C67" s="21">
        <v>817393</v>
      </c>
      <c r="D67" s="9" t="str">
        <f>IF(J67=57036,"ALEXANDRE DA COSTA SOARES",IF(J67=24157,"JOSE MAURICIO GOMES TEIXEIRA",IF(J67=24203,"JOSE MAURICIO GOMES TEIXEIRA",IF(J67=24149,"CHRISTIANO MARCONDES DE BARROS LIMA",IF(J67=24137,"CHRISTIANO MARCONDES DE BARROS LIMA",IF(J67=135152,"ENRICO BORTPLUZO CASSIANO",IF(J67=136568,"ENRICO BORTPLUZO CASSIANO", IF(J67=130976,"MARYLIA CARVALHO PONCE",IF(J67=136668,"ALEXANDRE DA COSTA SOARES",IF(J67=52340,"OFFSHORE LISTED",IF(J67=158778,"CLAUDIO DE SOUZA PACINI",IF(J67=159800,"CLAUDIO DE SOUZA PACINI",_xlfn.XLOOKUP(J67,[1]!Tabela33[ID ORACLE],[1]!Tabela33[BROKER],0,0,1)))))))))))))</f>
        <v>ENRICO BORTPLUZO CASSIANO</v>
      </c>
      <c r="E67" s="22">
        <f t="shared" si="6"/>
        <v>-11965.846768453501</v>
      </c>
      <c r="F67" s="9" t="str">
        <f t="shared" si="7"/>
        <v>BLOOMBERG</v>
      </c>
      <c r="G67" s="20">
        <f t="shared" si="2"/>
        <v>46054</v>
      </c>
      <c r="H67" s="23">
        <v>1170</v>
      </c>
      <c r="I67"/>
      <c r="J67" s="41">
        <v>135152</v>
      </c>
      <c r="K67" s="1" t="s">
        <v>41</v>
      </c>
      <c r="L67" s="1" t="s">
        <v>12</v>
      </c>
      <c r="M67" s="29">
        <v>2323.6909930000002</v>
      </c>
      <c r="N67" s="2"/>
      <c r="O67" s="1"/>
      <c r="P67" s="26"/>
      <c r="Q67" s="27"/>
      <c r="R67" s="26"/>
      <c r="S67" s="27"/>
      <c r="T67" s="26"/>
      <c r="U67" s="27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s="4" customFormat="1" ht="15" customHeight="1" x14ac:dyDescent="0.25">
      <c r="A68" s="9" t="str">
        <f t="shared" si="3"/>
        <v>CUSTO MARKET DATA - FEVEREIRO/26-REFINITIV-136568</v>
      </c>
      <c r="B68" s="20">
        <v>46054</v>
      </c>
      <c r="C68" s="21">
        <v>817393</v>
      </c>
      <c r="D68" s="9" t="str">
        <f>IF(J68=57036,"ALEXANDRE DA COSTA SOARES",IF(J68=24157,"JOSE MAURICIO GOMES TEIXEIRA",IF(J68=24203,"JOSE MAURICIO GOMES TEIXEIRA",IF(J68=24149,"CHRISTIANO MARCONDES DE BARROS LIMA",IF(J68=24137,"CHRISTIANO MARCONDES DE BARROS LIMA",IF(J68=135152,"ENRICO BORTPLUZO CASSIANO",IF(J68=136568,"ENRICO BORTPLUZO CASSIANO", IF(J68=130976,"MARYLIA CARVALHO PONCE",IF(J68=136668,"ALEXANDRE DA COSTA SOARES",IF(J68=52340,"OFFSHORE LISTED",IF(J68=158778,"CLAUDIO DE SOUZA PACINI",IF(J68=159800,"CLAUDIO DE SOUZA PACINI",_xlfn.XLOOKUP(J68,[1]!Tabela33[ID ORACLE],[1]!Tabela33[BROKER],0,0,1)))))))))))))</f>
        <v>ENRICO BORTPLUZO CASSIANO</v>
      </c>
      <c r="E68" s="22">
        <f t="shared" si="6"/>
        <v>-143.22742675200001</v>
      </c>
      <c r="F68" s="9" t="str">
        <f t="shared" si="7"/>
        <v>REFINITIV</v>
      </c>
      <c r="G68" s="20">
        <f t="shared" ref="G68:G131" si="8">B68</f>
        <v>46054</v>
      </c>
      <c r="H68" s="23">
        <v>1170</v>
      </c>
      <c r="I68"/>
      <c r="J68" s="41">
        <v>136568</v>
      </c>
      <c r="K68" s="1" t="s">
        <v>42</v>
      </c>
      <c r="L68" s="1" t="s">
        <v>17</v>
      </c>
      <c r="M68" s="29">
        <v>20.685648</v>
      </c>
      <c r="N68" s="2"/>
      <c r="O68" s="1"/>
      <c r="P68" s="26"/>
      <c r="Q68" s="27"/>
      <c r="R68" s="26"/>
      <c r="S68" s="27"/>
      <c r="T68" s="26"/>
      <c r="U68" s="27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25">
      <c r="A69" s="9" t="str">
        <f t="shared" si="3"/>
        <v>CUSTO MARKET DATA - FEVEREIRO/26-OPTIONS PRICE REPORTING AUTHORITY (OPRA)-136668</v>
      </c>
      <c r="B69" s="20">
        <v>46054</v>
      </c>
      <c r="C69" s="21">
        <v>817393</v>
      </c>
      <c r="D69" s="9" t="str">
        <f>IF(J69=57036,"ALEXANDRE DA COSTA SOARES",IF(J69=24157,"JOSE MAURICIO GOMES TEIXEIRA",IF(J69=24203,"JOSE MAURICIO GOMES TEIXEIRA",IF(J69=24149,"CHRISTIANO MARCONDES DE BARROS LIMA",IF(J69=24137,"CHRISTIANO MARCONDES DE BARROS LIMA",IF(J69=135152,"ENRICO BORTPLUZO CASSIANO",IF(J69=136568,"ENRICO BORTPLUZO CASSIANO", IF(J69=130976,"MARYLIA CARVALHO PONCE",IF(J69=136668,"ALEXANDRE DA COSTA SOARES",IF(J69=52340,"OFFSHORE LISTED",IF(J69=158778,"CLAUDIO DE SOUZA PACINI",IF(J69=159800,"CLAUDIO DE SOUZA PACINI",_xlfn.XLOOKUP(J69,[1]!Tabela33[ID ORACLE],[1]!Tabela33[BROKER],0,0,1)))))))))))))</f>
        <v>ALEXANDRE DA COSTA SOARES</v>
      </c>
      <c r="E69" s="22">
        <f t="shared" si="6"/>
        <v>-162.20925</v>
      </c>
      <c r="F69" s="9" t="str">
        <f t="shared" si="7"/>
        <v>OPTIONS PRICE REPORTING AUTHORITY (OPRA)</v>
      </c>
      <c r="G69" s="20">
        <f t="shared" si="8"/>
        <v>46054</v>
      </c>
      <c r="H69" s="23">
        <v>1170</v>
      </c>
      <c r="J69" s="41">
        <v>136668</v>
      </c>
      <c r="K69" s="1" t="s">
        <v>45</v>
      </c>
      <c r="L69" s="1" t="s">
        <v>12</v>
      </c>
      <c r="M69" s="29">
        <v>31.5</v>
      </c>
      <c r="N69" s="2"/>
      <c r="Q69" s="27"/>
      <c r="S69" s="27"/>
      <c r="U69" s="27"/>
    </row>
    <row r="70" spans="1:78" ht="15" customHeight="1" x14ac:dyDescent="0.25">
      <c r="A70" s="9" t="str">
        <f t="shared" si="3"/>
        <v>CUSTO MARKET DATA - FEVEREIRO/26-REFINITIV-136668</v>
      </c>
      <c r="B70" s="20">
        <v>46054</v>
      </c>
      <c r="C70" s="21">
        <v>817393</v>
      </c>
      <c r="D70" s="9" t="str">
        <f>IF(J70=57036,"ALEXANDRE DA COSTA SOARES",IF(J70=24157,"JOSE MAURICIO GOMES TEIXEIRA",IF(J70=24203,"JOSE MAURICIO GOMES TEIXEIRA",IF(J70=24149,"CHRISTIANO MARCONDES DE BARROS LIMA",IF(J70=24137,"CHRISTIANO MARCONDES DE BARROS LIMA",IF(J70=135152,"ENRICO BORTPLUZO CASSIANO",IF(J70=136568,"ENRICO BORTPLUZO CASSIANO", IF(J70=130976,"MARYLIA CARVALHO PONCE",IF(J70=136668,"ALEXANDRE DA COSTA SOARES",IF(J70=52340,"OFFSHORE LISTED",IF(J70=158778,"CLAUDIO DE SOUZA PACINI",IF(J70=159800,"CLAUDIO DE SOUZA PACINI",_xlfn.XLOOKUP(J70,[1]!Tabela33[ID ORACLE],[1]!Tabela33[BROKER],0,0,1)))))))))))))</f>
        <v>ALEXANDRE DA COSTA SOARES</v>
      </c>
      <c r="E70" s="22">
        <f t="shared" si="6"/>
        <v>-143.22742675200001</v>
      </c>
      <c r="F70" s="9" t="str">
        <f t="shared" si="7"/>
        <v>REFINITIV</v>
      </c>
      <c r="G70" s="20">
        <f t="shared" si="8"/>
        <v>46054</v>
      </c>
      <c r="H70" s="23">
        <v>1170</v>
      </c>
      <c r="J70" s="41">
        <v>136668</v>
      </c>
      <c r="K70" s="1" t="s">
        <v>42</v>
      </c>
      <c r="L70" s="1" t="s">
        <v>17</v>
      </c>
      <c r="M70" s="29">
        <v>20.685648</v>
      </c>
      <c r="N70" s="2"/>
      <c r="Q70" s="27"/>
      <c r="S70" s="27"/>
      <c r="U70" s="27"/>
    </row>
    <row r="71" spans="1:78" ht="15" customHeight="1" x14ac:dyDescent="0.25">
      <c r="A71" s="9" t="str">
        <f t="shared" si="3"/>
        <v>CUSTO MARKET DATA - FEVEREIRO/26-SYMPHONY COMMUNICATION SERVICES, LLC-136668</v>
      </c>
      <c r="B71" s="20">
        <v>46054</v>
      </c>
      <c r="C71" s="21">
        <v>817393</v>
      </c>
      <c r="D71" s="9" t="str">
        <f>IF(J71=57036,"ALEXANDRE DA COSTA SOARES",IF(J71=24157,"JOSE MAURICIO GOMES TEIXEIRA",IF(J71=24203,"JOSE MAURICIO GOMES TEIXEIRA",IF(J71=24149,"CHRISTIANO MARCONDES DE BARROS LIMA",IF(J71=24137,"CHRISTIANO MARCONDES DE BARROS LIMA",IF(J71=135152,"ENRICO BORTPLUZO CASSIANO",IF(J71=136568,"ENRICO BORTPLUZO CASSIANO", IF(J71=130976,"MARYLIA CARVALHO PONCE",IF(J71=136668,"ALEXANDRE DA COSTA SOARES",IF(J71=52340,"OFFSHORE LISTED",IF(J71=158778,"CLAUDIO DE SOUZA PACINI",IF(J71=159800,"CLAUDIO DE SOUZA PACINI",_xlfn.XLOOKUP(J71,[1]!Tabela33[ID ORACLE],[1]!Tabela33[BROKER],0,0,1)))))))))))))</f>
        <v>ALEXANDRE DA COSTA SOARES</v>
      </c>
      <c r="E71" s="22">
        <f t="shared" si="6"/>
        <v>-128.94991687500001</v>
      </c>
      <c r="F71" s="9" t="str">
        <f t="shared" si="7"/>
        <v>SYMPHONY COMMUNICATION SERVICES, LLC</v>
      </c>
      <c r="G71" s="20">
        <f t="shared" si="8"/>
        <v>46054</v>
      </c>
      <c r="H71" s="23">
        <v>1170</v>
      </c>
      <c r="J71" s="41">
        <v>136668</v>
      </c>
      <c r="K71" s="1" t="s">
        <v>50</v>
      </c>
      <c r="L71" s="1" t="s">
        <v>12</v>
      </c>
      <c r="M71" s="29">
        <v>25.041250000000002</v>
      </c>
      <c r="N71" s="2"/>
      <c r="Q71" s="27"/>
      <c r="S71" s="27"/>
      <c r="U71" s="27"/>
    </row>
    <row r="72" spans="1:78" ht="15" customHeight="1" x14ac:dyDescent="0.25">
      <c r="A72" s="9" t="str">
        <f t="shared" si="3"/>
        <v>CUSTO MARKET DATA - FEVEREIRO/26-BLOOMBERG-137478</v>
      </c>
      <c r="B72" s="20">
        <v>46054</v>
      </c>
      <c r="C72" s="21">
        <v>817393</v>
      </c>
      <c r="D72" s="9" t="str">
        <f>IF(J72=57036,"ALEXANDRE DA COSTA SOARES",IF(J72=24157,"JOSE MAURICIO GOMES TEIXEIRA",IF(J72=24203,"JOSE MAURICIO GOMES TEIXEIRA",IF(J72=24149,"CHRISTIANO MARCONDES DE BARROS LIMA",IF(J72=24137,"CHRISTIANO MARCONDES DE BARROS LIMA",IF(J72=135152,"ENRICO BORTPLUZO CASSIANO",IF(J72=136568,"ENRICO BORTPLUZO CASSIANO", IF(J72=130976,"MARYLIA CARVALHO PONCE",IF(J72=136668,"ALEXANDRE DA COSTA SOARES",IF(J72=52340,"OFFSHORE LISTED",IF(J72=158778,"CLAUDIO DE SOUZA PACINI",IF(J72=159800,"CLAUDIO DE SOUZA PACINI",_xlfn.XLOOKUP(J72,[1]!Tabela33[ID ORACLE],[1]!Tabela33[BROKER],0,0,1)))))))))))))</f>
        <v>ALEXANDRE BRENO STEVENS</v>
      </c>
      <c r="E72" s="22">
        <f t="shared" si="6"/>
        <v>-9252.0289543439976</v>
      </c>
      <c r="F72" s="9" t="str">
        <f t="shared" si="7"/>
        <v>BLOOMBERG</v>
      </c>
      <c r="G72" s="20">
        <f t="shared" si="8"/>
        <v>46054</v>
      </c>
      <c r="H72" s="23">
        <v>1170</v>
      </c>
      <c r="J72" s="41">
        <v>137478</v>
      </c>
      <c r="K72" s="1" t="s">
        <v>41</v>
      </c>
      <c r="L72" s="1" t="s">
        <v>12</v>
      </c>
      <c r="M72" s="29">
        <v>1796.6849119999997</v>
      </c>
      <c r="N72" s="2"/>
      <c r="Q72" s="27"/>
      <c r="S72" s="27"/>
      <c r="U72" s="27"/>
    </row>
    <row r="73" spans="1:78" ht="15" customHeight="1" x14ac:dyDescent="0.25">
      <c r="A73" s="9" t="str">
        <f t="shared" si="3"/>
        <v>CUSTO MARKET DATA - FEVEREIRO/26-BLOOMBERG-139345</v>
      </c>
      <c r="B73" s="20">
        <v>46054</v>
      </c>
      <c r="C73" s="21">
        <v>817393</v>
      </c>
      <c r="D73" s="9" t="str">
        <f>IF(J73=57036,"ALEXANDRE DA COSTA SOARES",IF(J73=24157,"JOSE MAURICIO GOMES TEIXEIRA",IF(J73=24203,"JOSE MAURICIO GOMES TEIXEIRA",IF(J73=24149,"CHRISTIANO MARCONDES DE BARROS LIMA",IF(J73=24137,"CHRISTIANO MARCONDES DE BARROS LIMA",IF(J73=135152,"ENRICO BORTPLUZO CASSIANO",IF(J73=136568,"ENRICO BORTPLUZO CASSIANO", IF(J73=130976,"MARYLIA CARVALHO PONCE",IF(J73=136668,"ALEXANDRE DA COSTA SOARES",IF(J73=52340,"OFFSHORE LISTED",IF(J73=158778,"CLAUDIO DE SOUZA PACINI",IF(J73=159800,"CLAUDIO DE SOUZA PACINI",_xlfn.XLOOKUP(J73,[1]!Tabela33[ID ORACLE],[1]!Tabela33[BROKER],0,0,1)))))))))))))</f>
        <v>FELIPE MEIRELLES RACCAH</v>
      </c>
      <c r="E73" s="22">
        <f t="shared" si="6"/>
        <v>-12023.3495253195</v>
      </c>
      <c r="F73" s="9" t="str">
        <f t="shared" si="7"/>
        <v>BLOOMBERG</v>
      </c>
      <c r="G73" s="20">
        <f t="shared" si="8"/>
        <v>46054</v>
      </c>
      <c r="H73" s="23">
        <v>1170</v>
      </c>
      <c r="J73" s="41">
        <v>139345</v>
      </c>
      <c r="K73" s="1" t="s">
        <v>41</v>
      </c>
      <c r="L73" s="1" t="s">
        <v>12</v>
      </c>
      <c r="M73" s="29">
        <v>2334.857661</v>
      </c>
      <c r="N73" s="2"/>
      <c r="Q73" s="27"/>
      <c r="S73" s="27"/>
      <c r="U73" s="27"/>
    </row>
    <row r="74" spans="1:78" ht="15" customHeight="1" x14ac:dyDescent="0.25">
      <c r="A74" s="9" t="str">
        <f t="shared" si="3"/>
        <v>CUSTO MARKET DATA - FEVEREIRO/26-BLOOMBERG-141745</v>
      </c>
      <c r="B74" s="20">
        <v>46054</v>
      </c>
      <c r="C74" s="21">
        <v>817393</v>
      </c>
      <c r="D74" s="9" t="str">
        <f>IF(J74=57036,"ALEXANDRE DA COSTA SOARES",IF(J74=24157,"JOSE MAURICIO GOMES TEIXEIRA",IF(J74=24203,"JOSE MAURICIO GOMES TEIXEIRA",IF(J74=24149,"CHRISTIANO MARCONDES DE BARROS LIMA",IF(J74=24137,"CHRISTIANO MARCONDES DE BARROS LIMA",IF(J74=135152,"ENRICO BORTPLUZO CASSIANO",IF(J74=136568,"ENRICO BORTPLUZO CASSIANO", IF(J74=130976,"MARYLIA CARVALHO PONCE",IF(J74=136668,"ALEXANDRE DA COSTA SOARES",IF(J74=52340,"OFFSHORE LISTED",IF(J74=158778,"CLAUDIO DE SOUZA PACINI",IF(J74=159800,"CLAUDIO DE SOUZA PACINI",_xlfn.XLOOKUP(J74,[1]!Tabela33[ID ORACLE],[1]!Tabela33[BROKER],0,0,1)))))))))))))</f>
        <v>EDRAS DURAES D ANUNCIACAO</v>
      </c>
      <c r="E74" s="22">
        <f t="shared" si="6"/>
        <v>-11475.786021886501</v>
      </c>
      <c r="F74" s="9" t="str">
        <f t="shared" si="7"/>
        <v>BLOOMBERG</v>
      </c>
      <c r="G74" s="20">
        <f t="shared" si="8"/>
        <v>46054</v>
      </c>
      <c r="H74" s="23">
        <v>1170</v>
      </c>
      <c r="J74" s="41">
        <v>141745</v>
      </c>
      <c r="K74" s="1" t="s">
        <v>41</v>
      </c>
      <c r="L74" s="1" t="s">
        <v>12</v>
      </c>
      <c r="M74" s="29">
        <v>2228.5243270000001</v>
      </c>
      <c r="N74" s="2"/>
      <c r="Q74" s="27"/>
      <c r="S74" s="27"/>
      <c r="U74" s="27"/>
    </row>
    <row r="75" spans="1:78" ht="15" customHeight="1" x14ac:dyDescent="0.25">
      <c r="A75" s="9" t="str">
        <f t="shared" si="3"/>
        <v>CUSTO MARKET DATA - FEVEREIRO/26-BLOOMBERG-142760</v>
      </c>
      <c r="B75" s="20">
        <v>46054</v>
      </c>
      <c r="C75" s="21">
        <v>817393</v>
      </c>
      <c r="D75" s="9" t="str">
        <f>IF(J75=57036,"ALEXANDRE DA COSTA SOARES",IF(J75=24157,"JOSE MAURICIO GOMES TEIXEIRA",IF(J75=24203,"JOSE MAURICIO GOMES TEIXEIRA",IF(J75=24149,"CHRISTIANO MARCONDES DE BARROS LIMA",IF(J75=24137,"CHRISTIANO MARCONDES DE BARROS LIMA",IF(J75=135152,"ENRICO BORTPLUZO CASSIANO",IF(J75=136568,"ENRICO BORTPLUZO CASSIANO", IF(J75=130976,"MARYLIA CARVALHO PONCE",IF(J75=136668,"ALEXANDRE DA COSTA SOARES",IF(J75=52340,"OFFSHORE LISTED",IF(J75=158778,"CLAUDIO DE SOUZA PACINI",IF(J75=159800,"CLAUDIO DE SOUZA PACINI",_xlfn.XLOOKUP(J75,[1]!Tabela33[ID ORACLE],[1]!Tabela33[BROKER],0,0,1)))))))))))))</f>
        <v>CARLOS THADEU DE FREITAS GOMES FILHO</v>
      </c>
      <c r="E75" s="22">
        <f t="shared" si="6"/>
        <v>-12364.0747718865</v>
      </c>
      <c r="F75" s="9" t="str">
        <f t="shared" si="7"/>
        <v>BLOOMBERG</v>
      </c>
      <c r="G75" s="20">
        <f t="shared" si="8"/>
        <v>46054</v>
      </c>
      <c r="H75" s="23">
        <v>1170</v>
      </c>
      <c r="J75" s="41">
        <v>142760</v>
      </c>
      <c r="K75" s="1" t="s">
        <v>41</v>
      </c>
      <c r="L75" s="1" t="s">
        <v>12</v>
      </c>
      <c r="M75" s="29">
        <v>2401.0243270000001</v>
      </c>
      <c r="N75" s="2"/>
      <c r="Q75" s="27"/>
      <c r="S75" s="27"/>
      <c r="U75" s="27"/>
    </row>
    <row r="76" spans="1:78" ht="15" customHeight="1" x14ac:dyDescent="0.25">
      <c r="A76" s="9" t="str">
        <f t="shared" si="3"/>
        <v>CUSTO MARKET DATA - FEVEREIRO/26-BLOOMBERG-150588</v>
      </c>
      <c r="B76" s="20">
        <v>46054</v>
      </c>
      <c r="C76" s="21">
        <v>817393</v>
      </c>
      <c r="D76" s="9" t="str">
        <f>IF(J76=57036,"ALEXANDRE DA COSTA SOARES",IF(J76=24157,"JOSE MAURICIO GOMES TEIXEIRA",IF(J76=24203,"JOSE MAURICIO GOMES TEIXEIRA",IF(J76=24149,"CHRISTIANO MARCONDES DE BARROS LIMA",IF(J76=24137,"CHRISTIANO MARCONDES DE BARROS LIMA",IF(J76=135152,"ENRICO BORTPLUZO CASSIANO",IF(J76=136568,"ENRICO BORTPLUZO CASSIANO", IF(J76=130976,"MARYLIA CARVALHO PONCE",IF(J76=136668,"ALEXANDRE DA COSTA SOARES",IF(J76=52340,"OFFSHORE LISTED",IF(J76=158778,"CLAUDIO DE SOUZA PACINI",IF(J76=159800,"CLAUDIO DE SOUZA PACINI",_xlfn.XLOOKUP(J76,[1]!Tabela33[ID ORACLE],[1]!Tabela33[BROKER],0,0,1)))))))))))))</f>
        <v>PAULO GUILHERME MENEZES FELIX</v>
      </c>
      <c r="E76" s="22">
        <f t="shared" si="6"/>
        <v>-51.494999999999997</v>
      </c>
      <c r="F76" s="9" t="str">
        <f t="shared" si="7"/>
        <v>BLOOMBERG</v>
      </c>
      <c r="G76" s="20">
        <f t="shared" si="8"/>
        <v>46054</v>
      </c>
      <c r="H76" s="23">
        <v>1170</v>
      </c>
      <c r="J76" s="41">
        <v>150588</v>
      </c>
      <c r="K76" s="1" t="s">
        <v>41</v>
      </c>
      <c r="L76" s="1" t="s">
        <v>12</v>
      </c>
      <c r="M76" s="29">
        <v>10</v>
      </c>
      <c r="N76" s="2"/>
      <c r="Q76" s="27"/>
      <c r="S76" s="27"/>
      <c r="U76" s="27"/>
    </row>
    <row r="77" spans="1:78" ht="15" customHeight="1" x14ac:dyDescent="0.25">
      <c r="A77" s="9" t="str">
        <f t="shared" si="3"/>
        <v>CUSTO MARKET DATA - FEVEREIRO/26-BLOOMBERG-152836</v>
      </c>
      <c r="B77" s="20">
        <v>46054</v>
      </c>
      <c r="C77" s="21">
        <v>817393</v>
      </c>
      <c r="D77" s="9" t="str">
        <f>IF(J77=57036,"ALEXANDRE DA COSTA SOARES",IF(J77=24157,"JOSE MAURICIO GOMES TEIXEIRA",IF(J77=24203,"JOSE MAURICIO GOMES TEIXEIRA",IF(J77=24149,"CHRISTIANO MARCONDES DE BARROS LIMA",IF(J77=24137,"CHRISTIANO MARCONDES DE BARROS LIMA",IF(J77=135152,"ENRICO BORTPLUZO CASSIANO",IF(J77=136568,"ENRICO BORTPLUZO CASSIANO", IF(J77=130976,"MARYLIA CARVALHO PONCE",IF(J77=136668,"ALEXANDRE DA COSTA SOARES",IF(J77=52340,"OFFSHORE LISTED",IF(J77=158778,"CLAUDIO DE SOUZA PACINI",IF(J77=159800,"CLAUDIO DE SOUZA PACINI",_xlfn.XLOOKUP(J77,[1]!Tabela33[ID ORACLE],[1]!Tabela33[BROKER],0,0,1)))))))))))))</f>
        <v>FELIPE DE SA TAVARES</v>
      </c>
      <c r="E77" s="22">
        <f t="shared" si="6"/>
        <v>-12364.0747718865</v>
      </c>
      <c r="F77" s="9" t="str">
        <f t="shared" si="7"/>
        <v>BLOOMBERG</v>
      </c>
      <c r="G77" s="20">
        <f t="shared" si="8"/>
        <v>46054</v>
      </c>
      <c r="H77" s="23">
        <v>1170</v>
      </c>
      <c r="J77" s="41">
        <v>152836</v>
      </c>
      <c r="K77" s="1" t="s">
        <v>41</v>
      </c>
      <c r="L77" s="1" t="s">
        <v>12</v>
      </c>
      <c r="M77" s="29">
        <v>2401.0243270000001</v>
      </c>
      <c r="N77" s="2"/>
      <c r="Q77" s="27"/>
      <c r="S77" s="27"/>
      <c r="U77" s="27"/>
    </row>
    <row r="78" spans="1:78" ht="15" customHeight="1" x14ac:dyDescent="0.25">
      <c r="A78" s="9" t="str">
        <f t="shared" si="3"/>
        <v>CUSTO MARKET DATA - FEVEREIRO/26-BLOOMBERG-153595</v>
      </c>
      <c r="B78" s="20">
        <v>46054</v>
      </c>
      <c r="C78" s="21">
        <v>817393</v>
      </c>
      <c r="D78" s="9" t="str">
        <f>IF(J78=57036,"ALEXANDRE DA COSTA SOARES",IF(J78=24157,"JOSE MAURICIO GOMES TEIXEIRA",IF(J78=24203,"JOSE MAURICIO GOMES TEIXEIRA",IF(J78=24149,"CHRISTIANO MARCONDES DE BARROS LIMA",IF(J78=24137,"CHRISTIANO MARCONDES DE BARROS LIMA",IF(J78=135152,"ENRICO BORTPLUZO CASSIANO",IF(J78=136568,"ENRICO BORTPLUZO CASSIANO", IF(J78=130976,"MARYLIA CARVALHO PONCE",IF(J78=136668,"ALEXANDRE DA COSTA SOARES",IF(J78=52340,"OFFSHORE LISTED",IF(J78=158778,"CLAUDIO DE SOUZA PACINI",IF(J78=159800,"CLAUDIO DE SOUZA PACINI",_xlfn.XLOOKUP(J78,[1]!Tabela33[ID ORACLE],[1]!Tabela33[BROKER],0,0,1)))))))))))))</f>
        <v>REINALDO ANDRE URBANO FILHO</v>
      </c>
      <c r="E78" s="22">
        <f t="shared" si="6"/>
        <v>-12427.413621886501</v>
      </c>
      <c r="F78" s="9" t="str">
        <f t="shared" si="7"/>
        <v>BLOOMBERG</v>
      </c>
      <c r="G78" s="20">
        <f t="shared" si="8"/>
        <v>46054</v>
      </c>
      <c r="H78" s="23">
        <v>1170</v>
      </c>
      <c r="J78" s="41">
        <v>153595</v>
      </c>
      <c r="K78" s="1" t="s">
        <v>41</v>
      </c>
      <c r="L78" s="1" t="s">
        <v>12</v>
      </c>
      <c r="M78" s="29">
        <v>2413.3243270000003</v>
      </c>
      <c r="N78" s="2"/>
      <c r="Q78" s="27"/>
      <c r="S78" s="27"/>
      <c r="U78" s="27"/>
    </row>
    <row r="79" spans="1:78" ht="15" customHeight="1" x14ac:dyDescent="0.25">
      <c r="A79" s="9" t="str">
        <f t="shared" si="3"/>
        <v>CUSTO MARKET DATA - FEVEREIRO/26-BLOOMBERG-158778</v>
      </c>
      <c r="B79" s="20">
        <v>46054</v>
      </c>
      <c r="C79" s="21">
        <v>817393</v>
      </c>
      <c r="D79" s="9" t="str">
        <f>IF(J79=57036,"ALEXANDRE DA COSTA SOARES",IF(J79=24157,"JOSE MAURICIO GOMES TEIXEIRA",IF(J79=24203,"JOSE MAURICIO GOMES TEIXEIRA",IF(J79=24149,"CHRISTIANO MARCONDES DE BARROS LIMA",IF(J79=24137,"CHRISTIANO MARCONDES DE BARROS LIMA",IF(J79=135152,"ENRICO BORTPLUZO CASSIANO",IF(J79=136568,"ENRICO BORTPLUZO CASSIANO", IF(J79=130976,"MARYLIA CARVALHO PONCE",IF(J79=136668,"ALEXANDRE DA COSTA SOARES",IF(J79=52340,"OFFSHORE LISTED",IF(J79=158778,"CLAUDIO DE SOUZA PACINI",IF(J79=159800,"CLAUDIO DE SOUZA PACINI",_xlfn.XLOOKUP(J79,[1]!Tabela33[ID ORACLE],[1]!Tabela33[BROKER],0,0,1)))))))))))))</f>
        <v>CLAUDIO DE SOUZA PACINI</v>
      </c>
      <c r="E79" s="22">
        <f t="shared" si="6"/>
        <v>-12222.463521886501</v>
      </c>
      <c r="F79" s="9" t="str">
        <f t="shared" si="7"/>
        <v>BLOOMBERG</v>
      </c>
      <c r="G79" s="20">
        <f t="shared" si="8"/>
        <v>46054</v>
      </c>
      <c r="H79" s="23">
        <v>1170</v>
      </c>
      <c r="J79" s="41">
        <v>158778</v>
      </c>
      <c r="K79" s="1" t="s">
        <v>41</v>
      </c>
      <c r="L79" s="1" t="s">
        <v>12</v>
      </c>
      <c r="M79" s="29">
        <v>2373.5243270000001</v>
      </c>
      <c r="N79" s="2"/>
      <c r="Q79" s="27"/>
      <c r="S79" s="27"/>
      <c r="U79" s="27"/>
    </row>
    <row r="80" spans="1:78" ht="15" customHeight="1" x14ac:dyDescent="0.25">
      <c r="A80" s="9" t="str">
        <f t="shared" si="3"/>
        <v>CUSTO MARKET DATA - FEVEREIRO/26-BLOOMBERG-159800</v>
      </c>
      <c r="B80" s="20">
        <v>46054</v>
      </c>
      <c r="C80" s="21">
        <v>817393</v>
      </c>
      <c r="D80" s="9" t="str">
        <f>IF(J80=57036,"ALEXANDRE DA COSTA SOARES",IF(J80=24157,"JOSE MAURICIO GOMES TEIXEIRA",IF(J80=24203,"JOSE MAURICIO GOMES TEIXEIRA",IF(J80=24149,"CHRISTIANO MARCONDES DE BARROS LIMA",IF(J80=24137,"CHRISTIANO MARCONDES DE BARROS LIMA",IF(J80=135152,"ENRICO BORTPLUZO CASSIANO",IF(J80=136568,"ENRICO BORTPLUZO CASSIANO", IF(J80=130976,"MARYLIA CARVALHO PONCE",IF(J80=136668,"ALEXANDRE DA COSTA SOARES",IF(J80=52340,"OFFSHORE LISTED",IF(J80=158778,"CLAUDIO DE SOUZA PACINI",IF(J80=159800,"CLAUDIO DE SOUZA PACINI",_xlfn.XLOOKUP(J80,[1]!Tabela33[ID ORACLE],[1]!Tabela33[BROKER],0,0,1)))))))))))))</f>
        <v>CLAUDIO DE SOUZA PACINI</v>
      </c>
      <c r="E80" s="22">
        <f t="shared" si="6"/>
        <v>-1473.9396341699999</v>
      </c>
      <c r="F80" s="9" t="str">
        <f t="shared" si="7"/>
        <v>BLOOMBERG</v>
      </c>
      <c r="G80" s="20">
        <f t="shared" si="8"/>
        <v>46054</v>
      </c>
      <c r="H80" s="23">
        <v>1170</v>
      </c>
      <c r="J80" s="41">
        <v>159800</v>
      </c>
      <c r="K80" s="1" t="s">
        <v>41</v>
      </c>
      <c r="L80" s="1" t="s">
        <v>12</v>
      </c>
      <c r="M80" s="29">
        <v>286.22965999999997</v>
      </c>
      <c r="N80" s="2"/>
      <c r="Q80" s="27"/>
      <c r="S80" s="27"/>
      <c r="U80" s="27"/>
    </row>
    <row r="81" spans="1:78" customFormat="1" ht="15" customHeight="1" x14ac:dyDescent="0.25">
      <c r="A81" s="9" t="str">
        <f t="shared" ref="A81:A144" si="9">CONCATENATE($N$1,$I$1,F81,$I$1,J81)</f>
        <v>CUSTO MARKET DATA - FEVEREIRO/26-BLOOMBERG-22361</v>
      </c>
      <c r="B81" s="20">
        <v>46054</v>
      </c>
      <c r="C81" s="21">
        <v>817393</v>
      </c>
      <c r="D81" s="9" t="str">
        <f>IF(J81=57036,"ALEXANDRE DA COSTA SOARES",IF(J81=24157,"JOSE MAURICIO GOMES TEIXEIRA",IF(J81=24203,"JOSE MAURICIO GOMES TEIXEIRA",IF(J81=24149,"CHRISTIANO MARCONDES DE BARROS LIMA",IF(J81=24137,"CHRISTIANO MARCONDES DE BARROS LIMA",IF(J81=135152,"ENRICO BORTPLUZO CASSIANO",IF(J81=136568,"ENRICO BORTPLUZO CASSIANO", IF(J81=130976,"MARYLIA CARVALHO PONCE",IF(J81=136668,"ALEXANDRE DA COSTA SOARES",IF(J81=52340,"OFFSHORE LISTED",IF(J81=158778,"CLAUDIO DE SOUZA PACINI",IF(J81=159800,"CLAUDIO DE SOUZA PACINI",_xlfn.XLOOKUP(J81,[1]!Tabela33[ID ORACLE],[1]!Tabela33[BROKER],0,0,1)))))))))))))</f>
        <v>DANIEL TEIXEIRA SIQUEIRA GONÇALVES</v>
      </c>
      <c r="E81" s="22">
        <f t="shared" si="6"/>
        <v>-6182.0373885179997</v>
      </c>
      <c r="F81" s="9" t="str">
        <f t="shared" si="7"/>
        <v>BLOOMBERG</v>
      </c>
      <c r="G81" s="20">
        <f t="shared" si="8"/>
        <v>46054</v>
      </c>
      <c r="H81" s="23">
        <v>1170</v>
      </c>
      <c r="J81" s="41">
        <v>22361</v>
      </c>
      <c r="K81" s="1" t="s">
        <v>41</v>
      </c>
      <c r="L81" s="1" t="s">
        <v>12</v>
      </c>
      <c r="M81" s="29">
        <v>1200.512164</v>
      </c>
      <c r="N81" s="2"/>
      <c r="O81" s="1"/>
      <c r="P81" s="26"/>
      <c r="Q81" s="27"/>
      <c r="R81" s="26"/>
      <c r="S81" s="27"/>
      <c r="T81" s="26"/>
      <c r="U81" s="27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</row>
    <row r="82" spans="1:78" customFormat="1" ht="15" customHeight="1" x14ac:dyDescent="0.25">
      <c r="A82" s="9" t="str">
        <f t="shared" si="9"/>
        <v>CUSTO MARKET DATA - FEVEREIRO/26-REFINITIV-22361</v>
      </c>
      <c r="B82" s="20">
        <v>46054</v>
      </c>
      <c r="C82" s="21">
        <v>817393</v>
      </c>
      <c r="D82" s="9" t="str">
        <f>IF(J82=57036,"ALEXANDRE DA COSTA SOARES",IF(J82=24157,"JOSE MAURICIO GOMES TEIXEIRA",IF(J82=24203,"JOSE MAURICIO GOMES TEIXEIRA",IF(J82=24149,"CHRISTIANO MARCONDES DE BARROS LIMA",IF(J82=24137,"CHRISTIANO MARCONDES DE BARROS LIMA",IF(J82=135152,"ENRICO BORTPLUZO CASSIANO",IF(J82=136568,"ENRICO BORTPLUZO CASSIANO", IF(J82=130976,"MARYLIA CARVALHO PONCE",IF(J82=136668,"ALEXANDRE DA COSTA SOARES",IF(J82=52340,"OFFSHORE LISTED",IF(J82=158778,"CLAUDIO DE SOUZA PACINI",IF(J82=159800,"CLAUDIO DE SOUZA PACINI",_xlfn.XLOOKUP(J82,[1]!Tabela33[ID ORACLE],[1]!Tabela33[BROKER],0,0,1)))))))))))))</f>
        <v>DANIEL TEIXEIRA SIQUEIRA GONÇALVES</v>
      </c>
      <c r="E82" s="22">
        <f t="shared" si="6"/>
        <v>-143.22742675200001</v>
      </c>
      <c r="F82" s="9" t="str">
        <f t="shared" si="7"/>
        <v>REFINITIV</v>
      </c>
      <c r="G82" s="20">
        <f t="shared" si="8"/>
        <v>46054</v>
      </c>
      <c r="H82" s="23">
        <v>1170</v>
      </c>
      <c r="J82" s="41">
        <v>22361</v>
      </c>
      <c r="K82" s="1" t="s">
        <v>42</v>
      </c>
      <c r="L82" s="1" t="s">
        <v>17</v>
      </c>
      <c r="M82" s="29">
        <v>20.685648</v>
      </c>
      <c r="N82" s="2"/>
      <c r="O82" s="1"/>
      <c r="P82" s="26"/>
      <c r="Q82" s="27"/>
      <c r="R82" s="26"/>
      <c r="S82" s="27"/>
      <c r="T82" s="26"/>
      <c r="U82" s="27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</row>
    <row r="83" spans="1:78" customFormat="1" ht="15" customHeight="1" x14ac:dyDescent="0.25">
      <c r="A83" s="9" t="str">
        <f t="shared" si="9"/>
        <v>CUSTO MARKET DATA - FEVEREIRO/26-BLOOMBERG-24137</v>
      </c>
      <c r="B83" s="20">
        <v>46054</v>
      </c>
      <c r="C83" s="21">
        <v>817393</v>
      </c>
      <c r="D83" s="9" t="str">
        <f>IF(J83=57036,"ALEXANDRE DA COSTA SOARES",IF(J83=24157,"JOSE MAURICIO GOMES TEIXEIRA",IF(J83=24203,"JOSE MAURICIO GOMES TEIXEIRA",IF(J83=24149,"CHRISTIANO MARCONDES DE BARROS LIMA",IF(J83=24137,"CHRISTIANO MARCONDES DE BARROS LIMA",IF(J83=135152,"ENRICO BORTPLUZO CASSIANO",IF(J83=136568,"ENRICO BORTPLUZO CASSIANO", IF(J83=130976,"MARYLIA CARVALHO PONCE",IF(J83=136668,"ALEXANDRE DA COSTA SOARES",IF(J83=52340,"OFFSHORE LISTED",IF(J83=158778,"CLAUDIO DE SOUZA PACINI",IF(J83=159800,"CLAUDIO DE SOUZA PACINI",_xlfn.XLOOKUP(J83,[1]!Tabela33[ID ORACLE],[1]!Tabela33[BROKER],0,0,1)))))))))))))</f>
        <v>CHRISTIANO MARCONDES DE BARROS LIMA</v>
      </c>
      <c r="E83" s="22">
        <f t="shared" si="6"/>
        <v>-12003.438118453501</v>
      </c>
      <c r="F83" s="9" t="str">
        <f t="shared" si="7"/>
        <v>BLOOMBERG</v>
      </c>
      <c r="G83" s="20">
        <f t="shared" si="8"/>
        <v>46054</v>
      </c>
      <c r="H83" s="23">
        <v>1170</v>
      </c>
      <c r="J83" s="41">
        <v>24137</v>
      </c>
      <c r="K83" s="1" t="s">
        <v>41</v>
      </c>
      <c r="L83" s="1" t="s">
        <v>12</v>
      </c>
      <c r="M83" s="29">
        <v>2330.9909930000003</v>
      </c>
      <c r="N83" s="2"/>
      <c r="O83" s="1"/>
      <c r="P83" s="26"/>
      <c r="Q83" s="27"/>
      <c r="R83" s="26"/>
      <c r="S83" s="27"/>
      <c r="T83" s="26"/>
      <c r="U83" s="27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</row>
    <row r="84" spans="1:78" customFormat="1" ht="15" customHeight="1" x14ac:dyDescent="0.25">
      <c r="A84" s="9" t="str">
        <f t="shared" si="9"/>
        <v>CUSTO MARKET DATA - FEVEREIRO/26-BLOOMBERG-24140</v>
      </c>
      <c r="B84" s="20">
        <v>46054</v>
      </c>
      <c r="C84" s="21">
        <v>817393</v>
      </c>
      <c r="D84" s="9" t="str">
        <f>IF(J84=57036,"ALEXANDRE DA COSTA SOARES",IF(J84=24157,"JOSE MAURICIO GOMES TEIXEIRA",IF(J84=24203,"JOSE MAURICIO GOMES TEIXEIRA",IF(J84=24149,"CHRISTIANO MARCONDES DE BARROS LIMA",IF(J84=24137,"CHRISTIANO MARCONDES DE BARROS LIMA",IF(J84=135152,"ENRICO BORTPLUZO CASSIANO",IF(J84=136568,"ENRICO BORTPLUZO CASSIANO", IF(J84=130976,"MARYLIA CARVALHO PONCE",IF(J84=136668,"ALEXANDRE DA COSTA SOARES",IF(J84=52340,"OFFSHORE LISTED",IF(J84=158778,"CLAUDIO DE SOUZA PACINI",IF(J84=159800,"CLAUDIO DE SOUZA PACINI",_xlfn.XLOOKUP(J84,[1]!Tabela33[ID ORACLE],[1]!Tabela33[BROKER],0,0,1)))))))))))))</f>
        <v>FRANCISCO JOSE DIAS CARVALHO</v>
      </c>
      <c r="E84" s="22">
        <f t="shared" si="6"/>
        <v>-9252.0289543439976</v>
      </c>
      <c r="F84" s="9" t="str">
        <f t="shared" si="7"/>
        <v>BLOOMBERG</v>
      </c>
      <c r="G84" s="20">
        <f t="shared" si="8"/>
        <v>46054</v>
      </c>
      <c r="H84" s="23">
        <v>1170</v>
      </c>
      <c r="J84" s="41">
        <v>24140</v>
      </c>
      <c r="K84" s="1" t="s">
        <v>41</v>
      </c>
      <c r="L84" s="1" t="s">
        <v>12</v>
      </c>
      <c r="M84" s="29">
        <v>1796.6849119999997</v>
      </c>
      <c r="N84" s="2"/>
      <c r="O84" s="1"/>
      <c r="P84" s="26"/>
      <c r="Q84" s="27"/>
      <c r="R84" s="26"/>
      <c r="S84" s="27"/>
      <c r="T84" s="26"/>
      <c r="U84" s="27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</row>
    <row r="85" spans="1:78" customFormat="1" ht="15" customHeight="1" x14ac:dyDescent="0.25">
      <c r="A85" s="9" t="str">
        <f t="shared" si="9"/>
        <v>CUSTO MARKET DATA - FEVEREIRO/26-REFINITIV-24140</v>
      </c>
      <c r="B85" s="20">
        <v>46054</v>
      </c>
      <c r="C85" s="21">
        <v>817393</v>
      </c>
      <c r="D85" s="9" t="str">
        <f>IF(J85=57036,"ALEXANDRE DA COSTA SOARES",IF(J85=24157,"JOSE MAURICIO GOMES TEIXEIRA",IF(J85=24203,"JOSE MAURICIO GOMES TEIXEIRA",IF(J85=24149,"CHRISTIANO MARCONDES DE BARROS LIMA",IF(J85=24137,"CHRISTIANO MARCONDES DE BARROS LIMA",IF(J85=135152,"ENRICO BORTPLUZO CASSIANO",IF(J85=136568,"ENRICO BORTPLUZO CASSIANO", IF(J85=130976,"MARYLIA CARVALHO PONCE",IF(J85=136668,"ALEXANDRE DA COSTA SOARES",IF(J85=52340,"OFFSHORE LISTED",IF(J85=158778,"CLAUDIO DE SOUZA PACINI",IF(J85=159800,"CLAUDIO DE SOUZA PACINI",_xlfn.XLOOKUP(J85,[1]!Tabela33[ID ORACLE],[1]!Tabela33[BROKER],0,0,1)))))))))))))</f>
        <v>FRANCISCO JOSE DIAS CARVALHO</v>
      </c>
      <c r="E85" s="22">
        <f t="shared" si="6"/>
        <v>-143.22742675200001</v>
      </c>
      <c r="F85" s="9" t="str">
        <f t="shared" si="7"/>
        <v>REFINITIV</v>
      </c>
      <c r="G85" s="20">
        <f t="shared" si="8"/>
        <v>46054</v>
      </c>
      <c r="H85" s="23">
        <v>1170</v>
      </c>
      <c r="J85" s="41">
        <v>24140</v>
      </c>
      <c r="K85" s="1" t="s">
        <v>42</v>
      </c>
      <c r="L85" s="1" t="s">
        <v>17</v>
      </c>
      <c r="M85" s="29">
        <v>20.685648</v>
      </c>
      <c r="N85" s="2"/>
      <c r="O85" s="1"/>
      <c r="P85" s="26"/>
      <c r="Q85" s="27"/>
      <c r="R85" s="26"/>
      <c r="S85" s="27"/>
      <c r="T85" s="26"/>
      <c r="U85" s="27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</row>
    <row r="86" spans="1:78" customFormat="1" ht="15" customHeight="1" x14ac:dyDescent="0.25">
      <c r="A86" s="9" t="str">
        <f t="shared" si="9"/>
        <v>CUSTO MARKET DATA - FEVEREIRO/26-BLOOMBERG-24141</v>
      </c>
      <c r="B86" s="20">
        <v>46054</v>
      </c>
      <c r="C86" s="21">
        <v>817393</v>
      </c>
      <c r="D86" s="9" t="str">
        <f>IF(J86=57036,"ALEXANDRE DA COSTA SOARES",IF(J86=24157,"JOSE MAURICIO GOMES TEIXEIRA",IF(J86=24203,"JOSE MAURICIO GOMES TEIXEIRA",IF(J86=24149,"CHRISTIANO MARCONDES DE BARROS LIMA",IF(J86=24137,"CHRISTIANO MARCONDES DE BARROS LIMA",IF(J86=135152,"ENRICO BORTPLUZO CASSIANO",IF(J86=136568,"ENRICO BORTPLUZO CASSIANO", IF(J86=130976,"MARYLIA CARVALHO PONCE",IF(J86=136668,"ALEXANDRE DA COSTA SOARES",IF(J86=52340,"OFFSHORE LISTED",IF(J86=158778,"CLAUDIO DE SOUZA PACINI",IF(J86=159800,"CLAUDIO DE SOUZA PACINI",_xlfn.XLOOKUP(J86,[1]!Tabela33[ID ORACLE],[1]!Tabela33[BROKER],0,0,1)))))))))))))</f>
        <v>ANTONIO AUGUSTO DAS CHAGAS CARVALHO</v>
      </c>
      <c r="E86" s="22">
        <f t="shared" si="6"/>
        <v>-12427.413621886501</v>
      </c>
      <c r="F86" s="9" t="str">
        <f t="shared" si="7"/>
        <v>BLOOMBERG</v>
      </c>
      <c r="G86" s="20">
        <f t="shared" si="8"/>
        <v>46054</v>
      </c>
      <c r="H86" s="23">
        <v>1170</v>
      </c>
      <c r="J86" s="41">
        <v>24141</v>
      </c>
      <c r="K86" s="1" t="s">
        <v>41</v>
      </c>
      <c r="L86" s="1" t="s">
        <v>12</v>
      </c>
      <c r="M86" s="29">
        <v>2413.3243270000003</v>
      </c>
      <c r="N86" s="2"/>
      <c r="O86" s="1"/>
      <c r="P86" s="26"/>
      <c r="Q86" s="27"/>
      <c r="R86" s="26"/>
      <c r="S86" s="27"/>
      <c r="T86" s="26"/>
      <c r="U86" s="27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</row>
    <row r="87" spans="1:78" customFormat="1" ht="15" customHeight="1" x14ac:dyDescent="0.25">
      <c r="A87" s="9" t="str">
        <f t="shared" si="9"/>
        <v>CUSTO MARKET DATA - FEVEREIRO/26-REFINITIV-24141</v>
      </c>
      <c r="B87" s="20">
        <v>46054</v>
      </c>
      <c r="C87" s="21">
        <v>817393</v>
      </c>
      <c r="D87" s="9" t="str">
        <f>IF(J87=57036,"ALEXANDRE DA COSTA SOARES",IF(J87=24157,"JOSE MAURICIO GOMES TEIXEIRA",IF(J87=24203,"JOSE MAURICIO GOMES TEIXEIRA",IF(J87=24149,"CHRISTIANO MARCONDES DE BARROS LIMA",IF(J87=24137,"CHRISTIANO MARCONDES DE BARROS LIMA",IF(J87=135152,"ENRICO BORTPLUZO CASSIANO",IF(J87=136568,"ENRICO BORTPLUZO CASSIANO", IF(J87=130976,"MARYLIA CARVALHO PONCE",IF(J87=136668,"ALEXANDRE DA COSTA SOARES",IF(J87=52340,"OFFSHORE LISTED",IF(J87=158778,"CLAUDIO DE SOUZA PACINI",IF(J87=159800,"CLAUDIO DE SOUZA PACINI",_xlfn.XLOOKUP(J87,[1]!Tabela33[ID ORACLE],[1]!Tabela33[BROKER],0,0,1)))))))))))))</f>
        <v>ANTONIO AUGUSTO DAS CHAGAS CARVALHO</v>
      </c>
      <c r="E87" s="22">
        <f t="shared" si="6"/>
        <v>-143.22742675200001</v>
      </c>
      <c r="F87" s="9" t="str">
        <f t="shared" si="7"/>
        <v>REFINITIV</v>
      </c>
      <c r="G87" s="20">
        <f t="shared" si="8"/>
        <v>46054</v>
      </c>
      <c r="H87" s="23">
        <v>1170</v>
      </c>
      <c r="J87" s="41">
        <v>24141</v>
      </c>
      <c r="K87" s="1" t="s">
        <v>42</v>
      </c>
      <c r="L87" s="1" t="s">
        <v>17</v>
      </c>
      <c r="M87" s="29">
        <v>20.685648</v>
      </c>
      <c r="N87" s="2"/>
      <c r="O87" s="1"/>
      <c r="P87" s="26"/>
      <c r="Q87" s="27"/>
      <c r="R87" s="26"/>
      <c r="S87" s="27"/>
      <c r="T87" s="26"/>
      <c r="U87" s="27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</row>
    <row r="88" spans="1:78" customFormat="1" ht="15" customHeight="1" x14ac:dyDescent="0.25">
      <c r="A88" s="9" t="str">
        <f t="shared" si="9"/>
        <v>CUSTO MARKET DATA - FEVEREIRO/26-BLOOMBERG-24149</v>
      </c>
      <c r="B88" s="20">
        <v>46054</v>
      </c>
      <c r="C88" s="21">
        <v>817393</v>
      </c>
      <c r="D88" s="9" t="str">
        <f>IF(J88=57036,"ALEXANDRE DA COSTA SOARES",IF(J88=24157,"JOSE MAURICIO GOMES TEIXEIRA",IF(J88=24203,"JOSE MAURICIO GOMES TEIXEIRA",IF(J88=24149,"CHRISTIANO MARCONDES DE BARROS LIMA",IF(J88=24137,"CHRISTIANO MARCONDES DE BARROS LIMA",IF(J88=135152,"ENRICO BORTPLUZO CASSIANO",IF(J88=136568,"ENRICO BORTPLUZO CASSIANO", IF(J88=130976,"MARYLIA CARVALHO PONCE",IF(J88=136668,"ALEXANDRE DA COSTA SOARES",IF(J88=52340,"OFFSHORE LISTED",IF(J88=158778,"CLAUDIO DE SOUZA PACINI",IF(J88=159800,"CLAUDIO DE SOUZA PACINI",_xlfn.XLOOKUP(J88,[1]!Tabela33[ID ORACLE],[1]!Tabela33[BROKER],0,0,1)))))))))))))</f>
        <v>CHRISTIANO MARCONDES DE BARROS LIMA</v>
      </c>
      <c r="E88" s="22">
        <f t="shared" si="6"/>
        <v>-11878.991871886501</v>
      </c>
      <c r="F88" s="9" t="str">
        <f t="shared" si="7"/>
        <v>BLOOMBERG</v>
      </c>
      <c r="G88" s="20">
        <f t="shared" si="8"/>
        <v>46054</v>
      </c>
      <c r="H88" s="23">
        <v>1170</v>
      </c>
      <c r="J88" s="41">
        <v>24149</v>
      </c>
      <c r="K88" s="1" t="s">
        <v>41</v>
      </c>
      <c r="L88" s="1" t="s">
        <v>12</v>
      </c>
      <c r="M88" s="29">
        <v>2306.8243270000003</v>
      </c>
      <c r="N88" s="2"/>
      <c r="O88" s="1"/>
      <c r="P88" s="26"/>
      <c r="Q88" s="27"/>
      <c r="R88" s="26"/>
      <c r="S88" s="27"/>
      <c r="T88" s="26"/>
      <c r="U88" s="27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</row>
    <row r="89" spans="1:78" customFormat="1" ht="15" customHeight="1" x14ac:dyDescent="0.25">
      <c r="A89" s="9" t="str">
        <f t="shared" si="9"/>
        <v>CUSTO MARKET DATA - FEVEREIRO/26-BLOOMBERG-24156</v>
      </c>
      <c r="B89" s="20">
        <v>46054</v>
      </c>
      <c r="C89" s="21">
        <v>817393</v>
      </c>
      <c r="D89" s="9" t="str">
        <f>IF(J89=57036,"ALEXANDRE DA COSTA SOARES",IF(J89=24157,"JOSE MAURICIO GOMES TEIXEIRA",IF(J89=24203,"JOSE MAURICIO GOMES TEIXEIRA",IF(J89=24149,"CHRISTIANO MARCONDES DE BARROS LIMA",IF(J89=24137,"CHRISTIANO MARCONDES DE BARROS LIMA",IF(J89=135152,"ENRICO BORTPLUZO CASSIANO",IF(J89=136568,"ENRICO BORTPLUZO CASSIANO", IF(J89=130976,"MARYLIA CARVALHO PONCE",IF(J89=136668,"ALEXANDRE DA COSTA SOARES",IF(J89=52340,"OFFSHORE LISTED",IF(J89=158778,"CLAUDIO DE SOUZA PACINI",IF(J89=159800,"CLAUDIO DE SOUZA PACINI",_xlfn.XLOOKUP(J89,[1]!Tabela33[ID ORACLE],[1]!Tabela33[BROKER],0,0,1)))))))))))))</f>
        <v>JOSE MAURICIO GOMES TEIXEIRA</v>
      </c>
      <c r="E89" s="22">
        <f t="shared" si="6"/>
        <v>-12564.9052718865</v>
      </c>
      <c r="F89" s="9" t="str">
        <f t="shared" si="7"/>
        <v>BLOOMBERG</v>
      </c>
      <c r="G89" s="20">
        <f t="shared" si="8"/>
        <v>46054</v>
      </c>
      <c r="H89" s="23">
        <v>1170</v>
      </c>
      <c r="J89" s="41">
        <v>24156</v>
      </c>
      <c r="K89" s="1" t="s">
        <v>41</v>
      </c>
      <c r="L89" s="1" t="s">
        <v>12</v>
      </c>
      <c r="M89" s="29">
        <v>2440.0243270000001</v>
      </c>
      <c r="N89" s="2"/>
      <c r="O89" s="1"/>
      <c r="P89" s="26"/>
      <c r="Q89" s="27"/>
      <c r="R89" s="26"/>
      <c r="S89" s="27"/>
      <c r="T89" s="26"/>
      <c r="U89" s="27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</row>
    <row r="90" spans="1:78" customFormat="1" ht="15" customHeight="1" x14ac:dyDescent="0.25">
      <c r="A90" s="9" t="str">
        <f t="shared" si="9"/>
        <v>CUSTO MARKET DATA - FEVEREIRO/26-REFINITIV-24156</v>
      </c>
      <c r="B90" s="20">
        <v>46054</v>
      </c>
      <c r="C90" s="21">
        <v>817393</v>
      </c>
      <c r="D90" s="9" t="str">
        <f>IF(J90=57036,"ALEXANDRE DA COSTA SOARES",IF(J90=24157,"JOSE MAURICIO GOMES TEIXEIRA",IF(J90=24203,"JOSE MAURICIO GOMES TEIXEIRA",IF(J90=24149,"CHRISTIANO MARCONDES DE BARROS LIMA",IF(J90=24137,"CHRISTIANO MARCONDES DE BARROS LIMA",IF(J90=135152,"ENRICO BORTPLUZO CASSIANO",IF(J90=136568,"ENRICO BORTPLUZO CASSIANO", IF(J90=130976,"MARYLIA CARVALHO PONCE",IF(J90=136668,"ALEXANDRE DA COSTA SOARES",IF(J90=52340,"OFFSHORE LISTED",IF(J90=158778,"CLAUDIO DE SOUZA PACINI",IF(J90=159800,"CLAUDIO DE SOUZA PACINI",_xlfn.XLOOKUP(J90,[1]!Tabela33[ID ORACLE],[1]!Tabela33[BROKER],0,0,1)))))))))))))</f>
        <v>JOSE MAURICIO GOMES TEIXEIRA</v>
      </c>
      <c r="E90" s="22">
        <f t="shared" si="6"/>
        <v>-143.22742675200001</v>
      </c>
      <c r="F90" s="9" t="str">
        <f t="shared" si="7"/>
        <v>REFINITIV</v>
      </c>
      <c r="G90" s="20">
        <f t="shared" si="8"/>
        <v>46054</v>
      </c>
      <c r="H90" s="23">
        <v>1170</v>
      </c>
      <c r="J90" s="41">
        <v>24156</v>
      </c>
      <c r="K90" s="1" t="s">
        <v>42</v>
      </c>
      <c r="L90" s="1" t="s">
        <v>17</v>
      </c>
      <c r="M90" s="29">
        <v>20.685648</v>
      </c>
      <c r="N90" s="2"/>
      <c r="O90" s="1"/>
      <c r="P90" s="26"/>
      <c r="Q90" s="27"/>
      <c r="R90" s="26"/>
      <c r="S90" s="27"/>
      <c r="T90" s="26"/>
      <c r="U90" s="27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</row>
    <row r="91" spans="1:78" customFormat="1" ht="15" customHeight="1" x14ac:dyDescent="0.25">
      <c r="A91" s="9" t="str">
        <f t="shared" si="9"/>
        <v>CUSTO MARKET DATA - FEVEREIRO/26-BLOOMBERG-24157</v>
      </c>
      <c r="B91" s="20">
        <v>46054</v>
      </c>
      <c r="C91" s="21">
        <v>817393</v>
      </c>
      <c r="D91" s="9" t="str">
        <f>IF(J91=57036,"ALEXANDRE DA COSTA SOARES",IF(J91=24157,"JOSE MAURICIO GOMES TEIXEIRA",IF(J91=24203,"JOSE MAURICIO GOMES TEIXEIRA",IF(J91=24149,"CHRISTIANO MARCONDES DE BARROS LIMA",IF(J91=24137,"CHRISTIANO MARCONDES DE BARROS LIMA",IF(J91=135152,"ENRICO BORTPLUZO CASSIANO",IF(J91=136568,"ENRICO BORTPLUZO CASSIANO", IF(J91=130976,"MARYLIA CARVALHO PONCE",IF(J91=136668,"ALEXANDRE DA COSTA SOARES",IF(J91=52340,"OFFSHORE LISTED",IF(J91=158778,"CLAUDIO DE SOUZA PACINI",IF(J91=159800,"CLAUDIO DE SOUZA PACINI",_xlfn.XLOOKUP(J91,[1]!Tabela33[ID ORACLE],[1]!Tabela33[BROKER],0,0,1)))))))))))))</f>
        <v>JOSE MAURICIO GOMES TEIXEIRA</v>
      </c>
      <c r="E91" s="22">
        <f t="shared" si="6"/>
        <v>-12427.413621886501</v>
      </c>
      <c r="F91" s="9" t="str">
        <f t="shared" si="7"/>
        <v>BLOOMBERG</v>
      </c>
      <c r="G91" s="20">
        <f t="shared" si="8"/>
        <v>46054</v>
      </c>
      <c r="H91" s="23">
        <v>1170</v>
      </c>
      <c r="J91" s="41">
        <v>24157</v>
      </c>
      <c r="K91" s="1" t="s">
        <v>41</v>
      </c>
      <c r="L91" s="1" t="s">
        <v>12</v>
      </c>
      <c r="M91" s="29">
        <v>2413.3243270000003</v>
      </c>
      <c r="N91" s="2"/>
      <c r="O91" s="1"/>
      <c r="P91" s="26"/>
      <c r="Q91" s="27"/>
      <c r="R91" s="26"/>
      <c r="S91" s="27"/>
      <c r="T91" s="26"/>
      <c r="U91" s="27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</row>
    <row r="92" spans="1:78" customFormat="1" ht="15" customHeight="1" x14ac:dyDescent="0.25">
      <c r="A92" s="9" t="str">
        <f t="shared" si="9"/>
        <v>CUSTO MARKET DATA - FEVEREIRO/26-REFINITIV-24157</v>
      </c>
      <c r="B92" s="20">
        <v>46054</v>
      </c>
      <c r="C92" s="21">
        <v>817393</v>
      </c>
      <c r="D92" s="9" t="str">
        <f>IF(J92=57036,"ALEXANDRE DA COSTA SOARES",IF(J92=24157,"JOSE MAURICIO GOMES TEIXEIRA",IF(J92=24203,"JOSE MAURICIO GOMES TEIXEIRA",IF(J92=24149,"CHRISTIANO MARCONDES DE BARROS LIMA",IF(J92=24137,"CHRISTIANO MARCONDES DE BARROS LIMA",IF(J92=135152,"ENRICO BORTPLUZO CASSIANO",IF(J92=136568,"ENRICO BORTPLUZO CASSIANO", IF(J92=130976,"MARYLIA CARVALHO PONCE",IF(J92=136668,"ALEXANDRE DA COSTA SOARES",IF(J92=52340,"OFFSHORE LISTED",IF(J92=158778,"CLAUDIO DE SOUZA PACINI",IF(J92=159800,"CLAUDIO DE SOUZA PACINI",_xlfn.XLOOKUP(J92,[1]!Tabela33[ID ORACLE],[1]!Tabela33[BROKER],0,0,1)))))))))))))</f>
        <v>JOSE MAURICIO GOMES TEIXEIRA</v>
      </c>
      <c r="E92" s="22">
        <f t="shared" ref="E92:E153" si="10">-IF(L92="BRL",M92,IF(L92="GBP",M92*$R$1,IF(L92="CAD",M92*$T$1,M92*$P$1)))</f>
        <v>-143.22742675200001</v>
      </c>
      <c r="F92" s="9" t="str">
        <f t="shared" ref="F92:F149" si="11">IF(UPPER(K92)="Valor Analytics LLC","VALOR",UPPER(K92))</f>
        <v>REFINITIV</v>
      </c>
      <c r="G92" s="20">
        <f t="shared" si="8"/>
        <v>46054</v>
      </c>
      <c r="H92" s="23">
        <v>1170</v>
      </c>
      <c r="J92" s="41">
        <v>24157</v>
      </c>
      <c r="K92" s="1" t="s">
        <v>42</v>
      </c>
      <c r="L92" s="1" t="s">
        <v>17</v>
      </c>
      <c r="M92" s="29">
        <v>20.685648</v>
      </c>
      <c r="N92" s="2"/>
      <c r="O92" s="1"/>
      <c r="P92" s="26"/>
      <c r="Q92" s="27"/>
      <c r="R92" s="26"/>
      <c r="S92" s="27"/>
      <c r="T92" s="26"/>
      <c r="U92" s="27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</row>
    <row r="93" spans="1:78" customFormat="1" ht="15" customHeight="1" x14ac:dyDescent="0.25">
      <c r="A93" s="9" t="str">
        <f t="shared" si="9"/>
        <v>CUSTO MARKET DATA - FEVEREIRO/26-REFINITIV-24170</v>
      </c>
      <c r="B93" s="20">
        <v>46054</v>
      </c>
      <c r="C93" s="21">
        <v>817393</v>
      </c>
      <c r="D93" s="9" t="str">
        <f>IF(J93=57036,"ALEXANDRE DA COSTA SOARES",IF(J93=24157,"JOSE MAURICIO GOMES TEIXEIRA",IF(J93=24203,"JOSE MAURICIO GOMES TEIXEIRA",IF(J93=24149,"CHRISTIANO MARCONDES DE BARROS LIMA",IF(J93=24137,"CHRISTIANO MARCONDES DE BARROS LIMA",IF(J93=135152,"ENRICO BORTPLUZO CASSIANO",IF(J93=136568,"ENRICO BORTPLUZO CASSIANO", IF(J93=130976,"MARYLIA CARVALHO PONCE",IF(J93=136668,"ALEXANDRE DA COSTA SOARES",IF(J93=52340,"OFFSHORE LISTED",IF(J93=158778,"CLAUDIO DE SOUZA PACINI",IF(J93=159800,"CLAUDIO DE SOUZA PACINI",_xlfn.XLOOKUP(J93,[1]!Tabela33[ID ORACLE],[1]!Tabela33[BROKER],0,0,1)))))))))))))</f>
        <v>ANDREA LICASSIA ALMEIDA SANTOS</v>
      </c>
      <c r="E93" s="22">
        <f t="shared" si="10"/>
        <v>-143.22742675200001</v>
      </c>
      <c r="F93" s="9" t="str">
        <f t="shared" si="11"/>
        <v>REFINITIV</v>
      </c>
      <c r="G93" s="20">
        <f t="shared" si="8"/>
        <v>46054</v>
      </c>
      <c r="H93" s="23">
        <v>1170</v>
      </c>
      <c r="J93" s="41">
        <v>24170</v>
      </c>
      <c r="K93" s="1" t="s">
        <v>42</v>
      </c>
      <c r="L93" s="1" t="s">
        <v>17</v>
      </c>
      <c r="M93" s="29">
        <v>20.685648</v>
      </c>
      <c r="N93" s="2"/>
      <c r="O93" s="1"/>
      <c r="P93" s="26"/>
      <c r="Q93" s="27"/>
      <c r="R93" s="26"/>
      <c r="S93" s="27"/>
      <c r="T93" s="26"/>
      <c r="U93" s="27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</row>
    <row r="94" spans="1:78" customFormat="1" ht="15" customHeight="1" x14ac:dyDescent="0.25">
      <c r="A94" s="9" t="str">
        <f t="shared" si="9"/>
        <v>CUSTO MARKET DATA - FEVEREIRO/26-BLOOMBERG-24182</v>
      </c>
      <c r="B94" s="20">
        <v>46054</v>
      </c>
      <c r="C94" s="21">
        <v>817393</v>
      </c>
      <c r="D94" s="9" t="str">
        <f>IF(J94=57036,"ALEXANDRE DA COSTA SOARES",IF(J94=24157,"JOSE MAURICIO GOMES TEIXEIRA",IF(J94=24203,"JOSE MAURICIO GOMES TEIXEIRA",IF(J94=24149,"CHRISTIANO MARCONDES DE BARROS LIMA",IF(J94=24137,"CHRISTIANO MARCONDES DE BARROS LIMA",IF(J94=135152,"ENRICO BORTPLUZO CASSIANO",IF(J94=136568,"ENRICO BORTPLUZO CASSIANO", IF(J94=130976,"MARYLIA CARVALHO PONCE",IF(J94=136668,"ALEXANDRE DA COSTA SOARES",IF(J94=52340,"OFFSHORE LISTED",IF(J94=158778,"CLAUDIO DE SOUZA PACINI",IF(J94=159800,"CLAUDIO DE SOUZA PACINI",_xlfn.XLOOKUP(J94,[1]!Tabela33[ID ORACLE],[1]!Tabela33[BROKER],0,0,1)))))))))))))</f>
        <v>ANTONIO AGIZ FILHO</v>
      </c>
      <c r="E94" s="22">
        <f t="shared" si="10"/>
        <v>-11475.786021886501</v>
      </c>
      <c r="F94" s="9" t="str">
        <f t="shared" si="11"/>
        <v>BLOOMBERG</v>
      </c>
      <c r="G94" s="20">
        <f t="shared" si="8"/>
        <v>46054</v>
      </c>
      <c r="H94" s="23">
        <v>1170</v>
      </c>
      <c r="J94" s="41">
        <v>24182</v>
      </c>
      <c r="K94" s="1" t="s">
        <v>41</v>
      </c>
      <c r="L94" s="1" t="s">
        <v>12</v>
      </c>
      <c r="M94" s="29">
        <v>2228.5243270000001</v>
      </c>
      <c r="N94" s="2"/>
      <c r="O94" s="1"/>
      <c r="P94" s="26"/>
      <c r="Q94" s="27"/>
      <c r="R94" s="26"/>
      <c r="S94" s="27"/>
      <c r="T94" s="26"/>
      <c r="U94" s="27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</row>
    <row r="95" spans="1:78" ht="15" customHeight="1" x14ac:dyDescent="0.25">
      <c r="A95" s="9" t="str">
        <f t="shared" si="9"/>
        <v>CUSTO MARKET DATA - FEVEREIRO/26-REFINITIV-24183</v>
      </c>
      <c r="B95" s="20">
        <v>46054</v>
      </c>
      <c r="C95" s="21">
        <v>817393</v>
      </c>
      <c r="D95" s="9" t="str">
        <f>IF(J95=57036,"ALEXANDRE DA COSTA SOARES",IF(J95=24157,"JOSE MAURICIO GOMES TEIXEIRA",IF(J95=24203,"JOSE MAURICIO GOMES TEIXEIRA",IF(J95=24149,"CHRISTIANO MARCONDES DE BARROS LIMA",IF(J95=24137,"CHRISTIANO MARCONDES DE BARROS LIMA",IF(J95=135152,"ENRICO BORTPLUZO CASSIANO",IF(J95=136568,"ENRICO BORTPLUZO CASSIANO", IF(J95=130976,"MARYLIA CARVALHO PONCE",IF(J95=136668,"ALEXANDRE DA COSTA SOARES",IF(J95=52340,"OFFSHORE LISTED",IF(J95=158778,"CLAUDIO DE SOUZA PACINI",IF(J95=159800,"CLAUDIO DE SOUZA PACINI",_xlfn.XLOOKUP(J95,[1]!Tabela33[ID ORACLE],[1]!Tabela33[BROKER],0,0,1)))))))))))))</f>
        <v>CARLA REGINA DE SOUZA CARREIRA</v>
      </c>
      <c r="E95" s="22">
        <f t="shared" si="10"/>
        <v>-143.22742675200001</v>
      </c>
      <c r="F95" s="9" t="str">
        <f t="shared" si="11"/>
        <v>REFINITIV</v>
      </c>
      <c r="G95" s="20">
        <f t="shared" si="8"/>
        <v>46054</v>
      </c>
      <c r="H95" s="23">
        <v>1170</v>
      </c>
      <c r="J95" s="41">
        <v>24183</v>
      </c>
      <c r="K95" s="1" t="s">
        <v>42</v>
      </c>
      <c r="L95" s="1" t="s">
        <v>17</v>
      </c>
      <c r="M95" s="29">
        <v>20.685648</v>
      </c>
      <c r="Q95" s="27"/>
      <c r="S95" s="27"/>
      <c r="U95" s="27"/>
    </row>
    <row r="96" spans="1:78" ht="15" customHeight="1" x14ac:dyDescent="0.25">
      <c r="A96" s="9" t="str">
        <f t="shared" si="9"/>
        <v>CUSTO MARKET DATA - FEVEREIRO/26-BLOOMBERG-24184</v>
      </c>
      <c r="B96" s="20">
        <v>46054</v>
      </c>
      <c r="C96" s="21">
        <v>817393</v>
      </c>
      <c r="D96" s="9" t="str">
        <f>IF(J96=57036,"ALEXANDRE DA COSTA SOARES",IF(J96=24157,"JOSE MAURICIO GOMES TEIXEIRA",IF(J96=24203,"JOSE MAURICIO GOMES TEIXEIRA",IF(J96=24149,"CHRISTIANO MARCONDES DE BARROS LIMA",IF(J96=24137,"CHRISTIANO MARCONDES DE BARROS LIMA",IF(J96=135152,"ENRICO BORTPLUZO CASSIANO",IF(J96=136568,"ENRICO BORTPLUZO CASSIANO", IF(J96=130976,"MARYLIA CARVALHO PONCE",IF(J96=136668,"ALEXANDRE DA COSTA SOARES",IF(J96=52340,"OFFSHORE LISTED",IF(J96=158778,"CLAUDIO DE SOUZA PACINI",IF(J96=159800,"CLAUDIO DE SOUZA PACINI",_xlfn.XLOOKUP(J96,[1]!Tabela33[ID ORACLE],[1]!Tabela33[BROKER],0,0,1)))))))))))))</f>
        <v>CHRISTIANO MARCONDES DE BARROS LIMA</v>
      </c>
      <c r="E96" s="22">
        <f t="shared" si="10"/>
        <v>-12625.669371886501</v>
      </c>
      <c r="F96" s="9" t="str">
        <f t="shared" si="11"/>
        <v>BLOOMBERG</v>
      </c>
      <c r="G96" s="20">
        <f t="shared" si="8"/>
        <v>46054</v>
      </c>
      <c r="H96" s="23">
        <v>1170</v>
      </c>
      <c r="J96" s="41">
        <v>24184</v>
      </c>
      <c r="K96" s="1" t="s">
        <v>41</v>
      </c>
      <c r="L96" s="1" t="s">
        <v>12</v>
      </c>
      <c r="M96" s="29">
        <v>2451.8243270000003</v>
      </c>
      <c r="Q96" s="27"/>
      <c r="S96" s="27"/>
      <c r="U96" s="27"/>
    </row>
    <row r="97" spans="1:78" ht="15" customHeight="1" x14ac:dyDescent="0.25">
      <c r="A97" s="9" t="str">
        <f t="shared" si="9"/>
        <v>CUSTO MARKET DATA - FEVEREIRO/26-REFINITIV-24184</v>
      </c>
      <c r="B97" s="20">
        <v>46054</v>
      </c>
      <c r="C97" s="21">
        <v>817393</v>
      </c>
      <c r="D97" s="9" t="str">
        <f>IF(J97=57036,"ALEXANDRE DA COSTA SOARES",IF(J97=24157,"JOSE MAURICIO GOMES TEIXEIRA",IF(J97=24203,"JOSE MAURICIO GOMES TEIXEIRA",IF(J97=24149,"CHRISTIANO MARCONDES DE BARROS LIMA",IF(J97=24137,"CHRISTIANO MARCONDES DE BARROS LIMA",IF(J97=135152,"ENRICO BORTPLUZO CASSIANO",IF(J97=136568,"ENRICO BORTPLUZO CASSIANO", IF(J97=130976,"MARYLIA CARVALHO PONCE",IF(J97=136668,"ALEXANDRE DA COSTA SOARES",IF(J97=52340,"OFFSHORE LISTED",IF(J97=158778,"CLAUDIO DE SOUZA PACINI",IF(J97=159800,"CLAUDIO DE SOUZA PACINI",_xlfn.XLOOKUP(J97,[1]!Tabela33[ID ORACLE],[1]!Tabela33[BROKER],0,0,1)))))))))))))</f>
        <v>CHRISTIANO MARCONDES DE BARROS LIMA</v>
      </c>
      <c r="E97" s="22">
        <f t="shared" si="10"/>
        <v>-143.22742675200001</v>
      </c>
      <c r="F97" s="9" t="str">
        <f t="shared" si="11"/>
        <v>REFINITIV</v>
      </c>
      <c r="G97" s="20">
        <f t="shared" si="8"/>
        <v>46054</v>
      </c>
      <c r="H97" s="23">
        <v>1170</v>
      </c>
      <c r="J97" s="41">
        <v>24184</v>
      </c>
      <c r="K97" s="1" t="s">
        <v>42</v>
      </c>
      <c r="L97" s="1" t="s">
        <v>17</v>
      </c>
      <c r="M97" s="29">
        <v>20.685648</v>
      </c>
      <c r="Q97" s="27"/>
      <c r="S97" s="27"/>
      <c r="U97" s="27"/>
    </row>
    <row r="98" spans="1:78" ht="15" customHeight="1" x14ac:dyDescent="0.25">
      <c r="A98" s="9" t="str">
        <f t="shared" si="9"/>
        <v>CUSTO MARKET DATA - FEVEREIRO/26-REFINITIV-24189</v>
      </c>
      <c r="B98" s="20">
        <v>46054</v>
      </c>
      <c r="C98" s="21">
        <v>817393</v>
      </c>
      <c r="D98" s="9" t="str">
        <f>IF(J98=57036,"ALEXANDRE DA COSTA SOARES",IF(J98=24157,"JOSE MAURICIO GOMES TEIXEIRA",IF(J98=24203,"JOSE MAURICIO GOMES TEIXEIRA",IF(J98=24149,"CHRISTIANO MARCONDES DE BARROS LIMA",IF(J98=24137,"CHRISTIANO MARCONDES DE BARROS LIMA",IF(J98=135152,"ENRICO BORTPLUZO CASSIANO",IF(J98=136568,"ENRICO BORTPLUZO CASSIANO", IF(J98=130976,"MARYLIA CARVALHO PONCE",IF(J98=136668,"ALEXANDRE DA COSTA SOARES",IF(J98=52340,"OFFSHORE LISTED",IF(J98=158778,"CLAUDIO DE SOUZA PACINI",IF(J98=159800,"CLAUDIO DE SOUZA PACINI",_xlfn.XLOOKUP(J98,[1]!Tabela33[ID ORACLE],[1]!Tabela33[BROKER],0,0,1)))))))))))))</f>
        <v>VINICIUS AMARAL DE MOURA</v>
      </c>
      <c r="E98" s="22">
        <f t="shared" si="10"/>
        <v>-143.22742675200001</v>
      </c>
      <c r="F98" s="9" t="str">
        <f t="shared" si="11"/>
        <v>REFINITIV</v>
      </c>
      <c r="G98" s="20">
        <f t="shared" si="8"/>
        <v>46054</v>
      </c>
      <c r="H98" s="23">
        <v>1170</v>
      </c>
      <c r="J98" s="41">
        <v>24189</v>
      </c>
      <c r="K98" s="1" t="s">
        <v>42</v>
      </c>
      <c r="L98" s="1" t="s">
        <v>17</v>
      </c>
      <c r="M98" s="29">
        <v>20.685648</v>
      </c>
      <c r="Q98" s="27"/>
      <c r="S98" s="27"/>
      <c r="U98" s="27"/>
    </row>
    <row r="99" spans="1:78" customFormat="1" ht="15" customHeight="1" x14ac:dyDescent="0.25">
      <c r="A99" s="9" t="str">
        <f t="shared" si="9"/>
        <v>CUSTO MARKET DATA - FEVEREIRO/26-REFINITIV-24199</v>
      </c>
      <c r="B99" s="20">
        <v>46054</v>
      </c>
      <c r="C99" s="21">
        <v>817393</v>
      </c>
      <c r="D99" s="9" t="str">
        <f>IF(J99=57036,"ALEXANDRE DA COSTA SOARES",IF(J99=24157,"JOSE MAURICIO GOMES TEIXEIRA",IF(J99=24203,"JOSE MAURICIO GOMES TEIXEIRA",IF(J99=24149,"CHRISTIANO MARCONDES DE BARROS LIMA",IF(J99=24137,"CHRISTIANO MARCONDES DE BARROS LIMA",IF(J99=135152,"ENRICO BORTPLUZO CASSIANO",IF(J99=136568,"ENRICO BORTPLUZO CASSIANO", IF(J99=130976,"MARYLIA CARVALHO PONCE",IF(J99=136668,"ALEXANDRE DA COSTA SOARES",IF(J99=52340,"OFFSHORE LISTED",IF(J99=158778,"CLAUDIO DE SOUZA PACINI",IF(J99=159800,"CLAUDIO DE SOUZA PACINI",_xlfn.XLOOKUP(J99,[1]!Tabela33[ID ORACLE],[1]!Tabela33[BROKER],0,0,1)))))))))))))</f>
        <v>RICARDO FERREIRA DA COSTA</v>
      </c>
      <c r="E99" s="22">
        <f t="shared" si="10"/>
        <v>-143.22742675200001</v>
      </c>
      <c r="F99" s="9" t="str">
        <f t="shared" si="11"/>
        <v>REFINITIV</v>
      </c>
      <c r="G99" s="20">
        <f t="shared" si="8"/>
        <v>46054</v>
      </c>
      <c r="H99" s="23">
        <v>1170</v>
      </c>
      <c r="J99" s="41">
        <v>24199</v>
      </c>
      <c r="K99" s="1" t="s">
        <v>42</v>
      </c>
      <c r="L99" s="1" t="s">
        <v>17</v>
      </c>
      <c r="M99" s="29">
        <v>20.685648</v>
      </c>
      <c r="O99" s="1"/>
      <c r="P99" s="26"/>
      <c r="Q99" s="27"/>
      <c r="R99" s="26"/>
      <c r="S99" s="27"/>
      <c r="T99" s="26"/>
      <c r="U99" s="27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</row>
    <row r="100" spans="1:78" customFormat="1" ht="15" customHeight="1" x14ac:dyDescent="0.25">
      <c r="A100" s="9" t="str">
        <f t="shared" si="9"/>
        <v>CUSTO MARKET DATA - FEVEREIRO/26-BLOOMBERG-24203</v>
      </c>
      <c r="B100" s="20">
        <v>46054</v>
      </c>
      <c r="C100" s="21">
        <v>817393</v>
      </c>
      <c r="D100" s="9" t="str">
        <f>IF(J100=57036,"ALEXANDRE DA COSTA SOARES",IF(J100=24157,"JOSE MAURICIO GOMES TEIXEIRA",IF(J100=24203,"JOSE MAURICIO GOMES TEIXEIRA",IF(J100=24149,"CHRISTIANO MARCONDES DE BARROS LIMA",IF(J100=24137,"CHRISTIANO MARCONDES DE BARROS LIMA",IF(J100=135152,"ENRICO BORTPLUZO CASSIANO",IF(J100=136568,"ENRICO BORTPLUZO CASSIANO", IF(J100=130976,"MARYLIA CARVALHO PONCE",IF(J100=136668,"ALEXANDRE DA COSTA SOARES",IF(J100=52340,"OFFSHORE LISTED",IF(J100=158778,"CLAUDIO DE SOUZA PACINI",IF(J100=159800,"CLAUDIO DE SOUZA PACINI",_xlfn.XLOOKUP(J100,[1]!Tabela33[ID ORACLE],[1]!Tabela33[BROKER],0,0,1)))))))))))))</f>
        <v>JOSE MAURICIO GOMES TEIXEIRA</v>
      </c>
      <c r="E100" s="22">
        <f t="shared" si="10"/>
        <v>-12427.413621886501</v>
      </c>
      <c r="F100" s="9" t="str">
        <f t="shared" si="11"/>
        <v>BLOOMBERG</v>
      </c>
      <c r="G100" s="20">
        <f t="shared" si="8"/>
        <v>46054</v>
      </c>
      <c r="H100" s="23">
        <v>1170</v>
      </c>
      <c r="J100" s="41">
        <v>24203</v>
      </c>
      <c r="K100" s="1" t="s">
        <v>41</v>
      </c>
      <c r="L100" s="1" t="s">
        <v>12</v>
      </c>
      <c r="M100" s="29">
        <v>2413.3243270000003</v>
      </c>
      <c r="O100" s="1"/>
      <c r="P100" s="26"/>
      <c r="Q100" s="27"/>
      <c r="R100" s="26"/>
      <c r="S100" s="27"/>
      <c r="T100" s="26"/>
      <c r="U100" s="27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</row>
    <row r="101" spans="1:78" customFormat="1" ht="15" customHeight="1" x14ac:dyDescent="0.25">
      <c r="A101" s="9" t="str">
        <f t="shared" si="9"/>
        <v>CUSTO MARKET DATA - FEVEREIRO/26-REFINITIV-24237</v>
      </c>
      <c r="B101" s="20">
        <v>46054</v>
      </c>
      <c r="C101" s="21">
        <v>817393</v>
      </c>
      <c r="D101" s="9" t="str">
        <f>IF(J101=57036,"ALEXANDRE DA COSTA SOARES",IF(J101=24157,"JOSE MAURICIO GOMES TEIXEIRA",IF(J101=24203,"JOSE MAURICIO GOMES TEIXEIRA",IF(J101=24149,"CHRISTIANO MARCONDES DE BARROS LIMA",IF(J101=24137,"CHRISTIANO MARCONDES DE BARROS LIMA",IF(J101=135152,"ENRICO BORTPLUZO CASSIANO",IF(J101=136568,"ENRICO BORTPLUZO CASSIANO", IF(J101=130976,"MARYLIA CARVALHO PONCE",IF(J101=136668,"ALEXANDRE DA COSTA SOARES",IF(J101=52340,"OFFSHORE LISTED",IF(J101=158778,"CLAUDIO DE SOUZA PACINI",IF(J101=159800,"CLAUDIO DE SOUZA PACINI",_xlfn.XLOOKUP(J101,[1]!Tabela33[ID ORACLE],[1]!Tabela33[BROKER],0,0,1)))))))))))))</f>
        <v>EDUARDO TADEU CARAPIA UTTEMBERG</v>
      </c>
      <c r="E101" s="22">
        <f t="shared" si="10"/>
        <v>-143.22742675200001</v>
      </c>
      <c r="F101" s="9" t="str">
        <f t="shared" si="11"/>
        <v>REFINITIV</v>
      </c>
      <c r="G101" s="20">
        <f t="shared" si="8"/>
        <v>46054</v>
      </c>
      <c r="H101" s="23">
        <v>1170</v>
      </c>
      <c r="J101" s="41">
        <v>24237</v>
      </c>
      <c r="K101" s="1" t="s">
        <v>42</v>
      </c>
      <c r="L101" s="1" t="s">
        <v>17</v>
      </c>
      <c r="M101" s="29">
        <v>20.685648</v>
      </c>
      <c r="O101" s="1"/>
      <c r="P101" s="26"/>
      <c r="Q101" s="27"/>
      <c r="R101" s="26"/>
      <c r="S101" s="27"/>
      <c r="T101" s="26"/>
      <c r="U101" s="27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</row>
    <row r="102" spans="1:78" customFormat="1" ht="15" customHeight="1" x14ac:dyDescent="0.25">
      <c r="A102" s="9" t="str">
        <f t="shared" si="9"/>
        <v>CUSTO MARKET DATA - FEVEREIRO/26-BLOOMBERG-24243</v>
      </c>
      <c r="B102" s="20">
        <v>46054</v>
      </c>
      <c r="C102" s="21">
        <v>817393</v>
      </c>
      <c r="D102" s="9" t="str">
        <f>IF(J102=57036,"ALEXANDRE DA COSTA SOARES",IF(J102=24157,"JOSE MAURICIO GOMES TEIXEIRA",IF(J102=24203,"JOSE MAURICIO GOMES TEIXEIRA",IF(J102=24149,"CHRISTIANO MARCONDES DE BARROS LIMA",IF(J102=24137,"CHRISTIANO MARCONDES DE BARROS LIMA",IF(J102=135152,"ENRICO BORTPLUZO CASSIANO",IF(J102=136568,"ENRICO BORTPLUZO CASSIANO", IF(J102=130976,"MARYLIA CARVALHO PONCE",IF(J102=136668,"ALEXANDRE DA COSTA SOARES",IF(J102=52340,"OFFSHORE LISTED",IF(J102=158778,"CLAUDIO DE SOUZA PACINI",IF(J102=159800,"CLAUDIO DE SOUZA PACINI",_xlfn.XLOOKUP(J102,[1]!Tabela33[ID ORACLE],[1]!Tabela33[BROKER],0,0,1)))))))))))))</f>
        <v>JOSÉ VERGARA</v>
      </c>
      <c r="E102" s="22">
        <f t="shared" si="10"/>
        <v>-11617.397271886501</v>
      </c>
      <c r="F102" s="9" t="str">
        <f t="shared" si="11"/>
        <v>BLOOMBERG</v>
      </c>
      <c r="G102" s="20">
        <f t="shared" si="8"/>
        <v>46054</v>
      </c>
      <c r="H102" s="23">
        <v>1170</v>
      </c>
      <c r="J102" s="41">
        <v>24243</v>
      </c>
      <c r="K102" s="1" t="s">
        <v>41</v>
      </c>
      <c r="L102" s="1" t="s">
        <v>12</v>
      </c>
      <c r="M102" s="29">
        <v>2256.0243270000001</v>
      </c>
      <c r="O102" s="1"/>
      <c r="P102" s="26"/>
      <c r="Q102" s="27"/>
      <c r="R102" s="26"/>
      <c r="S102" s="27"/>
      <c r="T102" s="26"/>
      <c r="U102" s="27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</row>
    <row r="103" spans="1:78" customFormat="1" ht="15" customHeight="1" x14ac:dyDescent="0.25">
      <c r="A103" s="9" t="str">
        <f t="shared" si="9"/>
        <v>CUSTO MARKET DATA - FEVEREIRO/26-BLOOMBERG-36538</v>
      </c>
      <c r="B103" s="20">
        <v>46054</v>
      </c>
      <c r="C103" s="21">
        <v>817393</v>
      </c>
      <c r="D103" s="9" t="str">
        <f>IF(J103=57036,"ALEXANDRE DA COSTA SOARES",IF(J103=24157,"JOSE MAURICIO GOMES TEIXEIRA",IF(J103=24203,"JOSE MAURICIO GOMES TEIXEIRA",IF(J103=24149,"CHRISTIANO MARCONDES DE BARROS LIMA",IF(J103=24137,"CHRISTIANO MARCONDES DE BARROS LIMA",IF(J103=135152,"ENRICO BORTPLUZO CASSIANO",IF(J103=136568,"ENRICO BORTPLUZO CASSIANO", IF(J103=130976,"MARYLIA CARVALHO PONCE",IF(J103=136668,"ALEXANDRE DA COSTA SOARES",IF(J103=52340,"OFFSHORE LISTED",IF(J103=158778,"CLAUDIO DE SOUZA PACINI",IF(J103=159800,"CLAUDIO DE SOUZA PACINI",_xlfn.XLOOKUP(J103,[1]!Tabela33[ID ORACLE],[1]!Tabela33[BROKER],0,0,1)))))))))))))</f>
        <v>CLYBAS PINTO FERRAZ NETO</v>
      </c>
      <c r="E103" s="22">
        <f t="shared" si="10"/>
        <v>-11617.397271886501</v>
      </c>
      <c r="F103" s="9" t="str">
        <f t="shared" si="11"/>
        <v>BLOOMBERG</v>
      </c>
      <c r="G103" s="20">
        <f t="shared" si="8"/>
        <v>46054</v>
      </c>
      <c r="H103" s="23">
        <v>1170</v>
      </c>
      <c r="J103" s="41">
        <v>36538</v>
      </c>
      <c r="K103" s="1" t="s">
        <v>41</v>
      </c>
      <c r="L103" s="1" t="s">
        <v>12</v>
      </c>
      <c r="M103" s="29">
        <v>2256.0243270000001</v>
      </c>
      <c r="O103" s="1"/>
      <c r="P103" s="26"/>
      <c r="Q103" s="27"/>
      <c r="R103" s="26"/>
      <c r="S103" s="27"/>
      <c r="T103" s="26"/>
      <c r="U103" s="27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</row>
    <row r="104" spans="1:78" customFormat="1" ht="15" customHeight="1" x14ac:dyDescent="0.25">
      <c r="A104" s="9" t="str">
        <f t="shared" si="9"/>
        <v>CUSTO MARKET DATA - FEVEREIRO/26-REFINITIV-36538</v>
      </c>
      <c r="B104" s="20">
        <v>46054</v>
      </c>
      <c r="C104" s="21">
        <v>817393</v>
      </c>
      <c r="D104" s="9" t="str">
        <f>IF(J104=57036,"ALEXANDRE DA COSTA SOARES",IF(J104=24157,"JOSE MAURICIO GOMES TEIXEIRA",IF(J104=24203,"JOSE MAURICIO GOMES TEIXEIRA",IF(J104=24149,"CHRISTIANO MARCONDES DE BARROS LIMA",IF(J104=24137,"CHRISTIANO MARCONDES DE BARROS LIMA",IF(J104=135152,"ENRICO BORTPLUZO CASSIANO",IF(J104=136568,"ENRICO BORTPLUZO CASSIANO", IF(J104=130976,"MARYLIA CARVALHO PONCE",IF(J104=136668,"ALEXANDRE DA COSTA SOARES",IF(J104=52340,"OFFSHORE LISTED",IF(J104=158778,"CLAUDIO DE SOUZA PACINI",IF(J104=159800,"CLAUDIO DE SOUZA PACINI",_xlfn.XLOOKUP(J104,[1]!Tabela33[ID ORACLE],[1]!Tabela33[BROKER],0,0,1)))))))))))))</f>
        <v>CLYBAS PINTO FERRAZ NETO</v>
      </c>
      <c r="E104" s="22">
        <f t="shared" si="10"/>
        <v>-143.22742675200001</v>
      </c>
      <c r="F104" s="9" t="str">
        <f t="shared" si="11"/>
        <v>REFINITIV</v>
      </c>
      <c r="G104" s="20">
        <f t="shared" si="8"/>
        <v>46054</v>
      </c>
      <c r="H104" s="23">
        <v>1170</v>
      </c>
      <c r="J104" s="41">
        <v>36538</v>
      </c>
      <c r="K104" s="1" t="s">
        <v>42</v>
      </c>
      <c r="L104" s="1" t="s">
        <v>17</v>
      </c>
      <c r="M104" s="29">
        <v>20.685648</v>
      </c>
      <c r="O104" s="1"/>
      <c r="P104" s="26"/>
      <c r="Q104" s="27"/>
      <c r="R104" s="26"/>
      <c r="S104" s="27"/>
      <c r="T104" s="26"/>
      <c r="U104" s="27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</row>
    <row r="105" spans="1:78" customFormat="1" ht="15" customHeight="1" x14ac:dyDescent="0.25">
      <c r="A105" s="9" t="str">
        <f t="shared" si="9"/>
        <v>CUSTO MARKET DATA - FEVEREIRO/26-BLOOMBERG-52340</v>
      </c>
      <c r="B105" s="20">
        <v>46054</v>
      </c>
      <c r="C105" s="21">
        <v>817393</v>
      </c>
      <c r="D105" s="9" t="str">
        <f>IF(J105=57036,"ALEXANDRE DA COSTA SOARES",IF(J105=24157,"JOSE MAURICIO GOMES TEIXEIRA",IF(J105=24203,"JOSE MAURICIO GOMES TEIXEIRA",IF(J105=24149,"CHRISTIANO MARCONDES DE BARROS LIMA",IF(J105=24137,"CHRISTIANO MARCONDES DE BARROS LIMA",IF(J105=135152,"ENRICO BORTPLUZO CASSIANO",IF(J105=136568,"ENRICO BORTPLUZO CASSIANO", IF(J105=130976,"MARYLIA CARVALHO PONCE",IF(J105=136668,"ALEXANDRE DA COSTA SOARES",IF(J105=52340,"OFFSHORE LISTED",IF(J105=158778,"CLAUDIO DE SOUZA PACINI",IF(J105=159800,"CLAUDIO DE SOUZA PACINI",_xlfn.XLOOKUP(J105,[1]!Tabela33[ID ORACLE],[1]!Tabela33[BROKER],0,0,1)))))))))))))</f>
        <v>OFFSHORE LISTED</v>
      </c>
      <c r="E105" s="22">
        <f t="shared" si="10"/>
        <v>-13684.4065718865</v>
      </c>
      <c r="F105" s="9" t="str">
        <f t="shared" si="11"/>
        <v>BLOOMBERG</v>
      </c>
      <c r="G105" s="20">
        <f t="shared" si="8"/>
        <v>46054</v>
      </c>
      <c r="H105" s="23">
        <v>1170</v>
      </c>
      <c r="J105" s="41">
        <v>52340</v>
      </c>
      <c r="K105" s="1" t="s">
        <v>41</v>
      </c>
      <c r="L105" s="1" t="s">
        <v>12</v>
      </c>
      <c r="M105" s="29">
        <v>2657.4243270000002</v>
      </c>
      <c r="O105" s="1"/>
      <c r="P105" s="26"/>
      <c r="Q105" s="27"/>
      <c r="R105" s="26"/>
      <c r="S105" s="27"/>
      <c r="T105" s="26"/>
      <c r="U105" s="27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</row>
    <row r="106" spans="1:78" customFormat="1" ht="15" customHeight="1" x14ac:dyDescent="0.25">
      <c r="A106" s="9" t="str">
        <f t="shared" si="9"/>
        <v>CUSTO MARKET DATA - FEVEREIRO/26-FIDESSA-52340</v>
      </c>
      <c r="B106" s="20">
        <v>46054</v>
      </c>
      <c r="C106" s="21">
        <v>817393</v>
      </c>
      <c r="D106" s="9" t="str">
        <f>IF(J106=57036,"ALEXANDRE DA COSTA SOARES",IF(J106=24157,"JOSE MAURICIO GOMES TEIXEIRA",IF(J106=24203,"JOSE MAURICIO GOMES TEIXEIRA",IF(J106=24149,"CHRISTIANO MARCONDES DE BARROS LIMA",IF(J106=24137,"CHRISTIANO MARCONDES DE BARROS LIMA",IF(J106=135152,"ENRICO BORTPLUZO CASSIANO",IF(J106=136568,"ENRICO BORTPLUZO CASSIANO", IF(J106=130976,"MARYLIA CARVALHO PONCE",IF(J106=136668,"ALEXANDRE DA COSTA SOARES",IF(J106=52340,"OFFSHORE LISTED",IF(J106=158778,"CLAUDIO DE SOUZA PACINI",IF(J106=159800,"CLAUDIO DE SOUZA PACINI",_xlfn.XLOOKUP(J106,[1]!Tabela33[ID ORACLE],[1]!Tabela33[BROKER],0,0,1)))))))))))))</f>
        <v>OFFSHORE LISTED</v>
      </c>
      <c r="E106" s="22">
        <f t="shared" si="10"/>
        <v>-1814.3197303499999</v>
      </c>
      <c r="F106" s="9" t="str">
        <f t="shared" si="11"/>
        <v>FIDESSA</v>
      </c>
      <c r="G106" s="20">
        <f t="shared" si="8"/>
        <v>46054</v>
      </c>
      <c r="H106" s="23">
        <v>1170</v>
      </c>
      <c r="J106" s="41">
        <v>52340</v>
      </c>
      <c r="K106" s="1" t="s">
        <v>47</v>
      </c>
      <c r="L106" s="1" t="s">
        <v>12</v>
      </c>
      <c r="M106" s="29">
        <v>352.32929999999999</v>
      </c>
      <c r="O106" s="1"/>
      <c r="P106" s="26"/>
      <c r="Q106" s="27"/>
      <c r="R106" s="26"/>
      <c r="S106" s="27"/>
      <c r="T106" s="26"/>
      <c r="U106" s="27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</row>
    <row r="107" spans="1:78" customFormat="1" ht="15" customHeight="1" x14ac:dyDescent="0.25">
      <c r="A107" s="9" t="str">
        <f t="shared" si="9"/>
        <v>CUSTO MARKET DATA - FEVEREIRO/26-NYSE MARKET INC.-52340</v>
      </c>
      <c r="B107" s="20">
        <v>46054</v>
      </c>
      <c r="C107" s="21">
        <v>817393</v>
      </c>
      <c r="D107" s="9" t="str">
        <f>IF(J107=57036,"ALEXANDRE DA COSTA SOARES",IF(J107=24157,"JOSE MAURICIO GOMES TEIXEIRA",IF(J107=24203,"JOSE MAURICIO GOMES TEIXEIRA",IF(J107=24149,"CHRISTIANO MARCONDES DE BARROS LIMA",IF(J107=24137,"CHRISTIANO MARCONDES DE BARROS LIMA",IF(J107=135152,"ENRICO BORTPLUZO CASSIANO",IF(J107=136568,"ENRICO BORTPLUZO CASSIANO", IF(J107=130976,"MARYLIA CARVALHO PONCE",IF(J107=136668,"ALEXANDRE DA COSTA SOARES",IF(J107=52340,"OFFSHORE LISTED",IF(J107=158778,"CLAUDIO DE SOUZA PACINI",IF(J107=159800,"CLAUDIO DE SOUZA PACINI",_xlfn.XLOOKUP(J107,[1]!Tabela33[ID ORACLE],[1]!Tabela33[BROKER],0,0,1)))))))))))))</f>
        <v>OFFSHORE LISTED</v>
      </c>
      <c r="E107" s="22">
        <f t="shared" si="10"/>
        <v>-1878.3702412499999</v>
      </c>
      <c r="F107" s="9" t="str">
        <f t="shared" si="11"/>
        <v>NYSE MARKET INC.</v>
      </c>
      <c r="G107" s="20">
        <f t="shared" si="8"/>
        <v>46054</v>
      </c>
      <c r="H107" s="23">
        <v>1170</v>
      </c>
      <c r="J107" s="41">
        <v>52340</v>
      </c>
      <c r="K107" s="1" t="s">
        <v>44</v>
      </c>
      <c r="L107" s="1" t="s">
        <v>12</v>
      </c>
      <c r="M107" s="29">
        <v>364.76749999999998</v>
      </c>
      <c r="O107" s="1"/>
      <c r="P107" s="26"/>
      <c r="Q107" s="27"/>
      <c r="R107" s="26"/>
      <c r="S107" s="27"/>
      <c r="T107" s="26"/>
      <c r="U107" s="27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</row>
    <row r="108" spans="1:78" customFormat="1" ht="15" customHeight="1" x14ac:dyDescent="0.25">
      <c r="A108" s="9" t="str">
        <f t="shared" si="9"/>
        <v>CUSTO MARKET DATA - FEVEREIRO/26-OPTIONS PRICE REPORTING AUTHORITY (OPRA)-52340</v>
      </c>
      <c r="B108" s="20">
        <v>46054</v>
      </c>
      <c r="C108" s="21">
        <v>817393</v>
      </c>
      <c r="D108" s="9" t="str">
        <f>IF(J108=57036,"ALEXANDRE DA COSTA SOARES",IF(J108=24157,"JOSE MAURICIO GOMES TEIXEIRA",IF(J108=24203,"JOSE MAURICIO GOMES TEIXEIRA",IF(J108=24149,"CHRISTIANO MARCONDES DE BARROS LIMA",IF(J108=24137,"CHRISTIANO MARCONDES DE BARROS LIMA",IF(J108=135152,"ENRICO BORTPLUZO CASSIANO",IF(J108=136568,"ENRICO BORTPLUZO CASSIANO", IF(J108=130976,"MARYLIA CARVALHO PONCE",IF(J108=136668,"ALEXANDRE DA COSTA SOARES",IF(J108=52340,"OFFSHORE LISTED",IF(J108=158778,"CLAUDIO DE SOUZA PACINI",IF(J108=159800,"CLAUDIO DE SOUZA PACINI",_xlfn.XLOOKUP(J108,[1]!Tabela33[ID ORACLE],[1]!Tabela33[BROKER],0,0,1)))))))))))))</f>
        <v>OFFSHORE LISTED</v>
      </c>
      <c r="E108" s="22">
        <f t="shared" si="10"/>
        <v>-162.20925</v>
      </c>
      <c r="F108" s="9" t="str">
        <f t="shared" si="11"/>
        <v>OPTIONS PRICE REPORTING AUTHORITY (OPRA)</v>
      </c>
      <c r="G108" s="20">
        <f t="shared" si="8"/>
        <v>46054</v>
      </c>
      <c r="H108" s="23">
        <v>1170</v>
      </c>
      <c r="J108" s="41">
        <v>52340</v>
      </c>
      <c r="K108" s="1" t="s">
        <v>45</v>
      </c>
      <c r="L108" s="1" t="s">
        <v>12</v>
      </c>
      <c r="M108" s="29">
        <v>31.5</v>
      </c>
      <c r="O108" s="1"/>
      <c r="P108" s="26"/>
      <c r="Q108" s="27"/>
      <c r="R108" s="26"/>
      <c r="S108" s="27"/>
      <c r="T108" s="26"/>
      <c r="U108" s="27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</row>
    <row r="109" spans="1:78" customFormat="1" ht="15" customHeight="1" x14ac:dyDescent="0.25">
      <c r="A109" s="9" t="str">
        <f t="shared" si="9"/>
        <v>CUSTO MARKET DATA - FEVEREIRO/26-BLOOMBERG-56258</v>
      </c>
      <c r="B109" s="20">
        <v>46054</v>
      </c>
      <c r="C109" s="21">
        <v>817393</v>
      </c>
      <c r="D109" s="9" t="str">
        <f>IF(J109=57036,"ALEXANDRE DA COSTA SOARES",IF(J109=24157,"JOSE MAURICIO GOMES TEIXEIRA",IF(J109=24203,"JOSE MAURICIO GOMES TEIXEIRA",IF(J109=24149,"CHRISTIANO MARCONDES DE BARROS LIMA",IF(J109=24137,"CHRISTIANO MARCONDES DE BARROS LIMA",IF(J109=135152,"ENRICO BORTPLUZO CASSIANO",IF(J109=136568,"ENRICO BORTPLUZO CASSIANO", IF(J109=130976,"MARYLIA CARVALHO PONCE",IF(J109=136668,"ALEXANDRE DA COSTA SOARES",IF(J109=52340,"OFFSHORE LISTED",IF(J109=158778,"CLAUDIO DE SOUZA PACINI",IF(J109=159800,"CLAUDIO DE SOUZA PACINI",_xlfn.XLOOKUP(J109,[1]!Tabela33[ID ORACLE],[1]!Tabela33[BROKER],0,0,1)))))))))))))</f>
        <v>RAFFAELE SCURTI NETTO</v>
      </c>
      <c r="E109" s="22">
        <f t="shared" si="10"/>
        <v>-9252.0289543439976</v>
      </c>
      <c r="F109" s="9" t="str">
        <f t="shared" si="11"/>
        <v>BLOOMBERG</v>
      </c>
      <c r="G109" s="20">
        <f t="shared" si="8"/>
        <v>46054</v>
      </c>
      <c r="H109" s="23">
        <v>1170</v>
      </c>
      <c r="J109" s="41">
        <v>56258</v>
      </c>
      <c r="K109" s="1" t="s">
        <v>41</v>
      </c>
      <c r="L109" s="1" t="s">
        <v>12</v>
      </c>
      <c r="M109" s="29">
        <v>1796.6849119999997</v>
      </c>
      <c r="O109" s="1"/>
      <c r="P109" s="26"/>
      <c r="Q109" s="27"/>
      <c r="R109" s="26"/>
      <c r="S109" s="27"/>
      <c r="T109" s="26"/>
      <c r="U109" s="27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</row>
    <row r="110" spans="1:78" customFormat="1" ht="15" customHeight="1" x14ac:dyDescent="0.25">
      <c r="A110" s="9" t="str">
        <f t="shared" si="9"/>
        <v>CUSTO MARKET DATA - FEVEREIRO/26-REFINITIV-56258</v>
      </c>
      <c r="B110" s="20">
        <v>46054</v>
      </c>
      <c r="C110" s="21">
        <v>817393</v>
      </c>
      <c r="D110" s="9" t="str">
        <f>IF(J110=57036,"ALEXANDRE DA COSTA SOARES",IF(J110=24157,"JOSE MAURICIO GOMES TEIXEIRA",IF(J110=24203,"JOSE MAURICIO GOMES TEIXEIRA",IF(J110=24149,"CHRISTIANO MARCONDES DE BARROS LIMA",IF(J110=24137,"CHRISTIANO MARCONDES DE BARROS LIMA",IF(J110=135152,"ENRICO BORTPLUZO CASSIANO",IF(J110=136568,"ENRICO BORTPLUZO CASSIANO", IF(J110=130976,"MARYLIA CARVALHO PONCE",IF(J110=136668,"ALEXANDRE DA COSTA SOARES",IF(J110=52340,"OFFSHORE LISTED",IF(J110=158778,"CLAUDIO DE SOUZA PACINI",IF(J110=159800,"CLAUDIO DE SOUZA PACINI",_xlfn.XLOOKUP(J110,[1]!Tabela33[ID ORACLE],[1]!Tabela33[BROKER],0,0,1)))))))))))))</f>
        <v>RAFFAELE SCURTI NETTO</v>
      </c>
      <c r="E110" s="22">
        <f t="shared" si="10"/>
        <v>-143.22742675200001</v>
      </c>
      <c r="F110" s="9" t="str">
        <f t="shared" si="11"/>
        <v>REFINITIV</v>
      </c>
      <c r="G110" s="20">
        <f t="shared" si="8"/>
        <v>46054</v>
      </c>
      <c r="H110" s="23">
        <v>1170</v>
      </c>
      <c r="J110" s="41">
        <v>56258</v>
      </c>
      <c r="K110" s="1" t="s">
        <v>42</v>
      </c>
      <c r="L110" s="1" t="s">
        <v>17</v>
      </c>
      <c r="M110" s="29">
        <v>20.685648</v>
      </c>
      <c r="O110" s="1"/>
      <c r="P110" s="26"/>
      <c r="Q110" s="27"/>
      <c r="R110" s="26"/>
      <c r="S110" s="27"/>
      <c r="T110" s="26"/>
      <c r="U110" s="27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</row>
    <row r="111" spans="1:78" customFormat="1" ht="15" customHeight="1" x14ac:dyDescent="0.25">
      <c r="A111" s="9" t="str">
        <f t="shared" si="9"/>
        <v>CUSTO MARKET DATA - FEVEREIRO/26-BLOOMBERG-57036</v>
      </c>
      <c r="B111" s="20">
        <v>46054</v>
      </c>
      <c r="C111" s="21">
        <v>817393</v>
      </c>
      <c r="D111" s="9" t="str">
        <f>IF(J111=57036,"ALEXANDRE DA COSTA SOARES",IF(J111=24157,"JOSE MAURICIO GOMES TEIXEIRA",IF(J111=24203,"JOSE MAURICIO GOMES TEIXEIRA",IF(J111=24149,"CHRISTIANO MARCONDES DE BARROS LIMA",IF(J111=24137,"CHRISTIANO MARCONDES DE BARROS LIMA",IF(J111=135152,"ENRICO BORTPLUZO CASSIANO",IF(J111=136568,"ENRICO BORTPLUZO CASSIANO", IF(J111=130976,"MARYLIA CARVALHO PONCE",IF(J111=136668,"ALEXANDRE DA COSTA SOARES",IF(J111=52340,"OFFSHORE LISTED",IF(J111=158778,"CLAUDIO DE SOUZA PACINI",IF(J111=159800,"CLAUDIO DE SOUZA PACINI",_xlfn.XLOOKUP(J111,[1]!Tabela33[ID ORACLE],[1]!Tabela33[BROKER],0,0,1)))))))))))))</f>
        <v>ALEXANDRE DA COSTA SOARES</v>
      </c>
      <c r="E111" s="22">
        <f t="shared" si="10"/>
        <v>-13614.373371886499</v>
      </c>
      <c r="F111" s="9" t="str">
        <f t="shared" si="11"/>
        <v>BLOOMBERG</v>
      </c>
      <c r="G111" s="20">
        <f t="shared" si="8"/>
        <v>46054</v>
      </c>
      <c r="H111" s="23">
        <v>1170</v>
      </c>
      <c r="J111" s="41">
        <v>57036</v>
      </c>
      <c r="K111" s="1" t="s">
        <v>41</v>
      </c>
      <c r="L111" s="1" t="s">
        <v>12</v>
      </c>
      <c r="M111" s="29">
        <v>2643.8243269999998</v>
      </c>
      <c r="O111" s="1"/>
      <c r="P111" s="26"/>
      <c r="Q111" s="27"/>
      <c r="R111" s="26"/>
      <c r="S111" s="27"/>
      <c r="T111" s="26"/>
      <c r="U111" s="27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</row>
    <row r="112" spans="1:78" ht="15" customHeight="1" x14ac:dyDescent="0.25">
      <c r="A112" s="9" t="str">
        <f t="shared" si="9"/>
        <v>CUSTO MARKET DATA - FEVEREIRO/26-FIDESSA-57036</v>
      </c>
      <c r="B112" s="20">
        <v>46054</v>
      </c>
      <c r="C112" s="21">
        <v>817393</v>
      </c>
      <c r="D112" s="9" t="str">
        <f>IF(J112=57036,"ALEXANDRE DA COSTA SOARES",IF(J112=24157,"JOSE MAURICIO GOMES TEIXEIRA",IF(J112=24203,"JOSE MAURICIO GOMES TEIXEIRA",IF(J112=24149,"CHRISTIANO MARCONDES DE BARROS LIMA",IF(J112=24137,"CHRISTIANO MARCONDES DE BARROS LIMA",IF(J112=135152,"ENRICO BORTPLUZO CASSIANO",IF(J112=136568,"ENRICO BORTPLUZO CASSIANO", IF(J112=130976,"MARYLIA CARVALHO PONCE",IF(J112=136668,"ALEXANDRE DA COSTA SOARES",IF(J112=52340,"OFFSHORE LISTED",IF(J112=158778,"CLAUDIO DE SOUZA PACINI",IF(J112=159800,"CLAUDIO DE SOUZA PACINI",_xlfn.XLOOKUP(J112,[1]!Tabela33[ID ORACLE],[1]!Tabela33[BROKER],0,0,1)))))))))))))</f>
        <v>ALEXANDRE DA COSTA SOARES</v>
      </c>
      <c r="E112" s="22">
        <f t="shared" si="10"/>
        <v>-2232.3795036315005</v>
      </c>
      <c r="F112" s="9" t="str">
        <f t="shared" si="11"/>
        <v>FIDESSA</v>
      </c>
      <c r="G112" s="20">
        <f t="shared" si="8"/>
        <v>46054</v>
      </c>
      <c r="H112" s="23">
        <v>1170</v>
      </c>
      <c r="J112" s="41">
        <v>57036</v>
      </c>
      <c r="K112" s="1" t="s">
        <v>47</v>
      </c>
      <c r="L112" s="1" t="s">
        <v>12</v>
      </c>
      <c r="M112" s="29">
        <v>433.51383700000008</v>
      </c>
      <c r="Q112" s="27"/>
      <c r="S112" s="27"/>
      <c r="U112" s="27"/>
    </row>
    <row r="113" spans="1:78" customFormat="1" ht="15" customHeight="1" x14ac:dyDescent="0.25">
      <c r="A113" s="9" t="str">
        <f t="shared" si="9"/>
        <v>CUSTO MARKET DATA - FEVEREIRO/26-NYSE MARKET INC.-57036</v>
      </c>
      <c r="B113" s="20">
        <v>46054</v>
      </c>
      <c r="C113" s="21">
        <v>817393</v>
      </c>
      <c r="D113" s="9" t="str">
        <f>IF(J113=57036,"ALEXANDRE DA COSTA SOARES",IF(J113=24157,"JOSE MAURICIO GOMES TEIXEIRA",IF(J113=24203,"JOSE MAURICIO GOMES TEIXEIRA",IF(J113=24149,"CHRISTIANO MARCONDES DE BARROS LIMA",IF(J113=24137,"CHRISTIANO MARCONDES DE BARROS LIMA",IF(J113=135152,"ENRICO BORTPLUZO CASSIANO",IF(J113=136568,"ENRICO BORTPLUZO CASSIANO", IF(J113=130976,"MARYLIA CARVALHO PONCE",IF(J113=136668,"ALEXANDRE DA COSTA SOARES",IF(J113=52340,"OFFSHORE LISTED",IF(J113=158778,"CLAUDIO DE SOUZA PACINI",IF(J113=159800,"CLAUDIO DE SOUZA PACINI",_xlfn.XLOOKUP(J113,[1]!Tabela33[ID ORACLE],[1]!Tabela33[BROKER],0,0,1)))))))))))))</f>
        <v>ALEXANDRE DA COSTA SOARES</v>
      </c>
      <c r="E113" s="22">
        <f t="shared" si="10"/>
        <v>-1519.5530812499999</v>
      </c>
      <c r="F113" s="9" t="str">
        <f t="shared" si="11"/>
        <v>NYSE MARKET INC.</v>
      </c>
      <c r="G113" s="20">
        <f t="shared" si="8"/>
        <v>46054</v>
      </c>
      <c r="H113" s="23">
        <v>1170</v>
      </c>
      <c r="J113" s="41">
        <v>57036</v>
      </c>
      <c r="K113" s="1" t="s">
        <v>44</v>
      </c>
      <c r="L113" s="1" t="s">
        <v>12</v>
      </c>
      <c r="M113" s="29">
        <v>295.08749999999998</v>
      </c>
      <c r="O113" s="1"/>
      <c r="P113" s="26"/>
      <c r="Q113" s="27"/>
      <c r="R113" s="26"/>
      <c r="S113" s="28"/>
      <c r="T113" s="26"/>
      <c r="U113" s="28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</row>
    <row r="114" spans="1:78" customFormat="1" ht="15" customHeight="1" x14ac:dyDescent="0.25">
      <c r="A114" s="9" t="str">
        <f t="shared" si="9"/>
        <v>CUSTO MARKET DATA - FEVEREIRO/26-OPTIONS PRICE REPORTING AUTHORITY (OPRA)-57036</v>
      </c>
      <c r="B114" s="20">
        <v>46054</v>
      </c>
      <c r="C114" s="21">
        <v>817393</v>
      </c>
      <c r="D114" s="9" t="str">
        <f>IF(J114=57036,"ALEXANDRE DA COSTA SOARES",IF(J114=24157,"JOSE MAURICIO GOMES TEIXEIRA",IF(J114=24203,"JOSE MAURICIO GOMES TEIXEIRA",IF(J114=24149,"CHRISTIANO MARCONDES DE BARROS LIMA",IF(J114=24137,"CHRISTIANO MARCONDES DE BARROS LIMA",IF(J114=135152,"ENRICO BORTPLUZO CASSIANO",IF(J114=136568,"ENRICO BORTPLUZO CASSIANO", IF(J114=130976,"MARYLIA CARVALHO PONCE",IF(J114=136668,"ALEXANDRE DA COSTA SOARES",IF(J114=52340,"OFFSHORE LISTED",IF(J114=158778,"CLAUDIO DE SOUZA PACINI",IF(J114=159800,"CLAUDIO DE SOUZA PACINI",_xlfn.XLOOKUP(J114,[1]!Tabela33[ID ORACLE],[1]!Tabela33[BROKER],0,0,1)))))))))))))</f>
        <v>ALEXANDRE DA COSTA SOARES</v>
      </c>
      <c r="E114" s="22">
        <f t="shared" si="10"/>
        <v>-501.02382093749998</v>
      </c>
      <c r="F114" s="9" t="str">
        <f t="shared" si="11"/>
        <v>OPTIONS PRICE REPORTING AUTHORITY (OPRA)</v>
      </c>
      <c r="G114" s="20">
        <f t="shared" si="8"/>
        <v>46054</v>
      </c>
      <c r="H114" s="23">
        <v>1170</v>
      </c>
      <c r="J114" s="41">
        <v>57036</v>
      </c>
      <c r="K114" s="1" t="s">
        <v>45</v>
      </c>
      <c r="L114" s="1" t="s">
        <v>12</v>
      </c>
      <c r="M114" s="29">
        <v>97.295625000000001</v>
      </c>
      <c r="O114" s="1"/>
      <c r="P114" s="26"/>
      <c r="Q114" s="27"/>
      <c r="R114" s="26"/>
      <c r="S114" s="28"/>
      <c r="T114" s="26"/>
      <c r="U114" s="28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</row>
    <row r="115" spans="1:78" customFormat="1" ht="15" customHeight="1" x14ac:dyDescent="0.25">
      <c r="A115" s="9" t="str">
        <f t="shared" si="9"/>
        <v>CUSTO MARKET DATA - FEVEREIRO/26-REFINITIV-57036</v>
      </c>
      <c r="B115" s="20">
        <v>46054</v>
      </c>
      <c r="C115" s="21">
        <v>817393</v>
      </c>
      <c r="D115" s="9" t="str">
        <f>IF(J115=57036,"ALEXANDRE DA COSTA SOARES",IF(J115=24157,"JOSE MAURICIO GOMES TEIXEIRA",IF(J115=24203,"JOSE MAURICIO GOMES TEIXEIRA",IF(J115=24149,"CHRISTIANO MARCONDES DE BARROS LIMA",IF(J115=24137,"CHRISTIANO MARCONDES DE BARROS LIMA",IF(J115=135152,"ENRICO BORTPLUZO CASSIANO",IF(J115=136568,"ENRICO BORTPLUZO CASSIANO", IF(J115=130976,"MARYLIA CARVALHO PONCE",IF(J115=136668,"ALEXANDRE DA COSTA SOARES",IF(J115=52340,"OFFSHORE LISTED",IF(J115=158778,"CLAUDIO DE SOUZA PACINI",IF(J115=159800,"CLAUDIO DE SOUZA PACINI",_xlfn.XLOOKUP(J115,[1]!Tabela33[ID ORACLE],[1]!Tabela33[BROKER],0,0,1)))))))))))))</f>
        <v>ALEXANDRE DA COSTA SOARES</v>
      </c>
      <c r="E115" s="22">
        <f t="shared" si="10"/>
        <v>-143.22742675200001</v>
      </c>
      <c r="F115" s="9" t="str">
        <f t="shared" si="11"/>
        <v>REFINITIV</v>
      </c>
      <c r="G115" s="20">
        <f t="shared" si="8"/>
        <v>46054</v>
      </c>
      <c r="H115" s="23">
        <v>1170</v>
      </c>
      <c r="J115" s="41">
        <v>57036</v>
      </c>
      <c r="K115" s="1" t="s">
        <v>42</v>
      </c>
      <c r="L115" s="1" t="s">
        <v>17</v>
      </c>
      <c r="M115" s="29">
        <v>20.685648</v>
      </c>
      <c r="O115" s="1"/>
      <c r="P115" s="26"/>
      <c r="Q115" s="27"/>
      <c r="R115" s="26"/>
      <c r="S115" s="28"/>
      <c r="T115" s="26"/>
      <c r="U115" s="28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</row>
    <row r="116" spans="1:78" customFormat="1" ht="15" customHeight="1" x14ac:dyDescent="0.25">
      <c r="A116" s="9" t="str">
        <f t="shared" si="9"/>
        <v>CUSTO MARKET DATA - FEVEREIRO/26-TORONTO STOCK EXCHANGE-57036</v>
      </c>
      <c r="B116" s="20">
        <v>46054</v>
      </c>
      <c r="C116" s="21">
        <v>817393</v>
      </c>
      <c r="D116" s="9" t="str">
        <f>IF(J116=57036,"ALEXANDRE DA COSTA SOARES",IF(J116=24157,"JOSE MAURICIO GOMES TEIXEIRA",IF(J116=24203,"JOSE MAURICIO GOMES TEIXEIRA",IF(J116=24149,"CHRISTIANO MARCONDES DE BARROS LIMA",IF(J116=24137,"CHRISTIANO MARCONDES DE BARROS LIMA",IF(J116=135152,"ENRICO BORTPLUZO CASSIANO",IF(J116=136568,"ENRICO BORTPLUZO CASSIANO", IF(J116=130976,"MARYLIA CARVALHO PONCE",IF(J116=136668,"ALEXANDRE DA COSTA SOARES",IF(J116=52340,"OFFSHORE LISTED",IF(J116=158778,"CLAUDIO DE SOUZA PACINI",IF(J116=159800,"CLAUDIO DE SOUZA PACINI",_xlfn.XLOOKUP(J116,[1]!Tabela33[ID ORACLE],[1]!Tabela33[BROKER],0,0,1)))))))))))))</f>
        <v>ALEXANDRE DA COSTA SOARES</v>
      </c>
      <c r="E116" s="22">
        <f t="shared" si="10"/>
        <v>-1589.5382982089998</v>
      </c>
      <c r="F116" s="9" t="str">
        <f t="shared" si="11"/>
        <v>TORONTO STOCK EXCHANGE</v>
      </c>
      <c r="G116" s="20">
        <f t="shared" si="8"/>
        <v>46054</v>
      </c>
      <c r="H116" s="23">
        <v>1170</v>
      </c>
      <c r="J116" s="41">
        <v>57036</v>
      </c>
      <c r="K116" s="1" t="s">
        <v>51</v>
      </c>
      <c r="L116" s="1" t="s">
        <v>12</v>
      </c>
      <c r="M116" s="29">
        <v>308.67818199999999</v>
      </c>
      <c r="O116" s="1"/>
      <c r="P116" s="26"/>
      <c r="Q116" s="27"/>
      <c r="R116" s="26"/>
      <c r="S116" s="28"/>
      <c r="T116" s="26"/>
      <c r="U116" s="28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</row>
    <row r="117" spans="1:78" customFormat="1" ht="15" customHeight="1" x14ac:dyDescent="0.25">
      <c r="A117" s="9" t="str">
        <f t="shared" si="9"/>
        <v>CUSTO MARKET DATA - FEVEREIRO/26-FIDESSA-61086</v>
      </c>
      <c r="B117" s="20">
        <v>46054</v>
      </c>
      <c r="C117" s="21">
        <v>817393</v>
      </c>
      <c r="D117" s="9" t="str">
        <f>IF(J117=57036,"ALEXANDRE DA COSTA SOARES",IF(J117=24157,"JOSE MAURICIO GOMES TEIXEIRA",IF(J117=24203,"JOSE MAURICIO GOMES TEIXEIRA",IF(J117=24149,"CHRISTIANO MARCONDES DE BARROS LIMA",IF(J117=24137,"CHRISTIANO MARCONDES DE BARROS LIMA",IF(J117=135152,"ENRICO BORTPLUZO CASSIANO",IF(J117=136568,"ENRICO BORTPLUZO CASSIANO", IF(J117=130976,"MARYLIA CARVALHO PONCE",IF(J117=136668,"ALEXANDRE DA COSTA SOARES",IF(J117=52340,"OFFSHORE LISTED",IF(J117=158778,"CLAUDIO DE SOUZA PACINI",IF(J117=159800,"CLAUDIO DE SOUZA PACINI",_xlfn.XLOOKUP(J117,[1]!Tabela33[ID ORACLE],[1]!Tabela33[BROKER],0,0,1)))))))))))))</f>
        <v>ALEXANDRE DA COSTA SOARES</v>
      </c>
      <c r="E117" s="22">
        <f t="shared" si="10"/>
        <v>-2205.3218472435001</v>
      </c>
      <c r="F117" s="9" t="str">
        <f t="shared" si="11"/>
        <v>FIDESSA</v>
      </c>
      <c r="G117" s="20">
        <f t="shared" si="8"/>
        <v>46054</v>
      </c>
      <c r="H117" s="23">
        <v>1170</v>
      </c>
      <c r="J117" s="41">
        <v>61086</v>
      </c>
      <c r="K117" s="1" t="s">
        <v>47</v>
      </c>
      <c r="L117" s="1" t="s">
        <v>12</v>
      </c>
      <c r="M117" s="29">
        <v>428.25941300000005</v>
      </c>
      <c r="O117" s="1"/>
      <c r="P117" s="26"/>
      <c r="Q117" s="27"/>
      <c r="R117" s="26"/>
      <c r="S117" s="28"/>
      <c r="T117" s="26"/>
      <c r="U117" s="28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</row>
    <row r="118" spans="1:78" customFormat="1" ht="15" customHeight="1" x14ac:dyDescent="0.25">
      <c r="A118" s="9" t="str">
        <f t="shared" si="9"/>
        <v>CUSTO MARKET DATA - FEVEREIRO/26-NYSE MARKET INC.-61086</v>
      </c>
      <c r="B118" s="20">
        <v>46054</v>
      </c>
      <c r="C118" s="21">
        <v>817393</v>
      </c>
      <c r="D118" s="9" t="str">
        <f>IF(J118=57036,"ALEXANDRE DA COSTA SOARES",IF(J118=24157,"JOSE MAURICIO GOMES TEIXEIRA",IF(J118=24203,"JOSE MAURICIO GOMES TEIXEIRA",IF(J118=24149,"CHRISTIANO MARCONDES DE BARROS LIMA",IF(J118=24137,"CHRISTIANO MARCONDES DE BARROS LIMA",IF(J118=135152,"ENRICO BORTPLUZO CASSIANO",IF(J118=136568,"ENRICO BORTPLUZO CASSIANO", IF(J118=130976,"MARYLIA CARVALHO PONCE",IF(J118=136668,"ALEXANDRE DA COSTA SOARES",IF(J118=52340,"OFFSHORE LISTED",IF(J118=158778,"CLAUDIO DE SOUZA PACINI",IF(J118=159800,"CLAUDIO DE SOUZA PACINI",_xlfn.XLOOKUP(J118,[1]!Tabela33[ID ORACLE],[1]!Tabela33[BROKER],0,0,1)))))))))))))</f>
        <v>ALEXANDRE DA COSTA SOARES</v>
      </c>
      <c r="E118" s="22">
        <f t="shared" si="10"/>
        <v>-1311.9252412499998</v>
      </c>
      <c r="F118" s="9" t="str">
        <f t="shared" si="11"/>
        <v>NYSE MARKET INC.</v>
      </c>
      <c r="G118" s="20">
        <f t="shared" si="8"/>
        <v>46054</v>
      </c>
      <c r="H118" s="23">
        <v>1170</v>
      </c>
      <c r="J118" s="41">
        <v>61086</v>
      </c>
      <c r="K118" s="1" t="s">
        <v>44</v>
      </c>
      <c r="L118" s="1" t="s">
        <v>12</v>
      </c>
      <c r="M118" s="29">
        <v>254.76749999999998</v>
      </c>
      <c r="O118" s="1"/>
      <c r="P118" s="26"/>
      <c r="Q118" s="27"/>
      <c r="R118" s="26"/>
      <c r="S118" s="28"/>
      <c r="T118" s="26"/>
      <c r="U118" s="28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</row>
    <row r="119" spans="1:78" customFormat="1" ht="15" customHeight="1" x14ac:dyDescent="0.25">
      <c r="A119" s="9" t="str">
        <f t="shared" si="9"/>
        <v>CUSTO MARKET DATA - FEVEREIRO/26-OPTIONS PRICE REPORTING AUTHORITY (OPRA)-61086</v>
      </c>
      <c r="B119" s="20">
        <v>46054</v>
      </c>
      <c r="C119" s="21">
        <v>817393</v>
      </c>
      <c r="D119" s="9" t="str">
        <f>IF(J119=57036,"ALEXANDRE DA COSTA SOARES",IF(J119=24157,"JOSE MAURICIO GOMES TEIXEIRA",IF(J119=24203,"JOSE MAURICIO GOMES TEIXEIRA",IF(J119=24149,"CHRISTIANO MARCONDES DE BARROS LIMA",IF(J119=24137,"CHRISTIANO MARCONDES DE BARROS LIMA",IF(J119=135152,"ENRICO BORTPLUZO CASSIANO",IF(J119=136568,"ENRICO BORTPLUZO CASSIANO", IF(J119=130976,"MARYLIA CARVALHO PONCE",IF(J119=136668,"ALEXANDRE DA COSTA SOARES",IF(J119=52340,"OFFSHORE LISTED",IF(J119=158778,"CLAUDIO DE SOUZA PACINI",IF(J119=159800,"CLAUDIO DE SOUZA PACINI",_xlfn.XLOOKUP(J119,[1]!Tabela33[ID ORACLE],[1]!Tabela33[BROKER],0,0,1)))))))))))))</f>
        <v>ALEXANDRE DA COSTA SOARES</v>
      </c>
      <c r="E119" s="22">
        <f t="shared" si="10"/>
        <v>-176.60532093750001</v>
      </c>
      <c r="F119" s="9" t="str">
        <f t="shared" si="11"/>
        <v>OPTIONS PRICE REPORTING AUTHORITY (OPRA)</v>
      </c>
      <c r="G119" s="20">
        <f t="shared" si="8"/>
        <v>46054</v>
      </c>
      <c r="H119" s="23">
        <v>1170</v>
      </c>
      <c r="J119" s="41">
        <v>61086</v>
      </c>
      <c r="K119" s="1" t="s">
        <v>45</v>
      </c>
      <c r="L119" s="1" t="s">
        <v>12</v>
      </c>
      <c r="M119" s="29">
        <v>34.295625000000001</v>
      </c>
      <c r="O119" s="1"/>
      <c r="P119" s="26"/>
      <c r="Q119" s="27"/>
      <c r="R119" s="26"/>
      <c r="S119" s="28"/>
      <c r="T119" s="26"/>
      <c r="U119" s="28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</row>
    <row r="120" spans="1:78" customFormat="1" ht="15" customHeight="1" x14ac:dyDescent="0.25">
      <c r="A120" s="9" t="str">
        <f t="shared" si="9"/>
        <v>CUSTO MARKET DATA - FEVEREIRO/26-REFINITIV-61086</v>
      </c>
      <c r="B120" s="20">
        <v>46054</v>
      </c>
      <c r="C120" s="21">
        <v>817393</v>
      </c>
      <c r="D120" s="9" t="str">
        <f>IF(J120=57036,"ALEXANDRE DA COSTA SOARES",IF(J120=24157,"JOSE MAURICIO GOMES TEIXEIRA",IF(J120=24203,"JOSE MAURICIO GOMES TEIXEIRA",IF(J120=24149,"CHRISTIANO MARCONDES DE BARROS LIMA",IF(J120=24137,"CHRISTIANO MARCONDES DE BARROS LIMA",IF(J120=135152,"ENRICO BORTPLUZO CASSIANO",IF(J120=136568,"ENRICO BORTPLUZO CASSIANO", IF(J120=130976,"MARYLIA CARVALHO PONCE",IF(J120=136668,"ALEXANDRE DA COSTA SOARES",IF(J120=52340,"OFFSHORE LISTED",IF(J120=158778,"CLAUDIO DE SOUZA PACINI",IF(J120=159800,"CLAUDIO DE SOUZA PACINI",_xlfn.XLOOKUP(J120,[1]!Tabela33[ID ORACLE],[1]!Tabela33[BROKER],0,0,1)))))))))))))</f>
        <v>ALEXANDRE DA COSTA SOARES</v>
      </c>
      <c r="E120" s="22">
        <f t="shared" si="10"/>
        <v>-143.22742675200001</v>
      </c>
      <c r="F120" s="9" t="str">
        <f t="shared" si="11"/>
        <v>REFINITIV</v>
      </c>
      <c r="G120" s="20">
        <f t="shared" si="8"/>
        <v>46054</v>
      </c>
      <c r="H120" s="23">
        <v>1170</v>
      </c>
      <c r="J120" s="41">
        <v>61086</v>
      </c>
      <c r="K120" s="1" t="s">
        <v>42</v>
      </c>
      <c r="L120" s="1" t="s">
        <v>17</v>
      </c>
      <c r="M120" s="29">
        <v>20.685648</v>
      </c>
      <c r="O120" s="1"/>
      <c r="P120" s="26"/>
      <c r="Q120" s="27"/>
      <c r="R120" s="26"/>
      <c r="S120" s="28"/>
      <c r="T120" s="26"/>
      <c r="U120" s="28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</row>
    <row r="121" spans="1:78" customFormat="1" ht="15" customHeight="1" x14ac:dyDescent="0.25">
      <c r="A121" s="9" t="str">
        <f t="shared" si="9"/>
        <v>CUSTO MARKET DATA - FEVEREIRO/26-TORONTO STOCK EXCHANGE-61086</v>
      </c>
      <c r="B121" s="20">
        <v>46054</v>
      </c>
      <c r="C121" s="21">
        <v>817393</v>
      </c>
      <c r="D121" s="9" t="str">
        <f>IF(J121=57036,"ALEXANDRE DA COSTA SOARES",IF(J121=24157,"JOSE MAURICIO GOMES TEIXEIRA",IF(J121=24203,"JOSE MAURICIO GOMES TEIXEIRA",IF(J121=24149,"CHRISTIANO MARCONDES DE BARROS LIMA",IF(J121=24137,"CHRISTIANO MARCONDES DE BARROS LIMA",IF(J121=135152,"ENRICO BORTPLUZO CASSIANO",IF(J121=136568,"ENRICO BORTPLUZO CASSIANO", IF(J121=130976,"MARYLIA CARVALHO PONCE",IF(J121=136668,"ALEXANDRE DA COSTA SOARES",IF(J121=52340,"OFFSHORE LISTED",IF(J121=158778,"CLAUDIO DE SOUZA PACINI",IF(J121=159800,"CLAUDIO DE SOUZA PACINI",_xlfn.XLOOKUP(J121,[1]!Tabela33[ID ORACLE],[1]!Tabela33[BROKER],0,0,1)))))))))))))</f>
        <v>ALEXANDRE DA COSTA SOARES</v>
      </c>
      <c r="E121" s="22">
        <f t="shared" si="10"/>
        <v>-649.84450997400006</v>
      </c>
      <c r="F121" s="9" t="str">
        <f t="shared" si="11"/>
        <v>TORONTO STOCK EXCHANGE</v>
      </c>
      <c r="G121" s="20">
        <f t="shared" si="8"/>
        <v>46054</v>
      </c>
      <c r="H121" s="23">
        <v>1170</v>
      </c>
      <c r="J121" s="41">
        <v>61086</v>
      </c>
      <c r="K121" s="1" t="s">
        <v>51</v>
      </c>
      <c r="L121" s="1" t="s">
        <v>12</v>
      </c>
      <c r="M121" s="29">
        <v>126.19565200000001</v>
      </c>
      <c r="O121" s="1"/>
      <c r="P121" s="26"/>
      <c r="Q121" s="27"/>
      <c r="R121" s="26"/>
      <c r="S121" s="28"/>
      <c r="T121" s="26"/>
      <c r="U121" s="28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</row>
    <row r="122" spans="1:78" customFormat="1" ht="15" customHeight="1" x14ac:dyDescent="0.25">
      <c r="A122" s="9" t="str">
        <f t="shared" si="9"/>
        <v>CUSTO MARKET DATA - FEVEREIRO/26-BLOOMBERG-63203</v>
      </c>
      <c r="B122" s="20">
        <v>46054</v>
      </c>
      <c r="C122" s="21">
        <v>817393</v>
      </c>
      <c r="D122" s="9" t="str">
        <f>IF(J122=57036,"ALEXANDRE DA COSTA SOARES",IF(J122=24157,"JOSE MAURICIO GOMES TEIXEIRA",IF(J122=24203,"JOSE MAURICIO GOMES TEIXEIRA",IF(J122=24149,"CHRISTIANO MARCONDES DE BARROS LIMA",IF(J122=24137,"CHRISTIANO MARCONDES DE BARROS LIMA",IF(J122=135152,"ENRICO BORTPLUZO CASSIANO",IF(J122=136568,"ENRICO BORTPLUZO CASSIANO", IF(J122=130976,"MARYLIA CARVALHO PONCE",IF(J122=136668,"ALEXANDRE DA COSTA SOARES",IF(J122=52340,"OFFSHORE LISTED",IF(J122=158778,"CLAUDIO DE SOUZA PACINI",IF(J122=159800,"CLAUDIO DE SOUZA PACINI",_xlfn.XLOOKUP(J122,[1]!Tabela33[ID ORACLE],[1]!Tabela33[BROKER],0,0,1)))))))))))))</f>
        <v>FABIO SOARES PFAENDER</v>
      </c>
      <c r="E122" s="22">
        <f t="shared" si="10"/>
        <v>-12327.513321886499</v>
      </c>
      <c r="F122" s="9" t="str">
        <f t="shared" si="11"/>
        <v>BLOOMBERG</v>
      </c>
      <c r="G122" s="20">
        <f t="shared" si="8"/>
        <v>46054</v>
      </c>
      <c r="H122" s="23">
        <v>1170</v>
      </c>
      <c r="J122" s="41">
        <v>63203</v>
      </c>
      <c r="K122" s="1" t="s">
        <v>41</v>
      </c>
      <c r="L122" s="1" t="s">
        <v>12</v>
      </c>
      <c r="M122" s="29">
        <v>2393.9243270000002</v>
      </c>
      <c r="O122" s="1"/>
      <c r="P122" s="26"/>
      <c r="Q122" s="27"/>
      <c r="R122" s="26"/>
      <c r="S122" s="28"/>
      <c r="T122" s="26"/>
      <c r="U122" s="28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</row>
    <row r="123" spans="1:78" customFormat="1" ht="15" customHeight="1" x14ac:dyDescent="0.25">
      <c r="A123" s="9" t="str">
        <f t="shared" si="9"/>
        <v>CUSTO MARKET DATA - FEVEREIRO/26-REFINITIV-63203</v>
      </c>
      <c r="B123" s="20">
        <v>46054</v>
      </c>
      <c r="C123" s="21">
        <v>817393</v>
      </c>
      <c r="D123" s="9" t="str">
        <f>IF(J123=57036,"ALEXANDRE DA COSTA SOARES",IF(J123=24157,"JOSE MAURICIO GOMES TEIXEIRA",IF(J123=24203,"JOSE MAURICIO GOMES TEIXEIRA",IF(J123=24149,"CHRISTIANO MARCONDES DE BARROS LIMA",IF(J123=24137,"CHRISTIANO MARCONDES DE BARROS LIMA",IF(J123=135152,"ENRICO BORTPLUZO CASSIANO",IF(J123=136568,"ENRICO BORTPLUZO CASSIANO", IF(J123=130976,"MARYLIA CARVALHO PONCE",IF(J123=136668,"ALEXANDRE DA COSTA SOARES",IF(J123=52340,"OFFSHORE LISTED",IF(J123=158778,"CLAUDIO DE SOUZA PACINI",IF(J123=159800,"CLAUDIO DE SOUZA PACINI",_xlfn.XLOOKUP(J123,[1]!Tabela33[ID ORACLE],[1]!Tabela33[BROKER],0,0,1)))))))))))))</f>
        <v>FABIO SOARES PFAENDER</v>
      </c>
      <c r="E123" s="22">
        <f t="shared" si="10"/>
        <v>-143.22742675200001</v>
      </c>
      <c r="F123" s="9" t="str">
        <f t="shared" si="11"/>
        <v>REFINITIV</v>
      </c>
      <c r="G123" s="20">
        <f t="shared" si="8"/>
        <v>46054</v>
      </c>
      <c r="H123" s="23">
        <v>1170</v>
      </c>
      <c r="J123" s="41">
        <v>63203</v>
      </c>
      <c r="K123" s="1" t="s">
        <v>42</v>
      </c>
      <c r="L123" s="1" t="s">
        <v>17</v>
      </c>
      <c r="M123" s="29">
        <v>20.685648</v>
      </c>
      <c r="O123" s="1"/>
      <c r="P123" s="26"/>
      <c r="Q123" s="27"/>
      <c r="R123" s="26"/>
      <c r="S123" s="42"/>
      <c r="T123" s="26"/>
      <c r="U123" s="42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</row>
    <row r="124" spans="1:78" customFormat="1" ht="15" customHeight="1" x14ac:dyDescent="0.25">
      <c r="A124" s="9" t="str">
        <f t="shared" si="9"/>
        <v>CUSTO MARKET DATA - FEVEREIRO/26-BLOOMBERG-63705</v>
      </c>
      <c r="B124" s="20">
        <v>46054</v>
      </c>
      <c r="C124" s="21">
        <v>817393</v>
      </c>
      <c r="D124" s="9" t="str">
        <f>IF(J124=57036,"ALEXANDRE DA COSTA SOARES",IF(J124=24157,"JOSE MAURICIO GOMES TEIXEIRA",IF(J124=24203,"JOSE MAURICIO GOMES TEIXEIRA",IF(J124=24149,"CHRISTIANO MARCONDES DE BARROS LIMA",IF(J124=24137,"CHRISTIANO MARCONDES DE BARROS LIMA",IF(J124=135152,"ENRICO BORTPLUZO CASSIANO",IF(J124=136568,"ENRICO BORTPLUZO CASSIANO", IF(J124=130976,"MARYLIA CARVALHO PONCE",IF(J124=136668,"ALEXANDRE DA COSTA SOARES",IF(J124=52340,"OFFSHORE LISTED",IF(J124=158778,"CLAUDIO DE SOUZA PACINI",IF(J124=159800,"CLAUDIO DE SOUZA PACINI",_xlfn.XLOOKUP(J124,[1]!Tabela33[ID ORACLE],[1]!Tabela33[BROKER],0,0,1)))))))))))))</f>
        <v>ALEXANDRE DE CARVALHO GALHARDO</v>
      </c>
      <c r="E124" s="22">
        <f t="shared" si="10"/>
        <v>-12432.5631218865</v>
      </c>
      <c r="F124" s="9" t="str">
        <f t="shared" si="11"/>
        <v>BLOOMBERG</v>
      </c>
      <c r="G124" s="20">
        <f t="shared" si="8"/>
        <v>46054</v>
      </c>
      <c r="H124" s="23">
        <v>1170</v>
      </c>
      <c r="J124" s="41">
        <v>63705</v>
      </c>
      <c r="K124" s="1" t="s">
        <v>41</v>
      </c>
      <c r="L124" s="1" t="s">
        <v>12</v>
      </c>
      <c r="M124" s="29">
        <v>2414.3243270000003</v>
      </c>
      <c r="O124" s="1"/>
      <c r="P124" s="26"/>
      <c r="Q124" s="27"/>
      <c r="R124" s="26"/>
      <c r="S124" s="42"/>
      <c r="T124" s="26"/>
      <c r="U124" s="42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</row>
    <row r="125" spans="1:78" customFormat="1" ht="15" customHeight="1" x14ac:dyDescent="0.25">
      <c r="A125" s="9" t="str">
        <f t="shared" si="9"/>
        <v>CUSTO MARKET DATA - FEVEREIRO/26-NYSE MARKET INC.-63705</v>
      </c>
      <c r="B125" s="20">
        <v>46054</v>
      </c>
      <c r="C125" s="21">
        <v>817393</v>
      </c>
      <c r="D125" s="9" t="str">
        <f>IF(J125=57036,"ALEXANDRE DA COSTA SOARES",IF(J125=24157,"JOSE MAURICIO GOMES TEIXEIRA",IF(J125=24203,"JOSE MAURICIO GOMES TEIXEIRA",IF(J125=24149,"CHRISTIANO MARCONDES DE BARROS LIMA",IF(J125=24137,"CHRISTIANO MARCONDES DE BARROS LIMA",IF(J125=135152,"ENRICO BORTPLUZO CASSIANO",IF(J125=136568,"ENRICO BORTPLUZO CASSIANO", IF(J125=130976,"MARYLIA CARVALHO PONCE",IF(J125=136668,"ALEXANDRE DA COSTA SOARES",IF(J125=52340,"OFFSHORE LISTED",IF(J125=158778,"CLAUDIO DE SOUZA PACINI",IF(J125=159800,"CLAUDIO DE SOUZA PACINI",_xlfn.XLOOKUP(J125,[1]!Tabela33[ID ORACLE],[1]!Tabela33[BROKER],0,0,1)))))))))))))</f>
        <v>ALEXANDRE DE CARVALHO GALHARDO</v>
      </c>
      <c r="E125" s="22">
        <f t="shared" si="10"/>
        <v>-139.03649999999999</v>
      </c>
      <c r="F125" s="9" t="str">
        <f t="shared" si="11"/>
        <v>NYSE MARKET INC.</v>
      </c>
      <c r="G125" s="20">
        <f t="shared" si="8"/>
        <v>46054</v>
      </c>
      <c r="H125" s="23">
        <v>1170</v>
      </c>
      <c r="J125" s="41">
        <v>63705</v>
      </c>
      <c r="K125" s="1" t="s">
        <v>44</v>
      </c>
      <c r="L125" s="1" t="s">
        <v>12</v>
      </c>
      <c r="M125" s="29">
        <v>27</v>
      </c>
      <c r="O125" s="1"/>
      <c r="P125" s="26"/>
      <c r="Q125" s="27"/>
      <c r="R125" s="26"/>
      <c r="S125" s="42"/>
      <c r="T125" s="26"/>
      <c r="U125" s="42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</row>
    <row r="126" spans="1:78" customFormat="1" ht="15" customHeight="1" x14ac:dyDescent="0.25">
      <c r="A126" s="9" t="str">
        <f t="shared" si="9"/>
        <v>CUSTO MARKET DATA - FEVEREIRO/26-BLOOMBERG-64098</v>
      </c>
      <c r="B126" s="20">
        <v>46054</v>
      </c>
      <c r="C126" s="21">
        <v>817393</v>
      </c>
      <c r="D126" s="9" t="str">
        <f>IF(J126=57036,"ALEXANDRE DA COSTA SOARES",IF(J126=24157,"JOSE MAURICIO GOMES TEIXEIRA",IF(J126=24203,"JOSE MAURICIO GOMES TEIXEIRA",IF(J126=24149,"CHRISTIANO MARCONDES DE BARROS LIMA",IF(J126=24137,"CHRISTIANO MARCONDES DE BARROS LIMA",IF(J126=135152,"ENRICO BORTPLUZO CASSIANO",IF(J126=136568,"ENRICO BORTPLUZO CASSIANO", IF(J126=130976,"MARYLIA CARVALHO PONCE",IF(J126=136668,"ALEXANDRE DA COSTA SOARES",IF(J126=52340,"OFFSHORE LISTED",IF(J126=158778,"CLAUDIO DE SOUZA PACINI",IF(J126=159800,"CLAUDIO DE SOUZA PACINI",_xlfn.XLOOKUP(J126,[1]!Tabela33[ID ORACLE],[1]!Tabela33[BROKER],0,0,1)))))))))))))</f>
        <v>HAMILTON DEL MONACO FILHO</v>
      </c>
      <c r="E126" s="22">
        <f t="shared" si="10"/>
        <v>-13232.280471886499</v>
      </c>
      <c r="F126" s="9" t="str">
        <f t="shared" si="11"/>
        <v>BLOOMBERG</v>
      </c>
      <c r="G126" s="20">
        <f t="shared" si="8"/>
        <v>46054</v>
      </c>
      <c r="H126" s="23">
        <v>1170</v>
      </c>
      <c r="J126" s="41">
        <v>64098</v>
      </c>
      <c r="K126" s="1" t="s">
        <v>41</v>
      </c>
      <c r="L126" s="1" t="s">
        <v>12</v>
      </c>
      <c r="M126" s="29">
        <v>2569.624327</v>
      </c>
      <c r="O126" s="1"/>
      <c r="P126" s="26"/>
      <c r="Q126" s="27"/>
      <c r="R126" s="26"/>
      <c r="S126" s="42"/>
      <c r="T126" s="26"/>
      <c r="U126" s="42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</row>
    <row r="127" spans="1:78" ht="15" customHeight="1" x14ac:dyDescent="0.25">
      <c r="A127" s="9" t="str">
        <f t="shared" si="9"/>
        <v>CUSTO MARKET DATA - FEVEREIRO/26-NYSE MARKET INC.-64098</v>
      </c>
      <c r="B127" s="20">
        <v>46054</v>
      </c>
      <c r="C127" s="21">
        <v>817393</v>
      </c>
      <c r="D127" s="9" t="str">
        <f>IF(J127=57036,"ALEXANDRE DA COSTA SOARES",IF(J127=24157,"JOSE MAURICIO GOMES TEIXEIRA",IF(J127=24203,"JOSE MAURICIO GOMES TEIXEIRA",IF(J127=24149,"CHRISTIANO MARCONDES DE BARROS LIMA",IF(J127=24137,"CHRISTIANO MARCONDES DE BARROS LIMA",IF(J127=135152,"ENRICO BORTPLUZO CASSIANO",IF(J127=136568,"ENRICO BORTPLUZO CASSIANO", IF(J127=130976,"MARYLIA CARVALHO PONCE",IF(J127=136668,"ALEXANDRE DA COSTA SOARES",IF(J127=52340,"OFFSHORE LISTED",IF(J127=158778,"CLAUDIO DE SOUZA PACINI",IF(J127=159800,"CLAUDIO DE SOUZA PACINI",_xlfn.XLOOKUP(J127,[1]!Tabela33[ID ORACLE],[1]!Tabela33[BROKER],0,0,1)))))))))))))</f>
        <v>HAMILTON DEL MONACO FILHO</v>
      </c>
      <c r="E127" s="22">
        <f t="shared" si="10"/>
        <v>-2291.5274999999997</v>
      </c>
      <c r="F127" s="9" t="str">
        <f t="shared" si="11"/>
        <v>NYSE MARKET INC.</v>
      </c>
      <c r="G127" s="20">
        <f t="shared" si="8"/>
        <v>46054</v>
      </c>
      <c r="H127" s="23">
        <v>1170</v>
      </c>
      <c r="J127" s="41">
        <v>64098</v>
      </c>
      <c r="K127" s="1" t="s">
        <v>44</v>
      </c>
      <c r="L127" s="1" t="s">
        <v>12</v>
      </c>
      <c r="M127" s="29">
        <v>445</v>
      </c>
      <c r="Q127" s="27"/>
      <c r="S127" s="42"/>
      <c r="U127" s="42"/>
    </row>
    <row r="128" spans="1:78" ht="15" customHeight="1" x14ac:dyDescent="0.25">
      <c r="A128" s="9" t="str">
        <f t="shared" si="9"/>
        <v>CUSTO MARKET DATA - FEVEREIRO/26-OPTIONS PRICE REPORTING AUTHORITY (OPRA)-64098</v>
      </c>
      <c r="B128" s="20">
        <v>46054</v>
      </c>
      <c r="C128" s="21">
        <v>817393</v>
      </c>
      <c r="D128" s="9" t="str">
        <f>IF(J128=57036,"ALEXANDRE DA COSTA SOARES",IF(J128=24157,"JOSE MAURICIO GOMES TEIXEIRA",IF(J128=24203,"JOSE MAURICIO GOMES TEIXEIRA",IF(J128=24149,"CHRISTIANO MARCONDES DE BARROS LIMA",IF(J128=24137,"CHRISTIANO MARCONDES DE BARROS LIMA",IF(J128=135152,"ENRICO BORTPLUZO CASSIANO",IF(J128=136568,"ENRICO BORTPLUZO CASSIANO", IF(J128=130976,"MARYLIA CARVALHO PONCE",IF(J128=136668,"ALEXANDRE DA COSTA SOARES",IF(J128=52340,"OFFSHORE LISTED",IF(J128=158778,"CLAUDIO DE SOUZA PACINI",IF(J128=159800,"CLAUDIO DE SOUZA PACINI",_xlfn.XLOOKUP(J128,[1]!Tabela33[ID ORACLE],[1]!Tabela33[BROKER],0,0,1)))))))))))))</f>
        <v>HAMILTON DEL MONACO FILHO</v>
      </c>
      <c r="E128" s="22">
        <f t="shared" si="10"/>
        <v>-162.20925</v>
      </c>
      <c r="F128" s="9" t="str">
        <f t="shared" si="11"/>
        <v>OPTIONS PRICE REPORTING AUTHORITY (OPRA)</v>
      </c>
      <c r="G128" s="20">
        <f t="shared" si="8"/>
        <v>46054</v>
      </c>
      <c r="H128" s="23">
        <v>1170</v>
      </c>
      <c r="J128" s="41">
        <v>64098</v>
      </c>
      <c r="K128" s="1" t="s">
        <v>45</v>
      </c>
      <c r="L128" s="1" t="s">
        <v>12</v>
      </c>
      <c r="M128" s="29">
        <v>31.5</v>
      </c>
      <c r="Q128" s="27"/>
      <c r="S128" s="42"/>
      <c r="U128" s="42"/>
    </row>
    <row r="129" spans="1:78" ht="15" customHeight="1" x14ac:dyDescent="0.25">
      <c r="A129" s="9" t="str">
        <f t="shared" si="9"/>
        <v>CUSTO MARKET DATA - FEVEREIRO/26-REFINITIV-64098</v>
      </c>
      <c r="B129" s="20">
        <v>46054</v>
      </c>
      <c r="C129" s="21">
        <v>817393</v>
      </c>
      <c r="D129" s="9" t="str">
        <f>IF(J129=57036,"ALEXANDRE DA COSTA SOARES",IF(J129=24157,"JOSE MAURICIO GOMES TEIXEIRA",IF(J129=24203,"JOSE MAURICIO GOMES TEIXEIRA",IF(J129=24149,"CHRISTIANO MARCONDES DE BARROS LIMA",IF(J129=24137,"CHRISTIANO MARCONDES DE BARROS LIMA",IF(J129=135152,"ENRICO BORTPLUZO CASSIANO",IF(J129=136568,"ENRICO BORTPLUZO CASSIANO", IF(J129=130976,"MARYLIA CARVALHO PONCE",IF(J129=136668,"ALEXANDRE DA COSTA SOARES",IF(J129=52340,"OFFSHORE LISTED",IF(J129=158778,"CLAUDIO DE SOUZA PACINI",IF(J129=159800,"CLAUDIO DE SOUZA PACINI",_xlfn.XLOOKUP(J129,[1]!Tabela33[ID ORACLE],[1]!Tabela33[BROKER],0,0,1)))))))))))))</f>
        <v>HAMILTON DEL MONACO FILHO</v>
      </c>
      <c r="E129" s="22">
        <f t="shared" si="10"/>
        <v>-143.22742675200001</v>
      </c>
      <c r="F129" s="9" t="str">
        <f t="shared" si="11"/>
        <v>REFINITIV</v>
      </c>
      <c r="G129" s="20">
        <f t="shared" si="8"/>
        <v>46054</v>
      </c>
      <c r="H129" s="23">
        <v>1170</v>
      </c>
      <c r="J129" s="41">
        <v>64098</v>
      </c>
      <c r="K129" s="1" t="s">
        <v>42</v>
      </c>
      <c r="L129" s="1" t="s">
        <v>17</v>
      </c>
      <c r="M129" s="29">
        <v>20.685648</v>
      </c>
      <c r="Q129" s="27"/>
      <c r="S129" s="42"/>
      <c r="U129" s="42"/>
    </row>
    <row r="130" spans="1:78" ht="15" customHeight="1" x14ac:dyDescent="0.25">
      <c r="A130" s="9" t="str">
        <f t="shared" si="9"/>
        <v>CUSTO MARKET DATA - FEVEREIRO/26-SYMPHONY COMMUNICATION SERVICES, LLC-64098</v>
      </c>
      <c r="B130" s="20">
        <v>46054</v>
      </c>
      <c r="C130" s="21">
        <v>817393</v>
      </c>
      <c r="D130" s="9" t="str">
        <f>IF(J130=57036,"ALEXANDRE DA COSTA SOARES",IF(J130=24157,"JOSE MAURICIO GOMES TEIXEIRA",IF(J130=24203,"JOSE MAURICIO GOMES TEIXEIRA",IF(J130=24149,"CHRISTIANO MARCONDES DE BARROS LIMA",IF(J130=24137,"CHRISTIANO MARCONDES DE BARROS LIMA",IF(J130=135152,"ENRICO BORTPLUZO CASSIANO",IF(J130=136568,"ENRICO BORTPLUZO CASSIANO", IF(J130=130976,"MARYLIA CARVALHO PONCE",IF(J130=136668,"ALEXANDRE DA COSTA SOARES",IF(J130=52340,"OFFSHORE LISTED",IF(J130=158778,"CLAUDIO DE SOUZA PACINI",IF(J130=159800,"CLAUDIO DE SOUZA PACINI",_xlfn.XLOOKUP(J130,[1]!Tabela33[ID ORACLE],[1]!Tabela33[BROKER],0,0,1)))))))))))))</f>
        <v>HAMILTON DEL MONACO FILHO</v>
      </c>
      <c r="E130" s="22">
        <f t="shared" si="10"/>
        <v>-128.94991687500001</v>
      </c>
      <c r="F130" s="9" t="str">
        <f t="shared" si="11"/>
        <v>SYMPHONY COMMUNICATION SERVICES, LLC</v>
      </c>
      <c r="G130" s="20">
        <f t="shared" si="8"/>
        <v>46054</v>
      </c>
      <c r="H130" s="23">
        <v>1170</v>
      </c>
      <c r="J130" s="41">
        <v>64098</v>
      </c>
      <c r="K130" s="1" t="s">
        <v>50</v>
      </c>
      <c r="L130" s="1" t="s">
        <v>12</v>
      </c>
      <c r="M130" s="29">
        <v>25.041250000000002</v>
      </c>
      <c r="Q130" s="27"/>
      <c r="S130" s="42"/>
      <c r="U130" s="42"/>
    </row>
    <row r="131" spans="1:78" ht="15" customHeight="1" x14ac:dyDescent="0.25">
      <c r="A131" s="9" t="str">
        <f t="shared" si="9"/>
        <v>CUSTO MARKET DATA - FEVEREIRO/26-BLOOMBERG-66546</v>
      </c>
      <c r="B131" s="20">
        <v>46054</v>
      </c>
      <c r="C131" s="21">
        <v>817393</v>
      </c>
      <c r="D131" s="9" t="str">
        <f>IF(J131=57036,"ALEXANDRE DA COSTA SOARES",IF(J131=24157,"JOSE MAURICIO GOMES TEIXEIRA",IF(J131=24203,"JOSE MAURICIO GOMES TEIXEIRA",IF(J131=24149,"CHRISTIANO MARCONDES DE BARROS LIMA",IF(J131=24137,"CHRISTIANO MARCONDES DE BARROS LIMA",IF(J131=135152,"ENRICO BORTPLUZO CASSIANO",IF(J131=136568,"ENRICO BORTPLUZO CASSIANO", IF(J131=130976,"MARYLIA CARVALHO PONCE",IF(J131=136668,"ALEXANDRE DA COSTA SOARES",IF(J131=52340,"OFFSHORE LISTED",IF(J131=158778,"CLAUDIO DE SOUZA PACINI",IF(J131=159800,"CLAUDIO DE SOUZA PACINI",_xlfn.XLOOKUP(J131,[1]!Tabela33[ID ORACLE],[1]!Tabela33[BROKER],0,0,1)))))))))))))</f>
        <v>ERMINIO OLIVI LUCCI</v>
      </c>
      <c r="E131" s="22">
        <f t="shared" si="10"/>
        <v>-12222.463521886501</v>
      </c>
      <c r="F131" s="9" t="str">
        <f t="shared" si="11"/>
        <v>BLOOMBERG</v>
      </c>
      <c r="G131" s="20">
        <f t="shared" si="8"/>
        <v>46054</v>
      </c>
      <c r="H131" s="23">
        <v>1170</v>
      </c>
      <c r="J131" s="41">
        <v>66546</v>
      </c>
      <c r="K131" s="1" t="s">
        <v>41</v>
      </c>
      <c r="L131" s="1" t="s">
        <v>12</v>
      </c>
      <c r="M131" s="29">
        <v>2373.5243270000001</v>
      </c>
      <c r="Q131" s="27"/>
      <c r="S131" s="42"/>
      <c r="U131" s="42"/>
    </row>
    <row r="132" spans="1:78" ht="15" customHeight="1" x14ac:dyDescent="0.25">
      <c r="A132" s="9" t="str">
        <f t="shared" ref="A132:A139" si="12">CONCATENATE($N$1,$I$1,F132,$I$1,J132)</f>
        <v>CUSTO MARKET DATA - FEVEREIRO/26-REFINITIV-67829</v>
      </c>
      <c r="B132" s="20">
        <v>46054</v>
      </c>
      <c r="C132" s="21">
        <v>817393</v>
      </c>
      <c r="D132" s="9" t="str">
        <f>IF(J132=57036,"ALEXANDRE DA COSTA SOARES",IF(J132=24157,"JOSE MAURICIO GOMES TEIXEIRA",IF(J132=24203,"JOSE MAURICIO GOMES TEIXEIRA",IF(J132=24149,"CHRISTIANO MARCONDES DE BARROS LIMA",IF(J132=24137,"CHRISTIANO MARCONDES DE BARROS LIMA",IF(J132=135152,"ENRICO BORTPLUZO CASSIANO",IF(J132=136568,"ENRICO BORTPLUZO CASSIANO", IF(J132=130976,"MARYLIA CARVALHO PONCE",IF(J132=136668,"ALEXANDRE DA COSTA SOARES",IF(J132=52340,"OFFSHORE LISTED",IF(J132=158778,"CLAUDIO DE SOUZA PACINI",IF(J132=159800,"CLAUDIO DE SOUZA PACINI",_xlfn.XLOOKUP(J132,[1]!Tabela33[ID ORACLE],[1]!Tabela33[BROKER],0,0,1)))))))))))))</f>
        <v>WESLEY MARQUES DA SILVA</v>
      </c>
      <c r="E132" s="22">
        <f t="shared" si="10"/>
        <v>-143.22742675200001</v>
      </c>
      <c r="F132" s="9" t="str">
        <f t="shared" ref="F132:F139" si="13">IF(UPPER(K132)="Valor Analytics LLC","VALOR",UPPER(K132))</f>
        <v>REFINITIV</v>
      </c>
      <c r="G132" s="20">
        <f t="shared" ref="G132:G153" si="14">B132</f>
        <v>46054</v>
      </c>
      <c r="H132" s="23">
        <v>1170</v>
      </c>
      <c r="J132" s="41">
        <v>67829</v>
      </c>
      <c r="K132" s="1" t="s">
        <v>42</v>
      </c>
      <c r="L132" s="1" t="s">
        <v>17</v>
      </c>
      <c r="M132" s="29">
        <v>20.685648</v>
      </c>
      <c r="Q132" s="27"/>
      <c r="S132" s="42"/>
      <c r="U132" s="42"/>
    </row>
    <row r="133" spans="1:78" ht="15" customHeight="1" x14ac:dyDescent="0.25">
      <c r="A133" s="9" t="str">
        <f t="shared" si="12"/>
        <v>CUSTO MARKET DATA - FEVEREIRO/26-BLOOMBERG-67841</v>
      </c>
      <c r="B133" s="20">
        <v>46054</v>
      </c>
      <c r="C133" s="21">
        <v>817393</v>
      </c>
      <c r="D133" s="9" t="str">
        <f>IF(J133=57036,"ALEXANDRE DA COSTA SOARES",IF(J133=24157,"JOSE MAURICIO GOMES TEIXEIRA",IF(J133=24203,"JOSE MAURICIO GOMES TEIXEIRA",IF(J133=24149,"CHRISTIANO MARCONDES DE BARROS LIMA",IF(J133=24137,"CHRISTIANO MARCONDES DE BARROS LIMA",IF(J133=135152,"ENRICO BORTPLUZO CASSIANO",IF(J133=136568,"ENRICO BORTPLUZO CASSIANO", IF(J133=130976,"MARYLIA CARVALHO PONCE",IF(J133=136668,"ALEXANDRE DA COSTA SOARES",IF(J133=52340,"OFFSHORE LISTED",IF(J133=158778,"CLAUDIO DE SOUZA PACINI",IF(J133=159800,"CLAUDIO DE SOUZA PACINI",_xlfn.XLOOKUP(J133,[1]!Tabela33[ID ORACLE],[1]!Tabela33[BROKER],0,0,1)))))))))))))</f>
        <v>FERNANDO FERREIRA FEITOSA</v>
      </c>
      <c r="E133" s="22">
        <f t="shared" si="10"/>
        <v>-51.494999999999997</v>
      </c>
      <c r="F133" s="9" t="str">
        <f t="shared" si="13"/>
        <v>BLOOMBERG</v>
      </c>
      <c r="G133" s="20">
        <f t="shared" si="14"/>
        <v>46054</v>
      </c>
      <c r="H133" s="23">
        <v>1170</v>
      </c>
      <c r="J133" s="41">
        <v>67841</v>
      </c>
      <c r="K133" s="1" t="s">
        <v>41</v>
      </c>
      <c r="L133" s="1" t="s">
        <v>12</v>
      </c>
      <c r="M133" s="29">
        <v>10</v>
      </c>
      <c r="Q133" s="27"/>
      <c r="S133" s="42"/>
      <c r="U133" s="42"/>
    </row>
    <row r="134" spans="1:78" ht="15" customHeight="1" x14ac:dyDescent="0.25">
      <c r="A134" s="9" t="str">
        <f t="shared" si="12"/>
        <v>CUSTO MARKET DATA - FEVEREIRO/26-REFINITIV-67841</v>
      </c>
      <c r="B134" s="20">
        <v>46054</v>
      </c>
      <c r="C134" s="21">
        <v>817393</v>
      </c>
      <c r="D134" s="9" t="str">
        <f>IF(J134=57036,"ALEXANDRE DA COSTA SOARES",IF(J134=24157,"JOSE MAURICIO GOMES TEIXEIRA",IF(J134=24203,"JOSE MAURICIO GOMES TEIXEIRA",IF(J134=24149,"CHRISTIANO MARCONDES DE BARROS LIMA",IF(J134=24137,"CHRISTIANO MARCONDES DE BARROS LIMA",IF(J134=135152,"ENRICO BORTPLUZO CASSIANO",IF(J134=136568,"ENRICO BORTPLUZO CASSIANO", IF(J134=130976,"MARYLIA CARVALHO PONCE",IF(J134=136668,"ALEXANDRE DA COSTA SOARES",IF(J134=52340,"OFFSHORE LISTED",IF(J134=158778,"CLAUDIO DE SOUZA PACINI",IF(J134=159800,"CLAUDIO DE SOUZA PACINI",_xlfn.XLOOKUP(J134,[1]!Tabela33[ID ORACLE],[1]!Tabela33[BROKER],0,0,1)))))))))))))</f>
        <v>FERNANDO FERREIRA FEITOSA</v>
      </c>
      <c r="E134" s="22">
        <f t="shared" si="10"/>
        <v>-143.22742675200001</v>
      </c>
      <c r="F134" s="9" t="str">
        <f t="shared" si="13"/>
        <v>REFINITIV</v>
      </c>
      <c r="G134" s="20">
        <f t="shared" si="14"/>
        <v>46054</v>
      </c>
      <c r="H134" s="23">
        <v>1170</v>
      </c>
      <c r="J134" s="41">
        <v>67841</v>
      </c>
      <c r="K134" s="1" t="s">
        <v>42</v>
      </c>
      <c r="L134" s="1" t="s">
        <v>17</v>
      </c>
      <c r="M134" s="29">
        <v>20.685648</v>
      </c>
      <c r="Q134" s="27"/>
    </row>
    <row r="135" spans="1:78" ht="15" customHeight="1" x14ac:dyDescent="0.25">
      <c r="A135" s="9" t="str">
        <f t="shared" si="12"/>
        <v>CUSTO MARKET DATA - FEVEREIRO/26-BLOOMBERG-67843</v>
      </c>
      <c r="B135" s="20">
        <v>46054</v>
      </c>
      <c r="C135" s="21">
        <v>817393</v>
      </c>
      <c r="D135" s="9" t="str">
        <f>IF(J135=57036,"ALEXANDRE DA COSTA SOARES",IF(J135=24157,"JOSE MAURICIO GOMES TEIXEIRA",IF(J135=24203,"JOSE MAURICIO GOMES TEIXEIRA",IF(J135=24149,"CHRISTIANO MARCONDES DE BARROS LIMA",IF(J135=24137,"CHRISTIANO MARCONDES DE BARROS LIMA",IF(J135=135152,"ENRICO BORTPLUZO CASSIANO",IF(J135=136568,"ENRICO BORTPLUZO CASSIANO", IF(J135=130976,"MARYLIA CARVALHO PONCE",IF(J135=136668,"ALEXANDRE DA COSTA SOARES",IF(J135=52340,"OFFSHORE LISTED",IF(J135=158778,"CLAUDIO DE SOUZA PACINI",IF(J135=159800,"CLAUDIO DE SOUZA PACINI",_xlfn.XLOOKUP(J135,[1]!Tabela33[ID ORACLE],[1]!Tabela33[BROKER],0,0,1)))))))))))))</f>
        <v>ANTÔNIO MARTINS NETO</v>
      </c>
      <c r="E135" s="22">
        <f t="shared" si="10"/>
        <v>-12222.463521886501</v>
      </c>
      <c r="F135" s="9" t="str">
        <f t="shared" si="13"/>
        <v>BLOOMBERG</v>
      </c>
      <c r="G135" s="20">
        <f t="shared" si="14"/>
        <v>46054</v>
      </c>
      <c r="H135" s="23">
        <v>1170</v>
      </c>
      <c r="J135" s="41">
        <v>67843</v>
      </c>
      <c r="K135" s="1" t="s">
        <v>41</v>
      </c>
      <c r="L135" s="1" t="s">
        <v>12</v>
      </c>
      <c r="M135" s="29">
        <v>2373.5243270000001</v>
      </c>
      <c r="Q135" s="27"/>
    </row>
    <row r="136" spans="1:78" customFormat="1" ht="15" customHeight="1" x14ac:dyDescent="0.25">
      <c r="A136" s="9" t="str">
        <f t="shared" si="12"/>
        <v>CUSTO MARKET DATA - FEVEREIRO/26-REFINITIV-67843</v>
      </c>
      <c r="B136" s="20">
        <v>46054</v>
      </c>
      <c r="C136" s="21">
        <v>817393</v>
      </c>
      <c r="D136" s="9" t="str">
        <f>IF(J136=57036,"ALEXANDRE DA COSTA SOARES",IF(J136=24157,"JOSE MAURICIO GOMES TEIXEIRA",IF(J136=24203,"JOSE MAURICIO GOMES TEIXEIRA",IF(J136=24149,"CHRISTIANO MARCONDES DE BARROS LIMA",IF(J136=24137,"CHRISTIANO MARCONDES DE BARROS LIMA",IF(J136=135152,"ENRICO BORTPLUZO CASSIANO",IF(J136=136568,"ENRICO BORTPLUZO CASSIANO", IF(J136=130976,"MARYLIA CARVALHO PONCE",IF(J136=136668,"ALEXANDRE DA COSTA SOARES",IF(J136=52340,"OFFSHORE LISTED",IF(J136=158778,"CLAUDIO DE SOUZA PACINI",IF(J136=159800,"CLAUDIO DE SOUZA PACINI",_xlfn.XLOOKUP(J136,[1]!Tabela33[ID ORACLE],[1]!Tabela33[BROKER],0,0,1)))))))))))))</f>
        <v>ANTÔNIO MARTINS NETO</v>
      </c>
      <c r="E136" s="22">
        <f t="shared" si="10"/>
        <v>-143.22742675200001</v>
      </c>
      <c r="F136" s="9" t="str">
        <f t="shared" si="13"/>
        <v>REFINITIV</v>
      </c>
      <c r="G136" s="20">
        <f t="shared" si="14"/>
        <v>46054</v>
      </c>
      <c r="H136" s="23">
        <v>1170</v>
      </c>
      <c r="J136" s="41">
        <v>67843</v>
      </c>
      <c r="K136" s="1" t="s">
        <v>42</v>
      </c>
      <c r="L136" s="1" t="s">
        <v>17</v>
      </c>
      <c r="M136" s="29">
        <v>20.685648</v>
      </c>
      <c r="O136" s="1"/>
      <c r="P136" s="26"/>
      <c r="Q136" s="27"/>
      <c r="R136" s="26"/>
      <c r="S136" s="28"/>
      <c r="T136" s="26"/>
      <c r="U136" s="28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</row>
    <row r="137" spans="1:78" ht="15" customHeight="1" x14ac:dyDescent="0.25">
      <c r="A137" s="9" t="str">
        <f t="shared" si="12"/>
        <v>CUSTO MARKET DATA - FEVEREIRO/26-BLOOMBERG-70461</v>
      </c>
      <c r="B137" s="20">
        <v>46054</v>
      </c>
      <c r="C137" s="21">
        <v>817393</v>
      </c>
      <c r="D137" s="9" t="str">
        <f>IF(J137=57036,"ALEXANDRE DA COSTA SOARES",IF(J137=24157,"JOSE MAURICIO GOMES TEIXEIRA",IF(J137=24203,"JOSE MAURICIO GOMES TEIXEIRA",IF(J137=24149,"CHRISTIANO MARCONDES DE BARROS LIMA",IF(J137=24137,"CHRISTIANO MARCONDES DE BARROS LIMA",IF(J137=135152,"ENRICO BORTPLUZO CASSIANO",IF(J137=136568,"ENRICO BORTPLUZO CASSIANO", IF(J137=130976,"MARYLIA CARVALHO PONCE",IF(J137=136668,"ALEXANDRE DA COSTA SOARES",IF(J137=52340,"OFFSHORE LISTED",IF(J137=158778,"CLAUDIO DE SOUZA PACINI",IF(J137=159800,"CLAUDIO DE SOUZA PACINI",_xlfn.XLOOKUP(J137,[1]!Tabela33[ID ORACLE],[1]!Tabela33[BROKER],0,0,1)))))))))))))</f>
        <v>ALVARO LUIZ RICOTTA SOARES</v>
      </c>
      <c r="E137" s="22">
        <f t="shared" si="10"/>
        <v>-9252.0289543439976</v>
      </c>
      <c r="F137" s="9" t="str">
        <f t="shared" si="13"/>
        <v>BLOOMBERG</v>
      </c>
      <c r="G137" s="20">
        <f t="shared" si="14"/>
        <v>46054</v>
      </c>
      <c r="H137" s="23">
        <v>1170</v>
      </c>
      <c r="J137" s="41">
        <v>70461</v>
      </c>
      <c r="K137" s="1" t="s">
        <v>41</v>
      </c>
      <c r="L137" s="1" t="s">
        <v>12</v>
      </c>
      <c r="M137" s="29">
        <v>1796.6849119999997</v>
      </c>
      <c r="Q137" s="27"/>
    </row>
    <row r="138" spans="1:78" ht="15" customHeight="1" x14ac:dyDescent="0.25">
      <c r="A138" s="9" t="str">
        <f t="shared" si="12"/>
        <v>CUSTO MARKET DATA - FEVEREIRO/26-BLOOMBERG-70953</v>
      </c>
      <c r="B138" s="20">
        <v>46054</v>
      </c>
      <c r="C138" s="21">
        <v>817393</v>
      </c>
      <c r="D138" s="9" t="str">
        <f>IF(J138=57036,"ALEXANDRE DA COSTA SOARES",IF(J138=24157,"JOSE MAURICIO GOMES TEIXEIRA",IF(J138=24203,"JOSE MAURICIO GOMES TEIXEIRA",IF(J138=24149,"CHRISTIANO MARCONDES DE BARROS LIMA",IF(J138=24137,"CHRISTIANO MARCONDES DE BARROS LIMA",IF(J138=135152,"ENRICO BORTPLUZO CASSIANO",IF(J138=136568,"ENRICO BORTPLUZO CASSIANO", IF(J138=130976,"MARYLIA CARVALHO PONCE",IF(J138=136668,"ALEXANDRE DA COSTA SOARES",IF(J138=52340,"OFFSHORE LISTED",IF(J138=158778,"CLAUDIO DE SOUZA PACINI",IF(J138=159800,"CLAUDIO DE SOUZA PACINI",_xlfn.XLOOKUP(J138,[1]!Tabela33[ID ORACLE],[1]!Tabela33[BROKER],0,0,1)))))))))))))</f>
        <v>CARLOS BASILE</v>
      </c>
      <c r="E138" s="22">
        <f t="shared" si="10"/>
        <v>-12564.9052718865</v>
      </c>
      <c r="F138" s="9" t="str">
        <f t="shared" si="13"/>
        <v>BLOOMBERG</v>
      </c>
      <c r="G138" s="20">
        <f t="shared" si="14"/>
        <v>46054</v>
      </c>
      <c r="H138" s="23">
        <v>1170</v>
      </c>
      <c r="J138" s="41">
        <v>70953</v>
      </c>
      <c r="K138" s="1" t="s">
        <v>41</v>
      </c>
      <c r="L138" s="1" t="s">
        <v>12</v>
      </c>
      <c r="M138" s="29">
        <v>2440.0243270000001</v>
      </c>
      <c r="Q138" s="27"/>
    </row>
    <row r="139" spans="1:78" ht="15" customHeight="1" x14ac:dyDescent="0.25">
      <c r="A139" s="9" t="str">
        <f t="shared" si="12"/>
        <v>CUSTO MARKET DATA - FEVEREIRO/26-REFINITIV-72574</v>
      </c>
      <c r="B139" s="20">
        <v>46054</v>
      </c>
      <c r="C139" s="21">
        <v>817393</v>
      </c>
      <c r="D139" s="9" t="str">
        <f>IF(J139=57036,"ALEXANDRE DA COSTA SOARES",IF(J139=24157,"JOSE MAURICIO GOMES TEIXEIRA",IF(J139=24203,"JOSE MAURICIO GOMES TEIXEIRA",IF(J139=24149,"CHRISTIANO MARCONDES DE BARROS LIMA",IF(J139=24137,"CHRISTIANO MARCONDES DE BARROS LIMA",IF(J139=135152,"ENRICO BORTPLUZO CASSIANO",IF(J139=136568,"ENRICO BORTPLUZO CASSIANO", IF(J139=130976,"MARYLIA CARVALHO PONCE",IF(J139=136668,"ALEXANDRE DA COSTA SOARES",IF(J139=52340,"OFFSHORE LISTED",IF(J139=158778,"CLAUDIO DE SOUZA PACINI",IF(J139=159800,"CLAUDIO DE SOUZA PACINI",_xlfn.XLOOKUP(J139,[1]!Tabela33[ID ORACLE],[1]!Tabela33[BROKER],0,0,1)))))))))))))</f>
        <v>CARLOS JOSE SEPPE MILANI</v>
      </c>
      <c r="E139" s="22">
        <f t="shared" si="10"/>
        <v>-143.22742675200001</v>
      </c>
      <c r="F139" s="9" t="str">
        <f t="shared" si="13"/>
        <v>REFINITIV</v>
      </c>
      <c r="G139" s="20">
        <f t="shared" si="14"/>
        <v>46054</v>
      </c>
      <c r="H139" s="23">
        <v>1170</v>
      </c>
      <c r="J139" s="41">
        <v>72574</v>
      </c>
      <c r="K139" s="1" t="s">
        <v>42</v>
      </c>
      <c r="L139" s="1" t="s">
        <v>17</v>
      </c>
      <c r="M139" s="29">
        <v>20.685648</v>
      </c>
      <c r="N139" s="29"/>
      <c r="Q139" s="27"/>
    </row>
    <row r="140" spans="1:78" ht="15" customHeight="1" x14ac:dyDescent="0.25">
      <c r="A140" s="9" t="str">
        <f t="shared" si="9"/>
        <v>CUSTO MARKET DATA - FEVEREIRO/26-BLOOMBERG-100142</v>
      </c>
      <c r="B140" s="20">
        <v>46054</v>
      </c>
      <c r="C140" s="21">
        <v>817393</v>
      </c>
      <c r="D140" s="9" t="str">
        <f>IF(J140=57036,"ALEXANDRE DA COSTA SOARES",IF(J140=24157,"JOSE MAURICIO GOMES TEIXEIRA",IF(J140=24203,"JOSE MAURICIO GOMES TEIXEIRA",IF(J140=24149,"CHRISTIANO MARCONDES DE BARROS LIMA",IF(J140=24137,"CHRISTIANO MARCONDES DE BARROS LIMA",IF(J140=135152,"ENRICO BORTPLUZO CASSIANO",IF(J140=136568,"ENRICO BORTPLUZO CASSIANO", IF(J140=130976,"MARYLIA CARVALHO PONCE",IF(J140=136668,"ALEXANDRE DA COSTA SOARES",IF(J140=52340,"OFFSHORE LISTED",IF(J140=158778,"CLAUDIO DE SOUZA PACINI",IF(J140=159800,"CLAUDIO DE SOUZA PACINI",_xlfn.XLOOKUP(J140,[1]!Tabela33[ID ORACLE],[1]!Tabela33[BROKER],0,0,1)))))))))))))</f>
        <v>RAFAEL TENORIO CAVALCANTI</v>
      </c>
      <c r="E140" s="22">
        <f t="shared" si="10"/>
        <v>-12378.88305</v>
      </c>
      <c r="F140" s="9" t="str">
        <f t="shared" si="11"/>
        <v>BLOOMBERG</v>
      </c>
      <c r="G140" s="20">
        <f t="shared" si="14"/>
        <v>46054</v>
      </c>
      <c r="H140" s="23">
        <v>1170</v>
      </c>
      <c r="J140" s="41">
        <v>100142</v>
      </c>
      <c r="K140" s="1" t="s">
        <v>41</v>
      </c>
      <c r="L140" s="1" t="s">
        <v>12</v>
      </c>
      <c r="M140" s="29">
        <v>2403.9</v>
      </c>
      <c r="N140" s="29"/>
      <c r="Q140" s="27"/>
    </row>
    <row r="141" spans="1:78" customFormat="1" ht="15" customHeight="1" x14ac:dyDescent="0.25">
      <c r="A141" s="9" t="str">
        <f t="shared" si="9"/>
        <v>CUSTO MARKET DATA - FEVEREIRO/26-BLOOMBERG-136667</v>
      </c>
      <c r="B141" s="20">
        <v>46054</v>
      </c>
      <c r="C141" s="21">
        <v>817393</v>
      </c>
      <c r="D141" s="9" t="str">
        <f>IF(J141=57036,"ALEXANDRE DA COSTA SOARES",IF(J141=24157,"JOSE MAURICIO GOMES TEIXEIRA",IF(J141=24203,"JOSE MAURICIO GOMES TEIXEIRA",IF(J141=24149,"CHRISTIANO MARCONDES DE BARROS LIMA",IF(J141=24137,"CHRISTIANO MARCONDES DE BARROS LIMA",IF(J141=135152,"ENRICO BORTPLUZO CASSIANO",IF(J141=136568,"ENRICO BORTPLUZO CASSIANO", IF(J141=130976,"MARYLIA CARVALHO PONCE",IF(J141=136668,"ALEXANDRE DA COSTA SOARES",IF(J141=52340,"OFFSHORE LISTED",IF(J141=158778,"CLAUDIO DE SOUZA PACINI",IF(J141=159800,"CLAUDIO DE SOUZA PACINI",_xlfn.XLOOKUP(J141,[1]!Tabela33[ID ORACLE],[1]!Tabela33[BROKER],0,0,1)))))))))))))</f>
        <v>HUGO BIANCHI RIBEIRO</v>
      </c>
      <c r="E141" s="22">
        <f t="shared" si="10"/>
        <v>-12378.88305</v>
      </c>
      <c r="F141" s="9" t="str">
        <f t="shared" si="11"/>
        <v>BLOOMBERG</v>
      </c>
      <c r="G141" s="20">
        <f t="shared" si="14"/>
        <v>46054</v>
      </c>
      <c r="H141" s="23">
        <v>1170</v>
      </c>
      <c r="J141" s="41">
        <v>136667</v>
      </c>
      <c r="K141" s="1" t="s">
        <v>41</v>
      </c>
      <c r="L141" s="1" t="s">
        <v>12</v>
      </c>
      <c r="M141" s="29">
        <v>2403.9</v>
      </c>
      <c r="N141" s="29"/>
      <c r="O141" s="1"/>
      <c r="P141" s="26"/>
      <c r="Q141" s="27"/>
      <c r="R141" s="26"/>
      <c r="S141" s="28"/>
      <c r="T141" s="26"/>
      <c r="U141" s="28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</row>
    <row r="142" spans="1:78" customFormat="1" ht="15" customHeight="1" x14ac:dyDescent="0.25">
      <c r="A142" s="9" t="str">
        <f t="shared" si="9"/>
        <v>CUSTO MARKET DATA - FEVEREIRO/26-BLOOMBERG-66729</v>
      </c>
      <c r="B142" s="20">
        <v>46054</v>
      </c>
      <c r="C142" s="21">
        <v>817393</v>
      </c>
      <c r="D142" s="9" t="str">
        <f>IF(J142=57036,"ALEXANDRE DA COSTA SOARES",IF(J142=24157,"JOSE MAURICIO GOMES TEIXEIRA",IF(J142=24203,"JOSE MAURICIO GOMES TEIXEIRA",IF(J142=24149,"CHRISTIANO MARCONDES DE BARROS LIMA",IF(J142=24137,"CHRISTIANO MARCONDES DE BARROS LIMA",IF(J142=135152,"ENRICO BORTPLUZO CASSIANO",IF(J142=136568,"ENRICO BORTPLUZO CASSIANO", IF(J142=130976,"MARYLIA CARVALHO PONCE",IF(J142=136668,"ALEXANDRE DA COSTA SOARES",IF(J142=52340,"OFFSHORE LISTED",IF(J142=158778,"CLAUDIO DE SOUZA PACINI",IF(J142=159800,"CLAUDIO DE SOUZA PACINI",_xlfn.XLOOKUP(J142,[1]!Tabela33[ID ORACLE],[1]!Tabela33[BROKER],0,0,1)))))))))))))</f>
        <v>PAOLO FRANCA LIDA</v>
      </c>
      <c r="E142" s="22">
        <f t="shared" si="10"/>
        <v>-11632.205550000001</v>
      </c>
      <c r="F142" s="9" t="str">
        <f t="shared" si="11"/>
        <v>BLOOMBERG</v>
      </c>
      <c r="G142" s="20">
        <f t="shared" si="14"/>
        <v>46054</v>
      </c>
      <c r="H142" s="23">
        <v>1170</v>
      </c>
      <c r="J142" s="41">
        <v>66729</v>
      </c>
      <c r="K142" s="1" t="s">
        <v>41</v>
      </c>
      <c r="L142" s="1" t="s">
        <v>12</v>
      </c>
      <c r="M142" s="29">
        <v>2258.9</v>
      </c>
      <c r="N142" s="29"/>
      <c r="O142" s="1"/>
      <c r="P142" s="26"/>
      <c r="Q142" s="27"/>
      <c r="R142" s="26"/>
      <c r="S142" s="28"/>
      <c r="T142" s="26"/>
      <c r="U142" s="28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</row>
    <row r="143" spans="1:78" ht="15" customHeight="1" x14ac:dyDescent="0.25">
      <c r="A143" s="9" t="str">
        <f t="shared" si="9"/>
        <v>CUSTO MARKET DATA - FEVEREIRO/26-BLOOMBERG-128550</v>
      </c>
      <c r="B143" s="20">
        <v>46054</v>
      </c>
      <c r="C143" s="21">
        <v>817393</v>
      </c>
      <c r="D143" s="9" t="str">
        <f>IF(J143=57036,"ALEXANDRE DA COSTA SOARES",IF(J143=24157,"JOSE MAURICIO GOMES TEIXEIRA",IF(J143=24203,"JOSE MAURICIO GOMES TEIXEIRA",IF(J143=24149,"CHRISTIANO MARCONDES DE BARROS LIMA",IF(J143=24137,"CHRISTIANO MARCONDES DE BARROS LIMA",IF(J143=135152,"ENRICO BORTPLUZO CASSIANO",IF(J143=136568,"ENRICO BORTPLUZO CASSIANO", IF(J143=130976,"MARYLIA CARVALHO PONCE",IF(J143=136668,"ALEXANDRE DA COSTA SOARES",IF(J143=52340,"OFFSHORE LISTED",IF(J143=158778,"CLAUDIO DE SOUZA PACINI",IF(J143=159800,"CLAUDIO DE SOUZA PACINI",_xlfn.XLOOKUP(J143,[1]!Tabela33[ID ORACLE],[1]!Tabela33[BROKER],0,0,1)))))))))))))</f>
        <v>ALINE FAUSTINI</v>
      </c>
      <c r="E143" s="22">
        <f t="shared" si="10"/>
        <v>-14020.342572323998</v>
      </c>
      <c r="F143" s="9" t="str">
        <f t="shared" si="11"/>
        <v>BLOOMBERG</v>
      </c>
      <c r="G143" s="20">
        <f t="shared" si="14"/>
        <v>46054</v>
      </c>
      <c r="H143" s="23">
        <v>1170</v>
      </c>
      <c r="J143" s="41">
        <v>128550</v>
      </c>
      <c r="K143" s="1" t="s">
        <v>41</v>
      </c>
      <c r="L143" s="1" t="s">
        <v>12</v>
      </c>
      <c r="M143" s="29">
        <v>2722.6609519999997</v>
      </c>
      <c r="N143" s="29"/>
      <c r="O143" s="41"/>
      <c r="Q143" s="27"/>
    </row>
    <row r="144" spans="1:78" ht="15" customHeight="1" x14ac:dyDescent="0.25">
      <c r="A144" s="9" t="str">
        <f t="shared" si="9"/>
        <v>CUSTO MARKET DATA - FEVEREIRO/26-NYSE MARKET INC.-128550</v>
      </c>
      <c r="B144" s="20">
        <v>46054</v>
      </c>
      <c r="C144" s="21">
        <v>817393</v>
      </c>
      <c r="D144" s="9" t="str">
        <f>IF(J144=57036,"ALEXANDRE DA COSTA SOARES",IF(J144=24157,"JOSE MAURICIO GOMES TEIXEIRA",IF(J144=24203,"JOSE MAURICIO GOMES TEIXEIRA",IF(J144=24149,"CHRISTIANO MARCONDES DE BARROS LIMA",IF(J144=24137,"CHRISTIANO MARCONDES DE BARROS LIMA",IF(J144=135152,"ENRICO BORTPLUZO CASSIANO",IF(J144=136568,"ENRICO BORTPLUZO CASSIANO", IF(J144=130976,"MARYLIA CARVALHO PONCE",IF(J144=136668,"ALEXANDRE DA COSTA SOARES",IF(J144=52340,"OFFSHORE LISTED",IF(J144=158778,"CLAUDIO DE SOUZA PACINI",IF(J144=159800,"CLAUDIO DE SOUZA PACINI",_xlfn.XLOOKUP(J144,[1]!Tabela33[ID ORACLE],[1]!Tabela33[BROKER],0,0,1)))))))))))))</f>
        <v>ALINE FAUSTINI</v>
      </c>
      <c r="E144" s="22">
        <f t="shared" si="10"/>
        <v>-151.37598937499999</v>
      </c>
      <c r="F144" s="9" t="str">
        <f t="shared" si="11"/>
        <v>NYSE MARKET INC.</v>
      </c>
      <c r="G144" s="20">
        <f t="shared" si="14"/>
        <v>46054</v>
      </c>
      <c r="H144" s="23">
        <v>1170</v>
      </c>
      <c r="J144" s="41">
        <v>128550</v>
      </c>
      <c r="K144" s="1" t="s">
        <v>44</v>
      </c>
      <c r="L144" s="1" t="s">
        <v>12</v>
      </c>
      <c r="M144" s="29">
        <v>29.396249999999998</v>
      </c>
      <c r="N144" s="29"/>
      <c r="O144" s="41"/>
      <c r="Q144" s="27"/>
    </row>
    <row r="145" spans="1:17" ht="15" customHeight="1" x14ac:dyDescent="0.25">
      <c r="A145" s="9" t="str">
        <f t="shared" ref="A145:A153" si="15">CONCATENATE($N$1,$I$1,F145,$I$1,J145)</f>
        <v>CUSTO MARKET DATA - FEVEREIRO/26-REFINITIV-128550</v>
      </c>
      <c r="B145" s="20">
        <v>46054</v>
      </c>
      <c r="C145" s="21">
        <v>817393</v>
      </c>
      <c r="D145" s="9" t="str">
        <f>IF(J145=57036,"ALEXANDRE DA COSTA SOARES",IF(J145=24157,"JOSE MAURICIO GOMES TEIXEIRA",IF(J145=24203,"JOSE MAURICIO GOMES TEIXEIRA",IF(J145=24149,"CHRISTIANO MARCONDES DE BARROS LIMA",IF(J145=24137,"CHRISTIANO MARCONDES DE BARROS LIMA",IF(J145=135152,"ENRICO BORTPLUZO CASSIANO",IF(J145=136568,"ENRICO BORTPLUZO CASSIANO", IF(J145=130976,"MARYLIA CARVALHO PONCE",IF(J145=136668,"ALEXANDRE DA COSTA SOARES",IF(J145=52340,"OFFSHORE LISTED",IF(J145=158778,"CLAUDIO DE SOUZA PACINI",IF(J145=159800,"CLAUDIO DE SOUZA PACINI",_xlfn.XLOOKUP(J145,[1]!Tabela33[ID ORACLE],[1]!Tabela33[BROKER],0,0,1)))))))))))))</f>
        <v>ALINE FAUSTINI</v>
      </c>
      <c r="E145" s="22">
        <f t="shared" si="10"/>
        <v>-364.44194270400004</v>
      </c>
      <c r="F145" s="9" t="str">
        <f t="shared" si="11"/>
        <v>REFINITIV</v>
      </c>
      <c r="G145" s="20">
        <f t="shared" si="14"/>
        <v>46054</v>
      </c>
      <c r="H145" s="23">
        <v>1170</v>
      </c>
      <c r="J145" s="41">
        <v>128550</v>
      </c>
      <c r="K145" s="1" t="s">
        <v>42</v>
      </c>
      <c r="L145" s="1" t="s">
        <v>17</v>
      </c>
      <c r="M145" s="29">
        <v>52.634596000000002</v>
      </c>
      <c r="N145" s="29"/>
      <c r="O145" s="41"/>
      <c r="Q145" s="27"/>
    </row>
    <row r="146" spans="1:17" ht="15" customHeight="1" x14ac:dyDescent="0.25">
      <c r="A146" s="9" t="str">
        <f t="shared" si="15"/>
        <v>CUSTO MARKET DATA - FEVEREIRO/26-BLOOMBERG-153754</v>
      </c>
      <c r="B146" s="20">
        <v>46054</v>
      </c>
      <c r="C146" s="21">
        <v>817393</v>
      </c>
      <c r="D146" s="9" t="str">
        <f>IF(J146=57036,"ALEXANDRE DA COSTA SOARES",IF(J146=24157,"JOSE MAURICIO GOMES TEIXEIRA",IF(J146=24203,"JOSE MAURICIO GOMES TEIXEIRA",IF(J146=24149,"CHRISTIANO MARCONDES DE BARROS LIMA",IF(J146=24137,"CHRISTIANO MARCONDES DE BARROS LIMA",IF(J146=135152,"ENRICO BORTPLUZO CASSIANO",IF(J146=136568,"ENRICO BORTPLUZO CASSIANO", IF(J146=130976,"MARYLIA CARVALHO PONCE",IF(J146=136668,"ALEXANDRE DA COSTA SOARES",IF(J146=52340,"OFFSHORE LISTED",IF(J146=158778,"CLAUDIO DE SOUZA PACINI",IF(J146=159800,"CLAUDIO DE SOUZA PACINI",_xlfn.XLOOKUP(J146,[1]!Tabela33[ID ORACLE],[1]!Tabela33[BROKER],0,0,1)))))))))))))</f>
        <v>CLAUDIO DE SOUZA PACINI</v>
      </c>
      <c r="E146" s="22">
        <f t="shared" si="10"/>
        <v>-17577.604695085502</v>
      </c>
      <c r="F146" s="9" t="str">
        <f t="shared" si="11"/>
        <v>BLOOMBERG</v>
      </c>
      <c r="G146" s="20">
        <f t="shared" si="14"/>
        <v>46054</v>
      </c>
      <c r="H146" s="23">
        <v>1170</v>
      </c>
      <c r="J146" s="41">
        <v>153754</v>
      </c>
      <c r="K146" s="1" t="s">
        <v>41</v>
      </c>
      <c r="L146" s="1" t="s">
        <v>12</v>
      </c>
      <c r="M146" s="29">
        <v>3413.4585290000005</v>
      </c>
      <c r="N146" s="29"/>
      <c r="O146" s="41"/>
      <c r="Q146" s="27"/>
    </row>
    <row r="147" spans="1:17" ht="15" customHeight="1" x14ac:dyDescent="0.25">
      <c r="A147" s="9" t="str">
        <f t="shared" si="15"/>
        <v>CUSTO MARKET DATA - FEVEREIRO/26-FIDESSA-153754</v>
      </c>
      <c r="B147" s="20">
        <v>46054</v>
      </c>
      <c r="C147" s="21">
        <v>817393</v>
      </c>
      <c r="D147" s="9" t="str">
        <f>IF(J147=57036,"ALEXANDRE DA COSTA SOARES",IF(J147=24157,"JOSE MAURICIO GOMES TEIXEIRA",IF(J147=24203,"JOSE MAURICIO GOMES TEIXEIRA",IF(J147=24149,"CHRISTIANO MARCONDES DE BARROS LIMA",IF(J147=24137,"CHRISTIANO MARCONDES DE BARROS LIMA",IF(J147=135152,"ENRICO BORTPLUZO CASSIANO",IF(J147=136568,"ENRICO BORTPLUZO CASSIANO", IF(J147=130976,"MARYLIA CARVALHO PONCE",IF(J147=136668,"ALEXANDRE DA COSTA SOARES",IF(J147=52340,"OFFSHORE LISTED",IF(J147=158778,"CLAUDIO DE SOUZA PACINI",IF(J147=159800,"CLAUDIO DE SOUZA PACINI",_xlfn.XLOOKUP(J147,[1]!Tabela33[ID ORACLE],[1]!Tabela33[BROKER],0,0,1)))))))))))))</f>
        <v>CLAUDIO DE SOUZA PACINI</v>
      </c>
      <c r="E147" s="22">
        <f t="shared" si="10"/>
        <v>-1818.7488822435</v>
      </c>
      <c r="F147" s="9" t="str">
        <f t="shared" si="11"/>
        <v>FIDESSA</v>
      </c>
      <c r="G147" s="20">
        <f t="shared" si="14"/>
        <v>46054</v>
      </c>
      <c r="H147" s="23">
        <v>1170</v>
      </c>
      <c r="J147" s="41">
        <v>153754</v>
      </c>
      <c r="K147" s="1" t="s">
        <v>47</v>
      </c>
      <c r="L147" s="1" t="s">
        <v>12</v>
      </c>
      <c r="M147" s="29">
        <v>353.189413</v>
      </c>
      <c r="N147" s="29"/>
      <c r="O147" s="41"/>
      <c r="Q147" s="27"/>
    </row>
    <row r="148" spans="1:17" ht="15" customHeight="1" x14ac:dyDescent="0.25">
      <c r="A148" s="9" t="str">
        <f t="shared" si="15"/>
        <v>CUSTO MARKET DATA - FEVEREIRO/26-NYSE MARKET INC.-153754</v>
      </c>
      <c r="B148" s="20">
        <v>46054</v>
      </c>
      <c r="C148" s="21">
        <v>817393</v>
      </c>
      <c r="D148" s="9" t="str">
        <f>IF(J148=57036,"ALEXANDRE DA COSTA SOARES",IF(J148=24157,"JOSE MAURICIO GOMES TEIXEIRA",IF(J148=24203,"JOSE MAURICIO GOMES TEIXEIRA",IF(J148=24149,"CHRISTIANO MARCONDES DE BARROS LIMA",IF(J148=24137,"CHRISTIANO MARCONDES DE BARROS LIMA",IF(J148=135152,"ENRICO BORTPLUZO CASSIANO",IF(J148=136568,"ENRICO BORTPLUZO CASSIANO", IF(J148=130976,"MARYLIA CARVALHO PONCE",IF(J148=136668,"ALEXANDRE DA COSTA SOARES",IF(J148=52340,"OFFSHORE LISTED",IF(J148=158778,"CLAUDIO DE SOUZA PACINI",IF(J148=159800,"CLAUDIO DE SOUZA PACINI",_xlfn.XLOOKUP(J148,[1]!Tabela33[ID ORACLE],[1]!Tabela33[BROKER],0,0,1)))))))))))))</f>
        <v>CLAUDIO DE SOUZA PACINI</v>
      </c>
      <c r="E148" s="22">
        <f t="shared" si="10"/>
        <v>-3834.3048262499997</v>
      </c>
      <c r="F148" s="9" t="str">
        <f t="shared" si="11"/>
        <v>NYSE MARKET INC.</v>
      </c>
      <c r="G148" s="20">
        <f t="shared" si="14"/>
        <v>46054</v>
      </c>
      <c r="H148" s="23">
        <v>1170</v>
      </c>
      <c r="J148" s="41">
        <v>153754</v>
      </c>
      <c r="K148" s="1" t="s">
        <v>44</v>
      </c>
      <c r="L148" s="1" t="s">
        <v>12</v>
      </c>
      <c r="M148" s="29">
        <v>744.59749999999997</v>
      </c>
      <c r="N148" s="29"/>
      <c r="O148" s="41"/>
      <c r="Q148" s="27"/>
    </row>
    <row r="149" spans="1:17" ht="15" customHeight="1" x14ac:dyDescent="0.25">
      <c r="A149" s="9" t="str">
        <f t="shared" si="15"/>
        <v>CUSTO MARKET DATA - FEVEREIRO/26-OPTIONS PRICE REPORTING AUTHORITY (OPRA)-153754</v>
      </c>
      <c r="B149" s="20">
        <v>46054</v>
      </c>
      <c r="C149" s="21">
        <v>817393</v>
      </c>
      <c r="D149" s="9" t="str">
        <f>IF(J149=57036,"ALEXANDRE DA COSTA SOARES",IF(J149=24157,"JOSE MAURICIO GOMES TEIXEIRA",IF(J149=24203,"JOSE MAURICIO GOMES TEIXEIRA",IF(J149=24149,"CHRISTIANO MARCONDES DE BARROS LIMA",IF(J149=24137,"CHRISTIANO MARCONDES DE BARROS LIMA",IF(J149=135152,"ENRICO BORTPLUZO CASSIANO",IF(J149=136568,"ENRICO BORTPLUZO CASSIANO", IF(J149=130976,"MARYLIA CARVALHO PONCE",IF(J149=136668,"ALEXANDRE DA COSTA SOARES",IF(J149=52340,"OFFSHORE LISTED",IF(J149=158778,"CLAUDIO DE SOUZA PACINI",IF(J149=159800,"CLAUDIO DE SOUZA PACINI",_xlfn.XLOOKUP(J149,[1]!Tabela33[ID ORACLE],[1]!Tabela33[BROKER],0,0,1)))))))))))))</f>
        <v>CLAUDIO DE SOUZA PACINI</v>
      </c>
      <c r="E149" s="22">
        <f t="shared" si="10"/>
        <v>-515.41989187499996</v>
      </c>
      <c r="F149" s="9" t="str">
        <f t="shared" si="11"/>
        <v>OPTIONS PRICE REPORTING AUTHORITY (OPRA)</v>
      </c>
      <c r="G149" s="20">
        <f t="shared" si="14"/>
        <v>46054</v>
      </c>
      <c r="H149" s="23">
        <v>1170</v>
      </c>
      <c r="J149" s="41">
        <v>153754</v>
      </c>
      <c r="K149" s="1" t="s">
        <v>45</v>
      </c>
      <c r="L149" s="1" t="s">
        <v>12</v>
      </c>
      <c r="M149" s="29">
        <v>100.09125</v>
      </c>
      <c r="N149" s="29"/>
      <c r="O149" s="41"/>
      <c r="Q149" s="27"/>
    </row>
    <row r="150" spans="1:17" ht="15" customHeight="1" x14ac:dyDescent="0.25">
      <c r="A150" s="9" t="str">
        <f t="shared" si="15"/>
        <v>CUSTO MARKET DATA - FEVEREIRO/26-TORONTO STOCK EXCHANGE-153754</v>
      </c>
      <c r="B150" s="20">
        <v>46054</v>
      </c>
      <c r="C150" s="21">
        <v>817393</v>
      </c>
      <c r="D150" s="9" t="str">
        <f>IF(J150=57036,"ALEXANDRE DA COSTA SOARES",IF(J150=24157,"JOSE MAURICIO GOMES TEIXEIRA",IF(J150=24203,"JOSE MAURICIO GOMES TEIXEIRA",IF(J150=24149,"CHRISTIANO MARCONDES DE BARROS LIMA",IF(J150=24137,"CHRISTIANO MARCONDES DE BARROS LIMA",IF(J150=135152,"ENRICO BORTPLUZO CASSIANO",IF(J150=136568,"ENRICO BORTPLUZO CASSIANO", IF(J150=130976,"MARYLIA CARVALHO PONCE",IF(J150=136668,"ALEXANDRE DA COSTA SOARES",IF(J150=52340,"OFFSHORE LISTED",IF(J150=158778,"CLAUDIO DE SOUZA PACINI",IF(J150=159800,"CLAUDIO DE SOUZA PACINI",_xlfn.XLOOKUP(J150,[1]!Tabela33[ID ORACLE],[1]!Tabela33[BROKER],0,0,1)))))))))))))</f>
        <v>CLAUDIO DE SOUZA PACINI</v>
      </c>
      <c r="E150" s="22">
        <f t="shared" si="10"/>
        <v>-395.18748630749997</v>
      </c>
      <c r="F150" s="9" t="str">
        <f>IF(UPPER(K150)="Valor Analytics LLC","VALOR",UPPER(K150))</f>
        <v>TORONTO STOCK EXCHANGE</v>
      </c>
      <c r="G150" s="20">
        <f t="shared" si="14"/>
        <v>46054</v>
      </c>
      <c r="H150" s="23">
        <v>1170</v>
      </c>
      <c r="J150" s="41">
        <v>153754</v>
      </c>
      <c r="K150" s="1" t="s">
        <v>51</v>
      </c>
      <c r="L150" s="1" t="s">
        <v>12</v>
      </c>
      <c r="M150" s="29">
        <v>76.742885000000001</v>
      </c>
      <c r="N150" s="29"/>
      <c r="O150" s="41"/>
      <c r="Q150" s="27"/>
    </row>
    <row r="151" spans="1:17" ht="15" customHeight="1" x14ac:dyDescent="0.25">
      <c r="A151" s="9" t="str">
        <f t="shared" si="15"/>
        <v>CUSTO MARKET DATA - FEVEREIRO/26-TRADE THE NEWS, INC.-153754</v>
      </c>
      <c r="B151" s="20">
        <v>46054</v>
      </c>
      <c r="C151" s="21">
        <v>817393</v>
      </c>
      <c r="D151" s="9" t="str">
        <f>IF(J151=57036,"ALEXANDRE DA COSTA SOARES",IF(J151=24157,"JOSE MAURICIO GOMES TEIXEIRA",IF(J151=24203,"JOSE MAURICIO GOMES TEIXEIRA",IF(J151=24149,"CHRISTIANO MARCONDES DE BARROS LIMA",IF(J151=24137,"CHRISTIANO MARCONDES DE BARROS LIMA",IF(J151=135152,"ENRICO BORTPLUZO CASSIANO",IF(J151=136568,"ENRICO BORTPLUZO CASSIANO", IF(J151=130976,"MARYLIA CARVALHO PONCE",IF(J151=136668,"ALEXANDRE DA COSTA SOARES",IF(J151=52340,"OFFSHORE LISTED",IF(J151=158778,"CLAUDIO DE SOUZA PACINI",IF(J151=159800,"CLAUDIO DE SOUZA PACINI",_xlfn.XLOOKUP(J151,[1]!Tabela33[ID ORACLE],[1]!Tabela33[BROKER],0,0,1)))))))))))))</f>
        <v>CLAUDIO DE SOUZA PACINI</v>
      </c>
      <c r="E151" s="22">
        <f t="shared" si="10"/>
        <v>-1143.1889999999999</v>
      </c>
      <c r="F151" s="9" t="str">
        <f>IF(UPPER(K151)="Valor Analytics LLC","VALOR",UPPER(K151))</f>
        <v>TRADE THE NEWS, INC.</v>
      </c>
      <c r="G151" s="20">
        <f t="shared" si="14"/>
        <v>46054</v>
      </c>
      <c r="H151" s="23">
        <v>1170</v>
      </c>
      <c r="J151" s="41">
        <v>153754</v>
      </c>
      <c r="K151" s="1" t="s">
        <v>52</v>
      </c>
      <c r="L151" s="1" t="s">
        <v>12</v>
      </c>
      <c r="M151" s="29">
        <v>222</v>
      </c>
      <c r="N151" s="29"/>
      <c r="O151" s="41"/>
      <c r="Q151" s="27"/>
    </row>
    <row r="152" spans="1:17" ht="15" customHeight="1" x14ac:dyDescent="0.25">
      <c r="A152" s="9" t="str">
        <f t="shared" si="15"/>
        <v>CUSTO MARKET DATA - FEVEREIRO/26--</v>
      </c>
      <c r="B152" s="20">
        <v>46054</v>
      </c>
      <c r="C152" s="21">
        <v>817393</v>
      </c>
      <c r="D152" s="9">
        <f>IF(J152=57036,"ALEXANDRE DA COSTA SOARES",IF(J152=24157,"JOSE MAURICIO GOMES TEIXEIRA",IF(J152=24203,"JOSE MAURICIO GOMES TEIXEIRA",IF(J152=24149,"CHRISTIANO MARCONDES DE BARROS LIMA",IF(J152=24137,"CHRISTIANO MARCONDES DE BARROS LIMA",IF(J152=135152,"ENRICO BORTPLUZO CASSIANO",IF(J152=136568,"ENRICO BORTPLUZO CASSIANO", IF(J152=130976,"MARYLIA CARVALHO PONCE",IF(J152=136668,"ALEXANDRE DA COSTA SOARES",IF(J152=52340,"OFFSHORE LISTED",IF(J152=158778,"CLAUDIO DE SOUZA PACINI",IF(J152=159800,"CLAUDIO DE SOUZA PACINI",_xlfn.XLOOKUP(J152,[1]!Tabela33[ID ORACLE],[1]!Tabela33[BROKER],0,0,1)))))))))))))</f>
        <v>0</v>
      </c>
      <c r="E152" s="22">
        <f t="shared" si="10"/>
        <v>0</v>
      </c>
      <c r="F152" s="9" t="str">
        <f>IF(UPPER(K152)="Valor Analytics LLC","VALOR",UPPER(K152))</f>
        <v/>
      </c>
      <c r="G152" s="20">
        <f t="shared" si="14"/>
        <v>46054</v>
      </c>
      <c r="H152" s="23">
        <v>1170</v>
      </c>
      <c r="M152" s="29"/>
      <c r="N152" s="29"/>
      <c r="Q152" s="27"/>
    </row>
    <row r="153" spans="1:17" ht="15" customHeight="1" x14ac:dyDescent="0.25">
      <c r="A153" s="9" t="str">
        <f t="shared" si="15"/>
        <v>CUSTO MARKET DATA - FEVEREIRO/26--</v>
      </c>
      <c r="B153" s="20">
        <v>46054</v>
      </c>
      <c r="C153" s="21">
        <v>817393</v>
      </c>
      <c r="D153" s="9">
        <f>IF(J153=57036,"ALEXANDRE DA COSTA SOARES",IF(J153=24157,"JOSE MAURICIO GOMES TEIXEIRA",IF(J153=24203,"JOSE MAURICIO GOMES TEIXEIRA",IF(J153=24149,"CHRISTIANO MARCONDES DE BARROS LIMA",IF(J153=24137,"CHRISTIANO MARCONDES DE BARROS LIMA",IF(J153=135152,"ENRICO BORTPLUZO CASSIANO",IF(J153=136568,"ENRICO BORTPLUZO CASSIANO", IF(J153=130976,"MARYLIA CARVALHO PONCE",IF(J153=136668,"ALEXANDRE DA COSTA SOARES",IF(J153=52340,"OFFSHORE LISTED",IF(J153=158778,"CLAUDIO DE SOUZA PACINI",IF(J153=159800,"CLAUDIO DE SOUZA PACINI",_xlfn.XLOOKUP(J153,[1]!Tabela33[ID ORACLE],[1]!Tabela33[BROKER],0,0,1)))))))))))))</f>
        <v>0</v>
      </c>
      <c r="E153" s="22">
        <f t="shared" si="10"/>
        <v>0</v>
      </c>
      <c r="F153" s="9" t="str">
        <f>IF(UPPER(K153)="Valor Analytics LLC","VALOR",UPPER(K153))</f>
        <v/>
      </c>
      <c r="G153" s="20">
        <f t="shared" si="14"/>
        <v>46054</v>
      </c>
      <c r="H153" s="23">
        <v>1170</v>
      </c>
      <c r="Q153" s="27"/>
    </row>
    <row r="1048563" spans="3:3" ht="15" customHeight="1" x14ac:dyDescent="0.25">
      <c r="C1048563" s="21"/>
    </row>
  </sheetData>
  <autoFilter ref="A1:BZ1" xr:uid="{BEF01CAB-E253-459E-BB46-E5FD589CBB3E}"/>
  <mergeCells count="11">
    <mergeCell ref="N8:N9"/>
    <mergeCell ref="O8:O9"/>
    <mergeCell ref="N10:N11"/>
    <mergeCell ref="O10:O11"/>
    <mergeCell ref="N12:N24"/>
    <mergeCell ref="N2:N3"/>
    <mergeCell ref="O2:O3"/>
    <mergeCell ref="N4:N5"/>
    <mergeCell ref="O4:O5"/>
    <mergeCell ref="N6:N7"/>
    <mergeCell ref="O6:O7"/>
  </mergeCells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CE54-D5EE-4422-8880-2C20C4085286}">
  <sheetPr filterMode="1"/>
  <dimension ref="A1:BZ1048561"/>
  <sheetViews>
    <sheetView showGridLines="0" topLeftCell="A41" zoomScaleNormal="100" workbookViewId="0">
      <selection activeCell="K27" sqref="K27"/>
    </sheetView>
  </sheetViews>
  <sheetFormatPr defaultRowHeight="15" customHeight="1" x14ac:dyDescent="0.25"/>
  <cols>
    <col min="1" max="1" width="48.85546875" style="1" customWidth="1"/>
    <col min="2" max="2" width="19.140625" style="3" bestFit="1" customWidth="1"/>
    <col min="3" max="3" width="8.42578125" style="4" customWidth="1"/>
    <col min="4" max="4" width="34.7109375" style="1" bestFit="1" customWidth="1"/>
    <col min="5" max="5" width="10" style="2" bestFit="1" customWidth="1"/>
    <col min="6" max="6" width="17.42578125" style="1" bestFit="1" customWidth="1"/>
    <col min="7" max="7" width="19.140625" style="3" bestFit="1" customWidth="1"/>
    <col min="8" max="8" width="16.28515625" style="19" bestFit="1" customWidth="1"/>
    <col min="9" max="9" width="2.7109375" customWidth="1"/>
    <col min="10" max="10" width="14" style="1" customWidth="1"/>
    <col min="11" max="11" width="28.28515625" style="1" bestFit="1" customWidth="1"/>
    <col min="12" max="12" width="8.7109375" style="1" customWidth="1"/>
    <col min="13" max="13" width="23.28515625" style="2" bestFit="1" customWidth="1"/>
    <col min="14" max="14" width="53.5703125" bestFit="1" customWidth="1"/>
    <col min="15" max="15" width="6.140625" style="1" bestFit="1" customWidth="1"/>
    <col min="16" max="16" width="11.5703125" style="26" bestFit="1" customWidth="1"/>
    <col min="17" max="17" width="9.140625" style="28" bestFit="1" customWidth="1"/>
    <col min="18" max="18" width="11.5703125" style="26" bestFit="1" customWidth="1"/>
    <col min="19" max="19" width="9.140625" style="28" bestFit="1" customWidth="1"/>
    <col min="20" max="20" width="11.5703125" style="26" bestFit="1" customWidth="1"/>
    <col min="21" max="21" width="9.140625" style="28"/>
    <col min="22" max="16384" width="9.140625" style="1"/>
  </cols>
  <sheetData>
    <row r="1" spans="1:21" ht="15" customHeight="1" x14ac:dyDescent="0.2">
      <c r="A1" s="33" t="s">
        <v>0</v>
      </c>
      <c r="B1" s="30" t="s">
        <v>7</v>
      </c>
      <c r="C1" s="33" t="s">
        <v>1</v>
      </c>
      <c r="D1" s="33" t="s">
        <v>2</v>
      </c>
      <c r="E1" s="34" t="s">
        <v>3</v>
      </c>
      <c r="F1" s="33" t="s">
        <v>4</v>
      </c>
      <c r="G1" s="30" t="s">
        <v>5</v>
      </c>
      <c r="H1" s="33" t="s">
        <v>6</v>
      </c>
      <c r="I1" s="33" t="s">
        <v>16</v>
      </c>
      <c r="J1" s="35" t="s">
        <v>8</v>
      </c>
      <c r="K1" s="35" t="s">
        <v>9</v>
      </c>
      <c r="L1" s="35" t="s">
        <v>10</v>
      </c>
      <c r="M1" s="36" t="s">
        <v>11</v>
      </c>
      <c r="N1" s="32" t="s">
        <v>54</v>
      </c>
      <c r="P1" s="37">
        <v>5.2194000000000003</v>
      </c>
      <c r="Q1" s="38" t="s">
        <v>12</v>
      </c>
      <c r="R1" s="39">
        <v>6.8818000000000001</v>
      </c>
      <c r="S1" s="38" t="s">
        <v>17</v>
      </c>
      <c r="T1" s="37">
        <v>3.7406999999999999</v>
      </c>
      <c r="U1" s="38" t="s">
        <v>23</v>
      </c>
    </row>
    <row r="2" spans="1:21" ht="15" customHeight="1" x14ac:dyDescent="0.25">
      <c r="A2" s="5" t="str">
        <f t="shared" ref="A2:A7" si="0">CONCATENATE($N$1,$I$1,F2,$I$1,J2)</f>
        <v>CUSTO MARKET DATA - MARÇO/26-BLOOMBERG-67829</v>
      </c>
      <c r="B2" s="6">
        <v>46082</v>
      </c>
      <c r="C2" s="7">
        <v>817393</v>
      </c>
      <c r="D2" s="5" t="s">
        <v>15</v>
      </c>
      <c r="E2" s="8">
        <f>-IF(L2="BRL",M2,M2*$P$1)/2</f>
        <v>-6299.9702550945003</v>
      </c>
      <c r="F2" s="5" t="str">
        <f>UPPER(K2)</f>
        <v>BLOOMBERG</v>
      </c>
      <c r="G2" s="6">
        <f>B2</f>
        <v>46082</v>
      </c>
      <c r="H2" s="16">
        <v>1170</v>
      </c>
      <c r="J2" s="18">
        <v>67829</v>
      </c>
      <c r="K2" s="14" t="s">
        <v>41</v>
      </c>
      <c r="L2" s="15" t="s">
        <v>12</v>
      </c>
      <c r="M2" s="8">
        <v>2414.0591850000001</v>
      </c>
      <c r="N2" s="47" t="s">
        <v>26</v>
      </c>
      <c r="O2" s="49">
        <v>67829</v>
      </c>
      <c r="Q2" s="27"/>
      <c r="S2" s="27"/>
      <c r="U2" s="27"/>
    </row>
    <row r="3" spans="1:21" ht="15" customHeight="1" x14ac:dyDescent="0.25">
      <c r="A3" s="10" t="str">
        <f t="shared" si="0"/>
        <v>CUSTO MARKET DATA - MARÇO/26-BLOOMBERG-67829</v>
      </c>
      <c r="B3" s="24">
        <v>46082</v>
      </c>
      <c r="C3" s="11">
        <v>817393</v>
      </c>
      <c r="D3" s="10" t="s">
        <v>24</v>
      </c>
      <c r="E3" s="12">
        <f>-IF(L3="BRL",M3,M3*$P$1)/2</f>
        <v>-6299.9702550945003</v>
      </c>
      <c r="F3" s="10" t="str">
        <f t="shared" ref="F3:F11" si="1">UPPER(K3)</f>
        <v>BLOOMBERG</v>
      </c>
      <c r="G3" s="24">
        <f t="shared" ref="G3:G65" si="2">B3</f>
        <v>46082</v>
      </c>
      <c r="H3" s="17">
        <v>1170</v>
      </c>
      <c r="J3" s="17">
        <v>67829</v>
      </c>
      <c r="K3" s="17" t="s">
        <v>41</v>
      </c>
      <c r="L3" s="13" t="s">
        <v>12</v>
      </c>
      <c r="M3" s="12">
        <v>2414.0591850000001</v>
      </c>
      <c r="N3" s="48"/>
      <c r="O3" s="50"/>
      <c r="Q3" s="27"/>
      <c r="S3" s="27"/>
      <c r="U3" s="27"/>
    </row>
    <row r="4" spans="1:21" ht="15" customHeight="1" x14ac:dyDescent="0.25">
      <c r="A4" s="5" t="str">
        <f t="shared" si="0"/>
        <v>CUSTO MARKET DATA - MARÇO/26-BLOOMBERG-67825</v>
      </c>
      <c r="B4" s="6">
        <v>46082</v>
      </c>
      <c r="C4" s="7">
        <v>817393</v>
      </c>
      <c r="D4" s="5" t="s">
        <v>28</v>
      </c>
      <c r="E4" s="8">
        <f>-IF(L4="BRL",M4,M4*$P$1)/2</f>
        <v>-5956.2727650945008</v>
      </c>
      <c r="F4" s="5" t="str">
        <f t="shared" si="1"/>
        <v>BLOOMBERG</v>
      </c>
      <c r="G4" s="6">
        <f t="shared" si="2"/>
        <v>46082</v>
      </c>
      <c r="H4" s="16">
        <v>1170</v>
      </c>
      <c r="J4" s="18">
        <v>67825</v>
      </c>
      <c r="K4" s="18" t="s">
        <v>41</v>
      </c>
      <c r="L4" s="15" t="s">
        <v>12</v>
      </c>
      <c r="M4" s="8">
        <v>2282.3591850000003</v>
      </c>
      <c r="N4" s="47" t="s">
        <v>25</v>
      </c>
      <c r="O4" s="49">
        <v>67825</v>
      </c>
      <c r="Q4" s="27"/>
      <c r="S4" s="27"/>
      <c r="U4" s="27"/>
    </row>
    <row r="5" spans="1:21" ht="15" customHeight="1" x14ac:dyDescent="0.25">
      <c r="A5" s="10" t="str">
        <f t="shared" si="0"/>
        <v>CUSTO MARKET DATA - MARÇO/26-BLOOMBERG-67825</v>
      </c>
      <c r="B5" s="24">
        <v>46082</v>
      </c>
      <c r="C5" s="11">
        <v>817393</v>
      </c>
      <c r="D5" s="10" t="s">
        <v>27</v>
      </c>
      <c r="E5" s="12">
        <f>-IF(L5="BRL",M5,M5*$P$1)/2</f>
        <v>-5956.2727650945008</v>
      </c>
      <c r="F5" s="10" t="str">
        <f t="shared" si="1"/>
        <v>BLOOMBERG</v>
      </c>
      <c r="G5" s="24">
        <f t="shared" si="2"/>
        <v>46082</v>
      </c>
      <c r="H5" s="17">
        <v>1170</v>
      </c>
      <c r="J5" s="17">
        <v>67825</v>
      </c>
      <c r="K5" s="17" t="s">
        <v>41</v>
      </c>
      <c r="L5" s="13" t="s">
        <v>12</v>
      </c>
      <c r="M5" s="12">
        <v>2282.3591850000003</v>
      </c>
      <c r="N5" s="48"/>
      <c r="O5" s="50"/>
      <c r="Q5" s="27"/>
      <c r="S5" s="27"/>
      <c r="U5" s="27"/>
    </row>
    <row r="6" spans="1:21" ht="15" hidden="1" customHeight="1" x14ac:dyDescent="0.25">
      <c r="A6" s="5" t="str">
        <f t="shared" si="0"/>
        <v>CUSTO MARKET DATA - MARÇO/26-REFINITIV-103090</v>
      </c>
      <c r="B6" s="6">
        <v>46082</v>
      </c>
      <c r="C6" s="7">
        <v>817393</v>
      </c>
      <c r="D6" s="5" t="s">
        <v>13</v>
      </c>
      <c r="E6" s="8">
        <f>-IF(L6="BRL",M6,IF(L6="GBP",M6*R1,M6*$P$1))/2</f>
        <v>-71.177246203199999</v>
      </c>
      <c r="F6" s="5" t="str">
        <f t="shared" si="1"/>
        <v>REFINITIV</v>
      </c>
      <c r="G6" s="6">
        <f t="shared" si="2"/>
        <v>46082</v>
      </c>
      <c r="H6" s="16">
        <v>1170</v>
      </c>
      <c r="J6" s="18">
        <v>103090</v>
      </c>
      <c r="K6" s="18" t="s">
        <v>42</v>
      </c>
      <c r="L6" s="15" t="s">
        <v>17</v>
      </c>
      <c r="M6" s="8">
        <v>20.685648</v>
      </c>
      <c r="N6" s="47" t="s">
        <v>18</v>
      </c>
      <c r="O6" s="49">
        <v>103090</v>
      </c>
      <c r="Q6" s="27"/>
      <c r="S6" s="27"/>
      <c r="U6" s="27"/>
    </row>
    <row r="7" spans="1:21" ht="15" hidden="1" customHeight="1" x14ac:dyDescent="0.25">
      <c r="A7" s="10" t="str">
        <f t="shared" si="0"/>
        <v>CUSTO MARKET DATA - MARÇO/26-REFINITIV-103090</v>
      </c>
      <c r="B7" s="24">
        <v>46082</v>
      </c>
      <c r="C7" s="11">
        <v>817393</v>
      </c>
      <c r="D7" s="10" t="s">
        <v>14</v>
      </c>
      <c r="E7" s="12">
        <f>-IF(L7="BRL",M7,IF(L7="GBP",M7*R1,M7*$P$1))/2</f>
        <v>-71.177246203199999</v>
      </c>
      <c r="F7" s="10" t="str">
        <f t="shared" si="1"/>
        <v>REFINITIV</v>
      </c>
      <c r="G7" s="24">
        <f t="shared" si="2"/>
        <v>46082</v>
      </c>
      <c r="H7" s="17">
        <v>1170</v>
      </c>
      <c r="J7" s="17">
        <v>103090</v>
      </c>
      <c r="K7" s="17" t="s">
        <v>42</v>
      </c>
      <c r="L7" s="13" t="s">
        <v>17</v>
      </c>
      <c r="M7" s="12">
        <v>20.685648</v>
      </c>
      <c r="N7" s="48"/>
      <c r="O7" s="50"/>
      <c r="Q7" s="27"/>
      <c r="S7" s="27"/>
      <c r="U7" s="27"/>
    </row>
    <row r="8" spans="1:21" ht="15" customHeight="1" x14ac:dyDescent="0.25">
      <c r="A8" s="5" t="str">
        <f t="shared" ref="A8:A78" si="3">CONCATENATE($N$1,$I$1,F8,$I$1,J8)</f>
        <v>CUSTO MARKET DATA - MARÇO/26-BLOOMBERG-72574</v>
      </c>
      <c r="B8" s="6">
        <v>46082</v>
      </c>
      <c r="C8" s="7">
        <v>817393</v>
      </c>
      <c r="D8" s="5" t="s">
        <v>43</v>
      </c>
      <c r="E8" s="8">
        <f>-IF(L8="BRL",M8,IF(L8="GBP",M8*#REF!,M8*$P$1))/2</f>
        <v>-6298.1434650945012</v>
      </c>
      <c r="F8" s="5" t="str">
        <f t="shared" si="1"/>
        <v>BLOOMBERG</v>
      </c>
      <c r="G8" s="6">
        <f t="shared" si="2"/>
        <v>46082</v>
      </c>
      <c r="H8" s="16">
        <v>1170</v>
      </c>
      <c r="J8" s="18">
        <v>72574</v>
      </c>
      <c r="K8" s="18" t="s">
        <v>41</v>
      </c>
      <c r="L8" s="15" t="s">
        <v>12</v>
      </c>
      <c r="M8" s="8">
        <v>2413.3591850000003</v>
      </c>
      <c r="N8" s="47" t="s">
        <v>21</v>
      </c>
      <c r="O8" s="49"/>
      <c r="Q8" s="27"/>
      <c r="S8" s="27"/>
      <c r="U8" s="27"/>
    </row>
    <row r="9" spans="1:21" ht="15" customHeight="1" x14ac:dyDescent="0.25">
      <c r="A9" s="10" t="str">
        <f t="shared" si="3"/>
        <v>CUSTO MARKET DATA - MARÇO/26-BLOOMBERG-72574</v>
      </c>
      <c r="B9" s="24">
        <v>46082</v>
      </c>
      <c r="C9" s="11">
        <v>817393</v>
      </c>
      <c r="D9" s="10" t="s">
        <v>20</v>
      </c>
      <c r="E9" s="12">
        <f>-IF(L9="BRL",M9,IF(L9="GBP",M9*#REF!,M9*$P$1))/2</f>
        <v>-6298.1434650945012</v>
      </c>
      <c r="F9" s="10" t="str">
        <f t="shared" si="1"/>
        <v>BLOOMBERG</v>
      </c>
      <c r="G9" s="24">
        <f t="shared" si="2"/>
        <v>46082</v>
      </c>
      <c r="H9" s="17">
        <v>1170</v>
      </c>
      <c r="J9" s="17">
        <v>72574</v>
      </c>
      <c r="K9" s="17" t="s">
        <v>41</v>
      </c>
      <c r="L9" s="13" t="s">
        <v>12</v>
      </c>
      <c r="M9" s="12">
        <v>2413.3591850000003</v>
      </c>
      <c r="N9" s="48"/>
      <c r="O9" s="50"/>
      <c r="Q9" s="27"/>
      <c r="S9" s="27"/>
      <c r="U9" s="27"/>
    </row>
    <row r="10" spans="1:21" ht="15" customHeight="1" x14ac:dyDescent="0.25">
      <c r="A10" s="5" t="str">
        <f t="shared" si="3"/>
        <v>CUSTO MARKET DATA - MARÇO/26-BLOOMBERG-135064</v>
      </c>
      <c r="B10" s="6">
        <v>46082</v>
      </c>
      <c r="C10" s="7">
        <v>817393</v>
      </c>
      <c r="D10" s="5" t="s">
        <v>29</v>
      </c>
      <c r="E10" s="8">
        <f>-IF(L10="BRL",M10,IF(L10="GBP",M10*#REF!,M10*$P$1))/2</f>
        <v>-6273.8732550945006</v>
      </c>
      <c r="F10" s="5" t="str">
        <f t="shared" si="1"/>
        <v>BLOOMBERG</v>
      </c>
      <c r="G10" s="6">
        <f t="shared" si="2"/>
        <v>46082</v>
      </c>
      <c r="H10" s="16">
        <v>1170</v>
      </c>
      <c r="J10" s="18">
        <v>135064</v>
      </c>
      <c r="K10" s="18" t="s">
        <v>41</v>
      </c>
      <c r="L10" s="15" t="s">
        <v>12</v>
      </c>
      <c r="M10" s="8">
        <v>2404.0591850000001</v>
      </c>
      <c r="N10" s="47" t="s">
        <v>30</v>
      </c>
      <c r="O10" s="49"/>
      <c r="Q10" s="27"/>
      <c r="S10" s="27"/>
      <c r="U10" s="27"/>
    </row>
    <row r="11" spans="1:21" ht="15" customHeight="1" x14ac:dyDescent="0.25">
      <c r="A11" s="10" t="str">
        <f t="shared" si="3"/>
        <v>CUSTO MARKET DATA - MARÇO/26-BLOOMBERG-135064</v>
      </c>
      <c r="B11" s="24">
        <v>46082</v>
      </c>
      <c r="C11" s="11">
        <v>817393</v>
      </c>
      <c r="D11" s="10" t="s">
        <v>22</v>
      </c>
      <c r="E11" s="12">
        <f>-IF(L11="BRL",M11,IF(L11="GBP",M11*#REF!,M11*$P$1))/2</f>
        <v>-6273.8732550945006</v>
      </c>
      <c r="F11" s="10" t="str">
        <f t="shared" si="1"/>
        <v>BLOOMBERG</v>
      </c>
      <c r="G11" s="24">
        <f t="shared" si="2"/>
        <v>46082</v>
      </c>
      <c r="H11" s="17">
        <v>1170</v>
      </c>
      <c r="J11" s="17">
        <v>135064</v>
      </c>
      <c r="K11" s="17" t="s">
        <v>41</v>
      </c>
      <c r="L11" s="13" t="s">
        <v>12</v>
      </c>
      <c r="M11" s="12">
        <v>2404.0591850000001</v>
      </c>
      <c r="N11" s="48"/>
      <c r="O11" s="50"/>
      <c r="Q11" s="27"/>
      <c r="S11" s="27"/>
      <c r="U11" s="27"/>
    </row>
    <row r="12" spans="1:21" ht="15" customHeight="1" x14ac:dyDescent="0.25">
      <c r="A12" s="5" t="str">
        <f t="shared" si="3"/>
        <v>CUSTO MARKET DATA - MARÇO/26-Bloomberg-151474</v>
      </c>
      <c r="B12" s="30">
        <v>46082</v>
      </c>
      <c r="C12" s="7">
        <v>817393</v>
      </c>
      <c r="D12" s="5" t="s">
        <v>32</v>
      </c>
      <c r="E12" s="8">
        <f>-IF(L12="BRL",M12,IF(L12="GBP",M12*$R$1,IF(L12="CAD",M12*$T$1,M12*$P$1)))/12</f>
        <v>-4.3494999999999999</v>
      </c>
      <c r="F12" s="5" t="str">
        <f>K12</f>
        <v>Bloomberg</v>
      </c>
      <c r="G12" s="30">
        <f t="shared" si="2"/>
        <v>46082</v>
      </c>
      <c r="H12" s="16">
        <v>1170</v>
      </c>
      <c r="J12" s="16">
        <v>151474</v>
      </c>
      <c r="K12" s="16" t="s">
        <v>41</v>
      </c>
      <c r="L12" s="31" t="s">
        <v>12</v>
      </c>
      <c r="M12" s="8">
        <v>10</v>
      </c>
      <c r="N12" s="47" t="s">
        <v>31</v>
      </c>
      <c r="O12" s="26"/>
      <c r="Q12" s="27"/>
      <c r="S12" s="27"/>
      <c r="U12" s="27"/>
    </row>
    <row r="13" spans="1:21" ht="15" customHeight="1" x14ac:dyDescent="0.25">
      <c r="A13" s="5" t="str">
        <f>CONCATENATE($N$1,$I$1,F13,$I$1,J13)</f>
        <v>CUSTO MARKET DATA - MARÇO/26-Bloomberg-151474</v>
      </c>
      <c r="B13" s="30">
        <v>46082</v>
      </c>
      <c r="C13" s="7">
        <v>817393</v>
      </c>
      <c r="D13" s="5" t="s">
        <v>24</v>
      </c>
      <c r="E13" s="8">
        <f t="shared" ref="E13:E23" si="4">-IF(L13="BRL",M13,IF(L13="GBP",M13*$R$1,IF(L13="CAD",M13*$T$1,M13*$P$1)))/12</f>
        <v>-4.3494999999999999</v>
      </c>
      <c r="F13" s="5" t="str">
        <f t="shared" ref="F13:F23" si="5">K13</f>
        <v>Bloomberg</v>
      </c>
      <c r="G13" s="30">
        <f t="shared" si="2"/>
        <v>46082</v>
      </c>
      <c r="H13" s="16">
        <v>1170</v>
      </c>
      <c r="J13" s="16">
        <v>151474</v>
      </c>
      <c r="K13" s="16" t="s">
        <v>41</v>
      </c>
      <c r="L13" s="31" t="s">
        <v>12</v>
      </c>
      <c r="M13" s="8">
        <v>10</v>
      </c>
      <c r="N13" s="51"/>
      <c r="O13" s="26"/>
      <c r="Q13" s="27"/>
      <c r="S13" s="27"/>
      <c r="U13" s="27"/>
    </row>
    <row r="14" spans="1:21" ht="15" customHeight="1" x14ac:dyDescent="0.25">
      <c r="A14" s="5" t="str">
        <f t="shared" si="3"/>
        <v>CUSTO MARKET DATA - MARÇO/26-Bloomberg-151474</v>
      </c>
      <c r="B14" s="30">
        <v>46082</v>
      </c>
      <c r="C14" s="7">
        <v>817393</v>
      </c>
      <c r="D14" s="5" t="s">
        <v>33</v>
      </c>
      <c r="E14" s="8">
        <f t="shared" si="4"/>
        <v>-4.3494999999999999</v>
      </c>
      <c r="F14" s="5" t="str">
        <f t="shared" si="5"/>
        <v>Bloomberg</v>
      </c>
      <c r="G14" s="30">
        <f t="shared" si="2"/>
        <v>46082</v>
      </c>
      <c r="H14" s="16">
        <v>1170</v>
      </c>
      <c r="J14" s="16">
        <v>151474</v>
      </c>
      <c r="K14" s="16" t="s">
        <v>41</v>
      </c>
      <c r="L14" s="31" t="s">
        <v>12</v>
      </c>
      <c r="M14" s="8">
        <v>10</v>
      </c>
      <c r="N14" s="51"/>
      <c r="O14" s="26"/>
      <c r="Q14" s="27"/>
      <c r="S14" s="27"/>
      <c r="U14" s="27"/>
    </row>
    <row r="15" spans="1:21" ht="15" customHeight="1" x14ac:dyDescent="0.25">
      <c r="A15" s="5" t="str">
        <f t="shared" si="3"/>
        <v>CUSTO MARKET DATA - MARÇO/26-Bloomberg-151474</v>
      </c>
      <c r="B15" s="30">
        <v>46082</v>
      </c>
      <c r="C15" s="7">
        <v>817393</v>
      </c>
      <c r="D15" s="5" t="s">
        <v>34</v>
      </c>
      <c r="E15" s="8">
        <f t="shared" si="4"/>
        <v>-4.3494999999999999</v>
      </c>
      <c r="F15" s="5" t="str">
        <f t="shared" si="5"/>
        <v>Bloomberg</v>
      </c>
      <c r="G15" s="30">
        <f t="shared" si="2"/>
        <v>46082</v>
      </c>
      <c r="H15" s="16">
        <v>1170</v>
      </c>
      <c r="J15" s="16">
        <v>151474</v>
      </c>
      <c r="K15" s="16" t="s">
        <v>41</v>
      </c>
      <c r="L15" s="31" t="s">
        <v>12</v>
      </c>
      <c r="M15" s="8">
        <v>10</v>
      </c>
      <c r="N15" s="51"/>
      <c r="O15" s="26"/>
      <c r="Q15" s="27"/>
      <c r="S15" s="27"/>
      <c r="U15" s="27"/>
    </row>
    <row r="16" spans="1:21" ht="15" customHeight="1" x14ac:dyDescent="0.25">
      <c r="A16" s="5" t="str">
        <f t="shared" si="3"/>
        <v>CUSTO MARKET DATA - MARÇO/26-Bloomberg-151474</v>
      </c>
      <c r="B16" s="30">
        <v>46082</v>
      </c>
      <c r="C16" s="7">
        <v>817393</v>
      </c>
      <c r="D16" s="5" t="s">
        <v>15</v>
      </c>
      <c r="E16" s="8">
        <f t="shared" si="4"/>
        <v>-4.3494999999999999</v>
      </c>
      <c r="F16" s="5" t="str">
        <f t="shared" si="5"/>
        <v>Bloomberg</v>
      </c>
      <c r="G16" s="30">
        <f t="shared" si="2"/>
        <v>46082</v>
      </c>
      <c r="H16" s="16">
        <v>1170</v>
      </c>
      <c r="J16" s="16">
        <v>151474</v>
      </c>
      <c r="K16" s="16" t="s">
        <v>41</v>
      </c>
      <c r="L16" s="31" t="s">
        <v>12</v>
      </c>
      <c r="M16" s="8">
        <v>10</v>
      </c>
      <c r="N16" s="51"/>
      <c r="O16" s="26"/>
      <c r="Q16" s="27"/>
      <c r="S16" s="27"/>
      <c r="U16" s="27"/>
    </row>
    <row r="17" spans="1:21" ht="15" customHeight="1" x14ac:dyDescent="0.25">
      <c r="A17" s="5" t="str">
        <f t="shared" si="3"/>
        <v>CUSTO MARKET DATA - MARÇO/26-Bloomberg-151474</v>
      </c>
      <c r="B17" s="30">
        <v>46082</v>
      </c>
      <c r="C17" s="7">
        <v>817393</v>
      </c>
      <c r="D17" s="5" t="s">
        <v>27</v>
      </c>
      <c r="E17" s="8">
        <f t="shared" si="4"/>
        <v>-4.3494999999999999</v>
      </c>
      <c r="F17" s="5" t="str">
        <f t="shared" si="5"/>
        <v>Bloomberg</v>
      </c>
      <c r="G17" s="30">
        <f t="shared" si="2"/>
        <v>46082</v>
      </c>
      <c r="H17" s="16">
        <v>1170</v>
      </c>
      <c r="J17" s="16">
        <v>151474</v>
      </c>
      <c r="K17" s="16" t="s">
        <v>41</v>
      </c>
      <c r="L17" s="31" t="s">
        <v>12</v>
      </c>
      <c r="M17" s="8">
        <v>10</v>
      </c>
      <c r="N17" s="51"/>
      <c r="O17" s="26"/>
      <c r="Q17" s="27"/>
      <c r="S17" s="27"/>
      <c r="U17" s="27"/>
    </row>
    <row r="18" spans="1:21" ht="15" customHeight="1" x14ac:dyDescent="0.25">
      <c r="A18" s="5" t="str">
        <f t="shared" si="3"/>
        <v>CUSTO MARKET DATA - MARÇO/26-Bloomberg-151474</v>
      </c>
      <c r="B18" s="30">
        <v>46082</v>
      </c>
      <c r="C18" s="7">
        <v>817393</v>
      </c>
      <c r="D18" s="5" t="s">
        <v>28</v>
      </c>
      <c r="E18" s="8">
        <f t="shared" si="4"/>
        <v>-4.3494999999999999</v>
      </c>
      <c r="F18" s="5" t="str">
        <f t="shared" si="5"/>
        <v>Bloomberg</v>
      </c>
      <c r="G18" s="30">
        <f t="shared" si="2"/>
        <v>46082</v>
      </c>
      <c r="H18" s="16">
        <v>1170</v>
      </c>
      <c r="J18" s="16">
        <v>151474</v>
      </c>
      <c r="K18" s="16" t="s">
        <v>41</v>
      </c>
      <c r="L18" s="31" t="s">
        <v>12</v>
      </c>
      <c r="M18" s="8">
        <v>10</v>
      </c>
      <c r="N18" s="51"/>
      <c r="O18" s="26"/>
      <c r="Q18" s="27"/>
      <c r="S18" s="27"/>
      <c r="U18" s="27"/>
    </row>
    <row r="19" spans="1:21" ht="15" customHeight="1" x14ac:dyDescent="0.25">
      <c r="A19" s="5" t="str">
        <f t="shared" si="3"/>
        <v>CUSTO MARKET DATA - MARÇO/26-Bloomberg-151474</v>
      </c>
      <c r="B19" s="30">
        <v>46082</v>
      </c>
      <c r="C19" s="7">
        <v>817393</v>
      </c>
      <c r="D19" s="5" t="s">
        <v>35</v>
      </c>
      <c r="E19" s="8">
        <f t="shared" si="4"/>
        <v>-4.3494999999999999</v>
      </c>
      <c r="F19" s="5" t="str">
        <f t="shared" si="5"/>
        <v>Bloomberg</v>
      </c>
      <c r="G19" s="30">
        <f t="shared" si="2"/>
        <v>46082</v>
      </c>
      <c r="H19" s="16">
        <v>1170</v>
      </c>
      <c r="J19" s="16">
        <v>151474</v>
      </c>
      <c r="K19" s="16" t="s">
        <v>41</v>
      </c>
      <c r="L19" s="31" t="s">
        <v>12</v>
      </c>
      <c r="M19" s="8">
        <v>10</v>
      </c>
      <c r="N19" s="51"/>
      <c r="O19" s="26"/>
      <c r="Q19" s="27"/>
      <c r="S19" s="27"/>
      <c r="U19" s="27"/>
    </row>
    <row r="20" spans="1:21" ht="15" customHeight="1" x14ac:dyDescent="0.25">
      <c r="A20" s="5" t="str">
        <f t="shared" si="3"/>
        <v>CUSTO MARKET DATA - MARÇO/26-Bloomberg-151474</v>
      </c>
      <c r="B20" s="30">
        <v>46082</v>
      </c>
      <c r="C20" s="7">
        <v>817393</v>
      </c>
      <c r="D20" s="5" t="s">
        <v>20</v>
      </c>
      <c r="E20" s="8">
        <f t="shared" si="4"/>
        <v>-4.3494999999999999</v>
      </c>
      <c r="F20" s="5" t="str">
        <f t="shared" si="5"/>
        <v>Bloomberg</v>
      </c>
      <c r="G20" s="30">
        <f t="shared" si="2"/>
        <v>46082</v>
      </c>
      <c r="H20" s="16">
        <v>1170</v>
      </c>
      <c r="J20" s="16">
        <v>151474</v>
      </c>
      <c r="K20" s="16" t="s">
        <v>41</v>
      </c>
      <c r="L20" s="31" t="s">
        <v>12</v>
      </c>
      <c r="M20" s="8">
        <v>10</v>
      </c>
      <c r="N20" s="51"/>
      <c r="O20" s="26"/>
      <c r="Q20" s="27"/>
      <c r="S20" s="27"/>
      <c r="U20" s="27"/>
    </row>
    <row r="21" spans="1:21" ht="15" customHeight="1" x14ac:dyDescent="0.25">
      <c r="A21" s="5" t="str">
        <f t="shared" si="3"/>
        <v>CUSTO MARKET DATA - MARÇO/26-Bloomberg-151474</v>
      </c>
      <c r="B21" s="30">
        <v>46082</v>
      </c>
      <c r="C21" s="7">
        <v>817393</v>
      </c>
      <c r="D21" s="5" t="s">
        <v>43</v>
      </c>
      <c r="E21" s="8">
        <f t="shared" si="4"/>
        <v>-4.3494999999999999</v>
      </c>
      <c r="F21" s="5" t="str">
        <f t="shared" si="5"/>
        <v>Bloomberg</v>
      </c>
      <c r="G21" s="30">
        <f t="shared" si="2"/>
        <v>46082</v>
      </c>
      <c r="H21" s="16">
        <v>1170</v>
      </c>
      <c r="J21" s="16">
        <v>151474</v>
      </c>
      <c r="K21" s="16" t="s">
        <v>41</v>
      </c>
      <c r="L21" s="31" t="s">
        <v>12</v>
      </c>
      <c r="M21" s="8">
        <v>10</v>
      </c>
      <c r="N21" s="51"/>
      <c r="O21" s="26"/>
      <c r="Q21" s="27"/>
      <c r="S21" s="27"/>
      <c r="U21" s="27"/>
    </row>
    <row r="22" spans="1:21" ht="15" customHeight="1" x14ac:dyDescent="0.25">
      <c r="A22" s="5" t="str">
        <f t="shared" si="3"/>
        <v>CUSTO MARKET DATA - MARÇO/26-Bloomberg-151474</v>
      </c>
      <c r="B22" s="30">
        <v>46082</v>
      </c>
      <c r="C22" s="7">
        <v>817393</v>
      </c>
      <c r="D22" s="5" t="s">
        <v>36</v>
      </c>
      <c r="E22" s="8">
        <f t="shared" si="4"/>
        <v>-4.3494999999999999</v>
      </c>
      <c r="F22" s="5" t="str">
        <f t="shared" si="5"/>
        <v>Bloomberg</v>
      </c>
      <c r="G22" s="30">
        <f t="shared" si="2"/>
        <v>46082</v>
      </c>
      <c r="H22" s="16">
        <v>1170</v>
      </c>
      <c r="J22" s="16">
        <v>151474</v>
      </c>
      <c r="K22" s="16" t="s">
        <v>41</v>
      </c>
      <c r="L22" s="31" t="s">
        <v>12</v>
      </c>
      <c r="M22" s="8">
        <v>10</v>
      </c>
      <c r="N22" s="51"/>
      <c r="O22" s="26"/>
      <c r="Q22" s="27"/>
      <c r="S22" s="27"/>
      <c r="U22" s="27"/>
    </row>
    <row r="23" spans="1:21" ht="15" customHeight="1" x14ac:dyDescent="0.25">
      <c r="A23" s="10" t="str">
        <f t="shared" si="3"/>
        <v>CUSTO MARKET DATA - MARÇO/26-Bloomberg-151474</v>
      </c>
      <c r="B23" s="24">
        <v>46082</v>
      </c>
      <c r="C23" s="11">
        <v>817393</v>
      </c>
      <c r="D23" s="10" t="s">
        <v>37</v>
      </c>
      <c r="E23" s="12">
        <f t="shared" si="4"/>
        <v>-4.3494999999999999</v>
      </c>
      <c r="F23" s="10" t="str">
        <f t="shared" si="5"/>
        <v>Bloomberg</v>
      </c>
      <c r="G23" s="24">
        <f t="shared" si="2"/>
        <v>46082</v>
      </c>
      <c r="H23" s="17">
        <v>1170</v>
      </c>
      <c r="J23" s="17">
        <v>151474</v>
      </c>
      <c r="K23" s="17" t="s">
        <v>41</v>
      </c>
      <c r="L23" s="13" t="s">
        <v>12</v>
      </c>
      <c r="M23" s="12">
        <v>10</v>
      </c>
      <c r="N23" s="48"/>
      <c r="Q23" s="27"/>
      <c r="S23" s="27"/>
      <c r="U23" s="27"/>
    </row>
    <row r="24" spans="1:21" ht="15" customHeight="1" x14ac:dyDescent="0.25">
      <c r="A24" s="10" t="str">
        <f t="shared" si="3"/>
        <v>CUSTO MARKET DATA - MARÇO/26-BLOOMBERG-133472</v>
      </c>
      <c r="B24" s="24">
        <v>46082</v>
      </c>
      <c r="C24" s="11">
        <v>817393</v>
      </c>
      <c r="D24" s="10" t="s">
        <v>38</v>
      </c>
      <c r="E24" s="12">
        <f>-IF(L24="BRL",M24,IF(L24="GBP",M24*$R$1,IF(L24="CAD",M24*$T$1,M24*$P$1)))</f>
        <v>-52.194000000000003</v>
      </c>
      <c r="F24" s="10" t="str">
        <f>UPPER(K24)</f>
        <v>BLOOMBERG</v>
      </c>
      <c r="G24" s="24">
        <f t="shared" si="2"/>
        <v>46082</v>
      </c>
      <c r="H24" s="17">
        <v>1170</v>
      </c>
      <c r="J24" s="17">
        <v>133472</v>
      </c>
      <c r="K24" s="17" t="s">
        <v>41</v>
      </c>
      <c r="L24" s="13" t="s">
        <v>12</v>
      </c>
      <c r="M24" s="12">
        <v>10</v>
      </c>
      <c r="N24" s="40" t="s">
        <v>39</v>
      </c>
      <c r="Q24" s="27"/>
      <c r="S24" s="27"/>
      <c r="U24" s="27"/>
    </row>
    <row r="25" spans="1:21" ht="15" customHeight="1" x14ac:dyDescent="0.25">
      <c r="A25" s="9" t="str">
        <f t="shared" si="3"/>
        <v>CUSTO MARKET DATA - MARÇO/26-BLOOMBERG-22361</v>
      </c>
      <c r="B25" s="20">
        <v>46082</v>
      </c>
      <c r="C25" s="21">
        <v>817393</v>
      </c>
      <c r="D25" s="9" t="str">
        <f>IF(J25=57036,"ALEXANDRE DA COSTA SOARES",IF(J25=24157,"JOSE MAURICIO GOMES TEIXEIRA",IF(J25=24203,"JOSE MAURICIO GOMES TEIXEIRA",IF(J25=24149,"CHRISTIANO MARCONDES DE BARROS LIMA",IF(J25=24137,"CHRISTIANO MARCONDES DE BARROS LIMA",IF(J25=135152,"ENRICO BORTPLUZO CASSIANO",IF(J25=136568,"ENRICO BORTPLUZO CASSIANO", IF(J25=130976,"MARYLIA CARVALHO PONCE",IF(J25=136668,"ALEXANDRE DA COSTA SOARES",IF(J25=52340,"OFFSHORE LISTED",IF(J25=158778,"CLAUDIO DE SOUZA PACINI",IF(J25=159800,"CLAUDIO DE SOUZA PACINI",_xlfn.XLOOKUP(J25,[1]!Tabela33[ID ORACLE],[1]!Tabela33[BROKER],0,0,1)))))))))))))</f>
        <v>DANIEL TEIXEIRA SIQUEIRA GONÇALVES</v>
      </c>
      <c r="E25" s="22">
        <f>-IF(L25="BRL",M25,IF(L25="GBP",M25*$R$1,IF(L25="CAD",M25*$T$1,M25*$P$1)))</f>
        <v>152.19770400000013</v>
      </c>
      <c r="F25" s="9" t="str">
        <f>IF(UPPER(K25)="Valor Analytics LLC","VALOR",UPPER(K25))</f>
        <v>BLOOMBERG</v>
      </c>
      <c r="G25" s="20">
        <f t="shared" si="2"/>
        <v>46082</v>
      </c>
      <c r="H25" s="23">
        <v>1170</v>
      </c>
      <c r="J25" s="41">
        <v>22361</v>
      </c>
      <c r="K25" s="1" t="s">
        <v>41</v>
      </c>
      <c r="L25" s="1" t="s">
        <v>12</v>
      </c>
      <c r="M25" s="29">
        <v>-29.160000000000025</v>
      </c>
      <c r="N25" s="2"/>
      <c r="Q25" s="27"/>
      <c r="S25" s="27"/>
      <c r="U25" s="27"/>
    </row>
    <row r="26" spans="1:21" ht="15" hidden="1" customHeight="1" x14ac:dyDescent="0.25">
      <c r="A26" s="9" t="str">
        <f t="shared" si="3"/>
        <v>CUSTO MARKET DATA - MARÇO/26-REFINITIV-105071</v>
      </c>
      <c r="B26" s="20">
        <v>46082</v>
      </c>
      <c r="C26" s="21">
        <v>817393</v>
      </c>
      <c r="D26" s="9" t="str">
        <f>IF(J26=57036,"ALEXANDRE DA COSTA SOARES",IF(J26=24157,"JOSE MAURICIO GOMES TEIXEIRA",IF(J26=24203,"JOSE MAURICIO GOMES TEIXEIRA",IF(J26=24149,"CHRISTIANO MARCONDES DE BARROS LIMA",IF(J26=24137,"CHRISTIANO MARCONDES DE BARROS LIMA",IF(J26=135152,"ENRICO BORTPLUZO CASSIANO",IF(J26=136568,"ENRICO BORTPLUZO CASSIANO", IF(J26=130976,"MARYLIA CARVALHO PONCE",IF(J26=136668,"ALEXANDRE DA COSTA SOARES",IF(J26=52340,"OFFSHORE LISTED",IF(J26=158778,"CLAUDIO DE SOUZA PACINI",IF(J26=159800,"CLAUDIO DE SOUZA PACINI",_xlfn.XLOOKUP(J26,[1]!Tabela33[ID ORACLE],[1]!Tabela33[BROKER],0,0,1)))))))))))))</f>
        <v>RODRIGO MOURA MARQUES</v>
      </c>
      <c r="E26" s="22">
        <f t="shared" ref="E26:E89" si="6">-IF(L26="BRL",M26,IF(L26="GBP",M26*$R$1,IF(L26="CAD",M26*$T$1,M26*$P$1)))</f>
        <v>-142.3544924064</v>
      </c>
      <c r="F26" s="9" t="str">
        <f t="shared" ref="F26:F89" si="7">IF(UPPER(K26)="Valor Analytics LLC","VALOR",UPPER(K26))</f>
        <v>REFINITIV</v>
      </c>
      <c r="G26" s="20">
        <f t="shared" si="2"/>
        <v>46082</v>
      </c>
      <c r="H26" s="23">
        <v>1170</v>
      </c>
      <c r="J26" s="41">
        <v>105071</v>
      </c>
      <c r="K26" s="1" t="s">
        <v>42</v>
      </c>
      <c r="L26" s="1" t="s">
        <v>17</v>
      </c>
      <c r="M26" s="29">
        <v>20.685648</v>
      </c>
      <c r="N26" s="2"/>
      <c r="Q26" s="27"/>
      <c r="S26" s="27"/>
      <c r="U26" s="27"/>
    </row>
    <row r="27" spans="1:21" ht="15" customHeight="1" x14ac:dyDescent="0.25">
      <c r="A27" s="9" t="str">
        <f t="shared" si="3"/>
        <v>CUSTO MARKET DATA - MARÇO/26-BLOOMBERG-106970</v>
      </c>
      <c r="B27" s="20">
        <v>46082</v>
      </c>
      <c r="C27" s="21">
        <v>817393</v>
      </c>
      <c r="D27" s="9" t="str">
        <f>IF(J27=57036,"ALEXANDRE DA COSTA SOARES",IF(J27=24157,"JOSE MAURICIO GOMES TEIXEIRA",IF(J27=24203,"JOSE MAURICIO GOMES TEIXEIRA",IF(J27=24149,"CHRISTIANO MARCONDES DE BARROS LIMA",IF(J27=24137,"CHRISTIANO MARCONDES DE BARROS LIMA",IF(J27=135152,"ENRICO BORTPLUZO CASSIANO",IF(J27=136568,"ENRICO BORTPLUZO CASSIANO", IF(J27=130976,"MARYLIA CARVALHO PONCE",IF(J27=136668,"ALEXANDRE DA COSTA SOARES",IF(J27=52340,"OFFSHORE LISTED",IF(J27=158778,"CLAUDIO DE SOUZA PACINI",IF(J27=159800,"CLAUDIO DE SOUZA PACINI",_xlfn.XLOOKUP(J27,[1]!Tabela33[ID ORACLE],[1]!Tabela33[BROKER],0,0,1)))))))))))))</f>
        <v>CESAR MARIANO SCARAMBONE MENEZES</v>
      </c>
      <c r="E27" s="22">
        <f t="shared" si="6"/>
        <v>-12388.554810189002</v>
      </c>
      <c r="F27" s="9" t="str">
        <f t="shared" si="7"/>
        <v>BLOOMBERG</v>
      </c>
      <c r="G27" s="20">
        <f t="shared" si="2"/>
        <v>46082</v>
      </c>
      <c r="H27" s="23">
        <v>1170</v>
      </c>
      <c r="J27" s="41">
        <v>106970</v>
      </c>
      <c r="K27" s="1" t="s">
        <v>41</v>
      </c>
      <c r="L27" s="1" t="s">
        <v>12</v>
      </c>
      <c r="M27" s="29">
        <v>2373.5591850000001</v>
      </c>
      <c r="N27" s="2"/>
      <c r="Q27" s="27"/>
      <c r="S27" s="27"/>
      <c r="U27" s="27"/>
    </row>
    <row r="28" spans="1:21" ht="15" hidden="1" customHeight="1" x14ac:dyDescent="0.25">
      <c r="A28" s="9" t="str">
        <f t="shared" si="3"/>
        <v>CUSTO MARKET DATA - MARÇO/26-REFINITIV-106970</v>
      </c>
      <c r="B28" s="20">
        <v>46082</v>
      </c>
      <c r="C28" s="21">
        <v>817393</v>
      </c>
      <c r="D28" s="9" t="str">
        <f>IF(J28=57036,"ALEXANDRE DA COSTA SOARES",IF(J28=24157,"JOSE MAURICIO GOMES TEIXEIRA",IF(J28=24203,"JOSE MAURICIO GOMES TEIXEIRA",IF(J28=24149,"CHRISTIANO MARCONDES DE BARROS LIMA",IF(J28=24137,"CHRISTIANO MARCONDES DE BARROS LIMA",IF(J28=135152,"ENRICO BORTPLUZO CASSIANO",IF(J28=136568,"ENRICO BORTPLUZO CASSIANO", IF(J28=130976,"MARYLIA CARVALHO PONCE",IF(J28=136668,"ALEXANDRE DA COSTA SOARES",IF(J28=52340,"OFFSHORE LISTED",IF(J28=158778,"CLAUDIO DE SOUZA PACINI",IF(J28=159800,"CLAUDIO DE SOUZA PACINI",_xlfn.XLOOKUP(J28,[1]!Tabela33[ID ORACLE],[1]!Tabela33[BROKER],0,0,1)))))))))))))</f>
        <v>CESAR MARIANO SCARAMBONE MENEZES</v>
      </c>
      <c r="E28" s="22">
        <f t="shared" si="6"/>
        <v>-142.3544924064</v>
      </c>
      <c r="F28" s="9" t="str">
        <f t="shared" si="7"/>
        <v>REFINITIV</v>
      </c>
      <c r="G28" s="20">
        <f t="shared" si="2"/>
        <v>46082</v>
      </c>
      <c r="H28" s="23">
        <v>1170</v>
      </c>
      <c r="J28" s="41">
        <v>106970</v>
      </c>
      <c r="K28" s="1" t="s">
        <v>42</v>
      </c>
      <c r="L28" s="1" t="s">
        <v>17</v>
      </c>
      <c r="M28" s="29">
        <v>20.685648</v>
      </c>
      <c r="N28" s="2"/>
      <c r="Q28" s="27"/>
      <c r="S28" s="27"/>
      <c r="U28" s="27"/>
    </row>
    <row r="29" spans="1:21" ht="15" hidden="1" customHeight="1" x14ac:dyDescent="0.25">
      <c r="A29" s="9" t="str">
        <f t="shared" si="3"/>
        <v>CUSTO MARKET DATA - MARÇO/26-REFINITIV-108911</v>
      </c>
      <c r="B29" s="20">
        <v>46082</v>
      </c>
      <c r="C29" s="21">
        <v>817393</v>
      </c>
      <c r="D29" s="9" t="str">
        <f>IF(J29=57036,"ALEXANDRE DA COSTA SOARES",IF(J29=24157,"JOSE MAURICIO GOMES TEIXEIRA",IF(J29=24203,"JOSE MAURICIO GOMES TEIXEIRA",IF(J29=24149,"CHRISTIANO MARCONDES DE BARROS LIMA",IF(J29=24137,"CHRISTIANO MARCONDES DE BARROS LIMA",IF(J29=135152,"ENRICO BORTPLUZO CASSIANO",IF(J29=136568,"ENRICO BORTPLUZO CASSIANO", IF(J29=130976,"MARYLIA CARVALHO PONCE",IF(J29=136668,"ALEXANDRE DA COSTA SOARES",IF(J29=52340,"OFFSHORE LISTED",IF(J29=158778,"CLAUDIO DE SOUZA PACINI",IF(J29=159800,"CLAUDIO DE SOUZA PACINI",_xlfn.XLOOKUP(J29,[1]!Tabela33[ID ORACLE],[1]!Tabela33[BROKER],0,0,1)))))))))))))</f>
        <v>ALI MOHAMAD KANSAOU</v>
      </c>
      <c r="E29" s="22">
        <f t="shared" si="6"/>
        <v>-142.3544924064</v>
      </c>
      <c r="F29" s="9" t="str">
        <f t="shared" si="7"/>
        <v>REFINITIV</v>
      </c>
      <c r="G29" s="20">
        <f t="shared" si="2"/>
        <v>46082</v>
      </c>
      <c r="H29" s="23">
        <v>1170</v>
      </c>
      <c r="J29" s="41">
        <v>108911</v>
      </c>
      <c r="K29" s="1" t="s">
        <v>42</v>
      </c>
      <c r="L29" s="1" t="s">
        <v>17</v>
      </c>
      <c r="M29" s="29">
        <v>20.685648</v>
      </c>
      <c r="N29" s="2"/>
      <c r="Q29" s="27"/>
      <c r="S29" s="27"/>
      <c r="U29" s="27"/>
    </row>
    <row r="30" spans="1:21" ht="15" customHeight="1" x14ac:dyDescent="0.25">
      <c r="A30" s="9" t="str">
        <f t="shared" si="3"/>
        <v>CUSTO MARKET DATA - MARÇO/26-BLOOMBERG-61086</v>
      </c>
      <c r="B30" s="20">
        <v>46082</v>
      </c>
      <c r="C30" s="21">
        <v>817393</v>
      </c>
      <c r="D30" s="9" t="str">
        <f>IF(J30=57036,"ALEXANDRE DA COSTA SOARES",IF(J30=24157,"JOSE MAURICIO GOMES TEIXEIRA",IF(J30=24203,"JOSE MAURICIO GOMES TEIXEIRA",IF(J30=24149,"CHRISTIANO MARCONDES DE BARROS LIMA",IF(J30=24137,"CHRISTIANO MARCONDES DE BARROS LIMA",IF(J30=135152,"ENRICO BORTPLUZO CASSIANO",IF(J30=136568,"ENRICO BORTPLUZO CASSIANO", IF(J30=130976,"MARYLIA CARVALHO PONCE",IF(J30=136668,"ALEXANDRE DA COSTA SOARES",IF(J30=52340,"OFFSHORE LISTED",IF(J30=158778,"CLAUDIO DE SOUZA PACINI",IF(J30=159800,"CLAUDIO DE SOUZA PACINI",_xlfn.XLOOKUP(J30,[1]!Tabela33[ID ORACLE],[1]!Tabela33[BROKER],0,0,1)))))))))))))</f>
        <v>ALEXANDRE DA COSTA SOARES</v>
      </c>
      <c r="E30" s="22">
        <f t="shared" si="6"/>
        <v>-92.905320000000003</v>
      </c>
      <c r="F30" s="9" t="str">
        <f t="shared" si="7"/>
        <v>BLOOMBERG</v>
      </c>
      <c r="G30" s="20">
        <f t="shared" si="2"/>
        <v>46082</v>
      </c>
      <c r="H30" s="23">
        <v>1170</v>
      </c>
      <c r="J30" s="41">
        <v>61086</v>
      </c>
      <c r="K30" s="1" t="s">
        <v>41</v>
      </c>
      <c r="L30" s="1" t="s">
        <v>12</v>
      </c>
      <c r="M30" s="29">
        <v>17.8</v>
      </c>
      <c r="N30" s="2"/>
      <c r="Q30" s="27"/>
      <c r="S30" s="27"/>
      <c r="U30" s="27"/>
    </row>
    <row r="31" spans="1:21" ht="15" hidden="1" customHeight="1" x14ac:dyDescent="0.25">
      <c r="A31" s="9" t="str">
        <f t="shared" si="3"/>
        <v>CUSTO MARKET DATA - MARÇO/26-OPTIONS PRICE REPORTING AUTHORITY (OPRA)-111439</v>
      </c>
      <c r="B31" s="20">
        <v>46082</v>
      </c>
      <c r="C31" s="21">
        <v>817393</v>
      </c>
      <c r="D31" s="9" t="str">
        <f>IF(J31=57036,"ALEXANDRE DA COSTA SOARES",IF(J31=24157,"JOSE MAURICIO GOMES TEIXEIRA",IF(J31=24203,"JOSE MAURICIO GOMES TEIXEIRA",IF(J31=24149,"CHRISTIANO MARCONDES DE BARROS LIMA",IF(J31=24137,"CHRISTIANO MARCONDES DE BARROS LIMA",IF(J31=135152,"ENRICO BORTPLUZO CASSIANO",IF(J31=136568,"ENRICO BORTPLUZO CASSIANO", IF(J31=130976,"MARYLIA CARVALHO PONCE",IF(J31=136668,"ALEXANDRE DA COSTA SOARES",IF(J31=52340,"OFFSHORE LISTED",IF(J31=158778,"CLAUDIO DE SOUZA PACINI",IF(J31=159800,"CLAUDIO DE SOUZA PACINI",_xlfn.XLOOKUP(J31,[1]!Tabela33[ID ORACLE],[1]!Tabela33[BROKER],0,0,1)))))))))))))</f>
        <v>GUSTAVO BURMAS CARVALHO</v>
      </c>
      <c r="E31" s="22">
        <f t="shared" si="6"/>
        <v>-164.4111</v>
      </c>
      <c r="F31" s="9" t="str">
        <f t="shared" si="7"/>
        <v>OPTIONS PRICE REPORTING AUTHORITY (OPRA)</v>
      </c>
      <c r="G31" s="20">
        <f t="shared" si="2"/>
        <v>46082</v>
      </c>
      <c r="H31" s="23">
        <v>1170</v>
      </c>
      <c r="J31" s="41">
        <v>111439</v>
      </c>
      <c r="K31" s="1" t="s">
        <v>45</v>
      </c>
      <c r="L31" s="1" t="s">
        <v>12</v>
      </c>
      <c r="M31" s="29">
        <v>31.5</v>
      </c>
      <c r="N31" s="2"/>
      <c r="Q31" s="27"/>
      <c r="S31" s="27"/>
      <c r="U31" s="27"/>
    </row>
    <row r="32" spans="1:21" ht="15" hidden="1" customHeight="1" x14ac:dyDescent="0.25">
      <c r="A32" s="9" t="str">
        <f t="shared" si="3"/>
        <v>CUSTO MARKET DATA - MARÇO/26-REFINITIV-111439</v>
      </c>
      <c r="B32" s="20">
        <v>46082</v>
      </c>
      <c r="C32" s="21">
        <v>817393</v>
      </c>
      <c r="D32" s="9" t="str">
        <f>IF(J32=57036,"ALEXANDRE DA COSTA SOARES",IF(J32=24157,"JOSE MAURICIO GOMES TEIXEIRA",IF(J32=24203,"JOSE MAURICIO GOMES TEIXEIRA",IF(J32=24149,"CHRISTIANO MARCONDES DE BARROS LIMA",IF(J32=24137,"CHRISTIANO MARCONDES DE BARROS LIMA",IF(J32=135152,"ENRICO BORTPLUZO CASSIANO",IF(J32=136568,"ENRICO BORTPLUZO CASSIANO", IF(J32=130976,"MARYLIA CARVALHO PONCE",IF(J32=136668,"ALEXANDRE DA COSTA SOARES",IF(J32=52340,"OFFSHORE LISTED",IF(J32=158778,"CLAUDIO DE SOUZA PACINI",IF(J32=159800,"CLAUDIO DE SOUZA PACINI",_xlfn.XLOOKUP(J32,[1]!Tabela33[ID ORACLE],[1]!Tabela33[BROKER],0,0,1)))))))))))))</f>
        <v>GUSTAVO BURMAS CARVALHO</v>
      </c>
      <c r="E32" s="22">
        <f t="shared" si="6"/>
        <v>-142.3544924064</v>
      </c>
      <c r="F32" s="9" t="str">
        <f t="shared" si="7"/>
        <v>REFINITIV</v>
      </c>
      <c r="G32" s="20">
        <f t="shared" si="2"/>
        <v>46082</v>
      </c>
      <c r="H32" s="23">
        <v>1170</v>
      </c>
      <c r="J32" s="41">
        <v>111439</v>
      </c>
      <c r="K32" s="1" t="s">
        <v>42</v>
      </c>
      <c r="L32" s="1" t="s">
        <v>17</v>
      </c>
      <c r="M32" s="29">
        <v>20.685648</v>
      </c>
      <c r="N32" s="2"/>
      <c r="Q32" s="27"/>
      <c r="S32" s="27"/>
      <c r="U32" s="27"/>
    </row>
    <row r="33" spans="1:78" ht="15" customHeight="1" x14ac:dyDescent="0.25">
      <c r="A33" s="9" t="str">
        <f t="shared" si="3"/>
        <v>CUSTO MARKET DATA - MARÇO/26-BLOOMBERG-113487</v>
      </c>
      <c r="B33" s="20">
        <v>46082</v>
      </c>
      <c r="C33" s="21">
        <v>817393</v>
      </c>
      <c r="D33" s="9" t="str">
        <f>IF(J33=57036,"ALEXANDRE DA COSTA SOARES",IF(J33=24157,"JOSE MAURICIO GOMES TEIXEIRA",IF(J33=24203,"JOSE MAURICIO GOMES TEIXEIRA",IF(J33=24149,"CHRISTIANO MARCONDES DE BARROS LIMA",IF(J33=24137,"CHRISTIANO MARCONDES DE BARROS LIMA",IF(J33=135152,"ENRICO BORTPLUZO CASSIANO",IF(J33=136568,"ENRICO BORTPLUZO CASSIANO", IF(J33=130976,"MARYLIA CARVALHO PONCE",IF(J33=136668,"ALEXANDRE DA COSTA SOARES",IF(J33=52340,"OFFSHORE LISTED",IF(J33=158778,"CLAUDIO DE SOUZA PACINI",IF(J33=159800,"CLAUDIO DE SOUZA PACINI",_xlfn.XLOOKUP(J33,[1]!Tabela33[ID ORACLE],[1]!Tabela33[BROKER],0,0,1)))))))))))))</f>
        <v>MARYLIA CARVALHO PONCE</v>
      </c>
      <c r="E33" s="22">
        <f t="shared" si="6"/>
        <v>-12388.554810189002</v>
      </c>
      <c r="F33" s="9" t="str">
        <f t="shared" si="7"/>
        <v>BLOOMBERG</v>
      </c>
      <c r="G33" s="20">
        <f t="shared" si="2"/>
        <v>46082</v>
      </c>
      <c r="H33" s="23">
        <v>1170</v>
      </c>
      <c r="J33" s="41">
        <v>113487</v>
      </c>
      <c r="K33" s="1" t="s">
        <v>41</v>
      </c>
      <c r="L33" s="1" t="s">
        <v>12</v>
      </c>
      <c r="M33" s="29">
        <v>2373.5591850000001</v>
      </c>
      <c r="N33" s="2"/>
      <c r="Q33" s="27"/>
      <c r="S33" s="27"/>
      <c r="T33" s="27"/>
      <c r="U33" s="27"/>
    </row>
    <row r="34" spans="1:78" customFormat="1" ht="15" hidden="1" customHeight="1" x14ac:dyDescent="0.25">
      <c r="A34" s="9" t="str">
        <f t="shared" si="3"/>
        <v>CUSTO MARKET DATA - MARÇO/26-REFINITIV-113487</v>
      </c>
      <c r="B34" s="20">
        <v>46082</v>
      </c>
      <c r="C34" s="21">
        <v>817393</v>
      </c>
      <c r="D34" s="9" t="str">
        <f>IF(J34=57036,"ALEXANDRE DA COSTA SOARES",IF(J34=24157,"JOSE MAURICIO GOMES TEIXEIRA",IF(J34=24203,"JOSE MAURICIO GOMES TEIXEIRA",IF(J34=24149,"CHRISTIANO MARCONDES DE BARROS LIMA",IF(J34=24137,"CHRISTIANO MARCONDES DE BARROS LIMA",IF(J34=135152,"ENRICO BORTPLUZO CASSIANO",IF(J34=136568,"ENRICO BORTPLUZO CASSIANO", IF(J34=130976,"MARYLIA CARVALHO PONCE",IF(J34=136668,"ALEXANDRE DA COSTA SOARES",IF(J34=52340,"OFFSHORE LISTED",IF(J34=158778,"CLAUDIO DE SOUZA PACINI",IF(J34=159800,"CLAUDIO DE SOUZA PACINI",_xlfn.XLOOKUP(J34,[1]!Tabela33[ID ORACLE],[1]!Tabela33[BROKER],0,0,1)))))))))))))</f>
        <v>MARYLIA CARVALHO PONCE</v>
      </c>
      <c r="E34" s="22">
        <f t="shared" si="6"/>
        <v>-142.3544924064</v>
      </c>
      <c r="F34" s="9" t="str">
        <f t="shared" si="7"/>
        <v>REFINITIV</v>
      </c>
      <c r="G34" s="20">
        <f t="shared" si="2"/>
        <v>46082</v>
      </c>
      <c r="H34" s="23">
        <v>1170</v>
      </c>
      <c r="J34" s="41">
        <v>113487</v>
      </c>
      <c r="K34" s="1" t="s">
        <v>42</v>
      </c>
      <c r="L34" s="1" t="s">
        <v>17</v>
      </c>
      <c r="M34" s="29">
        <v>20.685648</v>
      </c>
      <c r="N34" s="2"/>
      <c r="O34" s="1"/>
      <c r="P34" s="26"/>
      <c r="Q34" s="27"/>
      <c r="R34" s="26"/>
      <c r="S34" s="27"/>
      <c r="T34" s="26"/>
      <c r="U34" s="27"/>
    </row>
    <row r="35" spans="1:78" customFormat="1" ht="15" hidden="1" customHeight="1" x14ac:dyDescent="0.25">
      <c r="A35" s="9" t="str">
        <f t="shared" si="3"/>
        <v>CUSTO MARKET DATA - MARÇO/26-CBOE GLOBAL MARKETS-115154</v>
      </c>
      <c r="B35" s="20">
        <v>46082</v>
      </c>
      <c r="C35" s="21">
        <v>817393</v>
      </c>
      <c r="D35" s="9" t="str">
        <f>IF(J35=57036,"ALEXANDRE DA COSTA SOARES",IF(J35=24157,"JOSE MAURICIO GOMES TEIXEIRA",IF(J35=24203,"JOSE MAURICIO GOMES TEIXEIRA",IF(J35=24149,"CHRISTIANO MARCONDES DE BARROS LIMA",IF(J35=24137,"CHRISTIANO MARCONDES DE BARROS LIMA",IF(J35=135152,"ENRICO BORTPLUZO CASSIANO",IF(J35=136568,"ENRICO BORTPLUZO CASSIANO", IF(J35=130976,"MARYLIA CARVALHO PONCE",IF(J35=136668,"ALEXANDRE DA COSTA SOARES",IF(J35=52340,"OFFSHORE LISTED",IF(J35=158778,"CLAUDIO DE SOUZA PACINI",IF(J35=159800,"CLAUDIO DE SOUZA PACINI",_xlfn.XLOOKUP(J35,[1]!Tabela33[ID ORACLE],[1]!Tabela33[BROKER],0,0,1)))))))))))))</f>
        <v>FELIPE DE ANDRADE BASILE</v>
      </c>
      <c r="E35" s="22">
        <f t="shared" si="6"/>
        <v>-1818.43896</v>
      </c>
      <c r="F35" s="9" t="str">
        <f t="shared" si="7"/>
        <v>CBOE GLOBAL MARKETS</v>
      </c>
      <c r="G35" s="20">
        <f t="shared" si="2"/>
        <v>46082</v>
      </c>
      <c r="H35" s="23">
        <v>1170</v>
      </c>
      <c r="J35" s="41">
        <v>115154</v>
      </c>
      <c r="K35" s="1" t="s">
        <v>46</v>
      </c>
      <c r="L35" s="1" t="s">
        <v>12</v>
      </c>
      <c r="M35" s="29">
        <v>348.4</v>
      </c>
      <c r="N35" s="2"/>
      <c r="O35" s="1"/>
      <c r="P35" s="26"/>
      <c r="Q35" s="27"/>
      <c r="R35" s="26"/>
      <c r="S35" s="27"/>
      <c r="T35" s="26"/>
      <c r="U35" s="27"/>
    </row>
    <row r="36" spans="1:78" customFormat="1" ht="15" hidden="1" customHeight="1" x14ac:dyDescent="0.25">
      <c r="A36" s="9" t="str">
        <f t="shared" si="3"/>
        <v>CUSTO MARKET DATA - MARÇO/26-FIDESSA-115154</v>
      </c>
      <c r="B36" s="20">
        <v>46082</v>
      </c>
      <c r="C36" s="21">
        <v>817393</v>
      </c>
      <c r="D36" s="9" t="str">
        <f>IF(J36=57036,"ALEXANDRE DA COSTA SOARES",IF(J36=24157,"JOSE MAURICIO GOMES TEIXEIRA",IF(J36=24203,"JOSE MAURICIO GOMES TEIXEIRA",IF(J36=24149,"CHRISTIANO MARCONDES DE BARROS LIMA",IF(J36=24137,"CHRISTIANO MARCONDES DE BARROS LIMA",IF(J36=135152,"ENRICO BORTPLUZO CASSIANO",IF(J36=136568,"ENRICO BORTPLUZO CASSIANO", IF(J36=130976,"MARYLIA CARVALHO PONCE",IF(J36=136668,"ALEXANDRE DA COSTA SOARES",IF(J36=52340,"OFFSHORE LISTED",IF(J36=158778,"CLAUDIO DE SOUZA PACINI",IF(J36=159800,"CLAUDIO DE SOUZA PACINI",_xlfn.XLOOKUP(J36,[1]!Tabela33[ID ORACLE],[1]!Tabela33[BROKER],0,0,1)))))))))))))</f>
        <v>FELIPE DE ANDRADE BASILE</v>
      </c>
      <c r="E36" s="22">
        <f t="shared" si="6"/>
        <v>-5.9962502765999011</v>
      </c>
      <c r="F36" s="9" t="str">
        <f t="shared" si="7"/>
        <v>FIDESSA</v>
      </c>
      <c r="G36" s="20">
        <f t="shared" si="2"/>
        <v>46082</v>
      </c>
      <c r="H36" s="23">
        <v>1170</v>
      </c>
      <c r="J36" s="41">
        <v>115154</v>
      </c>
      <c r="K36" s="1" t="s">
        <v>47</v>
      </c>
      <c r="L36" s="1" t="s">
        <v>12</v>
      </c>
      <c r="M36" s="29">
        <v>1.1488389999999811</v>
      </c>
      <c r="N36" s="2"/>
      <c r="O36" s="1"/>
      <c r="P36" s="26"/>
      <c r="Q36" s="27"/>
      <c r="R36" s="26"/>
      <c r="S36" s="27"/>
      <c r="T36" s="26"/>
      <c r="U36" s="27"/>
    </row>
    <row r="37" spans="1:78" customFormat="1" ht="15" hidden="1" customHeight="1" x14ac:dyDescent="0.25">
      <c r="A37" s="9" t="str">
        <f t="shared" si="3"/>
        <v>CUSTO MARKET DATA - MARÇO/26-NYSE MARKET INC.-115154</v>
      </c>
      <c r="B37" s="20">
        <v>46082</v>
      </c>
      <c r="C37" s="21">
        <v>817393</v>
      </c>
      <c r="D37" s="9" t="str">
        <f>IF(J37=57036,"ALEXANDRE DA COSTA SOARES",IF(J37=24157,"JOSE MAURICIO GOMES TEIXEIRA",IF(J37=24203,"JOSE MAURICIO GOMES TEIXEIRA",IF(J37=24149,"CHRISTIANO MARCONDES DE BARROS LIMA",IF(J37=24137,"CHRISTIANO MARCONDES DE BARROS LIMA",IF(J37=135152,"ENRICO BORTPLUZO CASSIANO",IF(J37=136568,"ENRICO BORTPLUZO CASSIANO", IF(J37=130976,"MARYLIA CARVALHO PONCE",IF(J37=136668,"ALEXANDRE DA COSTA SOARES",IF(J37=52340,"OFFSHORE LISTED",IF(J37=158778,"CLAUDIO DE SOUZA PACINI",IF(J37=159800,"CLAUDIO DE SOUZA PACINI",_xlfn.XLOOKUP(J37,[1]!Tabela33[ID ORACLE],[1]!Tabela33[BROKER],0,0,1)))))))))))))</f>
        <v>FELIPE DE ANDRADE BASILE</v>
      </c>
      <c r="E37" s="22">
        <f t="shared" si="6"/>
        <v>761.48436299999992</v>
      </c>
      <c r="F37" s="9" t="str">
        <f t="shared" si="7"/>
        <v>NYSE MARKET INC.</v>
      </c>
      <c r="G37" s="20">
        <f t="shared" si="2"/>
        <v>46082</v>
      </c>
      <c r="H37" s="23">
        <v>1170</v>
      </c>
      <c r="J37" s="41">
        <v>115154</v>
      </c>
      <c r="K37" s="1" t="s">
        <v>44</v>
      </c>
      <c r="L37" s="1" t="s">
        <v>12</v>
      </c>
      <c r="M37" s="29">
        <v>-145.89499999999998</v>
      </c>
      <c r="N37" s="2"/>
      <c r="O37" s="1"/>
      <c r="P37" s="26"/>
      <c r="Q37" s="27"/>
      <c r="R37" s="26"/>
      <c r="S37" s="27"/>
      <c r="T37" s="26"/>
      <c r="U37" s="27"/>
    </row>
    <row r="38" spans="1:78" customFormat="1" ht="15" hidden="1" customHeight="1" x14ac:dyDescent="0.25">
      <c r="A38" s="9" t="str">
        <f t="shared" si="3"/>
        <v>CUSTO MARKET DATA - MARÇO/26-OPTIONS PRICE REPORTING AUTHORITY (OPRA)-115154</v>
      </c>
      <c r="B38" s="20">
        <v>46082</v>
      </c>
      <c r="C38" s="21">
        <v>817393</v>
      </c>
      <c r="D38" s="9" t="str">
        <f>IF(J38=57036,"ALEXANDRE DA COSTA SOARES",IF(J38=24157,"JOSE MAURICIO GOMES TEIXEIRA",IF(J38=24203,"JOSE MAURICIO GOMES TEIXEIRA",IF(J38=24149,"CHRISTIANO MARCONDES DE BARROS LIMA",IF(J38=24137,"CHRISTIANO MARCONDES DE BARROS LIMA",IF(J38=135152,"ENRICO BORTPLUZO CASSIANO",IF(J38=136568,"ENRICO BORTPLUZO CASSIANO", IF(J38=130976,"MARYLIA CARVALHO PONCE",IF(J38=136668,"ALEXANDRE DA COSTA SOARES",IF(J38=52340,"OFFSHORE LISTED",IF(J38=158778,"CLAUDIO DE SOUZA PACINI",IF(J38=159800,"CLAUDIO DE SOUZA PACINI",_xlfn.XLOOKUP(J38,[1]!Tabela33[ID ORACLE],[1]!Tabela33[BROKER],0,0,1)))))))))))))</f>
        <v>FELIPE DE ANDRADE BASILE</v>
      </c>
      <c r="E38" s="22">
        <f t="shared" si="6"/>
        <v>-343.4310813852</v>
      </c>
      <c r="F38" s="9" t="str">
        <f t="shared" si="7"/>
        <v>OPTIONS PRICE REPORTING AUTHORITY (OPRA)</v>
      </c>
      <c r="G38" s="20">
        <f t="shared" si="2"/>
        <v>46082</v>
      </c>
      <c r="H38" s="23">
        <v>1170</v>
      </c>
      <c r="J38" s="41">
        <v>115154</v>
      </c>
      <c r="K38" s="1" t="s">
        <v>45</v>
      </c>
      <c r="L38" s="1" t="s">
        <v>12</v>
      </c>
      <c r="M38" s="29">
        <v>65.798957999999999</v>
      </c>
      <c r="N38" s="2"/>
      <c r="O38" s="1"/>
      <c r="P38" s="26"/>
      <c r="Q38" s="27"/>
      <c r="R38" s="26"/>
      <c r="S38" s="27"/>
      <c r="T38" s="26"/>
      <c r="U38" s="27"/>
    </row>
    <row r="39" spans="1:78" customFormat="1" ht="15" hidden="1" customHeight="1" x14ac:dyDescent="0.25">
      <c r="A39" s="9" t="str">
        <f t="shared" si="3"/>
        <v>CUSTO MARKET DATA - MARÇO/26-REFINITIV-115154</v>
      </c>
      <c r="B39" s="20">
        <v>46082</v>
      </c>
      <c r="C39" s="21">
        <v>817393</v>
      </c>
      <c r="D39" s="9" t="str">
        <f>IF(J39=57036,"ALEXANDRE DA COSTA SOARES",IF(J39=24157,"JOSE MAURICIO GOMES TEIXEIRA",IF(J39=24203,"JOSE MAURICIO GOMES TEIXEIRA",IF(J39=24149,"CHRISTIANO MARCONDES DE BARROS LIMA",IF(J39=24137,"CHRISTIANO MARCONDES DE BARROS LIMA",IF(J39=135152,"ENRICO BORTPLUZO CASSIANO",IF(J39=136568,"ENRICO BORTPLUZO CASSIANO", IF(J39=130976,"MARYLIA CARVALHO PONCE",IF(J39=136668,"ALEXANDRE DA COSTA SOARES",IF(J39=52340,"OFFSHORE LISTED",IF(J39=158778,"CLAUDIO DE SOUZA PACINI",IF(J39=159800,"CLAUDIO DE SOUZA PACINI",_xlfn.XLOOKUP(J39,[1]!Tabela33[ID ORACLE],[1]!Tabela33[BROKER],0,0,1)))))))))))))</f>
        <v>FELIPE DE ANDRADE BASILE</v>
      </c>
      <c r="E39" s="22">
        <f t="shared" si="6"/>
        <v>-142.3544924064</v>
      </c>
      <c r="F39" s="9" t="str">
        <f t="shared" si="7"/>
        <v>REFINITIV</v>
      </c>
      <c r="G39" s="20">
        <f t="shared" si="2"/>
        <v>46082</v>
      </c>
      <c r="H39" s="23">
        <v>1170</v>
      </c>
      <c r="J39" s="41">
        <v>115154</v>
      </c>
      <c r="K39" s="1" t="s">
        <v>42</v>
      </c>
      <c r="L39" s="1" t="s">
        <v>17</v>
      </c>
      <c r="M39" s="29">
        <v>20.685648</v>
      </c>
      <c r="N39" s="2"/>
      <c r="O39" s="1"/>
      <c r="P39" s="26"/>
      <c r="Q39" s="27"/>
      <c r="R39" s="26"/>
      <c r="S39" s="27"/>
      <c r="T39" s="26"/>
      <c r="U39" s="27"/>
    </row>
    <row r="40" spans="1:78" customFormat="1" ht="15" customHeight="1" x14ac:dyDescent="0.25">
      <c r="A40" s="9" t="str">
        <f t="shared" si="3"/>
        <v>CUSTO MARKET DATA - MARÇO/26-BLOOMBERG-118235</v>
      </c>
      <c r="B40" s="20">
        <v>46082</v>
      </c>
      <c r="C40" s="21">
        <v>817393</v>
      </c>
      <c r="D40" s="9" t="str">
        <f>IF(J40=57036,"ALEXANDRE DA COSTA SOARES",IF(J40=24157,"JOSE MAURICIO GOMES TEIXEIRA",IF(J40=24203,"JOSE MAURICIO GOMES TEIXEIRA",IF(J40=24149,"CHRISTIANO MARCONDES DE BARROS LIMA",IF(J40=24137,"CHRISTIANO MARCONDES DE BARROS LIMA",IF(J40=135152,"ENRICO BORTPLUZO CASSIANO",IF(J40=136568,"ENRICO BORTPLUZO CASSIANO", IF(J40=130976,"MARYLIA CARVALHO PONCE",IF(J40=136668,"ALEXANDRE DA COSTA SOARES",IF(J40=52340,"OFFSHORE LISTED",IF(J40=158778,"CLAUDIO DE SOUZA PACINI",IF(J40=159800,"CLAUDIO DE SOUZA PACINI",_xlfn.XLOOKUP(J40,[1]!Tabela33[ID ORACLE],[1]!Tabela33[BROKER],0,0,1)))))))))))))</f>
        <v>ANDRE HALL ACCIOLY</v>
      </c>
      <c r="E40" s="22">
        <f t="shared" si="6"/>
        <v>-52.194000000000003</v>
      </c>
      <c r="F40" s="9" t="str">
        <f t="shared" si="7"/>
        <v>BLOOMBERG</v>
      </c>
      <c r="G40" s="20">
        <f t="shared" si="2"/>
        <v>46082</v>
      </c>
      <c r="H40" s="23">
        <v>1170</v>
      </c>
      <c r="J40" s="41">
        <v>118235</v>
      </c>
      <c r="K40" s="1" t="s">
        <v>41</v>
      </c>
      <c r="L40" s="1" t="s">
        <v>12</v>
      </c>
      <c r="M40" s="29">
        <v>10</v>
      </c>
      <c r="N40" s="2"/>
      <c r="O40" s="1"/>
      <c r="P40" s="26"/>
      <c r="Q40" s="27"/>
      <c r="R40" s="26"/>
      <c r="S40" s="27"/>
      <c r="T40" s="26"/>
      <c r="U40" s="27"/>
    </row>
    <row r="41" spans="1:78" customFormat="1" ht="15" customHeight="1" x14ac:dyDescent="0.25">
      <c r="A41" s="9" t="str">
        <f t="shared" si="3"/>
        <v>CUSTO MARKET DATA - MARÇO/26-BLOOMBERG-119734</v>
      </c>
      <c r="B41" s="20">
        <v>46082</v>
      </c>
      <c r="C41" s="21">
        <v>817393</v>
      </c>
      <c r="D41" s="9" t="str">
        <f>IF(J41=57036,"ALEXANDRE DA COSTA SOARES",IF(J41=24157,"JOSE MAURICIO GOMES TEIXEIRA",IF(J41=24203,"JOSE MAURICIO GOMES TEIXEIRA",IF(J41=24149,"CHRISTIANO MARCONDES DE BARROS LIMA",IF(J41=24137,"CHRISTIANO MARCONDES DE BARROS LIMA",IF(J41=135152,"ENRICO BORTPLUZO CASSIANO",IF(J41=136568,"ENRICO BORTPLUZO CASSIANO", IF(J41=130976,"MARYLIA CARVALHO PONCE",IF(J41=136668,"ALEXANDRE DA COSTA SOARES",IF(J41=52340,"OFFSHORE LISTED",IF(J41=158778,"CLAUDIO DE SOUZA PACINI",IF(J41=159800,"CLAUDIO DE SOUZA PACINI",_xlfn.XLOOKUP(J41,[1]!Tabela33[ID ORACLE],[1]!Tabela33[BROKER],0,0,1)))))))))))))</f>
        <v>RAFAEL MARQUES MOREIRA DA COSTA</v>
      </c>
      <c r="E41" s="22">
        <f t="shared" si="6"/>
        <v>-52.194000000000003</v>
      </c>
      <c r="F41" s="9" t="str">
        <f t="shared" si="7"/>
        <v>BLOOMBERG</v>
      </c>
      <c r="G41" s="20">
        <f t="shared" si="2"/>
        <v>46082</v>
      </c>
      <c r="H41" s="23">
        <v>1170</v>
      </c>
      <c r="J41" s="41">
        <v>119734</v>
      </c>
      <c r="K41" s="1" t="s">
        <v>41</v>
      </c>
      <c r="L41" s="1" t="s">
        <v>12</v>
      </c>
      <c r="M41" s="29">
        <v>10</v>
      </c>
      <c r="N41" s="2"/>
      <c r="O41" s="1"/>
      <c r="P41" s="26"/>
      <c r="Q41" s="27"/>
      <c r="R41" s="26"/>
      <c r="S41" s="27"/>
      <c r="T41" s="26"/>
      <c r="U41" s="27"/>
    </row>
    <row r="42" spans="1:78" customFormat="1" ht="15" hidden="1" customHeight="1" x14ac:dyDescent="0.25">
      <c r="A42" s="9" t="str">
        <f t="shared" si="3"/>
        <v>CUSTO MARKET DATA - MARÇO/26-BROADCAST-119734</v>
      </c>
      <c r="B42" s="20">
        <v>46082</v>
      </c>
      <c r="C42" s="21">
        <v>817393</v>
      </c>
      <c r="D42" s="9" t="str">
        <f>IF(J42=57036,"ALEXANDRE DA COSTA SOARES",IF(J42=24157,"JOSE MAURICIO GOMES TEIXEIRA",IF(J42=24203,"JOSE MAURICIO GOMES TEIXEIRA",IF(J42=24149,"CHRISTIANO MARCONDES DE BARROS LIMA",IF(J42=24137,"CHRISTIANO MARCONDES DE BARROS LIMA",IF(J42=135152,"ENRICO BORTPLUZO CASSIANO",IF(J42=136568,"ENRICO BORTPLUZO CASSIANO", IF(J42=130976,"MARYLIA CARVALHO PONCE",IF(J42=136668,"ALEXANDRE DA COSTA SOARES",IF(J42=52340,"OFFSHORE LISTED",IF(J42=158778,"CLAUDIO DE SOUZA PACINI",IF(J42=159800,"CLAUDIO DE SOUZA PACINI",_xlfn.XLOOKUP(J42,[1]!Tabela33[ID ORACLE],[1]!Tabela33[BROKER],0,0,1)))))))))))))</f>
        <v>RAFAEL MARQUES MOREIRA DA COSTA</v>
      </c>
      <c r="E42" s="22">
        <f t="shared" si="6"/>
        <v>-2598.0012029999998</v>
      </c>
      <c r="F42" s="9" t="str">
        <f t="shared" si="7"/>
        <v>BROADCAST</v>
      </c>
      <c r="G42" s="20">
        <f t="shared" si="2"/>
        <v>46082</v>
      </c>
      <c r="H42" s="23">
        <v>1170</v>
      </c>
      <c r="J42" s="41">
        <v>119734</v>
      </c>
      <c r="K42" s="1" t="s">
        <v>48</v>
      </c>
      <c r="L42" s="1" t="s">
        <v>49</v>
      </c>
      <c r="M42" s="29">
        <v>2598.0012029999998</v>
      </c>
      <c r="N42" s="2"/>
      <c r="O42" s="1"/>
      <c r="P42" s="26"/>
      <c r="Q42" s="27"/>
      <c r="R42" s="26"/>
      <c r="S42" s="27"/>
      <c r="T42" s="26"/>
      <c r="U42" s="27"/>
    </row>
    <row r="43" spans="1:78" customFormat="1" ht="15" customHeight="1" x14ac:dyDescent="0.25">
      <c r="A43" s="9" t="str">
        <f t="shared" si="3"/>
        <v>CUSTO MARKET DATA - MARÇO/26-BLOOMBERG-122758</v>
      </c>
      <c r="B43" s="20">
        <v>46082</v>
      </c>
      <c r="C43" s="21">
        <v>817393</v>
      </c>
      <c r="D43" s="9" t="str">
        <f>IF(J43=57036,"ALEXANDRE DA COSTA SOARES",IF(J43=24157,"JOSE MAURICIO GOMES TEIXEIRA",IF(J43=24203,"JOSE MAURICIO GOMES TEIXEIRA",IF(J43=24149,"CHRISTIANO MARCONDES DE BARROS LIMA",IF(J43=24137,"CHRISTIANO MARCONDES DE BARROS LIMA",IF(J43=135152,"ENRICO BORTPLUZO CASSIANO",IF(J43=136568,"ENRICO BORTPLUZO CASSIANO", IF(J43=130976,"MARYLIA CARVALHO PONCE",IF(J43=136668,"ALEXANDRE DA COSTA SOARES",IF(J43=52340,"OFFSHORE LISTED",IF(J43=158778,"CLAUDIO DE SOUZA PACINI",IF(J43=159800,"CLAUDIO DE SOUZA PACINI",_xlfn.XLOOKUP(J43,[1]!Tabela33[ID ORACLE],[1]!Tabela33[BROKER],0,0,1)))))))))))))</f>
        <v>ANDRE FERREIRA DOS SANTOS</v>
      </c>
      <c r="E43" s="22">
        <f t="shared" si="6"/>
        <v>-6266.0441524848011</v>
      </c>
      <c r="F43" s="9" t="str">
        <f t="shared" si="7"/>
        <v>BLOOMBERG</v>
      </c>
      <c r="G43" s="20">
        <f t="shared" si="2"/>
        <v>46082</v>
      </c>
      <c r="H43" s="23">
        <v>1170</v>
      </c>
      <c r="J43" s="41">
        <v>122758</v>
      </c>
      <c r="K43" s="1" t="s">
        <v>41</v>
      </c>
      <c r="L43" s="1" t="s">
        <v>12</v>
      </c>
      <c r="M43" s="29">
        <v>1200.5295920000001</v>
      </c>
      <c r="N43" s="2"/>
      <c r="O43" s="1"/>
      <c r="P43" s="26"/>
      <c r="Q43" s="27"/>
      <c r="R43" s="26"/>
      <c r="S43" s="27"/>
      <c r="T43" s="26"/>
      <c r="U43" s="27"/>
    </row>
    <row r="44" spans="1:78" ht="15" hidden="1" customHeight="1" x14ac:dyDescent="0.25">
      <c r="A44" s="9" t="str">
        <f t="shared" si="3"/>
        <v>CUSTO MARKET DATA - MARÇO/26-REFINITIV-122758</v>
      </c>
      <c r="B44" s="20">
        <v>46082</v>
      </c>
      <c r="C44" s="21">
        <v>817393</v>
      </c>
      <c r="D44" s="9" t="str">
        <f>IF(J44=57036,"ALEXANDRE DA COSTA SOARES",IF(J44=24157,"JOSE MAURICIO GOMES TEIXEIRA",IF(J44=24203,"JOSE MAURICIO GOMES TEIXEIRA",IF(J44=24149,"CHRISTIANO MARCONDES DE BARROS LIMA",IF(J44=24137,"CHRISTIANO MARCONDES DE BARROS LIMA",IF(J44=135152,"ENRICO BORTPLUZO CASSIANO",IF(J44=136568,"ENRICO BORTPLUZO CASSIANO", IF(J44=130976,"MARYLIA CARVALHO PONCE",IF(J44=136668,"ALEXANDRE DA COSTA SOARES",IF(J44=52340,"OFFSHORE LISTED",IF(J44=158778,"CLAUDIO DE SOUZA PACINI",IF(J44=159800,"CLAUDIO DE SOUZA PACINI",_xlfn.XLOOKUP(J44,[1]!Tabela33[ID ORACLE],[1]!Tabela33[BROKER],0,0,1)))))))))))))</f>
        <v>ANDRE FERREIRA DOS SANTOS</v>
      </c>
      <c r="E44" s="22">
        <f t="shared" si="6"/>
        <v>-142.3544924064</v>
      </c>
      <c r="F44" s="9" t="str">
        <f t="shared" si="7"/>
        <v>REFINITIV</v>
      </c>
      <c r="G44" s="20">
        <f t="shared" si="2"/>
        <v>46082</v>
      </c>
      <c r="H44" s="23">
        <v>1170</v>
      </c>
      <c r="J44" s="41">
        <v>122758</v>
      </c>
      <c r="K44" s="1" t="s">
        <v>42</v>
      </c>
      <c r="L44" s="1" t="s">
        <v>17</v>
      </c>
      <c r="M44" s="29">
        <v>20.685648</v>
      </c>
      <c r="N44" s="2"/>
      <c r="Q44" s="27"/>
      <c r="S44" s="27"/>
      <c r="U44" s="27"/>
    </row>
    <row r="45" spans="1:78" s="25" customFormat="1" ht="15" hidden="1" customHeight="1" x14ac:dyDescent="0.25">
      <c r="A45" s="9" t="str">
        <f t="shared" si="3"/>
        <v>CUSTO MARKET DATA - MARÇO/26-REFINITIV-125254</v>
      </c>
      <c r="B45" s="20">
        <v>46082</v>
      </c>
      <c r="C45" s="21">
        <v>817393</v>
      </c>
      <c r="D45" s="9" t="str">
        <f>IF(J45=57036,"ALEXANDRE DA COSTA SOARES",IF(J45=24157,"JOSE MAURICIO GOMES TEIXEIRA",IF(J45=24203,"JOSE MAURICIO GOMES TEIXEIRA",IF(J45=24149,"CHRISTIANO MARCONDES DE BARROS LIMA",IF(J45=24137,"CHRISTIANO MARCONDES DE BARROS LIMA",IF(J45=135152,"ENRICO BORTPLUZO CASSIANO",IF(J45=136568,"ENRICO BORTPLUZO CASSIANO", IF(J45=130976,"MARYLIA CARVALHO PONCE",IF(J45=136668,"ALEXANDRE DA COSTA SOARES",IF(J45=52340,"OFFSHORE LISTED",IF(J45=158778,"CLAUDIO DE SOUZA PACINI",IF(J45=159800,"CLAUDIO DE SOUZA PACINI",_xlfn.XLOOKUP(J45,[1]!Tabela33[ID ORACLE],[1]!Tabela33[BROKER],0,0,1)))))))))))))</f>
        <v>GUSTAVO D ELBOUX FERRIELLO</v>
      </c>
      <c r="E45" s="22">
        <f t="shared" si="6"/>
        <v>-142.3544924064</v>
      </c>
      <c r="F45" s="9" t="str">
        <f t="shared" si="7"/>
        <v>REFINITIV</v>
      </c>
      <c r="G45" s="20">
        <f t="shared" si="2"/>
        <v>46082</v>
      </c>
      <c r="H45" s="23">
        <v>1170</v>
      </c>
      <c r="I45"/>
      <c r="J45" s="41">
        <v>125254</v>
      </c>
      <c r="K45" s="1" t="s">
        <v>42</v>
      </c>
      <c r="L45" s="1" t="s">
        <v>17</v>
      </c>
      <c r="M45" s="29">
        <v>20.685648</v>
      </c>
      <c r="N45" s="2"/>
      <c r="O45" s="1"/>
      <c r="P45" s="26"/>
      <c r="Q45" s="27"/>
      <c r="R45" s="26"/>
      <c r="S45" s="27"/>
      <c r="T45" s="26"/>
      <c r="U45" s="27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s="25" customFormat="1" ht="15" hidden="1" customHeight="1" x14ac:dyDescent="0.25">
      <c r="A46" s="9" t="str">
        <f t="shared" si="3"/>
        <v>CUSTO MARKET DATA - MARÇO/26-FIDESSA-125412</v>
      </c>
      <c r="B46" s="20">
        <v>46082</v>
      </c>
      <c r="C46" s="21">
        <v>817393</v>
      </c>
      <c r="D46" s="9" t="str">
        <f>IF(J46=57036,"ALEXANDRE DA COSTA SOARES",IF(J46=24157,"JOSE MAURICIO GOMES TEIXEIRA",IF(J46=24203,"JOSE MAURICIO GOMES TEIXEIRA",IF(J46=24149,"CHRISTIANO MARCONDES DE BARROS LIMA",IF(J46=24137,"CHRISTIANO MARCONDES DE BARROS LIMA",IF(J46=135152,"ENRICO BORTPLUZO CASSIANO",IF(J46=136568,"ENRICO BORTPLUZO CASSIANO", IF(J46=130976,"MARYLIA CARVALHO PONCE",IF(J46=136668,"ALEXANDRE DA COSTA SOARES",IF(J46=52340,"OFFSHORE LISTED",IF(J46=158778,"CLAUDIO DE SOUZA PACINI",IF(J46=159800,"CLAUDIO DE SOUZA PACINI",_xlfn.XLOOKUP(J46,[1]!Tabela33[ID ORACLE],[1]!Tabela33[BROKER],0,0,1)))))))))))))</f>
        <v>GUSTAVO VALERIO FERREIRA DE ALBUQUERQUE</v>
      </c>
      <c r="E46" s="22">
        <f t="shared" si="6"/>
        <v>-1815.9954352571999</v>
      </c>
      <c r="F46" s="9" t="str">
        <f t="shared" si="7"/>
        <v>FIDESSA</v>
      </c>
      <c r="G46" s="20">
        <f t="shared" si="2"/>
        <v>46082</v>
      </c>
      <c r="H46" s="23">
        <v>1170</v>
      </c>
      <c r="I46"/>
      <c r="J46" s="41">
        <v>125412</v>
      </c>
      <c r="K46" s="1" t="s">
        <v>47</v>
      </c>
      <c r="L46" s="1" t="s">
        <v>12</v>
      </c>
      <c r="M46" s="29">
        <v>347.93183799999997</v>
      </c>
      <c r="N46" s="2"/>
      <c r="O46" s="1"/>
      <c r="P46" s="26"/>
      <c r="Q46" s="27"/>
      <c r="R46" s="26"/>
      <c r="S46" s="27"/>
      <c r="T46" s="26"/>
      <c r="U46" s="27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s="25" customFormat="1" ht="15" hidden="1" customHeight="1" x14ac:dyDescent="0.25">
      <c r="A47" s="9" t="str">
        <f t="shared" si="3"/>
        <v>CUSTO MARKET DATA - MARÇO/26-NYSE MARKET INC.-125412</v>
      </c>
      <c r="B47" s="20">
        <v>46082</v>
      </c>
      <c r="C47" s="21">
        <v>817393</v>
      </c>
      <c r="D47" s="9" t="str">
        <f>IF(J47=57036,"ALEXANDRE DA COSTA SOARES",IF(J47=24157,"JOSE MAURICIO GOMES TEIXEIRA",IF(J47=24203,"JOSE MAURICIO GOMES TEIXEIRA",IF(J47=24149,"CHRISTIANO MARCONDES DE BARROS LIMA",IF(J47=24137,"CHRISTIANO MARCONDES DE BARROS LIMA",IF(J47=135152,"ENRICO BORTPLUZO CASSIANO",IF(J47=136568,"ENRICO BORTPLUZO CASSIANO", IF(J47=130976,"MARYLIA CARVALHO PONCE",IF(J47=136668,"ALEXANDRE DA COSTA SOARES",IF(J47=52340,"OFFSHORE LISTED",IF(J47=158778,"CLAUDIO DE SOUZA PACINI",IF(J47=159800,"CLAUDIO DE SOUZA PACINI",_xlfn.XLOOKUP(J47,[1]!Tabela33[ID ORACLE],[1]!Tabela33[BROKER],0,0,1)))))))))))))</f>
        <v>GUSTAVO VALERIO FERREIRA DE ALBUQUERQUE</v>
      </c>
      <c r="E47" s="22">
        <f t="shared" si="6"/>
        <v>-1329.7334894999999</v>
      </c>
      <c r="F47" s="9" t="str">
        <f t="shared" si="7"/>
        <v>NYSE MARKET INC.</v>
      </c>
      <c r="G47" s="20">
        <f t="shared" si="2"/>
        <v>46082</v>
      </c>
      <c r="H47" s="23">
        <v>1170</v>
      </c>
      <c r="I47"/>
      <c r="J47" s="41">
        <v>125412</v>
      </c>
      <c r="K47" s="1" t="s">
        <v>44</v>
      </c>
      <c r="L47" s="1" t="s">
        <v>12</v>
      </c>
      <c r="M47" s="29">
        <v>254.76749999999998</v>
      </c>
      <c r="N47" s="2"/>
      <c r="O47" s="1"/>
      <c r="P47" s="26"/>
      <c r="Q47" s="27"/>
      <c r="R47" s="26"/>
      <c r="S47" s="27"/>
      <c r="T47" s="26"/>
      <c r="U47" s="27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customFormat="1" ht="15" hidden="1" customHeight="1" x14ac:dyDescent="0.25">
      <c r="A48" s="9" t="str">
        <f t="shared" si="3"/>
        <v>CUSTO MARKET DATA - MARÇO/26-REFINITIV-125412</v>
      </c>
      <c r="B48" s="20">
        <v>46082</v>
      </c>
      <c r="C48" s="21">
        <v>817393</v>
      </c>
      <c r="D48" s="9" t="str">
        <f>IF(J48=57036,"ALEXANDRE DA COSTA SOARES",IF(J48=24157,"JOSE MAURICIO GOMES TEIXEIRA",IF(J48=24203,"JOSE MAURICIO GOMES TEIXEIRA",IF(J48=24149,"CHRISTIANO MARCONDES DE BARROS LIMA",IF(J48=24137,"CHRISTIANO MARCONDES DE BARROS LIMA",IF(J48=135152,"ENRICO BORTPLUZO CASSIANO",IF(J48=136568,"ENRICO BORTPLUZO CASSIANO", IF(J48=130976,"MARYLIA CARVALHO PONCE",IF(J48=136668,"ALEXANDRE DA COSTA SOARES",IF(J48=52340,"OFFSHORE LISTED",IF(J48=158778,"CLAUDIO DE SOUZA PACINI",IF(J48=159800,"CLAUDIO DE SOUZA PACINI",_xlfn.XLOOKUP(J48,[1]!Tabela33[ID ORACLE],[1]!Tabela33[BROKER],0,0,1)))))))))))))</f>
        <v>GUSTAVO VALERIO FERREIRA DE ALBUQUERQUE</v>
      </c>
      <c r="E48" s="22">
        <f t="shared" si="6"/>
        <v>-142.3544924064</v>
      </c>
      <c r="F48" s="9" t="str">
        <f t="shared" si="7"/>
        <v>REFINITIV</v>
      </c>
      <c r="G48" s="20">
        <f t="shared" si="2"/>
        <v>46082</v>
      </c>
      <c r="H48" s="23">
        <v>1170</v>
      </c>
      <c r="J48" s="41">
        <v>125412</v>
      </c>
      <c r="K48" s="1" t="s">
        <v>42</v>
      </c>
      <c r="L48" s="1" t="s">
        <v>17</v>
      </c>
      <c r="M48" s="29">
        <v>20.685648</v>
      </c>
      <c r="N48" s="2"/>
      <c r="O48" s="1"/>
      <c r="P48" s="26"/>
      <c r="Q48" s="27"/>
      <c r="R48" s="26"/>
      <c r="S48" s="27"/>
      <c r="T48" s="26"/>
      <c r="U48" s="27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customFormat="1" ht="15" hidden="1" customHeight="1" x14ac:dyDescent="0.25">
      <c r="A49" s="9" t="str">
        <f t="shared" si="3"/>
        <v>CUSTO MARKET DATA - MARÇO/26-REFINITIV-125524</v>
      </c>
      <c r="B49" s="20">
        <v>46082</v>
      </c>
      <c r="C49" s="21">
        <v>817393</v>
      </c>
      <c r="D49" s="9" t="str">
        <f>IF(J49=57036,"ALEXANDRE DA COSTA SOARES",IF(J49=24157,"JOSE MAURICIO GOMES TEIXEIRA",IF(J49=24203,"JOSE MAURICIO GOMES TEIXEIRA",IF(J49=24149,"CHRISTIANO MARCONDES DE BARROS LIMA",IF(J49=24137,"CHRISTIANO MARCONDES DE BARROS LIMA",IF(J49=135152,"ENRICO BORTPLUZO CASSIANO",IF(J49=136568,"ENRICO BORTPLUZO CASSIANO", IF(J49=130976,"MARYLIA CARVALHO PONCE",IF(J49=136668,"ALEXANDRE DA COSTA SOARES",IF(J49=52340,"OFFSHORE LISTED",IF(J49=158778,"CLAUDIO DE SOUZA PACINI",IF(J49=159800,"CLAUDIO DE SOUZA PACINI",_xlfn.XLOOKUP(J49,[1]!Tabela33[ID ORACLE],[1]!Tabela33[BROKER],0,0,1)))))))))))))</f>
        <v>JUAREZ JOAQUIM DE LACERDA</v>
      </c>
      <c r="E49" s="22">
        <f t="shared" si="6"/>
        <v>-142.3544924064</v>
      </c>
      <c r="F49" s="9" t="str">
        <f t="shared" si="7"/>
        <v>REFINITIV</v>
      </c>
      <c r="G49" s="20">
        <f t="shared" si="2"/>
        <v>46082</v>
      </c>
      <c r="H49" s="23">
        <v>1170</v>
      </c>
      <c r="J49" s="41">
        <v>125524</v>
      </c>
      <c r="K49" s="1" t="s">
        <v>42</v>
      </c>
      <c r="L49" s="1" t="s">
        <v>17</v>
      </c>
      <c r="M49" s="29">
        <v>20.685648</v>
      </c>
      <c r="N49" s="2"/>
      <c r="O49" s="1"/>
      <c r="P49" s="26"/>
      <c r="Q49" s="27"/>
      <c r="R49" s="26"/>
      <c r="S49" s="27"/>
      <c r="T49" s="26"/>
      <c r="U49" s="27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customFormat="1" ht="15" customHeight="1" x14ac:dyDescent="0.25">
      <c r="A50" s="9" t="str">
        <f t="shared" si="3"/>
        <v>CUSTO MARKET DATA - MARÇO/26-BLOOMBERG-127165</v>
      </c>
      <c r="B50" s="20">
        <v>46082</v>
      </c>
      <c r="C50" s="21">
        <v>817393</v>
      </c>
      <c r="D50" s="9" t="str">
        <f>IF(J50=57036,"ALEXANDRE DA COSTA SOARES",IF(J50=24157,"JOSE MAURICIO GOMES TEIXEIRA",IF(J50=24203,"JOSE MAURICIO GOMES TEIXEIRA",IF(J50=24149,"CHRISTIANO MARCONDES DE BARROS LIMA",IF(J50=24137,"CHRISTIANO MARCONDES DE BARROS LIMA",IF(J50=135152,"ENRICO BORTPLUZO CASSIANO",IF(J50=136568,"ENRICO BORTPLUZO CASSIANO", IF(J50=130976,"MARYLIA CARVALHO PONCE",IF(J50=136668,"ALEXANDRE DA COSTA SOARES",IF(J50=52340,"OFFSHORE LISTED",IF(J50=158778,"CLAUDIO DE SOUZA PACINI",IF(J50=159800,"CLAUDIO DE SOUZA PACINI",_xlfn.XLOOKUP(J50,[1]!Tabela33[ID ORACLE],[1]!Tabela33[BROKER],0,0,1)))))))))))))</f>
        <v>RODRIGO PENTAGNA</v>
      </c>
      <c r="E50" s="22">
        <f t="shared" si="6"/>
        <v>-12895.880490189002</v>
      </c>
      <c r="F50" s="9" t="str">
        <f t="shared" si="7"/>
        <v>BLOOMBERG</v>
      </c>
      <c r="G50" s="20">
        <f t="shared" si="2"/>
        <v>46082</v>
      </c>
      <c r="H50" s="23">
        <v>1170</v>
      </c>
      <c r="J50" s="41">
        <v>127165</v>
      </c>
      <c r="K50" s="1" t="s">
        <v>41</v>
      </c>
      <c r="L50" s="1" t="s">
        <v>12</v>
      </c>
      <c r="M50" s="29">
        <v>2470.7591850000003</v>
      </c>
      <c r="N50" s="2"/>
      <c r="O50" s="1"/>
      <c r="P50" s="26"/>
      <c r="Q50" s="27"/>
      <c r="R50" s="26"/>
      <c r="S50" s="27"/>
      <c r="T50" s="26"/>
      <c r="U50" s="27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customFormat="1" ht="15" hidden="1" customHeight="1" x14ac:dyDescent="0.25">
      <c r="A51" s="9" t="str">
        <f t="shared" si="3"/>
        <v>CUSTO MARKET DATA - MARÇO/26-OPTIONS PRICE REPORTING AUTHORITY (OPRA)-127165</v>
      </c>
      <c r="B51" s="20">
        <v>46082</v>
      </c>
      <c r="C51" s="21">
        <v>817393</v>
      </c>
      <c r="D51" s="9" t="str">
        <f>IF(J51=57036,"ALEXANDRE DA COSTA SOARES",IF(J51=24157,"JOSE MAURICIO GOMES TEIXEIRA",IF(J51=24203,"JOSE MAURICIO GOMES TEIXEIRA",IF(J51=24149,"CHRISTIANO MARCONDES DE BARROS LIMA",IF(J51=24137,"CHRISTIANO MARCONDES DE BARROS LIMA",IF(J51=135152,"ENRICO BORTPLUZO CASSIANO",IF(J51=136568,"ENRICO BORTPLUZO CASSIANO", IF(J51=130976,"MARYLIA CARVALHO PONCE",IF(J51=136668,"ALEXANDRE DA COSTA SOARES",IF(J51=52340,"OFFSHORE LISTED",IF(J51=158778,"CLAUDIO DE SOUZA PACINI",IF(J51=159800,"CLAUDIO DE SOUZA PACINI",_xlfn.XLOOKUP(J51,[1]!Tabela33[ID ORACLE],[1]!Tabela33[BROKER],0,0,1)))))))))))))</f>
        <v>RODRIGO PENTAGNA</v>
      </c>
      <c r="E51" s="22">
        <f t="shared" si="6"/>
        <v>-164.4111</v>
      </c>
      <c r="F51" s="9" t="str">
        <f t="shared" si="7"/>
        <v>OPTIONS PRICE REPORTING AUTHORITY (OPRA)</v>
      </c>
      <c r="G51" s="20">
        <f t="shared" si="2"/>
        <v>46082</v>
      </c>
      <c r="H51" s="23">
        <v>1170</v>
      </c>
      <c r="J51" s="41">
        <v>127165</v>
      </c>
      <c r="K51" s="1" t="s">
        <v>45</v>
      </c>
      <c r="L51" s="1" t="s">
        <v>12</v>
      </c>
      <c r="M51" s="29">
        <v>31.5</v>
      </c>
      <c r="N51" s="2"/>
      <c r="O51" s="1"/>
      <c r="P51" s="26"/>
      <c r="Q51" s="27"/>
      <c r="R51" s="26"/>
      <c r="S51" s="27"/>
      <c r="T51" s="26"/>
      <c r="U51" s="27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customFormat="1" ht="15" hidden="1" customHeight="1" x14ac:dyDescent="0.25">
      <c r="A52" s="9" t="str">
        <f t="shared" si="3"/>
        <v>CUSTO MARKET DATA - MARÇO/26-REFINITIV-127165</v>
      </c>
      <c r="B52" s="20">
        <v>46082</v>
      </c>
      <c r="C52" s="21">
        <v>817393</v>
      </c>
      <c r="D52" s="9" t="str">
        <f>IF(J52=57036,"ALEXANDRE DA COSTA SOARES",IF(J52=24157,"JOSE MAURICIO GOMES TEIXEIRA",IF(J52=24203,"JOSE MAURICIO GOMES TEIXEIRA",IF(J52=24149,"CHRISTIANO MARCONDES DE BARROS LIMA",IF(J52=24137,"CHRISTIANO MARCONDES DE BARROS LIMA",IF(J52=135152,"ENRICO BORTPLUZO CASSIANO",IF(J52=136568,"ENRICO BORTPLUZO CASSIANO", IF(J52=130976,"MARYLIA CARVALHO PONCE",IF(J52=136668,"ALEXANDRE DA COSTA SOARES",IF(J52=52340,"OFFSHORE LISTED",IF(J52=158778,"CLAUDIO DE SOUZA PACINI",IF(J52=159800,"CLAUDIO DE SOUZA PACINI",_xlfn.XLOOKUP(J52,[1]!Tabela33[ID ORACLE],[1]!Tabela33[BROKER],0,0,1)))))))))))))</f>
        <v>RODRIGO PENTAGNA</v>
      </c>
      <c r="E52" s="22">
        <f t="shared" si="6"/>
        <v>-142.3544924064</v>
      </c>
      <c r="F52" s="9" t="str">
        <f t="shared" si="7"/>
        <v>REFINITIV</v>
      </c>
      <c r="G52" s="20">
        <f t="shared" si="2"/>
        <v>46082</v>
      </c>
      <c r="H52" s="23">
        <v>1170</v>
      </c>
      <c r="J52" s="41">
        <v>127165</v>
      </c>
      <c r="K52" s="1" t="s">
        <v>42</v>
      </c>
      <c r="L52" s="1" t="s">
        <v>17</v>
      </c>
      <c r="M52" s="29">
        <v>20.685648</v>
      </c>
      <c r="N52" s="2"/>
      <c r="O52" s="1"/>
      <c r="P52" s="26"/>
      <c r="Q52" s="27"/>
      <c r="R52" s="26"/>
      <c r="S52" s="27"/>
      <c r="T52" s="26"/>
      <c r="U52" s="27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customFormat="1" ht="15" customHeight="1" x14ac:dyDescent="0.25">
      <c r="A53" s="9" t="str">
        <f t="shared" si="3"/>
        <v>CUSTO MARKET DATA - MARÇO/26-BLOOMBERG-128628</v>
      </c>
      <c r="B53" s="20">
        <v>46082</v>
      </c>
      <c r="C53" s="21">
        <v>817393</v>
      </c>
      <c r="D53" s="9" t="str">
        <f>IF(J53=57036,"ALEXANDRE DA COSTA SOARES",IF(J53=24157,"JOSE MAURICIO GOMES TEIXEIRA",IF(J53=24203,"JOSE MAURICIO GOMES TEIXEIRA",IF(J53=24149,"CHRISTIANO MARCONDES DE BARROS LIMA",IF(J53=24137,"CHRISTIANO MARCONDES DE BARROS LIMA",IF(J53=135152,"ENRICO BORTPLUZO CASSIANO",IF(J53=136568,"ENRICO BORTPLUZO CASSIANO", IF(J53=130976,"MARYLIA CARVALHO PONCE",IF(J53=136668,"ALEXANDRE DA COSTA SOARES",IF(J53=52340,"OFFSHORE LISTED",IF(J53=158778,"CLAUDIO DE SOUZA PACINI",IF(J53=159800,"CLAUDIO DE SOUZA PACINI",_xlfn.XLOOKUP(J53,[1]!Tabela33[ID ORACLE],[1]!Tabela33[BROKER],0,0,1)))))))))))))</f>
        <v>MARCELLE DA SILVEIRA GIL CADILHE</v>
      </c>
      <c r="E53" s="22">
        <f t="shared" si="6"/>
        <v>-52.194000000000003</v>
      </c>
      <c r="F53" s="9" t="str">
        <f t="shared" si="7"/>
        <v>BLOOMBERG</v>
      </c>
      <c r="G53" s="20">
        <f t="shared" si="2"/>
        <v>46082</v>
      </c>
      <c r="H53" s="23">
        <v>1170</v>
      </c>
      <c r="J53" s="41">
        <v>128628</v>
      </c>
      <c r="K53" s="1" t="s">
        <v>41</v>
      </c>
      <c r="L53" s="1" t="s">
        <v>12</v>
      </c>
      <c r="M53" s="29">
        <v>10</v>
      </c>
      <c r="N53" s="2"/>
      <c r="O53" s="1"/>
      <c r="P53" s="26"/>
      <c r="Q53" s="27"/>
      <c r="R53" s="26"/>
      <c r="S53" s="27"/>
      <c r="T53" s="26"/>
      <c r="U53" s="27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customFormat="1" ht="15" hidden="1" customHeight="1" x14ac:dyDescent="0.25">
      <c r="A54" s="9" t="str">
        <f t="shared" si="3"/>
        <v>CUSTO MARKET DATA - MARÇO/26-REFINITIV-130976</v>
      </c>
      <c r="B54" s="20">
        <v>46082</v>
      </c>
      <c r="C54" s="21">
        <v>817393</v>
      </c>
      <c r="D54" s="9" t="str">
        <f>IF(J54=57036,"ALEXANDRE DA COSTA SOARES",IF(J54=24157,"JOSE MAURICIO GOMES TEIXEIRA",IF(J54=24203,"JOSE MAURICIO GOMES TEIXEIRA",IF(J54=24149,"CHRISTIANO MARCONDES DE BARROS LIMA",IF(J54=24137,"CHRISTIANO MARCONDES DE BARROS LIMA",IF(J54=135152,"ENRICO BORTPLUZO CASSIANO",IF(J54=136568,"ENRICO BORTPLUZO CASSIANO", IF(J54=130976,"MARYLIA CARVALHO PONCE",IF(J54=136668,"ALEXANDRE DA COSTA SOARES",IF(J54=52340,"OFFSHORE LISTED",IF(J54=158778,"CLAUDIO DE SOUZA PACINI",IF(J54=159800,"CLAUDIO DE SOUZA PACINI",_xlfn.XLOOKUP(J54,[1]!Tabela33[ID ORACLE],[1]!Tabela33[BROKER],0,0,1)))))))))))))</f>
        <v>MARYLIA CARVALHO PONCE</v>
      </c>
      <c r="E54" s="22">
        <f t="shared" si="6"/>
        <v>-142.3544924064</v>
      </c>
      <c r="F54" s="9" t="str">
        <f t="shared" si="7"/>
        <v>REFINITIV</v>
      </c>
      <c r="G54" s="20">
        <f t="shared" si="2"/>
        <v>46082</v>
      </c>
      <c r="H54" s="23">
        <v>1170</v>
      </c>
      <c r="J54" s="41">
        <v>130976</v>
      </c>
      <c r="K54" s="1" t="s">
        <v>42</v>
      </c>
      <c r="L54" s="1" t="s">
        <v>17</v>
      </c>
      <c r="M54" s="29">
        <v>20.685648</v>
      </c>
      <c r="N54" s="2"/>
      <c r="O54" s="1"/>
      <c r="P54" s="26"/>
      <c r="Q54" s="27"/>
      <c r="R54" s="26"/>
      <c r="S54" s="27"/>
      <c r="T54" s="26"/>
      <c r="U54" s="27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customFormat="1" ht="15" customHeight="1" x14ac:dyDescent="0.25">
      <c r="A55" s="9" t="str">
        <f t="shared" si="3"/>
        <v>CUSTO MARKET DATA - MARÇO/26-BLOOMBERG-131299</v>
      </c>
      <c r="B55" s="20">
        <v>46082</v>
      </c>
      <c r="C55" s="21">
        <v>817393</v>
      </c>
      <c r="D55" s="9" t="str">
        <f>IF(J55=57036,"ALEXANDRE DA COSTA SOARES",IF(J55=24157,"JOSE MAURICIO GOMES TEIXEIRA",IF(J55=24203,"JOSE MAURICIO GOMES TEIXEIRA",IF(J55=24149,"CHRISTIANO MARCONDES DE BARROS LIMA",IF(J55=24137,"CHRISTIANO MARCONDES DE BARROS LIMA",IF(J55=135152,"ENRICO BORTPLUZO CASSIANO",IF(J55=136568,"ENRICO BORTPLUZO CASSIANO", IF(J55=130976,"MARYLIA CARVALHO PONCE",IF(J55=136668,"ALEXANDRE DA COSTA SOARES",IF(J55=52340,"OFFSHORE LISTED",IF(J55=158778,"CLAUDIO DE SOUZA PACINI",IF(J55=159800,"CLAUDIO DE SOUZA PACINI",_xlfn.XLOOKUP(J55,[1]!Tabela33[ID ORACLE],[1]!Tabela33[BROKER],0,0,1)))))))))))))</f>
        <v>RODRIGO BETTI MARQUES</v>
      </c>
      <c r="E55" s="22">
        <f t="shared" si="6"/>
        <v>-13410.513330189002</v>
      </c>
      <c r="F55" s="9" t="str">
        <f t="shared" si="7"/>
        <v>BLOOMBERG</v>
      </c>
      <c r="G55" s="20">
        <f t="shared" si="2"/>
        <v>46082</v>
      </c>
      <c r="H55" s="23">
        <v>1170</v>
      </c>
      <c r="J55" s="41">
        <v>131299</v>
      </c>
      <c r="K55" s="1" t="s">
        <v>41</v>
      </c>
      <c r="L55" s="1" t="s">
        <v>12</v>
      </c>
      <c r="M55" s="29">
        <v>2569.3591850000003</v>
      </c>
      <c r="N55" s="2"/>
      <c r="O55" s="1"/>
      <c r="P55" s="26"/>
      <c r="Q55" s="27"/>
      <c r="R55" s="26"/>
      <c r="S55" s="27"/>
      <c r="T55" s="26"/>
      <c r="U55" s="27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customFormat="1" ht="15" customHeight="1" x14ac:dyDescent="0.25">
      <c r="A56" s="9" t="str">
        <f t="shared" si="3"/>
        <v>CUSTO MARKET DATA - MARÇO/26-BLOOMBERG-132975</v>
      </c>
      <c r="B56" s="20">
        <v>46082</v>
      </c>
      <c r="C56" s="21">
        <v>817393</v>
      </c>
      <c r="D56" s="9" t="str">
        <f>IF(J56=57036,"ALEXANDRE DA COSTA SOARES",IF(J56=24157,"JOSE MAURICIO GOMES TEIXEIRA",IF(J56=24203,"JOSE MAURICIO GOMES TEIXEIRA",IF(J56=24149,"CHRISTIANO MARCONDES DE BARROS LIMA",IF(J56=24137,"CHRISTIANO MARCONDES DE BARROS LIMA",IF(J56=135152,"ENRICO BORTPLUZO CASSIANO",IF(J56=136568,"ENRICO BORTPLUZO CASSIANO", IF(J56=130976,"MARYLIA CARVALHO PONCE",IF(J56=136668,"ALEXANDRE DA COSTA SOARES",IF(J56=52340,"OFFSHORE LISTED",IF(J56=158778,"CLAUDIO DE SOUZA PACINI",IF(J56=159800,"CLAUDIO DE SOUZA PACINI",_xlfn.XLOOKUP(J56,[1]!Tabela33[ID ORACLE],[1]!Tabela33[BROKER],0,0,1)))))))))))))</f>
        <v>MATHEUS NACIF NESRALLAH</v>
      </c>
      <c r="E56" s="22">
        <f t="shared" si="6"/>
        <v>-52.194000000000003</v>
      </c>
      <c r="F56" s="9" t="str">
        <f t="shared" si="7"/>
        <v>BLOOMBERG</v>
      </c>
      <c r="G56" s="20">
        <f t="shared" si="2"/>
        <v>46082</v>
      </c>
      <c r="H56" s="23">
        <v>1170</v>
      </c>
      <c r="J56" s="41">
        <v>132975</v>
      </c>
      <c r="K56" s="1" t="s">
        <v>41</v>
      </c>
      <c r="L56" s="1" t="s">
        <v>12</v>
      </c>
      <c r="M56" s="29">
        <v>10</v>
      </c>
      <c r="N56" s="2"/>
      <c r="O56" s="1"/>
      <c r="P56" s="26"/>
      <c r="Q56" s="27"/>
      <c r="R56" s="26"/>
      <c r="S56" s="27"/>
      <c r="T56" s="26"/>
      <c r="U56" s="27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customFormat="1" ht="15" hidden="1" customHeight="1" x14ac:dyDescent="0.25">
      <c r="A57" s="9" t="str">
        <f t="shared" si="3"/>
        <v>CUSTO MARKET DATA - MARÇO/26-REFINITIV-132975</v>
      </c>
      <c r="B57" s="20">
        <v>46082</v>
      </c>
      <c r="C57" s="21">
        <v>817393</v>
      </c>
      <c r="D57" s="9" t="str">
        <f>IF(J57=57036,"ALEXANDRE DA COSTA SOARES",IF(J57=24157,"JOSE MAURICIO GOMES TEIXEIRA",IF(J57=24203,"JOSE MAURICIO GOMES TEIXEIRA",IF(J57=24149,"CHRISTIANO MARCONDES DE BARROS LIMA",IF(J57=24137,"CHRISTIANO MARCONDES DE BARROS LIMA",IF(J57=135152,"ENRICO BORTPLUZO CASSIANO",IF(J57=136568,"ENRICO BORTPLUZO CASSIANO", IF(J57=130976,"MARYLIA CARVALHO PONCE",IF(J57=136668,"ALEXANDRE DA COSTA SOARES",IF(J57=52340,"OFFSHORE LISTED",IF(J57=158778,"CLAUDIO DE SOUZA PACINI",IF(J57=159800,"CLAUDIO DE SOUZA PACINI",_xlfn.XLOOKUP(J57,[1]!Tabela33[ID ORACLE],[1]!Tabela33[BROKER],0,0,1)))))))))))))</f>
        <v>MATHEUS NACIF NESRALLAH</v>
      </c>
      <c r="E57" s="22">
        <f t="shared" si="6"/>
        <v>-142.3544924064</v>
      </c>
      <c r="F57" s="9" t="str">
        <f t="shared" si="7"/>
        <v>REFINITIV</v>
      </c>
      <c r="G57" s="20">
        <f t="shared" si="2"/>
        <v>46082</v>
      </c>
      <c r="H57" s="23">
        <v>1170</v>
      </c>
      <c r="J57" s="41">
        <v>132975</v>
      </c>
      <c r="K57" s="1" t="s">
        <v>42</v>
      </c>
      <c r="L57" s="1" t="s">
        <v>17</v>
      </c>
      <c r="M57" s="29">
        <v>20.685648</v>
      </c>
      <c r="N57" s="2"/>
      <c r="O57" s="1"/>
      <c r="P57" s="26"/>
      <c r="Q57" s="27"/>
      <c r="R57" s="26"/>
      <c r="S57" s="27"/>
      <c r="T57" s="26"/>
      <c r="U57" s="27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customFormat="1" ht="15" customHeight="1" x14ac:dyDescent="0.25">
      <c r="A58" s="9" t="str">
        <f t="shared" si="3"/>
        <v>CUSTO MARKET DATA - MARÇO/26-BLOOMBERG-133842</v>
      </c>
      <c r="B58" s="20">
        <v>46082</v>
      </c>
      <c r="C58" s="21">
        <v>817393</v>
      </c>
      <c r="D58" s="9" t="str">
        <f>IF(J58=57036,"ALEXANDRE DA COSTA SOARES",IF(J58=24157,"JOSE MAURICIO GOMES TEIXEIRA",IF(J58=24203,"JOSE MAURICIO GOMES TEIXEIRA",IF(J58=24149,"CHRISTIANO MARCONDES DE BARROS LIMA",IF(J58=24137,"CHRISTIANO MARCONDES DE BARROS LIMA",IF(J58=135152,"ENRICO BORTPLUZO CASSIANO",IF(J58=136568,"ENRICO BORTPLUZO CASSIANO", IF(J58=130976,"MARYLIA CARVALHO PONCE",IF(J58=136668,"ALEXANDRE DA COSTA SOARES",IF(J58=52340,"OFFSHORE LISTED",IF(J58=158778,"CLAUDIO DE SOUZA PACINI",IF(J58=159800,"CLAUDIO DE SOUZA PACINI",_xlfn.XLOOKUP(J58,[1]!Tabela33[ID ORACLE],[1]!Tabela33[BROKER],0,0,1)))))))))))))</f>
        <v>FELIPE GOMES BASILE</v>
      </c>
      <c r="E58" s="22">
        <f t="shared" si="6"/>
        <v>-11799.284550189001</v>
      </c>
      <c r="F58" s="9" t="str">
        <f t="shared" si="7"/>
        <v>BLOOMBERG</v>
      </c>
      <c r="G58" s="20">
        <f t="shared" si="2"/>
        <v>46082</v>
      </c>
      <c r="H58" s="23">
        <v>1170</v>
      </c>
      <c r="J58" s="41">
        <v>133842</v>
      </c>
      <c r="K58" s="1" t="s">
        <v>41</v>
      </c>
      <c r="L58" s="1" t="s">
        <v>12</v>
      </c>
      <c r="M58" s="29">
        <v>2260.659185</v>
      </c>
      <c r="N58" s="2"/>
      <c r="O58" s="1"/>
      <c r="P58" s="26"/>
      <c r="Q58" s="27"/>
      <c r="R58" s="26"/>
      <c r="S58" s="27"/>
      <c r="T58" s="26"/>
      <c r="U58" s="27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hidden="1" customHeight="1" x14ac:dyDescent="0.25">
      <c r="A59" s="9" t="str">
        <f t="shared" si="3"/>
        <v>CUSTO MARKET DATA - MARÇO/26-REFINITIV-133842</v>
      </c>
      <c r="B59" s="20">
        <v>46082</v>
      </c>
      <c r="C59" s="21">
        <v>817393</v>
      </c>
      <c r="D59" s="9" t="str">
        <f>IF(J59=57036,"ALEXANDRE DA COSTA SOARES",IF(J59=24157,"JOSE MAURICIO GOMES TEIXEIRA",IF(J59=24203,"JOSE MAURICIO GOMES TEIXEIRA",IF(J59=24149,"CHRISTIANO MARCONDES DE BARROS LIMA",IF(J59=24137,"CHRISTIANO MARCONDES DE BARROS LIMA",IF(J59=135152,"ENRICO BORTPLUZO CASSIANO",IF(J59=136568,"ENRICO BORTPLUZO CASSIANO", IF(J59=130976,"MARYLIA CARVALHO PONCE",IF(J59=136668,"ALEXANDRE DA COSTA SOARES",IF(J59=52340,"OFFSHORE LISTED",IF(J59=158778,"CLAUDIO DE SOUZA PACINI",IF(J59=159800,"CLAUDIO DE SOUZA PACINI",_xlfn.XLOOKUP(J59,[1]!Tabela33[ID ORACLE],[1]!Tabela33[BROKER],0,0,1)))))))))))))</f>
        <v>FELIPE GOMES BASILE</v>
      </c>
      <c r="E59" s="22">
        <f t="shared" si="6"/>
        <v>-142.3544924064</v>
      </c>
      <c r="F59" s="9" t="str">
        <f t="shared" si="7"/>
        <v>REFINITIV</v>
      </c>
      <c r="G59" s="20">
        <f t="shared" si="2"/>
        <v>46082</v>
      </c>
      <c r="H59" s="23">
        <v>1170</v>
      </c>
      <c r="J59" s="41">
        <v>133842</v>
      </c>
      <c r="K59" s="1" t="s">
        <v>42</v>
      </c>
      <c r="L59" s="1" t="s">
        <v>17</v>
      </c>
      <c r="M59" s="29">
        <v>20.685648</v>
      </c>
      <c r="N59" s="2"/>
      <c r="Q59" s="27"/>
      <c r="S59" s="27"/>
      <c r="U59" s="27"/>
    </row>
    <row r="60" spans="1:78" ht="15" customHeight="1" x14ac:dyDescent="0.25">
      <c r="A60" s="9" t="str">
        <f t="shared" si="3"/>
        <v>CUSTO MARKET DATA - MARÇO/26-BLOOMBERG-134703</v>
      </c>
      <c r="B60" s="20">
        <v>46082</v>
      </c>
      <c r="C60" s="21">
        <v>817393</v>
      </c>
      <c r="D60" s="9" t="str">
        <f>IF(J60=57036,"ALEXANDRE DA COSTA SOARES",IF(J60=24157,"JOSE MAURICIO GOMES TEIXEIRA",IF(J60=24203,"JOSE MAURICIO GOMES TEIXEIRA",IF(J60=24149,"CHRISTIANO MARCONDES DE BARROS LIMA",IF(J60=24137,"CHRISTIANO MARCONDES DE BARROS LIMA",IF(J60=135152,"ENRICO BORTPLUZO CASSIANO",IF(J60=136568,"ENRICO BORTPLUZO CASSIANO", IF(J60=130976,"MARYLIA CARVALHO PONCE",IF(J60=136668,"ALEXANDRE DA COSTA SOARES",IF(J60=52340,"OFFSHORE LISTED",IF(J60=158778,"CLAUDIO DE SOUZA PACINI",IF(J60=159800,"CLAUDIO DE SOUZA PACINI",_xlfn.XLOOKUP(J60,[1]!Tabela33[ID ORACLE],[1]!Tabela33[BROKER],0,0,1)))))))))))))</f>
        <v>DANIELA VODOVOZ</v>
      </c>
      <c r="E60" s="22">
        <f t="shared" si="6"/>
        <v>-12388.554810189002</v>
      </c>
      <c r="F60" s="9" t="str">
        <f t="shared" si="7"/>
        <v>BLOOMBERG</v>
      </c>
      <c r="G60" s="20">
        <f t="shared" si="2"/>
        <v>46082</v>
      </c>
      <c r="H60" s="23">
        <v>1170</v>
      </c>
      <c r="J60" s="41">
        <v>134703</v>
      </c>
      <c r="K60" s="1" t="s">
        <v>41</v>
      </c>
      <c r="L60" s="1" t="s">
        <v>12</v>
      </c>
      <c r="M60" s="29">
        <v>2373.5591850000001</v>
      </c>
      <c r="N60" s="2"/>
      <c r="Q60" s="27"/>
      <c r="S60" s="27"/>
      <c r="U60" s="27"/>
    </row>
    <row r="61" spans="1:78" ht="15" hidden="1" customHeight="1" x14ac:dyDescent="0.25">
      <c r="A61" s="9" t="str">
        <f t="shared" si="3"/>
        <v>CUSTO MARKET DATA - MARÇO/26-FIDESSA-134703</v>
      </c>
      <c r="B61" s="20">
        <v>46082</v>
      </c>
      <c r="C61" s="21">
        <v>817393</v>
      </c>
      <c r="D61" s="9" t="str">
        <f>IF(J61=57036,"ALEXANDRE DA COSTA SOARES",IF(J61=24157,"JOSE MAURICIO GOMES TEIXEIRA",IF(J61=24203,"JOSE MAURICIO GOMES TEIXEIRA",IF(J61=24149,"CHRISTIANO MARCONDES DE BARROS LIMA",IF(J61=24137,"CHRISTIANO MARCONDES DE BARROS LIMA",IF(J61=135152,"ENRICO BORTPLUZO CASSIANO",IF(J61=136568,"ENRICO BORTPLUZO CASSIANO", IF(J61=130976,"MARYLIA CARVALHO PONCE",IF(J61=136668,"ALEXANDRE DA COSTA SOARES",IF(J61=52340,"OFFSHORE LISTED",IF(J61=158778,"CLAUDIO DE SOUZA PACINI",IF(J61=159800,"CLAUDIO DE SOUZA PACINI",_xlfn.XLOOKUP(J61,[1]!Tabela33[ID ORACLE],[1]!Tabela33[BROKER],0,0,1)))))))))))))</f>
        <v>DANIELA VODOVOZ</v>
      </c>
      <c r="E61" s="22">
        <f t="shared" si="6"/>
        <v>-4.4892737922000006</v>
      </c>
      <c r="F61" s="9" t="str">
        <f t="shared" si="7"/>
        <v>FIDESSA</v>
      </c>
      <c r="G61" s="20">
        <f t="shared" si="2"/>
        <v>46082</v>
      </c>
      <c r="H61" s="23">
        <v>1170</v>
      </c>
      <c r="J61" s="41">
        <v>134703</v>
      </c>
      <c r="K61" s="1" t="s">
        <v>47</v>
      </c>
      <c r="L61" s="1" t="s">
        <v>12</v>
      </c>
      <c r="M61" s="29">
        <v>0.86011300000000002</v>
      </c>
      <c r="N61" s="2"/>
      <c r="Q61" s="27"/>
      <c r="S61" s="27"/>
      <c r="U61" s="27"/>
    </row>
    <row r="62" spans="1:78" ht="15" hidden="1" customHeight="1" x14ac:dyDescent="0.25">
      <c r="A62" s="9" t="str">
        <f t="shared" si="3"/>
        <v>CUSTO MARKET DATA - MARÇO/26-NYSE MARKET INC.-134703</v>
      </c>
      <c r="B62" s="20">
        <v>46082</v>
      </c>
      <c r="C62" s="21">
        <v>817393</v>
      </c>
      <c r="D62" s="9" t="str">
        <f>IF(J62=57036,"ALEXANDRE DA COSTA SOARES",IF(J62=24157,"JOSE MAURICIO GOMES TEIXEIRA",IF(J62=24203,"JOSE MAURICIO GOMES TEIXEIRA",IF(J62=24149,"CHRISTIANO MARCONDES DE BARROS LIMA",IF(J62=24137,"CHRISTIANO MARCONDES DE BARROS LIMA",IF(J62=135152,"ENRICO BORTPLUZO CASSIANO",IF(J62=136568,"ENRICO BORTPLUZO CASSIANO", IF(J62=130976,"MARYLIA CARVALHO PONCE",IF(J62=136668,"ALEXANDRE DA COSTA SOARES",IF(J62=52340,"OFFSHORE LISTED",IF(J62=158778,"CLAUDIO DE SOUZA PACINI",IF(J62=159800,"CLAUDIO DE SOUZA PACINI",_xlfn.XLOOKUP(J62,[1]!Tabela33[ID ORACLE],[1]!Tabela33[BROKER],0,0,1)))))))))))))</f>
        <v>DANIELA VODOVOZ</v>
      </c>
      <c r="E62" s="22">
        <f t="shared" si="6"/>
        <v>-625.08839250000005</v>
      </c>
      <c r="F62" s="9" t="str">
        <f t="shared" si="7"/>
        <v>NYSE MARKET INC.</v>
      </c>
      <c r="G62" s="20">
        <f t="shared" si="2"/>
        <v>46082</v>
      </c>
      <c r="H62" s="23">
        <v>1170</v>
      </c>
      <c r="J62" s="41">
        <v>134703</v>
      </c>
      <c r="K62" s="1" t="s">
        <v>44</v>
      </c>
      <c r="L62" s="1" t="s">
        <v>12</v>
      </c>
      <c r="M62" s="29">
        <v>119.7625</v>
      </c>
      <c r="N62" s="2"/>
      <c r="Q62" s="27"/>
      <c r="S62" s="27"/>
      <c r="U62" s="27"/>
    </row>
    <row r="63" spans="1:78" ht="15" hidden="1" customHeight="1" x14ac:dyDescent="0.25">
      <c r="A63" s="9" t="str">
        <f t="shared" si="3"/>
        <v>CUSTO MARKET DATA - MARÇO/26-OPTIONS PRICE REPORTING AUTHORITY (OPRA)-134703</v>
      </c>
      <c r="B63" s="20">
        <v>46082</v>
      </c>
      <c r="C63" s="21">
        <v>817393</v>
      </c>
      <c r="D63" s="9" t="str">
        <f>IF(J63=57036,"ALEXANDRE DA COSTA SOARES",IF(J63=24157,"JOSE MAURICIO GOMES TEIXEIRA",IF(J63=24203,"JOSE MAURICIO GOMES TEIXEIRA",IF(J63=24149,"CHRISTIANO MARCONDES DE BARROS LIMA",IF(J63=24137,"CHRISTIANO MARCONDES DE BARROS LIMA",IF(J63=135152,"ENRICO BORTPLUZO CASSIANO",IF(J63=136568,"ENRICO BORTPLUZO CASSIANO", IF(J63=130976,"MARYLIA CARVALHO PONCE",IF(J63=136668,"ALEXANDRE DA COSTA SOARES",IF(J63=52340,"OFFSHORE LISTED",IF(J63=158778,"CLAUDIO DE SOUZA PACINI",IF(J63=159800,"CLAUDIO DE SOUZA PACINI",_xlfn.XLOOKUP(J63,[1]!Tabela33[ID ORACLE],[1]!Tabela33[BROKER],0,0,1)))))))))))))</f>
        <v>DANIELA VODOVOZ</v>
      </c>
      <c r="E63" s="22">
        <f t="shared" si="6"/>
        <v>-358.00517025000005</v>
      </c>
      <c r="F63" s="9" t="str">
        <f t="shared" si="7"/>
        <v>OPTIONS PRICE REPORTING AUTHORITY (OPRA)</v>
      </c>
      <c r="G63" s="20">
        <f t="shared" si="2"/>
        <v>46082</v>
      </c>
      <c r="H63" s="23">
        <v>1170</v>
      </c>
      <c r="J63" s="41">
        <v>134703</v>
      </c>
      <c r="K63" s="1" t="s">
        <v>45</v>
      </c>
      <c r="L63" s="1" t="s">
        <v>12</v>
      </c>
      <c r="M63" s="29">
        <v>68.591250000000002</v>
      </c>
      <c r="N63" s="2"/>
      <c r="Q63" s="27"/>
      <c r="S63" s="27"/>
      <c r="U63" s="27"/>
    </row>
    <row r="64" spans="1:78" ht="15" hidden="1" customHeight="1" x14ac:dyDescent="0.25">
      <c r="A64" s="9" t="str">
        <f t="shared" si="3"/>
        <v>CUSTO MARKET DATA - MARÇO/26-REFINITIV-135064</v>
      </c>
      <c r="B64" s="20">
        <v>46082</v>
      </c>
      <c r="C64" s="21">
        <v>817393</v>
      </c>
      <c r="D64" s="9" t="str">
        <f>IF(J64=57036,"ALEXANDRE DA COSTA SOARES",IF(J64=24157,"JOSE MAURICIO GOMES TEIXEIRA",IF(J64=24203,"JOSE MAURICIO GOMES TEIXEIRA",IF(J64=24149,"CHRISTIANO MARCONDES DE BARROS LIMA",IF(J64=24137,"CHRISTIANO MARCONDES DE BARROS LIMA",IF(J64=135152,"ENRICO BORTPLUZO CASSIANO",IF(J64=136568,"ENRICO BORTPLUZO CASSIANO", IF(J64=130976,"MARYLIA CARVALHO PONCE",IF(J64=136668,"ALEXANDRE DA COSTA SOARES",IF(J64=52340,"OFFSHORE LISTED",IF(J64=158778,"CLAUDIO DE SOUZA PACINI",IF(J64=159800,"CLAUDIO DE SOUZA PACINI",_xlfn.XLOOKUP(J64,[1]!Tabela33[ID ORACLE],[1]!Tabela33[BROKER],0,0,1)))))))))))))</f>
        <v>ENRICO BORTPLUZO CASSIANO</v>
      </c>
      <c r="E64" s="22">
        <f t="shared" si="6"/>
        <v>-142.3544924064</v>
      </c>
      <c r="F64" s="9" t="str">
        <f t="shared" si="7"/>
        <v>REFINITIV</v>
      </c>
      <c r="G64" s="20">
        <f t="shared" si="2"/>
        <v>46082</v>
      </c>
      <c r="H64" s="23">
        <v>1170</v>
      </c>
      <c r="J64" s="41">
        <v>135064</v>
      </c>
      <c r="K64" s="1" t="s">
        <v>42</v>
      </c>
      <c r="L64" s="1" t="s">
        <v>17</v>
      </c>
      <c r="M64" s="29">
        <v>20.685648</v>
      </c>
      <c r="N64" s="2"/>
      <c r="Q64" s="27"/>
      <c r="S64" s="27"/>
      <c r="U64" s="27"/>
    </row>
    <row r="65" spans="1:78" s="4" customFormat="1" ht="15" customHeight="1" x14ac:dyDescent="0.25">
      <c r="A65" s="9" t="str">
        <f t="shared" si="3"/>
        <v>CUSTO MARKET DATA - MARÇO/26-BLOOMBERG-135152</v>
      </c>
      <c r="B65" s="20">
        <v>46082</v>
      </c>
      <c r="C65" s="21">
        <v>817393</v>
      </c>
      <c r="D65" s="9" t="str">
        <f>IF(J65=57036,"ALEXANDRE DA COSTA SOARES",IF(J65=24157,"JOSE MAURICIO GOMES TEIXEIRA",IF(J65=24203,"JOSE MAURICIO GOMES TEIXEIRA",IF(J65=24149,"CHRISTIANO MARCONDES DE BARROS LIMA",IF(J65=24137,"CHRISTIANO MARCONDES DE BARROS LIMA",IF(J65=135152,"ENRICO BORTPLUZO CASSIANO",IF(J65=136568,"ENRICO BORTPLUZO CASSIANO", IF(J65=130976,"MARYLIA CARVALHO PONCE",IF(J65=136668,"ALEXANDRE DA COSTA SOARES",IF(J65=52340,"OFFSHORE LISTED",IF(J65=158778,"CLAUDIO DE SOUZA PACINI",IF(J65=159800,"CLAUDIO DE SOUZA PACINI",_xlfn.XLOOKUP(J65,[1]!Tabela33[ID ORACLE],[1]!Tabela33[BROKER],0,0,1)))))))))))))</f>
        <v>ENRICO BORTPLUZO CASSIANO</v>
      </c>
      <c r="E65" s="22">
        <f t="shared" si="6"/>
        <v>-12547.746510189001</v>
      </c>
      <c r="F65" s="9" t="str">
        <f t="shared" si="7"/>
        <v>BLOOMBERG</v>
      </c>
      <c r="G65" s="20">
        <f t="shared" si="2"/>
        <v>46082</v>
      </c>
      <c r="H65" s="23">
        <v>1170</v>
      </c>
      <c r="I65"/>
      <c r="J65" s="41">
        <v>135152</v>
      </c>
      <c r="K65" s="1" t="s">
        <v>41</v>
      </c>
      <c r="L65" s="1" t="s">
        <v>12</v>
      </c>
      <c r="M65" s="29">
        <v>2404.0591850000001</v>
      </c>
      <c r="N65" s="2"/>
      <c r="O65" s="1"/>
      <c r="P65" s="26"/>
      <c r="Q65" s="27"/>
      <c r="R65" s="26"/>
      <c r="S65" s="27"/>
      <c r="T65" s="26"/>
      <c r="U65" s="27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s="4" customFormat="1" ht="15" hidden="1" customHeight="1" x14ac:dyDescent="0.25">
      <c r="A66" s="9" t="str">
        <f t="shared" si="3"/>
        <v>CUSTO MARKET DATA - MARÇO/26-REFINITIV-136568</v>
      </c>
      <c r="B66" s="20">
        <v>46082</v>
      </c>
      <c r="C66" s="21">
        <v>817393</v>
      </c>
      <c r="D66" s="9" t="str">
        <f>IF(J66=57036,"ALEXANDRE DA COSTA SOARES",IF(J66=24157,"JOSE MAURICIO GOMES TEIXEIRA",IF(J66=24203,"JOSE MAURICIO GOMES TEIXEIRA",IF(J66=24149,"CHRISTIANO MARCONDES DE BARROS LIMA",IF(J66=24137,"CHRISTIANO MARCONDES DE BARROS LIMA",IF(J66=135152,"ENRICO BORTPLUZO CASSIANO",IF(J66=136568,"ENRICO BORTPLUZO CASSIANO", IF(J66=130976,"MARYLIA CARVALHO PONCE",IF(J66=136668,"ALEXANDRE DA COSTA SOARES",IF(J66=52340,"OFFSHORE LISTED",IF(J66=158778,"CLAUDIO DE SOUZA PACINI",IF(J66=159800,"CLAUDIO DE SOUZA PACINI",_xlfn.XLOOKUP(J66,[1]!Tabela33[ID ORACLE],[1]!Tabela33[BROKER],0,0,1)))))))))))))</f>
        <v>ENRICO BORTPLUZO CASSIANO</v>
      </c>
      <c r="E66" s="22">
        <f t="shared" si="6"/>
        <v>-142.3544924064</v>
      </c>
      <c r="F66" s="9" t="str">
        <f t="shared" si="7"/>
        <v>REFINITIV</v>
      </c>
      <c r="G66" s="20">
        <f t="shared" ref="G66:G129" si="8">B66</f>
        <v>46082</v>
      </c>
      <c r="H66" s="23">
        <v>1170</v>
      </c>
      <c r="I66"/>
      <c r="J66" s="41">
        <v>136568</v>
      </c>
      <c r="K66" s="1" t="s">
        <v>42</v>
      </c>
      <c r="L66" s="1" t="s">
        <v>17</v>
      </c>
      <c r="M66" s="29">
        <v>20.685648</v>
      </c>
      <c r="N66" s="2"/>
      <c r="O66" s="1"/>
      <c r="P66" s="26"/>
      <c r="Q66" s="27"/>
      <c r="R66" s="26"/>
      <c r="S66" s="27"/>
      <c r="T66" s="26"/>
      <c r="U66" s="27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hidden="1" customHeight="1" x14ac:dyDescent="0.25">
      <c r="A67" s="9" t="str">
        <f t="shared" si="3"/>
        <v>CUSTO MARKET DATA - MARÇO/26-OPTIONS PRICE REPORTING AUTHORITY (OPRA)-136668</v>
      </c>
      <c r="B67" s="20">
        <v>46082</v>
      </c>
      <c r="C67" s="21">
        <v>817393</v>
      </c>
      <c r="D67" s="9" t="str">
        <f>IF(J67=57036,"ALEXANDRE DA COSTA SOARES",IF(J67=24157,"JOSE MAURICIO GOMES TEIXEIRA",IF(J67=24203,"JOSE MAURICIO GOMES TEIXEIRA",IF(J67=24149,"CHRISTIANO MARCONDES DE BARROS LIMA",IF(J67=24137,"CHRISTIANO MARCONDES DE BARROS LIMA",IF(J67=135152,"ENRICO BORTPLUZO CASSIANO",IF(J67=136568,"ENRICO BORTPLUZO CASSIANO", IF(J67=130976,"MARYLIA CARVALHO PONCE",IF(J67=136668,"ALEXANDRE DA COSTA SOARES",IF(J67=52340,"OFFSHORE LISTED",IF(J67=158778,"CLAUDIO DE SOUZA PACINI",IF(J67=159800,"CLAUDIO DE SOUZA PACINI",_xlfn.XLOOKUP(J67,[1]!Tabela33[ID ORACLE],[1]!Tabela33[BROKER],0,0,1)))))))))))))</f>
        <v>ALEXANDRE DA COSTA SOARES</v>
      </c>
      <c r="E67" s="22">
        <f t="shared" si="6"/>
        <v>-164.4111</v>
      </c>
      <c r="F67" s="9" t="str">
        <f t="shared" si="7"/>
        <v>OPTIONS PRICE REPORTING AUTHORITY (OPRA)</v>
      </c>
      <c r="G67" s="20">
        <f t="shared" si="8"/>
        <v>46082</v>
      </c>
      <c r="H67" s="23">
        <v>1170</v>
      </c>
      <c r="J67" s="41">
        <v>136668</v>
      </c>
      <c r="K67" s="1" t="s">
        <v>45</v>
      </c>
      <c r="L67" s="1" t="s">
        <v>12</v>
      </c>
      <c r="M67" s="29">
        <v>31.5</v>
      </c>
      <c r="N67" s="2"/>
      <c r="Q67" s="27"/>
      <c r="S67" s="27"/>
      <c r="U67" s="27"/>
    </row>
    <row r="68" spans="1:78" ht="15" hidden="1" customHeight="1" x14ac:dyDescent="0.25">
      <c r="A68" s="9" t="str">
        <f t="shared" si="3"/>
        <v>CUSTO MARKET DATA - MARÇO/26-REFINITIV-136668</v>
      </c>
      <c r="B68" s="20">
        <v>46082</v>
      </c>
      <c r="C68" s="21">
        <v>817393</v>
      </c>
      <c r="D68" s="9" t="str">
        <f>IF(J68=57036,"ALEXANDRE DA COSTA SOARES",IF(J68=24157,"JOSE MAURICIO GOMES TEIXEIRA",IF(J68=24203,"JOSE MAURICIO GOMES TEIXEIRA",IF(J68=24149,"CHRISTIANO MARCONDES DE BARROS LIMA",IF(J68=24137,"CHRISTIANO MARCONDES DE BARROS LIMA",IF(J68=135152,"ENRICO BORTPLUZO CASSIANO",IF(J68=136568,"ENRICO BORTPLUZO CASSIANO", IF(J68=130976,"MARYLIA CARVALHO PONCE",IF(J68=136668,"ALEXANDRE DA COSTA SOARES",IF(J68=52340,"OFFSHORE LISTED",IF(J68=158778,"CLAUDIO DE SOUZA PACINI",IF(J68=159800,"CLAUDIO DE SOUZA PACINI",_xlfn.XLOOKUP(J68,[1]!Tabela33[ID ORACLE],[1]!Tabela33[BROKER],0,0,1)))))))))))))</f>
        <v>ALEXANDRE DA COSTA SOARES</v>
      </c>
      <c r="E68" s="22">
        <f t="shared" si="6"/>
        <v>-142.3544924064</v>
      </c>
      <c r="F68" s="9" t="str">
        <f t="shared" si="7"/>
        <v>REFINITIV</v>
      </c>
      <c r="G68" s="20">
        <f t="shared" si="8"/>
        <v>46082</v>
      </c>
      <c r="H68" s="23">
        <v>1170</v>
      </c>
      <c r="J68" s="41">
        <v>136668</v>
      </c>
      <c r="K68" s="1" t="s">
        <v>42</v>
      </c>
      <c r="L68" s="1" t="s">
        <v>17</v>
      </c>
      <c r="M68" s="29">
        <v>20.685648</v>
      </c>
      <c r="N68" s="2"/>
      <c r="Q68" s="27"/>
      <c r="S68" s="27"/>
      <c r="U68" s="27"/>
    </row>
    <row r="69" spans="1:78" ht="15" hidden="1" customHeight="1" x14ac:dyDescent="0.25">
      <c r="A69" s="9" t="str">
        <f t="shared" si="3"/>
        <v>CUSTO MARKET DATA - MARÇO/26-SYMPHONY COMMUNICATION SERVICES, LLC-136668</v>
      </c>
      <c r="B69" s="20">
        <v>46082</v>
      </c>
      <c r="C69" s="21">
        <v>817393</v>
      </c>
      <c r="D69" s="9" t="str">
        <f>IF(J69=57036,"ALEXANDRE DA COSTA SOARES",IF(J69=24157,"JOSE MAURICIO GOMES TEIXEIRA",IF(J69=24203,"JOSE MAURICIO GOMES TEIXEIRA",IF(J69=24149,"CHRISTIANO MARCONDES DE BARROS LIMA",IF(J69=24137,"CHRISTIANO MARCONDES DE BARROS LIMA",IF(J69=135152,"ENRICO BORTPLUZO CASSIANO",IF(J69=136568,"ENRICO BORTPLUZO CASSIANO", IF(J69=130976,"MARYLIA CARVALHO PONCE",IF(J69=136668,"ALEXANDRE DA COSTA SOARES",IF(J69=52340,"OFFSHORE LISTED",IF(J69=158778,"CLAUDIO DE SOUZA PACINI",IF(J69=159800,"CLAUDIO DE SOUZA PACINI",_xlfn.XLOOKUP(J69,[1]!Tabela33[ID ORACLE],[1]!Tabela33[BROKER],0,0,1)))))))))))))</f>
        <v>ALEXANDRE DA COSTA SOARES</v>
      </c>
      <c r="E69" s="22">
        <f t="shared" si="6"/>
        <v>-130.70030025000003</v>
      </c>
      <c r="F69" s="9" t="str">
        <f t="shared" si="7"/>
        <v>SYMPHONY COMMUNICATION SERVICES, LLC</v>
      </c>
      <c r="G69" s="20">
        <f t="shared" si="8"/>
        <v>46082</v>
      </c>
      <c r="H69" s="23">
        <v>1170</v>
      </c>
      <c r="J69" s="41">
        <v>136668</v>
      </c>
      <c r="K69" s="1" t="s">
        <v>50</v>
      </c>
      <c r="L69" s="1" t="s">
        <v>12</v>
      </c>
      <c r="M69" s="29">
        <v>25.041250000000002</v>
      </c>
      <c r="N69" s="2"/>
      <c r="Q69" s="27"/>
      <c r="S69" s="27"/>
      <c r="U69" s="27"/>
    </row>
    <row r="70" spans="1:78" ht="15" customHeight="1" x14ac:dyDescent="0.25">
      <c r="A70" s="9" t="str">
        <f t="shared" si="3"/>
        <v>CUSTO MARKET DATA - MARÇO/26-BLOOMBERG-137478</v>
      </c>
      <c r="B70" s="20">
        <v>46082</v>
      </c>
      <c r="C70" s="21">
        <v>817393</v>
      </c>
      <c r="D70" s="9" t="str">
        <f>IF(J70=57036,"ALEXANDRE DA COSTA SOARES",IF(J70=24157,"JOSE MAURICIO GOMES TEIXEIRA",IF(J70=24203,"JOSE MAURICIO GOMES TEIXEIRA",IF(J70=24149,"CHRISTIANO MARCONDES DE BARROS LIMA",IF(J70=24137,"CHRISTIANO MARCONDES DE BARROS LIMA",IF(J70=135152,"ENRICO BORTPLUZO CASSIANO",IF(J70=136568,"ENRICO BORTPLUZO CASSIANO", IF(J70=130976,"MARYLIA CARVALHO PONCE",IF(J70=136668,"ALEXANDRE DA COSTA SOARES",IF(J70=52340,"OFFSHORE LISTED",IF(J70=158778,"CLAUDIO DE SOUZA PACINI",IF(J70=159800,"CLAUDIO DE SOUZA PACINI",_xlfn.XLOOKUP(J70,[1]!Tabela33[ID ORACLE],[1]!Tabela33[BROKER],0,0,1)))))))))))))</f>
        <v>ALEXANDRE BRENO STEVENS</v>
      </c>
      <c r="E70" s="22">
        <f t="shared" si="6"/>
        <v>-9440.8214600436022</v>
      </c>
      <c r="F70" s="9" t="str">
        <f t="shared" si="7"/>
        <v>BLOOMBERG</v>
      </c>
      <c r="G70" s="20">
        <f t="shared" si="8"/>
        <v>46082</v>
      </c>
      <c r="H70" s="23">
        <v>1170</v>
      </c>
      <c r="J70" s="41">
        <v>137478</v>
      </c>
      <c r="K70" s="1" t="s">
        <v>41</v>
      </c>
      <c r="L70" s="1" t="s">
        <v>12</v>
      </c>
      <c r="M70" s="29">
        <v>1808.7943940000002</v>
      </c>
      <c r="N70" s="2"/>
      <c r="Q70" s="27"/>
      <c r="S70" s="27"/>
      <c r="U70" s="27"/>
    </row>
    <row r="71" spans="1:78" ht="15" customHeight="1" x14ac:dyDescent="0.25">
      <c r="A71" s="9" t="str">
        <f t="shared" si="3"/>
        <v>CUSTO MARKET DATA - MARÇO/26-BLOOMBERG-139345</v>
      </c>
      <c r="B71" s="20">
        <v>46082</v>
      </c>
      <c r="C71" s="21">
        <v>817393</v>
      </c>
      <c r="D71" s="9" t="str">
        <f>IF(J71=57036,"ALEXANDRE DA COSTA SOARES",IF(J71=24157,"JOSE MAURICIO GOMES TEIXEIRA",IF(J71=24203,"JOSE MAURICIO GOMES TEIXEIRA",IF(J71=24149,"CHRISTIANO MARCONDES DE BARROS LIMA",IF(J71=24137,"CHRISTIANO MARCONDES DE BARROS LIMA",IF(J71=135152,"ENRICO BORTPLUZO CASSIANO",IF(J71=136568,"ENRICO BORTPLUZO CASSIANO", IF(J71=130976,"MARYLIA CARVALHO PONCE",IF(J71=136668,"ALEXANDRE DA COSTA SOARES",IF(J71=52340,"OFFSHORE LISTED",IF(J71=158778,"CLAUDIO DE SOUZA PACINI",IF(J71=159800,"CLAUDIO DE SOUZA PACINI",_xlfn.XLOOKUP(J71,[1]!Tabela33[ID ORACLE],[1]!Tabela33[BROKER],0,0,1)))))))))))))</f>
        <v>FELIPE MEIRELLES RACCAH</v>
      </c>
      <c r="E71" s="22">
        <f t="shared" si="6"/>
        <v>-12388.554810189002</v>
      </c>
      <c r="F71" s="9" t="str">
        <f t="shared" si="7"/>
        <v>BLOOMBERG</v>
      </c>
      <c r="G71" s="20">
        <f t="shared" si="8"/>
        <v>46082</v>
      </c>
      <c r="H71" s="23">
        <v>1170</v>
      </c>
      <c r="J71" s="41">
        <v>139345</v>
      </c>
      <c r="K71" s="1" t="s">
        <v>41</v>
      </c>
      <c r="L71" s="1" t="s">
        <v>12</v>
      </c>
      <c r="M71" s="29">
        <v>2373.5591850000001</v>
      </c>
      <c r="N71" s="2"/>
      <c r="Q71" s="27"/>
      <c r="S71" s="27"/>
      <c r="U71" s="27"/>
    </row>
    <row r="72" spans="1:78" ht="15" customHeight="1" x14ac:dyDescent="0.25">
      <c r="A72" s="9" t="str">
        <f t="shared" si="3"/>
        <v>CUSTO MARKET DATA - MARÇO/26-BLOOMBERG-141745</v>
      </c>
      <c r="B72" s="20">
        <v>46082</v>
      </c>
      <c r="C72" s="21">
        <v>817393</v>
      </c>
      <c r="D72" s="9" t="str">
        <f>IF(J72=57036,"ALEXANDRE DA COSTA SOARES",IF(J72=24157,"JOSE MAURICIO GOMES TEIXEIRA",IF(J72=24203,"JOSE MAURICIO GOMES TEIXEIRA",IF(J72=24149,"CHRISTIANO MARCONDES DE BARROS LIMA",IF(J72=24137,"CHRISTIANO MARCONDES DE BARROS LIMA",IF(J72=135152,"ENRICO BORTPLUZO CASSIANO",IF(J72=136568,"ENRICO BORTPLUZO CASSIANO", IF(J72=130976,"MARYLIA CARVALHO PONCE",IF(J72=136668,"ALEXANDRE DA COSTA SOARES",IF(J72=52340,"OFFSHORE LISTED",IF(J72=158778,"CLAUDIO DE SOUZA PACINI",IF(J72=159800,"CLAUDIO DE SOUZA PACINI",_xlfn.XLOOKUP(J72,[1]!Tabela33[ID ORACLE],[1]!Tabela33[BROKER],0,0,1)))))))))))))</f>
        <v>EDRAS DURAES D ANUNCIACAO</v>
      </c>
      <c r="E72" s="22">
        <f t="shared" si="6"/>
        <v>-11631.741810189002</v>
      </c>
      <c r="F72" s="9" t="str">
        <f t="shared" si="7"/>
        <v>BLOOMBERG</v>
      </c>
      <c r="G72" s="20">
        <f t="shared" si="8"/>
        <v>46082</v>
      </c>
      <c r="H72" s="23">
        <v>1170</v>
      </c>
      <c r="J72" s="41">
        <v>141745</v>
      </c>
      <c r="K72" s="1" t="s">
        <v>41</v>
      </c>
      <c r="L72" s="1" t="s">
        <v>12</v>
      </c>
      <c r="M72" s="29">
        <v>2228.5591850000001</v>
      </c>
      <c r="N72" s="2"/>
      <c r="Q72" s="27"/>
      <c r="S72" s="27"/>
      <c r="U72" s="27"/>
    </row>
    <row r="73" spans="1:78" ht="15" customHeight="1" x14ac:dyDescent="0.25">
      <c r="A73" s="9" t="str">
        <f t="shared" si="3"/>
        <v>CUSTO MARKET DATA - MARÇO/26-BLOOMBERG-142760</v>
      </c>
      <c r="B73" s="20">
        <v>46082</v>
      </c>
      <c r="C73" s="21">
        <v>817393</v>
      </c>
      <c r="D73" s="9" t="str">
        <f>IF(J73=57036,"ALEXANDRE DA COSTA SOARES",IF(J73=24157,"JOSE MAURICIO GOMES TEIXEIRA",IF(J73=24203,"JOSE MAURICIO GOMES TEIXEIRA",IF(J73=24149,"CHRISTIANO MARCONDES DE BARROS LIMA",IF(J73=24137,"CHRISTIANO MARCONDES DE BARROS LIMA",IF(J73=135152,"ENRICO BORTPLUZO CASSIANO",IF(J73=136568,"ENRICO BORTPLUZO CASSIANO", IF(J73=130976,"MARYLIA CARVALHO PONCE",IF(J73=136668,"ALEXANDRE DA COSTA SOARES",IF(J73=52340,"OFFSHORE LISTED",IF(J73=158778,"CLAUDIO DE SOUZA PACINI",IF(J73=159800,"CLAUDIO DE SOUZA PACINI",_xlfn.XLOOKUP(J73,[1]!Tabela33[ID ORACLE],[1]!Tabela33[BROKER],0,0,1)))))))))))))</f>
        <v>CARLOS THADEU DE FREITAS GOMES FILHO</v>
      </c>
      <c r="E73" s="22">
        <f t="shared" si="6"/>
        <v>-12547.746510189001</v>
      </c>
      <c r="F73" s="9" t="str">
        <f t="shared" si="7"/>
        <v>BLOOMBERG</v>
      </c>
      <c r="G73" s="20">
        <f t="shared" si="8"/>
        <v>46082</v>
      </c>
      <c r="H73" s="23">
        <v>1170</v>
      </c>
      <c r="J73" s="41">
        <v>142760</v>
      </c>
      <c r="K73" s="1" t="s">
        <v>41</v>
      </c>
      <c r="L73" s="1" t="s">
        <v>12</v>
      </c>
      <c r="M73" s="29">
        <v>2404.0591850000001</v>
      </c>
      <c r="N73" s="2"/>
      <c r="Q73" s="27"/>
      <c r="S73" s="27"/>
      <c r="U73" s="27"/>
    </row>
    <row r="74" spans="1:78" ht="15" customHeight="1" x14ac:dyDescent="0.25">
      <c r="A74" s="9" t="str">
        <f t="shared" si="3"/>
        <v>CUSTO MARKET DATA - MARÇO/26-BLOOMBERG-150588</v>
      </c>
      <c r="B74" s="20">
        <v>46082</v>
      </c>
      <c r="C74" s="21">
        <v>817393</v>
      </c>
      <c r="D74" s="9" t="str">
        <f>IF(J74=57036,"ALEXANDRE DA COSTA SOARES",IF(J74=24157,"JOSE MAURICIO GOMES TEIXEIRA",IF(J74=24203,"JOSE MAURICIO GOMES TEIXEIRA",IF(J74=24149,"CHRISTIANO MARCONDES DE BARROS LIMA",IF(J74=24137,"CHRISTIANO MARCONDES DE BARROS LIMA",IF(J74=135152,"ENRICO BORTPLUZO CASSIANO",IF(J74=136568,"ENRICO BORTPLUZO CASSIANO", IF(J74=130976,"MARYLIA CARVALHO PONCE",IF(J74=136668,"ALEXANDRE DA COSTA SOARES",IF(J74=52340,"OFFSHORE LISTED",IF(J74=158778,"CLAUDIO DE SOUZA PACINI",IF(J74=159800,"CLAUDIO DE SOUZA PACINI",_xlfn.XLOOKUP(J74,[1]!Tabela33[ID ORACLE],[1]!Tabela33[BROKER],0,0,1)))))))))))))</f>
        <v>PAULO GUILHERME MENEZES FELIX</v>
      </c>
      <c r="E74" s="22">
        <f t="shared" si="6"/>
        <v>-52.194000000000003</v>
      </c>
      <c r="F74" s="9" t="str">
        <f t="shared" si="7"/>
        <v>BLOOMBERG</v>
      </c>
      <c r="G74" s="20">
        <f t="shared" si="8"/>
        <v>46082</v>
      </c>
      <c r="H74" s="23">
        <v>1170</v>
      </c>
      <c r="J74" s="41">
        <v>150588</v>
      </c>
      <c r="K74" s="1" t="s">
        <v>41</v>
      </c>
      <c r="L74" s="1" t="s">
        <v>12</v>
      </c>
      <c r="M74" s="29">
        <v>10</v>
      </c>
      <c r="N74" s="2"/>
      <c r="Q74" s="27"/>
      <c r="S74" s="27"/>
      <c r="U74" s="27"/>
    </row>
    <row r="75" spans="1:78" ht="15" customHeight="1" x14ac:dyDescent="0.25">
      <c r="A75" s="9" t="str">
        <f t="shared" si="3"/>
        <v>CUSTO MARKET DATA - MARÇO/26-BLOOMBERG-152836</v>
      </c>
      <c r="B75" s="20">
        <v>46082</v>
      </c>
      <c r="C75" s="21">
        <v>817393</v>
      </c>
      <c r="D75" s="9" t="str">
        <f>IF(J75=57036,"ALEXANDRE DA COSTA SOARES",IF(J75=24157,"JOSE MAURICIO GOMES TEIXEIRA",IF(J75=24203,"JOSE MAURICIO GOMES TEIXEIRA",IF(J75=24149,"CHRISTIANO MARCONDES DE BARROS LIMA",IF(J75=24137,"CHRISTIANO MARCONDES DE BARROS LIMA",IF(J75=135152,"ENRICO BORTPLUZO CASSIANO",IF(J75=136568,"ENRICO BORTPLUZO CASSIANO", IF(J75=130976,"MARYLIA CARVALHO PONCE",IF(J75=136668,"ALEXANDRE DA COSTA SOARES",IF(J75=52340,"OFFSHORE LISTED",IF(J75=158778,"CLAUDIO DE SOUZA PACINI",IF(J75=159800,"CLAUDIO DE SOUZA PACINI",_xlfn.XLOOKUP(J75,[1]!Tabela33[ID ORACLE],[1]!Tabela33[BROKER],0,0,1)))))))))))))</f>
        <v>FELIPE DE SA TAVARES</v>
      </c>
      <c r="E75" s="22">
        <f t="shared" si="6"/>
        <v>-12547.746510189001</v>
      </c>
      <c r="F75" s="9" t="str">
        <f t="shared" si="7"/>
        <v>BLOOMBERG</v>
      </c>
      <c r="G75" s="20">
        <f t="shared" si="8"/>
        <v>46082</v>
      </c>
      <c r="H75" s="23">
        <v>1170</v>
      </c>
      <c r="J75" s="41">
        <v>152836</v>
      </c>
      <c r="K75" s="1" t="s">
        <v>41</v>
      </c>
      <c r="L75" s="1" t="s">
        <v>12</v>
      </c>
      <c r="M75" s="29">
        <v>2404.0591850000001</v>
      </c>
      <c r="N75" s="2"/>
      <c r="Q75" s="27"/>
      <c r="S75" s="27"/>
      <c r="U75" s="27"/>
    </row>
    <row r="76" spans="1:78" ht="15" customHeight="1" x14ac:dyDescent="0.25">
      <c r="A76" s="9" t="str">
        <f t="shared" si="3"/>
        <v>CUSTO MARKET DATA - MARÇO/26-BLOOMBERG-153595</v>
      </c>
      <c r="B76" s="20">
        <v>46082</v>
      </c>
      <c r="C76" s="21">
        <v>817393</v>
      </c>
      <c r="D76" s="9" t="str">
        <f>IF(J76=57036,"ALEXANDRE DA COSTA SOARES",IF(J76=24157,"JOSE MAURICIO GOMES TEIXEIRA",IF(J76=24203,"JOSE MAURICIO GOMES TEIXEIRA",IF(J76=24149,"CHRISTIANO MARCONDES DE BARROS LIMA",IF(J76=24137,"CHRISTIANO MARCONDES DE BARROS LIMA",IF(J76=135152,"ENRICO BORTPLUZO CASSIANO",IF(J76=136568,"ENRICO BORTPLUZO CASSIANO", IF(J76=130976,"MARYLIA CARVALHO PONCE",IF(J76=136668,"ALEXANDRE DA COSTA SOARES",IF(J76=52340,"OFFSHORE LISTED",IF(J76=158778,"CLAUDIO DE SOUZA PACINI",IF(J76=159800,"CLAUDIO DE SOUZA PACINI",_xlfn.XLOOKUP(J76,[1]!Tabela33[ID ORACLE],[1]!Tabela33[BROKER],0,0,1)))))))))))))</f>
        <v>REINALDO ANDRE URBANO FILHO</v>
      </c>
      <c r="E76" s="22">
        <f t="shared" si="6"/>
        <v>-12608.291550189002</v>
      </c>
      <c r="F76" s="9" t="str">
        <f t="shared" si="7"/>
        <v>BLOOMBERG</v>
      </c>
      <c r="G76" s="20">
        <f t="shared" si="8"/>
        <v>46082</v>
      </c>
      <c r="H76" s="23">
        <v>1170</v>
      </c>
      <c r="J76" s="41">
        <v>153595</v>
      </c>
      <c r="K76" s="1" t="s">
        <v>41</v>
      </c>
      <c r="L76" s="1" t="s">
        <v>12</v>
      </c>
      <c r="M76" s="29">
        <v>2415.6591850000004</v>
      </c>
      <c r="N76" s="2"/>
      <c r="Q76" s="27"/>
      <c r="S76" s="27"/>
      <c r="U76" s="27"/>
    </row>
    <row r="77" spans="1:78" ht="15" customHeight="1" x14ac:dyDescent="0.25">
      <c r="A77" s="9" t="str">
        <f t="shared" si="3"/>
        <v>CUSTO MARKET DATA - MARÇO/26-BLOOMBERG-158778</v>
      </c>
      <c r="B77" s="20">
        <v>46082</v>
      </c>
      <c r="C77" s="21">
        <v>817393</v>
      </c>
      <c r="D77" s="9" t="str">
        <f>IF(J77=57036,"ALEXANDRE DA COSTA SOARES",IF(J77=24157,"JOSE MAURICIO GOMES TEIXEIRA",IF(J77=24203,"JOSE MAURICIO GOMES TEIXEIRA",IF(J77=24149,"CHRISTIANO MARCONDES DE BARROS LIMA",IF(J77=24137,"CHRISTIANO MARCONDES DE BARROS LIMA",IF(J77=135152,"ENRICO BORTPLUZO CASSIANO",IF(J77=136568,"ENRICO BORTPLUZO CASSIANO", IF(J77=130976,"MARYLIA CARVALHO PONCE",IF(J77=136668,"ALEXANDRE DA COSTA SOARES",IF(J77=52340,"OFFSHORE LISTED",IF(J77=158778,"CLAUDIO DE SOUZA PACINI",IF(J77=159800,"CLAUDIO DE SOUZA PACINI",_xlfn.XLOOKUP(J77,[1]!Tabela33[ID ORACLE],[1]!Tabela33[BROKER],0,0,1)))))))))))))</f>
        <v>CLAUDIO DE SOUZA PACINI</v>
      </c>
      <c r="E77" s="22">
        <f t="shared" si="6"/>
        <v>-14082.250110189001</v>
      </c>
      <c r="F77" s="9" t="str">
        <f t="shared" si="7"/>
        <v>BLOOMBERG</v>
      </c>
      <c r="G77" s="20">
        <f t="shared" si="8"/>
        <v>46082</v>
      </c>
      <c r="H77" s="23">
        <v>1170</v>
      </c>
      <c r="J77" s="41">
        <v>158778</v>
      </c>
      <c r="K77" s="1" t="s">
        <v>41</v>
      </c>
      <c r="L77" s="1" t="s">
        <v>12</v>
      </c>
      <c r="M77" s="29">
        <v>2698.0591850000001</v>
      </c>
      <c r="N77" s="2"/>
      <c r="Q77" s="27"/>
      <c r="S77" s="27"/>
      <c r="U77" s="27"/>
    </row>
    <row r="78" spans="1:78" ht="15" hidden="1" customHeight="1" x14ac:dyDescent="0.25">
      <c r="A78" s="9" t="str">
        <f t="shared" si="3"/>
        <v>CUSTO MARKET DATA - MARÇO/26-FIDESSA-158778</v>
      </c>
      <c r="B78" s="20">
        <v>46082</v>
      </c>
      <c r="C78" s="21">
        <v>817393</v>
      </c>
      <c r="D78" s="9" t="str">
        <f>IF(J78=57036,"ALEXANDRE DA COSTA SOARES",IF(J78=24157,"JOSE MAURICIO GOMES TEIXEIRA",IF(J78=24203,"JOSE MAURICIO GOMES TEIXEIRA",IF(J78=24149,"CHRISTIANO MARCONDES DE BARROS LIMA",IF(J78=24137,"CHRISTIANO MARCONDES DE BARROS LIMA",IF(J78=135152,"ENRICO BORTPLUZO CASSIANO",IF(J78=136568,"ENRICO BORTPLUZO CASSIANO", IF(J78=130976,"MARYLIA CARVALHO PONCE",IF(J78=136668,"ALEXANDRE DA COSTA SOARES",IF(J78=52340,"OFFSHORE LISTED",IF(J78=158778,"CLAUDIO DE SOUZA PACINI",IF(J78=159800,"CLAUDIO DE SOUZA PACINI",_xlfn.XLOOKUP(J78,[1]!Tabela33[ID ORACLE],[1]!Tabela33[BROKER],0,0,1)))))))))))))</f>
        <v>CLAUDIO DE SOUZA PACINI</v>
      </c>
      <c r="E78" s="22">
        <f t="shared" si="6"/>
        <v>-3639.7065790494003</v>
      </c>
      <c r="F78" s="9" t="str">
        <f t="shared" si="7"/>
        <v>FIDESSA</v>
      </c>
      <c r="G78" s="20">
        <f t="shared" si="8"/>
        <v>46082</v>
      </c>
      <c r="H78" s="23">
        <v>1170</v>
      </c>
      <c r="J78" s="41">
        <v>158778</v>
      </c>
      <c r="K78" s="1" t="s">
        <v>47</v>
      </c>
      <c r="L78" s="1" t="s">
        <v>12</v>
      </c>
      <c r="M78" s="29">
        <v>697.34195099999999</v>
      </c>
      <c r="N78" s="2"/>
      <c r="Q78" s="27"/>
      <c r="S78" s="27"/>
      <c r="U78" s="27"/>
    </row>
    <row r="79" spans="1:78" customFormat="1" ht="15" hidden="1" customHeight="1" x14ac:dyDescent="0.25">
      <c r="A79" s="9" t="str">
        <f t="shared" ref="A79:A142" si="9">CONCATENATE($N$1,$I$1,F79,$I$1,J79)</f>
        <v>CUSTO MARKET DATA - MARÇO/26-NYSE MARKET INC.-158778</v>
      </c>
      <c r="B79" s="20">
        <v>46082</v>
      </c>
      <c r="C79" s="21">
        <v>817393</v>
      </c>
      <c r="D79" s="9" t="str">
        <f>IF(J79=57036,"ALEXANDRE DA COSTA SOARES",IF(J79=24157,"JOSE MAURICIO GOMES TEIXEIRA",IF(J79=24203,"JOSE MAURICIO GOMES TEIXEIRA",IF(J79=24149,"CHRISTIANO MARCONDES DE BARROS LIMA",IF(J79=24137,"CHRISTIANO MARCONDES DE BARROS LIMA",IF(J79=135152,"ENRICO BORTPLUZO CASSIANO",IF(J79=136568,"ENRICO BORTPLUZO CASSIANO", IF(J79=130976,"MARYLIA CARVALHO PONCE",IF(J79=136668,"ALEXANDRE DA COSTA SOARES",IF(J79=52340,"OFFSHORE LISTED",IF(J79=158778,"CLAUDIO DE SOUZA PACINI",IF(J79=159800,"CLAUDIO DE SOUZA PACINI",_xlfn.XLOOKUP(J79,[1]!Tabela33[ID ORACLE],[1]!Tabela33[BROKER],0,0,1)))))))))))))</f>
        <v>CLAUDIO DE SOUZA PACINI</v>
      </c>
      <c r="E79" s="22">
        <f t="shared" si="6"/>
        <v>-1329.7334894999999</v>
      </c>
      <c r="F79" s="9" t="str">
        <f t="shared" si="7"/>
        <v>NYSE MARKET INC.</v>
      </c>
      <c r="G79" s="20">
        <f t="shared" si="8"/>
        <v>46082</v>
      </c>
      <c r="H79" s="23">
        <v>1170</v>
      </c>
      <c r="J79" s="41">
        <v>158778</v>
      </c>
      <c r="K79" s="1" t="s">
        <v>44</v>
      </c>
      <c r="L79" s="1" t="s">
        <v>12</v>
      </c>
      <c r="M79" s="29">
        <v>254.76749999999998</v>
      </c>
      <c r="N79" s="2"/>
      <c r="O79" s="1"/>
      <c r="P79" s="26"/>
      <c r="Q79" s="27"/>
      <c r="R79" s="26"/>
      <c r="S79" s="27"/>
      <c r="T79" s="26"/>
      <c r="U79" s="27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</row>
    <row r="80" spans="1:78" customFormat="1" ht="15" hidden="1" customHeight="1" x14ac:dyDescent="0.25">
      <c r="A80" s="9" t="str">
        <f t="shared" si="9"/>
        <v>CUSTO MARKET DATA - MARÇO/26-OPTIONS PRICE REPORTING AUTHORITY (OPRA)-158778</v>
      </c>
      <c r="B80" s="20">
        <v>46082</v>
      </c>
      <c r="C80" s="21">
        <v>817393</v>
      </c>
      <c r="D80" s="9" t="str">
        <f>IF(J80=57036,"ALEXANDRE DA COSTA SOARES",IF(J80=24157,"JOSE MAURICIO GOMES TEIXEIRA",IF(J80=24203,"JOSE MAURICIO GOMES TEIXEIRA",IF(J80=24149,"CHRISTIANO MARCONDES DE BARROS LIMA",IF(J80=24137,"CHRISTIANO MARCONDES DE BARROS LIMA",IF(J80=135152,"ENRICO BORTPLUZO CASSIANO",IF(J80=136568,"ENRICO BORTPLUZO CASSIANO", IF(J80=130976,"MARYLIA CARVALHO PONCE",IF(J80=136668,"ALEXANDRE DA COSTA SOARES",IF(J80=52340,"OFFSHORE LISTED",IF(J80=158778,"CLAUDIO DE SOUZA PACINI",IF(J80=159800,"CLAUDIO DE SOUZA PACINI",_xlfn.XLOOKUP(J80,[1]!Tabela33[ID ORACLE],[1]!Tabela33[BROKER],0,0,1)))))))))))))</f>
        <v>CLAUDIO DE SOUZA PACINI</v>
      </c>
      <c r="E80" s="22">
        <f t="shared" si="6"/>
        <v>-363.05602538520003</v>
      </c>
      <c r="F80" s="9" t="str">
        <f t="shared" si="7"/>
        <v>OPTIONS PRICE REPORTING AUTHORITY (OPRA)</v>
      </c>
      <c r="G80" s="20">
        <f t="shared" si="8"/>
        <v>46082</v>
      </c>
      <c r="H80" s="23">
        <v>1170</v>
      </c>
      <c r="J80" s="41">
        <v>158778</v>
      </c>
      <c r="K80" s="1" t="s">
        <v>45</v>
      </c>
      <c r="L80" s="1" t="s">
        <v>12</v>
      </c>
      <c r="M80" s="29">
        <v>69.558958000000004</v>
      </c>
      <c r="N80" s="2"/>
      <c r="O80" s="1"/>
      <c r="P80" s="26"/>
      <c r="Q80" s="27"/>
      <c r="R80" s="26"/>
      <c r="S80" s="27"/>
      <c r="T80" s="26"/>
      <c r="U80" s="27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</row>
    <row r="81" spans="1:78" customFormat="1" ht="15" customHeight="1" x14ac:dyDescent="0.25">
      <c r="A81" s="9" t="str">
        <f t="shared" si="9"/>
        <v>CUSTO MARKET DATA - MARÇO/26-BLOOMBERG-159800</v>
      </c>
      <c r="B81" s="20">
        <v>46082</v>
      </c>
      <c r="C81" s="21">
        <v>817393</v>
      </c>
      <c r="D81" s="9" t="str">
        <f>IF(J81=57036,"ALEXANDRE DA COSTA SOARES",IF(J81=24157,"JOSE MAURICIO GOMES TEIXEIRA",IF(J81=24203,"JOSE MAURICIO GOMES TEIXEIRA",IF(J81=24149,"CHRISTIANO MARCONDES DE BARROS LIMA",IF(J81=24137,"CHRISTIANO MARCONDES DE BARROS LIMA",IF(J81=135152,"ENRICO BORTPLUZO CASSIANO",IF(J81=136568,"ENRICO BORTPLUZO CASSIANO", IF(J81=130976,"MARYLIA CARVALHO PONCE",IF(J81=136668,"ALEXANDRE DA COSTA SOARES",IF(J81=52340,"OFFSHORE LISTED",IF(J81=158778,"CLAUDIO DE SOUZA PACINI",IF(J81=159800,"CLAUDIO DE SOUZA PACINI",_xlfn.XLOOKUP(J81,[1]!Tabela33[ID ORACLE],[1]!Tabela33[BROKER],0,0,1)))))))))))))</f>
        <v>CLAUDIO DE SOUZA PACINI</v>
      </c>
      <c r="E81" s="22">
        <f t="shared" si="6"/>
        <v>-11228.751936189001</v>
      </c>
      <c r="F81" s="9" t="str">
        <f t="shared" si="7"/>
        <v>BLOOMBERG</v>
      </c>
      <c r="G81" s="20">
        <f t="shared" si="8"/>
        <v>46082</v>
      </c>
      <c r="H81" s="23">
        <v>1170</v>
      </c>
      <c r="J81" s="41">
        <v>159800</v>
      </c>
      <c r="K81" s="1" t="s">
        <v>41</v>
      </c>
      <c r="L81" s="1" t="s">
        <v>12</v>
      </c>
      <c r="M81" s="29">
        <v>2151.349185</v>
      </c>
      <c r="N81" s="2"/>
      <c r="O81" s="1"/>
      <c r="P81" s="26"/>
      <c r="Q81" s="27"/>
      <c r="R81" s="26"/>
      <c r="S81" s="27"/>
      <c r="T81" s="26"/>
      <c r="U81" s="27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</row>
    <row r="82" spans="1:78" customFormat="1" ht="15" hidden="1" customHeight="1" x14ac:dyDescent="0.25">
      <c r="A82" s="9" t="str">
        <f t="shared" si="9"/>
        <v>CUSTO MARKET DATA - MARÇO/26-FIDESSA-159800</v>
      </c>
      <c r="B82" s="20">
        <v>46082</v>
      </c>
      <c r="C82" s="21">
        <v>817393</v>
      </c>
      <c r="D82" s="9" t="str">
        <f>IF(J82=57036,"ALEXANDRE DA COSTA SOARES",IF(J82=24157,"JOSE MAURICIO GOMES TEIXEIRA",IF(J82=24203,"JOSE MAURICIO GOMES TEIXEIRA",IF(J82=24149,"CHRISTIANO MARCONDES DE BARROS LIMA",IF(J82=24137,"CHRISTIANO MARCONDES DE BARROS LIMA",IF(J82=135152,"ENRICO BORTPLUZO CASSIANO",IF(J82=136568,"ENRICO BORTPLUZO CASSIANO", IF(J82=130976,"MARYLIA CARVALHO PONCE",IF(J82=136668,"ALEXANDRE DA COSTA SOARES",IF(J82=52340,"OFFSHORE LISTED",IF(J82=158778,"CLAUDIO DE SOUZA PACINI",IF(J82=159800,"CLAUDIO DE SOUZA PACINI",_xlfn.XLOOKUP(J82,[1]!Tabela33[ID ORACLE],[1]!Tabela33[BROKER],0,0,1)))))))))))))</f>
        <v>CLAUDIO DE SOUZA PACINI</v>
      </c>
      <c r="E82" s="22">
        <f t="shared" si="6"/>
        <v>-3636.2095810494002</v>
      </c>
      <c r="F82" s="9" t="str">
        <f t="shared" si="7"/>
        <v>FIDESSA</v>
      </c>
      <c r="G82" s="20">
        <f t="shared" si="8"/>
        <v>46082</v>
      </c>
      <c r="H82" s="23">
        <v>1170</v>
      </c>
      <c r="J82" s="41">
        <v>159800</v>
      </c>
      <c r="K82" s="1" t="s">
        <v>47</v>
      </c>
      <c r="L82" s="1" t="s">
        <v>12</v>
      </c>
      <c r="M82" s="29">
        <v>696.67195100000004</v>
      </c>
      <c r="N82" s="2"/>
      <c r="O82" s="1"/>
      <c r="P82" s="26"/>
      <c r="Q82" s="27"/>
      <c r="R82" s="26"/>
      <c r="S82" s="27"/>
      <c r="T82" s="26"/>
      <c r="U82" s="27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</row>
    <row r="83" spans="1:78" customFormat="1" ht="15" hidden="1" customHeight="1" x14ac:dyDescent="0.25">
      <c r="A83" s="9" t="str">
        <f t="shared" si="9"/>
        <v>CUSTO MARKET DATA - MARÇO/26-NYSE MARKET INC.-159800</v>
      </c>
      <c r="B83" s="20">
        <v>46082</v>
      </c>
      <c r="C83" s="21">
        <v>817393</v>
      </c>
      <c r="D83" s="9" t="str">
        <f>IF(J83=57036,"ALEXANDRE DA COSTA SOARES",IF(J83=24157,"JOSE MAURICIO GOMES TEIXEIRA",IF(J83=24203,"JOSE MAURICIO GOMES TEIXEIRA",IF(J83=24149,"CHRISTIANO MARCONDES DE BARROS LIMA",IF(J83=24137,"CHRISTIANO MARCONDES DE BARROS LIMA",IF(J83=135152,"ENRICO BORTPLUZO CASSIANO",IF(J83=136568,"ENRICO BORTPLUZO CASSIANO", IF(J83=130976,"MARYLIA CARVALHO PONCE",IF(J83=136668,"ALEXANDRE DA COSTA SOARES",IF(J83=52340,"OFFSHORE LISTED",IF(J83=158778,"CLAUDIO DE SOUZA PACINI",IF(J83=159800,"CLAUDIO DE SOUZA PACINI",_xlfn.XLOOKUP(J83,[1]!Tabela33[ID ORACLE],[1]!Tabela33[BROKER],0,0,1)))))))))))))</f>
        <v>CLAUDIO DE SOUZA PACINI</v>
      </c>
      <c r="E83" s="22">
        <f t="shared" si="6"/>
        <v>-1329.7334894999999</v>
      </c>
      <c r="F83" s="9" t="str">
        <f t="shared" si="7"/>
        <v>NYSE MARKET INC.</v>
      </c>
      <c r="G83" s="20">
        <f t="shared" si="8"/>
        <v>46082</v>
      </c>
      <c r="H83" s="23">
        <v>1170</v>
      </c>
      <c r="J83" s="41">
        <v>159800</v>
      </c>
      <c r="K83" s="1" t="s">
        <v>44</v>
      </c>
      <c r="L83" s="1" t="s">
        <v>12</v>
      </c>
      <c r="M83" s="29">
        <v>254.76749999999998</v>
      </c>
      <c r="N83" s="2"/>
      <c r="O83" s="1"/>
      <c r="P83" s="26"/>
      <c r="Q83" s="27"/>
      <c r="R83" s="26"/>
      <c r="S83" s="27"/>
      <c r="T83" s="26"/>
      <c r="U83" s="27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</row>
    <row r="84" spans="1:78" customFormat="1" ht="15" hidden="1" customHeight="1" x14ac:dyDescent="0.25">
      <c r="A84" s="9" t="str">
        <f t="shared" si="9"/>
        <v>CUSTO MARKET DATA - MARÇO/26-OPTIONS PRICE REPORTING AUTHORITY (OPRA)-159800</v>
      </c>
      <c r="B84" s="20">
        <v>46082</v>
      </c>
      <c r="C84" s="21">
        <v>817393</v>
      </c>
      <c r="D84" s="9" t="str">
        <f>IF(J84=57036,"ALEXANDRE DA COSTA SOARES",IF(J84=24157,"JOSE MAURICIO GOMES TEIXEIRA",IF(J84=24203,"JOSE MAURICIO GOMES TEIXEIRA",IF(J84=24149,"CHRISTIANO MARCONDES DE BARROS LIMA",IF(J84=24137,"CHRISTIANO MARCONDES DE BARROS LIMA",IF(J84=135152,"ENRICO BORTPLUZO CASSIANO",IF(J84=136568,"ENRICO BORTPLUZO CASSIANO", IF(J84=130976,"MARYLIA CARVALHO PONCE",IF(J84=136668,"ALEXANDRE DA COSTA SOARES",IF(J84=52340,"OFFSHORE LISTED",IF(J84=158778,"CLAUDIO DE SOUZA PACINI",IF(J84=159800,"CLAUDIO DE SOUZA PACINI",_xlfn.XLOOKUP(J84,[1]!Tabela33[ID ORACLE],[1]!Tabela33[BROKER],0,0,1)))))))))))))</f>
        <v>CLAUDIO DE SOUZA PACINI</v>
      </c>
      <c r="E84" s="22">
        <f t="shared" si="6"/>
        <v>-179.00258512500002</v>
      </c>
      <c r="F84" s="9" t="str">
        <f t="shared" si="7"/>
        <v>OPTIONS PRICE REPORTING AUTHORITY (OPRA)</v>
      </c>
      <c r="G84" s="20">
        <f t="shared" si="8"/>
        <v>46082</v>
      </c>
      <c r="H84" s="23">
        <v>1170</v>
      </c>
      <c r="J84" s="41">
        <v>159800</v>
      </c>
      <c r="K84" s="1" t="s">
        <v>45</v>
      </c>
      <c r="L84" s="1" t="s">
        <v>12</v>
      </c>
      <c r="M84" s="29">
        <v>34.295625000000001</v>
      </c>
      <c r="N84" s="2"/>
      <c r="O84" s="1"/>
      <c r="P84" s="26"/>
      <c r="Q84" s="27"/>
      <c r="R84" s="26"/>
      <c r="S84" s="27"/>
      <c r="T84" s="26"/>
      <c r="U84" s="27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</row>
    <row r="85" spans="1:78" customFormat="1" ht="15" customHeight="1" x14ac:dyDescent="0.25">
      <c r="A85" s="9" t="str">
        <f t="shared" si="9"/>
        <v>CUSTO MARKET DATA - MARÇO/26-BLOOMBERG-22361</v>
      </c>
      <c r="B85" s="20">
        <v>46082</v>
      </c>
      <c r="C85" s="21">
        <v>817393</v>
      </c>
      <c r="D85" s="9" t="str">
        <f>IF(J85=57036,"ALEXANDRE DA COSTA SOARES",IF(J85=24157,"JOSE MAURICIO GOMES TEIXEIRA",IF(J85=24203,"JOSE MAURICIO GOMES TEIXEIRA",IF(J85=24149,"CHRISTIANO MARCONDES DE BARROS LIMA",IF(J85=24137,"CHRISTIANO MARCONDES DE BARROS LIMA",IF(J85=135152,"ENRICO BORTPLUZO CASSIANO",IF(J85=136568,"ENRICO BORTPLUZO CASSIANO", IF(J85=130976,"MARYLIA CARVALHO PONCE",IF(J85=136668,"ALEXANDRE DA COSTA SOARES",IF(J85=52340,"OFFSHORE LISTED",IF(J85=158778,"CLAUDIO DE SOUZA PACINI",IF(J85=159800,"CLAUDIO DE SOUZA PACINI",_xlfn.XLOOKUP(J85,[1]!Tabela33[ID ORACLE],[1]!Tabela33[BROKER],0,0,1)))))))))))))</f>
        <v>DANIEL TEIXEIRA SIQUEIRA GONÇALVES</v>
      </c>
      <c r="E85" s="22">
        <f t="shared" si="6"/>
        <v>-6281.7023524848009</v>
      </c>
      <c r="F85" s="9" t="str">
        <f t="shared" si="7"/>
        <v>BLOOMBERG</v>
      </c>
      <c r="G85" s="20">
        <f t="shared" si="8"/>
        <v>46082</v>
      </c>
      <c r="H85" s="23">
        <v>1170</v>
      </c>
      <c r="J85" s="41">
        <v>22361</v>
      </c>
      <c r="K85" s="1" t="s">
        <v>41</v>
      </c>
      <c r="L85" s="1" t="s">
        <v>12</v>
      </c>
      <c r="M85" s="29">
        <v>1203.5295920000001</v>
      </c>
      <c r="N85" s="2"/>
      <c r="O85" s="1"/>
      <c r="P85" s="26"/>
      <c r="Q85" s="27"/>
      <c r="R85" s="26"/>
      <c r="S85" s="27"/>
      <c r="T85" s="26"/>
      <c r="U85" s="27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</row>
    <row r="86" spans="1:78" customFormat="1" ht="15" hidden="1" customHeight="1" x14ac:dyDescent="0.25">
      <c r="A86" s="9" t="str">
        <f t="shared" si="9"/>
        <v>CUSTO MARKET DATA - MARÇO/26-REFINITIV-22361</v>
      </c>
      <c r="B86" s="20">
        <v>46082</v>
      </c>
      <c r="C86" s="21">
        <v>817393</v>
      </c>
      <c r="D86" s="9" t="str">
        <f>IF(J86=57036,"ALEXANDRE DA COSTA SOARES",IF(J86=24157,"JOSE MAURICIO GOMES TEIXEIRA",IF(J86=24203,"JOSE MAURICIO GOMES TEIXEIRA",IF(J86=24149,"CHRISTIANO MARCONDES DE BARROS LIMA",IF(J86=24137,"CHRISTIANO MARCONDES DE BARROS LIMA",IF(J86=135152,"ENRICO BORTPLUZO CASSIANO",IF(J86=136568,"ENRICO BORTPLUZO CASSIANO", IF(J86=130976,"MARYLIA CARVALHO PONCE",IF(J86=136668,"ALEXANDRE DA COSTA SOARES",IF(J86=52340,"OFFSHORE LISTED",IF(J86=158778,"CLAUDIO DE SOUZA PACINI",IF(J86=159800,"CLAUDIO DE SOUZA PACINI",_xlfn.XLOOKUP(J86,[1]!Tabela33[ID ORACLE],[1]!Tabela33[BROKER],0,0,1)))))))))))))</f>
        <v>DANIEL TEIXEIRA SIQUEIRA GONÇALVES</v>
      </c>
      <c r="E86" s="22">
        <f t="shared" si="6"/>
        <v>-142.3544924064</v>
      </c>
      <c r="F86" s="9" t="str">
        <f t="shared" si="7"/>
        <v>REFINITIV</v>
      </c>
      <c r="G86" s="20">
        <f t="shared" si="8"/>
        <v>46082</v>
      </c>
      <c r="H86" s="23">
        <v>1170</v>
      </c>
      <c r="J86" s="41">
        <v>22361</v>
      </c>
      <c r="K86" s="1" t="s">
        <v>42</v>
      </c>
      <c r="L86" s="1" t="s">
        <v>17</v>
      </c>
      <c r="M86" s="29">
        <v>20.685648</v>
      </c>
      <c r="N86" s="2"/>
      <c r="O86" s="1"/>
      <c r="P86" s="26"/>
      <c r="Q86" s="27"/>
      <c r="R86" s="26"/>
      <c r="S86" s="27"/>
      <c r="T86" s="26"/>
      <c r="U86" s="27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</row>
    <row r="87" spans="1:78" customFormat="1" ht="15" customHeight="1" x14ac:dyDescent="0.25">
      <c r="A87" s="9" t="str">
        <f t="shared" si="9"/>
        <v>CUSTO MARKET DATA - MARÇO/26-BLOOMBERG-24137</v>
      </c>
      <c r="B87" s="20">
        <v>46082</v>
      </c>
      <c r="C87" s="21">
        <v>817393</v>
      </c>
      <c r="D87" s="9" t="str">
        <f>IF(J87=57036,"ALEXANDRE DA COSTA SOARES",IF(J87=24157,"JOSE MAURICIO GOMES TEIXEIRA",IF(J87=24203,"JOSE MAURICIO GOMES TEIXEIRA",IF(J87=24149,"CHRISTIANO MARCONDES DE BARROS LIMA",IF(J87=24137,"CHRISTIANO MARCONDES DE BARROS LIMA",IF(J87=135152,"ENRICO BORTPLUZO CASSIANO",IF(J87=136568,"ENRICO BORTPLUZO CASSIANO", IF(J87=130976,"MARYLIA CARVALHO PONCE",IF(J87=136668,"ALEXANDRE DA COSTA SOARES",IF(J87=52340,"OFFSHORE LISTED",IF(J87=158778,"CLAUDIO DE SOUZA PACINI",IF(J87=159800,"CLAUDIO DE SOUZA PACINI",_xlfn.XLOOKUP(J87,[1]!Tabela33[ID ORACLE],[1]!Tabela33[BROKER],0,0,1)))))))))))))</f>
        <v>CHRISTIANO MARCONDES DE BARROS LIMA</v>
      </c>
      <c r="E87" s="22">
        <f t="shared" si="6"/>
        <v>-12859.344690189002</v>
      </c>
      <c r="F87" s="9" t="str">
        <f t="shared" si="7"/>
        <v>BLOOMBERG</v>
      </c>
      <c r="G87" s="20">
        <f t="shared" si="8"/>
        <v>46082</v>
      </c>
      <c r="H87" s="23">
        <v>1170</v>
      </c>
      <c r="J87" s="41">
        <v>24137</v>
      </c>
      <c r="K87" s="1" t="s">
        <v>41</v>
      </c>
      <c r="L87" s="1" t="s">
        <v>12</v>
      </c>
      <c r="M87" s="29">
        <v>2463.7591850000003</v>
      </c>
      <c r="N87" s="2"/>
      <c r="O87" s="1"/>
      <c r="P87" s="26"/>
      <c r="Q87" s="27"/>
      <c r="R87" s="26"/>
      <c r="S87" s="27"/>
      <c r="T87" s="26"/>
      <c r="U87" s="27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</row>
    <row r="88" spans="1:78" customFormat="1" ht="15" customHeight="1" x14ac:dyDescent="0.25">
      <c r="A88" s="9" t="str">
        <f t="shared" si="9"/>
        <v>CUSTO MARKET DATA - MARÇO/26-BLOOMBERG-24140</v>
      </c>
      <c r="B88" s="20">
        <v>46082</v>
      </c>
      <c r="C88" s="21">
        <v>817393</v>
      </c>
      <c r="D88" s="9" t="str">
        <f>IF(J88=57036,"ALEXANDRE DA COSTA SOARES",IF(J88=24157,"JOSE MAURICIO GOMES TEIXEIRA",IF(J88=24203,"JOSE MAURICIO GOMES TEIXEIRA",IF(J88=24149,"CHRISTIANO MARCONDES DE BARROS LIMA",IF(J88=24137,"CHRISTIANO MARCONDES DE BARROS LIMA",IF(J88=135152,"ENRICO BORTPLUZO CASSIANO",IF(J88=136568,"ENRICO BORTPLUZO CASSIANO", IF(J88=130976,"MARYLIA CARVALHO PONCE",IF(J88=136668,"ALEXANDRE DA COSTA SOARES",IF(J88=52340,"OFFSHORE LISTED",IF(J88=158778,"CLAUDIO DE SOUZA PACINI",IF(J88=159800,"CLAUDIO DE SOUZA PACINI",_xlfn.XLOOKUP(J88,[1]!Tabela33[ID ORACLE],[1]!Tabela33[BROKER],0,0,1)))))))))))))</f>
        <v>FRANCISCO JOSE DIAS CARVALHO</v>
      </c>
      <c r="E88" s="22">
        <f t="shared" si="6"/>
        <v>-9508.1517200436028</v>
      </c>
      <c r="F88" s="9" t="str">
        <f t="shared" si="7"/>
        <v>BLOOMBERG</v>
      </c>
      <c r="G88" s="20">
        <f t="shared" si="8"/>
        <v>46082</v>
      </c>
      <c r="H88" s="23">
        <v>1170</v>
      </c>
      <c r="J88" s="41">
        <v>24140</v>
      </c>
      <c r="K88" s="1" t="s">
        <v>41</v>
      </c>
      <c r="L88" s="1" t="s">
        <v>12</v>
      </c>
      <c r="M88" s="29">
        <v>1821.6943940000003</v>
      </c>
      <c r="N88" s="2"/>
      <c r="O88" s="1"/>
      <c r="P88" s="26"/>
      <c r="Q88" s="27"/>
      <c r="R88" s="26"/>
      <c r="S88" s="27"/>
      <c r="T88" s="26"/>
      <c r="U88" s="27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</row>
    <row r="89" spans="1:78" customFormat="1" ht="15" hidden="1" customHeight="1" x14ac:dyDescent="0.25">
      <c r="A89" s="9" t="str">
        <f t="shared" si="9"/>
        <v>CUSTO MARKET DATA - MARÇO/26-REFINITIV-24140</v>
      </c>
      <c r="B89" s="20">
        <v>46082</v>
      </c>
      <c r="C89" s="21">
        <v>817393</v>
      </c>
      <c r="D89" s="9" t="str">
        <f>IF(J89=57036,"ALEXANDRE DA COSTA SOARES",IF(J89=24157,"JOSE MAURICIO GOMES TEIXEIRA",IF(J89=24203,"JOSE MAURICIO GOMES TEIXEIRA",IF(J89=24149,"CHRISTIANO MARCONDES DE BARROS LIMA",IF(J89=24137,"CHRISTIANO MARCONDES DE BARROS LIMA",IF(J89=135152,"ENRICO BORTPLUZO CASSIANO",IF(J89=136568,"ENRICO BORTPLUZO CASSIANO", IF(J89=130976,"MARYLIA CARVALHO PONCE",IF(J89=136668,"ALEXANDRE DA COSTA SOARES",IF(J89=52340,"OFFSHORE LISTED",IF(J89=158778,"CLAUDIO DE SOUZA PACINI",IF(J89=159800,"CLAUDIO DE SOUZA PACINI",_xlfn.XLOOKUP(J89,[1]!Tabela33[ID ORACLE],[1]!Tabela33[BROKER],0,0,1)))))))))))))</f>
        <v>FRANCISCO JOSE DIAS CARVALHO</v>
      </c>
      <c r="E89" s="22">
        <f t="shared" si="6"/>
        <v>-142.3544924064</v>
      </c>
      <c r="F89" s="9" t="str">
        <f t="shared" si="7"/>
        <v>REFINITIV</v>
      </c>
      <c r="G89" s="20">
        <f t="shared" si="8"/>
        <v>46082</v>
      </c>
      <c r="H89" s="23">
        <v>1170</v>
      </c>
      <c r="J89" s="41">
        <v>24140</v>
      </c>
      <c r="K89" s="1" t="s">
        <v>42</v>
      </c>
      <c r="L89" s="1" t="s">
        <v>17</v>
      </c>
      <c r="M89" s="29">
        <v>20.685648</v>
      </c>
      <c r="N89" s="2"/>
      <c r="O89" s="1"/>
      <c r="P89" s="26"/>
      <c r="Q89" s="27"/>
      <c r="R89" s="26"/>
      <c r="S89" s="27"/>
      <c r="T89" s="26"/>
      <c r="U89" s="27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</row>
    <row r="90" spans="1:78" customFormat="1" ht="15" customHeight="1" x14ac:dyDescent="0.25">
      <c r="A90" s="9" t="str">
        <f t="shared" si="9"/>
        <v>CUSTO MARKET DATA - MARÇO/26-BLOOMBERG-24141</v>
      </c>
      <c r="B90" s="20">
        <v>46082</v>
      </c>
      <c r="C90" s="21">
        <v>817393</v>
      </c>
      <c r="D90" s="9" t="str">
        <f>IF(J90=57036,"ALEXANDRE DA COSTA SOARES",IF(J90=24157,"JOSE MAURICIO GOMES TEIXEIRA",IF(J90=24203,"JOSE MAURICIO GOMES TEIXEIRA",IF(J90=24149,"CHRISTIANO MARCONDES DE BARROS LIMA",IF(J90=24137,"CHRISTIANO MARCONDES DE BARROS LIMA",IF(J90=135152,"ENRICO BORTPLUZO CASSIANO",IF(J90=136568,"ENRICO BORTPLUZO CASSIANO", IF(J90=130976,"MARYLIA CARVALHO PONCE",IF(J90=136668,"ALEXANDRE DA COSTA SOARES",IF(J90=52340,"OFFSHORE LISTED",IF(J90=158778,"CLAUDIO DE SOUZA PACINI",IF(J90=159800,"CLAUDIO DE SOUZA PACINI",_xlfn.XLOOKUP(J90,[1]!Tabela33[ID ORACLE],[1]!Tabela33[BROKER],0,0,1)))))))))))))</f>
        <v>ANTONIO AUGUSTO DAS CHAGAS CARVALHO</v>
      </c>
      <c r="E90" s="22">
        <f t="shared" ref="E90:E153" si="10">-IF(L90="BRL",M90,IF(L90="GBP",M90*$R$1,IF(L90="CAD",M90*$T$1,M90*$P$1)))</f>
        <v>-12617.164530189002</v>
      </c>
      <c r="F90" s="9" t="str">
        <f t="shared" ref="F90:F151" si="11">IF(UPPER(K90)="Valor Analytics LLC","VALOR",UPPER(K90))</f>
        <v>BLOOMBERG</v>
      </c>
      <c r="G90" s="20">
        <f t="shared" si="8"/>
        <v>46082</v>
      </c>
      <c r="H90" s="23">
        <v>1170</v>
      </c>
      <c r="J90" s="41">
        <v>24141</v>
      </c>
      <c r="K90" s="1" t="s">
        <v>41</v>
      </c>
      <c r="L90" s="1" t="s">
        <v>12</v>
      </c>
      <c r="M90" s="29">
        <v>2417.3591850000003</v>
      </c>
      <c r="N90" s="2"/>
      <c r="O90" s="1"/>
      <c r="P90" s="26"/>
      <c r="Q90" s="27"/>
      <c r="R90" s="26"/>
      <c r="S90" s="27"/>
      <c r="T90" s="26"/>
      <c r="U90" s="27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</row>
    <row r="91" spans="1:78" customFormat="1" ht="15" hidden="1" customHeight="1" x14ac:dyDescent="0.25">
      <c r="A91" s="9" t="str">
        <f t="shared" si="9"/>
        <v>CUSTO MARKET DATA - MARÇO/26-REFINITIV-24141</v>
      </c>
      <c r="B91" s="20">
        <v>46082</v>
      </c>
      <c r="C91" s="21">
        <v>817393</v>
      </c>
      <c r="D91" s="9" t="str">
        <f>IF(J91=57036,"ALEXANDRE DA COSTA SOARES",IF(J91=24157,"JOSE MAURICIO GOMES TEIXEIRA",IF(J91=24203,"JOSE MAURICIO GOMES TEIXEIRA",IF(J91=24149,"CHRISTIANO MARCONDES DE BARROS LIMA",IF(J91=24137,"CHRISTIANO MARCONDES DE BARROS LIMA",IF(J91=135152,"ENRICO BORTPLUZO CASSIANO",IF(J91=136568,"ENRICO BORTPLUZO CASSIANO", IF(J91=130976,"MARYLIA CARVALHO PONCE",IF(J91=136668,"ALEXANDRE DA COSTA SOARES",IF(J91=52340,"OFFSHORE LISTED",IF(J91=158778,"CLAUDIO DE SOUZA PACINI",IF(J91=159800,"CLAUDIO DE SOUZA PACINI",_xlfn.XLOOKUP(J91,[1]!Tabela33[ID ORACLE],[1]!Tabela33[BROKER],0,0,1)))))))))))))</f>
        <v>ANTONIO AUGUSTO DAS CHAGAS CARVALHO</v>
      </c>
      <c r="E91" s="22">
        <f t="shared" si="10"/>
        <v>-142.3544924064</v>
      </c>
      <c r="F91" s="9" t="str">
        <f t="shared" si="11"/>
        <v>REFINITIV</v>
      </c>
      <c r="G91" s="20">
        <f t="shared" si="8"/>
        <v>46082</v>
      </c>
      <c r="H91" s="23">
        <v>1170</v>
      </c>
      <c r="J91" s="41">
        <v>24141</v>
      </c>
      <c r="K91" s="1" t="s">
        <v>42</v>
      </c>
      <c r="L91" s="1" t="s">
        <v>17</v>
      </c>
      <c r="M91" s="29">
        <v>20.685648</v>
      </c>
      <c r="N91" s="2"/>
      <c r="O91" s="1"/>
      <c r="P91" s="26"/>
      <c r="Q91" s="27"/>
      <c r="R91" s="26"/>
      <c r="S91" s="27"/>
      <c r="T91" s="26"/>
      <c r="U91" s="27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</row>
    <row r="92" spans="1:78" customFormat="1" ht="15" customHeight="1" x14ac:dyDescent="0.25">
      <c r="A92" s="9" t="str">
        <f t="shared" si="9"/>
        <v>CUSTO MARKET DATA - MARÇO/26-BLOOMBERG-24149</v>
      </c>
      <c r="B92" s="20">
        <v>46082</v>
      </c>
      <c r="C92" s="21">
        <v>817393</v>
      </c>
      <c r="D92" s="9" t="str">
        <f>IF(J92=57036,"ALEXANDRE DA COSTA SOARES",IF(J92=24157,"JOSE MAURICIO GOMES TEIXEIRA",IF(J92=24203,"JOSE MAURICIO GOMES TEIXEIRA",IF(J92=24149,"CHRISTIANO MARCONDES DE BARROS LIMA",IF(J92=24137,"CHRISTIANO MARCONDES DE BARROS LIMA",IF(J92=135152,"ENRICO BORTPLUZO CASSIANO",IF(J92=136568,"ENRICO BORTPLUZO CASSIANO", IF(J92=130976,"MARYLIA CARVALHO PONCE",IF(J92=136668,"ALEXANDRE DA COSTA SOARES",IF(J92=52340,"OFFSHORE LISTED",IF(J92=158778,"CLAUDIO DE SOUZA PACINI",IF(J92=159800,"CLAUDIO DE SOUZA PACINI",_xlfn.XLOOKUP(J92,[1]!Tabela33[ID ORACLE],[1]!Tabela33[BROKER],0,0,1)))))))))))))</f>
        <v>CHRISTIANO MARCONDES DE BARROS LIMA</v>
      </c>
      <c r="E92" s="22">
        <f t="shared" si="10"/>
        <v>-12102.531690189002</v>
      </c>
      <c r="F92" s="9" t="str">
        <f t="shared" si="11"/>
        <v>BLOOMBERG</v>
      </c>
      <c r="G92" s="20">
        <f t="shared" si="8"/>
        <v>46082</v>
      </c>
      <c r="H92" s="23">
        <v>1170</v>
      </c>
      <c r="J92" s="41">
        <v>24149</v>
      </c>
      <c r="K92" s="1" t="s">
        <v>41</v>
      </c>
      <c r="L92" s="1" t="s">
        <v>12</v>
      </c>
      <c r="M92" s="29">
        <v>2318.7591850000003</v>
      </c>
      <c r="N92" s="2"/>
      <c r="O92" s="1"/>
      <c r="P92" s="26"/>
      <c r="Q92" s="27"/>
      <c r="R92" s="26"/>
      <c r="S92" s="27"/>
      <c r="T92" s="26"/>
      <c r="U92" s="27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</row>
    <row r="93" spans="1:78" ht="15" customHeight="1" x14ac:dyDescent="0.25">
      <c r="A93" s="9" t="str">
        <f t="shared" si="9"/>
        <v>CUSTO MARKET DATA - MARÇO/26-BLOOMBERG-24156</v>
      </c>
      <c r="B93" s="20">
        <v>46082</v>
      </c>
      <c r="C93" s="21">
        <v>817393</v>
      </c>
      <c r="D93" s="9" t="str">
        <f>IF(J93=57036,"ALEXANDRE DA COSTA SOARES",IF(J93=24157,"JOSE MAURICIO GOMES TEIXEIRA",IF(J93=24203,"JOSE MAURICIO GOMES TEIXEIRA",IF(J93=24149,"CHRISTIANO MARCONDES DE BARROS LIMA",IF(J93=24137,"CHRISTIANO MARCONDES DE BARROS LIMA",IF(J93=135152,"ENRICO BORTPLUZO CASSIANO",IF(J93=136568,"ENRICO BORTPLUZO CASSIANO", IF(J93=130976,"MARYLIA CARVALHO PONCE",IF(J93=136668,"ALEXANDRE DA COSTA SOARES",IF(J93=52340,"OFFSHORE LISTED",IF(J93=158778,"CLAUDIO DE SOUZA PACINI",IF(J93=159800,"CLAUDIO DE SOUZA PACINI",_xlfn.XLOOKUP(J93,[1]!Tabela33[ID ORACLE],[1]!Tabela33[BROKER],0,0,1)))))))))))))</f>
        <v>JOSE MAURICIO GOMES TEIXEIRA</v>
      </c>
      <c r="E93" s="22">
        <f t="shared" si="10"/>
        <v>-12784.707270189001</v>
      </c>
      <c r="F93" s="9" t="str">
        <f t="shared" si="11"/>
        <v>BLOOMBERG</v>
      </c>
      <c r="G93" s="20">
        <f t="shared" si="8"/>
        <v>46082</v>
      </c>
      <c r="H93" s="23">
        <v>1170</v>
      </c>
      <c r="J93" s="41">
        <v>24156</v>
      </c>
      <c r="K93" s="1" t="s">
        <v>41</v>
      </c>
      <c r="L93" s="1" t="s">
        <v>12</v>
      </c>
      <c r="M93" s="29">
        <v>2449.4591850000002</v>
      </c>
      <c r="Q93" s="27"/>
      <c r="S93" s="27"/>
      <c r="U93" s="27"/>
    </row>
    <row r="94" spans="1:78" ht="15" hidden="1" customHeight="1" x14ac:dyDescent="0.25">
      <c r="A94" s="9" t="str">
        <f t="shared" si="9"/>
        <v>CUSTO MARKET DATA - MARÇO/26-REFINITIV-24156</v>
      </c>
      <c r="B94" s="20">
        <v>46082</v>
      </c>
      <c r="C94" s="21">
        <v>817393</v>
      </c>
      <c r="D94" s="9" t="str">
        <f>IF(J94=57036,"ALEXANDRE DA COSTA SOARES",IF(J94=24157,"JOSE MAURICIO GOMES TEIXEIRA",IF(J94=24203,"JOSE MAURICIO GOMES TEIXEIRA",IF(J94=24149,"CHRISTIANO MARCONDES DE BARROS LIMA",IF(J94=24137,"CHRISTIANO MARCONDES DE BARROS LIMA",IF(J94=135152,"ENRICO BORTPLUZO CASSIANO",IF(J94=136568,"ENRICO BORTPLUZO CASSIANO", IF(J94=130976,"MARYLIA CARVALHO PONCE",IF(J94=136668,"ALEXANDRE DA COSTA SOARES",IF(J94=52340,"OFFSHORE LISTED",IF(J94=158778,"CLAUDIO DE SOUZA PACINI",IF(J94=159800,"CLAUDIO DE SOUZA PACINI",_xlfn.XLOOKUP(J94,[1]!Tabela33[ID ORACLE],[1]!Tabela33[BROKER],0,0,1)))))))))))))</f>
        <v>JOSE MAURICIO GOMES TEIXEIRA</v>
      </c>
      <c r="E94" s="22">
        <f t="shared" si="10"/>
        <v>-142.3544924064</v>
      </c>
      <c r="F94" s="9" t="str">
        <f t="shared" si="11"/>
        <v>REFINITIV</v>
      </c>
      <c r="G94" s="20">
        <f t="shared" si="8"/>
        <v>46082</v>
      </c>
      <c r="H94" s="23">
        <v>1170</v>
      </c>
      <c r="J94" s="41">
        <v>24156</v>
      </c>
      <c r="K94" s="1" t="s">
        <v>42</v>
      </c>
      <c r="L94" s="1" t="s">
        <v>17</v>
      </c>
      <c r="M94" s="29">
        <v>20.685648</v>
      </c>
      <c r="Q94" s="27"/>
      <c r="S94" s="27"/>
      <c r="U94" s="27"/>
    </row>
    <row r="95" spans="1:78" ht="15" customHeight="1" x14ac:dyDescent="0.25">
      <c r="A95" s="9" t="str">
        <f t="shared" si="9"/>
        <v>CUSTO MARKET DATA - MARÇO/26-BLOOMBERG-24157</v>
      </c>
      <c r="B95" s="20">
        <v>46082</v>
      </c>
      <c r="C95" s="21">
        <v>817393</v>
      </c>
      <c r="D95" s="9" t="str">
        <f>IF(J95=57036,"ALEXANDRE DA COSTA SOARES",IF(J95=24157,"JOSE MAURICIO GOMES TEIXEIRA",IF(J95=24203,"JOSE MAURICIO GOMES TEIXEIRA",IF(J95=24149,"CHRISTIANO MARCONDES DE BARROS LIMA",IF(J95=24137,"CHRISTIANO MARCONDES DE BARROS LIMA",IF(J95=135152,"ENRICO BORTPLUZO CASSIANO",IF(J95=136568,"ENRICO BORTPLUZO CASSIANO", IF(J95=130976,"MARYLIA CARVALHO PONCE",IF(J95=136668,"ALEXANDRE DA COSTA SOARES",IF(J95=52340,"OFFSHORE LISTED",IF(J95=158778,"CLAUDIO DE SOUZA PACINI",IF(J95=159800,"CLAUDIO DE SOUZA PACINI",_xlfn.XLOOKUP(J95,[1]!Tabela33[ID ORACLE],[1]!Tabela33[BROKER],0,0,1)))))))))))))</f>
        <v>JOSE MAURICIO GOMES TEIXEIRA</v>
      </c>
      <c r="E95" s="22">
        <f t="shared" si="10"/>
        <v>-12617.164530189002</v>
      </c>
      <c r="F95" s="9" t="str">
        <f t="shared" si="11"/>
        <v>BLOOMBERG</v>
      </c>
      <c r="G95" s="20">
        <f t="shared" si="8"/>
        <v>46082</v>
      </c>
      <c r="H95" s="23">
        <v>1170</v>
      </c>
      <c r="J95" s="41">
        <v>24157</v>
      </c>
      <c r="K95" s="1" t="s">
        <v>41</v>
      </c>
      <c r="L95" s="1" t="s">
        <v>12</v>
      </c>
      <c r="M95" s="29">
        <v>2417.3591850000003</v>
      </c>
      <c r="Q95" s="27"/>
      <c r="S95" s="27"/>
      <c r="U95" s="27"/>
    </row>
    <row r="96" spans="1:78" ht="15" hidden="1" customHeight="1" x14ac:dyDescent="0.25">
      <c r="A96" s="9" t="str">
        <f t="shared" si="9"/>
        <v>CUSTO MARKET DATA - MARÇO/26-REFINITIV-24157</v>
      </c>
      <c r="B96" s="20">
        <v>46082</v>
      </c>
      <c r="C96" s="21">
        <v>817393</v>
      </c>
      <c r="D96" s="9" t="str">
        <f>IF(J96=57036,"ALEXANDRE DA COSTA SOARES",IF(J96=24157,"JOSE MAURICIO GOMES TEIXEIRA",IF(J96=24203,"JOSE MAURICIO GOMES TEIXEIRA",IF(J96=24149,"CHRISTIANO MARCONDES DE BARROS LIMA",IF(J96=24137,"CHRISTIANO MARCONDES DE BARROS LIMA",IF(J96=135152,"ENRICO BORTPLUZO CASSIANO",IF(J96=136568,"ENRICO BORTPLUZO CASSIANO", IF(J96=130976,"MARYLIA CARVALHO PONCE",IF(J96=136668,"ALEXANDRE DA COSTA SOARES",IF(J96=52340,"OFFSHORE LISTED",IF(J96=158778,"CLAUDIO DE SOUZA PACINI",IF(J96=159800,"CLAUDIO DE SOUZA PACINI",_xlfn.XLOOKUP(J96,[1]!Tabela33[ID ORACLE],[1]!Tabela33[BROKER],0,0,1)))))))))))))</f>
        <v>JOSE MAURICIO GOMES TEIXEIRA</v>
      </c>
      <c r="E96" s="22">
        <f t="shared" si="10"/>
        <v>-142.3544924064</v>
      </c>
      <c r="F96" s="9" t="str">
        <f t="shared" si="11"/>
        <v>REFINITIV</v>
      </c>
      <c r="G96" s="20">
        <f t="shared" si="8"/>
        <v>46082</v>
      </c>
      <c r="H96" s="23">
        <v>1170</v>
      </c>
      <c r="J96" s="41">
        <v>24157</v>
      </c>
      <c r="K96" s="1" t="s">
        <v>42</v>
      </c>
      <c r="L96" s="1" t="s">
        <v>17</v>
      </c>
      <c r="M96" s="29">
        <v>20.685648</v>
      </c>
      <c r="Q96" s="27"/>
      <c r="S96" s="27"/>
      <c r="U96" s="27"/>
    </row>
    <row r="97" spans="1:78" customFormat="1" ht="15" hidden="1" customHeight="1" x14ac:dyDescent="0.25">
      <c r="A97" s="9" t="str">
        <f t="shared" si="9"/>
        <v>CUSTO MARKET DATA - MARÇO/26-REFINITIV-24170</v>
      </c>
      <c r="B97" s="20">
        <v>46082</v>
      </c>
      <c r="C97" s="21">
        <v>817393</v>
      </c>
      <c r="D97" s="9" t="str">
        <f>IF(J97=57036,"ALEXANDRE DA COSTA SOARES",IF(J97=24157,"JOSE MAURICIO GOMES TEIXEIRA",IF(J97=24203,"JOSE MAURICIO GOMES TEIXEIRA",IF(J97=24149,"CHRISTIANO MARCONDES DE BARROS LIMA",IF(J97=24137,"CHRISTIANO MARCONDES DE BARROS LIMA",IF(J97=135152,"ENRICO BORTPLUZO CASSIANO",IF(J97=136568,"ENRICO BORTPLUZO CASSIANO", IF(J97=130976,"MARYLIA CARVALHO PONCE",IF(J97=136668,"ALEXANDRE DA COSTA SOARES",IF(J97=52340,"OFFSHORE LISTED",IF(J97=158778,"CLAUDIO DE SOUZA PACINI",IF(J97=159800,"CLAUDIO DE SOUZA PACINI",_xlfn.XLOOKUP(J97,[1]!Tabela33[ID ORACLE],[1]!Tabela33[BROKER],0,0,1)))))))))))))</f>
        <v>ANDREA LICASSIA ALMEIDA SANTOS</v>
      </c>
      <c r="E97" s="22">
        <f t="shared" si="10"/>
        <v>-142.3544924064</v>
      </c>
      <c r="F97" s="9" t="str">
        <f t="shared" si="11"/>
        <v>REFINITIV</v>
      </c>
      <c r="G97" s="20">
        <f t="shared" si="8"/>
        <v>46082</v>
      </c>
      <c r="H97" s="23">
        <v>1170</v>
      </c>
      <c r="J97" s="41">
        <v>24170</v>
      </c>
      <c r="K97" s="1" t="s">
        <v>42</v>
      </c>
      <c r="L97" s="1" t="s">
        <v>17</v>
      </c>
      <c r="M97" s="29">
        <v>20.685648</v>
      </c>
      <c r="O97" s="1"/>
      <c r="P97" s="26"/>
      <c r="Q97" s="27"/>
      <c r="R97" s="26"/>
      <c r="S97" s="27"/>
      <c r="T97" s="26"/>
      <c r="U97" s="27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</row>
    <row r="98" spans="1:78" customFormat="1" ht="15" customHeight="1" x14ac:dyDescent="0.25">
      <c r="A98" s="9" t="str">
        <f t="shared" si="9"/>
        <v>CUSTO MARKET DATA - MARÇO/26-BLOOMBERG-24182</v>
      </c>
      <c r="B98" s="20">
        <v>46082</v>
      </c>
      <c r="C98" s="21">
        <v>817393</v>
      </c>
      <c r="D98" s="9" t="str">
        <f>IF(J98=57036,"ALEXANDRE DA COSTA SOARES",IF(J98=24157,"JOSE MAURICIO GOMES TEIXEIRA",IF(J98=24203,"JOSE MAURICIO GOMES TEIXEIRA",IF(J98=24149,"CHRISTIANO MARCONDES DE BARROS LIMA",IF(J98=24137,"CHRISTIANO MARCONDES DE BARROS LIMA",IF(J98=135152,"ENRICO BORTPLUZO CASSIANO",IF(J98=136568,"ENRICO BORTPLUZO CASSIANO", IF(J98=130976,"MARYLIA CARVALHO PONCE",IF(J98=136668,"ALEXANDRE DA COSTA SOARES",IF(J98=52340,"OFFSHORE LISTED",IF(J98=158778,"CLAUDIO DE SOUZA PACINI",IF(J98=159800,"CLAUDIO DE SOUZA PACINI",_xlfn.XLOOKUP(J98,[1]!Tabela33[ID ORACLE],[1]!Tabela33[BROKER],0,0,1)))))))))))))</f>
        <v>ANTONIO AGIZ FILHO</v>
      </c>
      <c r="E98" s="22">
        <f t="shared" si="10"/>
        <v>-11631.741810189002</v>
      </c>
      <c r="F98" s="9" t="str">
        <f t="shared" si="11"/>
        <v>BLOOMBERG</v>
      </c>
      <c r="G98" s="20">
        <f t="shared" si="8"/>
        <v>46082</v>
      </c>
      <c r="H98" s="23">
        <v>1170</v>
      </c>
      <c r="J98" s="41">
        <v>24182</v>
      </c>
      <c r="K98" s="1" t="s">
        <v>41</v>
      </c>
      <c r="L98" s="1" t="s">
        <v>12</v>
      </c>
      <c r="M98" s="29">
        <v>2228.5591850000001</v>
      </c>
      <c r="O98" s="1"/>
      <c r="P98" s="26"/>
      <c r="Q98" s="27"/>
      <c r="R98" s="26"/>
      <c r="S98" s="27"/>
      <c r="T98" s="26"/>
      <c r="U98" s="27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</row>
    <row r="99" spans="1:78" customFormat="1" ht="15" hidden="1" customHeight="1" x14ac:dyDescent="0.25">
      <c r="A99" s="9" t="str">
        <f t="shared" si="9"/>
        <v>CUSTO MARKET DATA - MARÇO/26-REFINITIV-24183</v>
      </c>
      <c r="B99" s="20">
        <v>46082</v>
      </c>
      <c r="C99" s="21">
        <v>817393</v>
      </c>
      <c r="D99" s="9" t="str">
        <f>IF(J99=57036,"ALEXANDRE DA COSTA SOARES",IF(J99=24157,"JOSE MAURICIO GOMES TEIXEIRA",IF(J99=24203,"JOSE MAURICIO GOMES TEIXEIRA",IF(J99=24149,"CHRISTIANO MARCONDES DE BARROS LIMA",IF(J99=24137,"CHRISTIANO MARCONDES DE BARROS LIMA",IF(J99=135152,"ENRICO BORTPLUZO CASSIANO",IF(J99=136568,"ENRICO BORTPLUZO CASSIANO", IF(J99=130976,"MARYLIA CARVALHO PONCE",IF(J99=136668,"ALEXANDRE DA COSTA SOARES",IF(J99=52340,"OFFSHORE LISTED",IF(J99=158778,"CLAUDIO DE SOUZA PACINI",IF(J99=159800,"CLAUDIO DE SOUZA PACINI",_xlfn.XLOOKUP(J99,[1]!Tabela33[ID ORACLE],[1]!Tabela33[BROKER],0,0,1)))))))))))))</f>
        <v>CARLA REGINA DE SOUZA CARREIRA</v>
      </c>
      <c r="E99" s="22">
        <f t="shared" si="10"/>
        <v>-142.3544924064</v>
      </c>
      <c r="F99" s="9" t="str">
        <f t="shared" si="11"/>
        <v>REFINITIV</v>
      </c>
      <c r="G99" s="20">
        <f t="shared" si="8"/>
        <v>46082</v>
      </c>
      <c r="H99" s="23">
        <v>1170</v>
      </c>
      <c r="J99" s="41">
        <v>24183</v>
      </c>
      <c r="K99" s="1" t="s">
        <v>42</v>
      </c>
      <c r="L99" s="1" t="s">
        <v>17</v>
      </c>
      <c r="M99" s="29">
        <v>20.685648</v>
      </c>
      <c r="O99" s="1"/>
      <c r="P99" s="26"/>
      <c r="Q99" s="27"/>
      <c r="R99" s="26"/>
      <c r="S99" s="27"/>
      <c r="T99" s="26"/>
      <c r="U99" s="27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</row>
    <row r="100" spans="1:78" customFormat="1" ht="15" customHeight="1" x14ac:dyDescent="0.25">
      <c r="A100" s="9" t="str">
        <f t="shared" si="9"/>
        <v>CUSTO MARKET DATA - MARÇO/26-BLOOMBERG-24184</v>
      </c>
      <c r="B100" s="20">
        <v>46082</v>
      </c>
      <c r="C100" s="21">
        <v>817393</v>
      </c>
      <c r="D100" s="9" t="str">
        <f>IF(J100=57036,"ALEXANDRE DA COSTA SOARES",IF(J100=24157,"JOSE MAURICIO GOMES TEIXEIRA",IF(J100=24203,"JOSE MAURICIO GOMES TEIXEIRA",IF(J100=24149,"CHRISTIANO MARCONDES DE BARROS LIMA",IF(J100=24137,"CHRISTIANO MARCONDES DE BARROS LIMA",IF(J100=135152,"ENRICO BORTPLUZO CASSIANO",IF(J100=136568,"ENRICO BORTPLUZO CASSIANO", IF(J100=130976,"MARYLIA CARVALHO PONCE",IF(J100=136668,"ALEXANDRE DA COSTA SOARES",IF(J100=52340,"OFFSHORE LISTED",IF(J100=158778,"CLAUDIO DE SOUZA PACINI",IF(J100=159800,"CLAUDIO DE SOUZA PACINI",_xlfn.XLOOKUP(J100,[1]!Tabela33[ID ORACLE],[1]!Tabela33[BROKER],0,0,1)))))))))))))</f>
        <v>CHRISTIANO MARCONDES DE BARROS LIMA</v>
      </c>
      <c r="E100" s="22">
        <f t="shared" si="10"/>
        <v>-12859.344690189002</v>
      </c>
      <c r="F100" s="9" t="str">
        <f t="shared" si="11"/>
        <v>BLOOMBERG</v>
      </c>
      <c r="G100" s="20">
        <f t="shared" si="8"/>
        <v>46082</v>
      </c>
      <c r="H100" s="23">
        <v>1170</v>
      </c>
      <c r="J100" s="41">
        <v>24184</v>
      </c>
      <c r="K100" s="1" t="s">
        <v>41</v>
      </c>
      <c r="L100" s="1" t="s">
        <v>12</v>
      </c>
      <c r="M100" s="29">
        <v>2463.7591850000003</v>
      </c>
      <c r="O100" s="1"/>
      <c r="P100" s="26"/>
      <c r="Q100" s="27"/>
      <c r="R100" s="26"/>
      <c r="S100" s="27"/>
      <c r="T100" s="26"/>
      <c r="U100" s="27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</row>
    <row r="101" spans="1:78" customFormat="1" ht="15" hidden="1" customHeight="1" x14ac:dyDescent="0.25">
      <c r="A101" s="9" t="str">
        <f t="shared" si="9"/>
        <v>CUSTO MARKET DATA - MARÇO/26-REFINITIV-24184</v>
      </c>
      <c r="B101" s="20">
        <v>46082</v>
      </c>
      <c r="C101" s="21">
        <v>817393</v>
      </c>
      <c r="D101" s="9" t="str">
        <f>IF(J101=57036,"ALEXANDRE DA COSTA SOARES",IF(J101=24157,"JOSE MAURICIO GOMES TEIXEIRA",IF(J101=24203,"JOSE MAURICIO GOMES TEIXEIRA",IF(J101=24149,"CHRISTIANO MARCONDES DE BARROS LIMA",IF(J101=24137,"CHRISTIANO MARCONDES DE BARROS LIMA",IF(J101=135152,"ENRICO BORTPLUZO CASSIANO",IF(J101=136568,"ENRICO BORTPLUZO CASSIANO", IF(J101=130976,"MARYLIA CARVALHO PONCE",IF(J101=136668,"ALEXANDRE DA COSTA SOARES",IF(J101=52340,"OFFSHORE LISTED",IF(J101=158778,"CLAUDIO DE SOUZA PACINI",IF(J101=159800,"CLAUDIO DE SOUZA PACINI",_xlfn.XLOOKUP(J101,[1]!Tabela33[ID ORACLE],[1]!Tabela33[BROKER],0,0,1)))))))))))))</f>
        <v>CHRISTIANO MARCONDES DE BARROS LIMA</v>
      </c>
      <c r="E101" s="22">
        <f t="shared" si="10"/>
        <v>-142.3544924064</v>
      </c>
      <c r="F101" s="9" t="str">
        <f t="shared" si="11"/>
        <v>REFINITIV</v>
      </c>
      <c r="G101" s="20">
        <f t="shared" si="8"/>
        <v>46082</v>
      </c>
      <c r="H101" s="23">
        <v>1170</v>
      </c>
      <c r="J101" s="41">
        <v>24184</v>
      </c>
      <c r="K101" s="1" t="s">
        <v>42</v>
      </c>
      <c r="L101" s="1" t="s">
        <v>17</v>
      </c>
      <c r="M101" s="29">
        <v>20.685648</v>
      </c>
      <c r="O101" s="1"/>
      <c r="P101" s="26"/>
      <c r="Q101" s="27"/>
      <c r="R101" s="26"/>
      <c r="S101" s="27"/>
      <c r="T101" s="26"/>
      <c r="U101" s="27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</row>
    <row r="102" spans="1:78" customFormat="1" ht="15" hidden="1" customHeight="1" x14ac:dyDescent="0.25">
      <c r="A102" s="9" t="str">
        <f t="shared" si="9"/>
        <v>CUSTO MARKET DATA - MARÇO/26-REFINITIV-24189</v>
      </c>
      <c r="B102" s="20">
        <v>46082</v>
      </c>
      <c r="C102" s="21">
        <v>817393</v>
      </c>
      <c r="D102" s="9" t="str">
        <f>IF(J102=57036,"ALEXANDRE DA COSTA SOARES",IF(J102=24157,"JOSE MAURICIO GOMES TEIXEIRA",IF(J102=24203,"JOSE MAURICIO GOMES TEIXEIRA",IF(J102=24149,"CHRISTIANO MARCONDES DE BARROS LIMA",IF(J102=24137,"CHRISTIANO MARCONDES DE BARROS LIMA",IF(J102=135152,"ENRICO BORTPLUZO CASSIANO",IF(J102=136568,"ENRICO BORTPLUZO CASSIANO", IF(J102=130976,"MARYLIA CARVALHO PONCE",IF(J102=136668,"ALEXANDRE DA COSTA SOARES",IF(J102=52340,"OFFSHORE LISTED",IF(J102=158778,"CLAUDIO DE SOUZA PACINI",IF(J102=159800,"CLAUDIO DE SOUZA PACINI",_xlfn.XLOOKUP(J102,[1]!Tabela33[ID ORACLE],[1]!Tabela33[BROKER],0,0,1)))))))))))))</f>
        <v>VINICIUS AMARAL DE MOURA</v>
      </c>
      <c r="E102" s="22">
        <f t="shared" si="10"/>
        <v>-142.3544924064</v>
      </c>
      <c r="F102" s="9" t="str">
        <f t="shared" si="11"/>
        <v>REFINITIV</v>
      </c>
      <c r="G102" s="20">
        <f t="shared" si="8"/>
        <v>46082</v>
      </c>
      <c r="H102" s="23">
        <v>1170</v>
      </c>
      <c r="J102" s="41">
        <v>24189</v>
      </c>
      <c r="K102" s="1" t="s">
        <v>42</v>
      </c>
      <c r="L102" s="1" t="s">
        <v>17</v>
      </c>
      <c r="M102" s="29">
        <v>20.685648</v>
      </c>
      <c r="O102" s="1"/>
      <c r="P102" s="26"/>
      <c r="Q102" s="27"/>
      <c r="R102" s="26"/>
      <c r="S102" s="27"/>
      <c r="T102" s="26"/>
      <c r="U102" s="27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</row>
    <row r="103" spans="1:78" customFormat="1" ht="15" hidden="1" customHeight="1" x14ac:dyDescent="0.25">
      <c r="A103" s="9" t="str">
        <f t="shared" si="9"/>
        <v>CUSTO MARKET DATA - MARÇO/26-REFINITIV-24199</v>
      </c>
      <c r="B103" s="20">
        <v>46082</v>
      </c>
      <c r="C103" s="21">
        <v>817393</v>
      </c>
      <c r="D103" s="9" t="str">
        <f>IF(J103=57036,"ALEXANDRE DA COSTA SOARES",IF(J103=24157,"JOSE MAURICIO GOMES TEIXEIRA",IF(J103=24203,"JOSE MAURICIO GOMES TEIXEIRA",IF(J103=24149,"CHRISTIANO MARCONDES DE BARROS LIMA",IF(J103=24137,"CHRISTIANO MARCONDES DE BARROS LIMA",IF(J103=135152,"ENRICO BORTPLUZO CASSIANO",IF(J103=136568,"ENRICO BORTPLUZO CASSIANO", IF(J103=130976,"MARYLIA CARVALHO PONCE",IF(J103=136668,"ALEXANDRE DA COSTA SOARES",IF(J103=52340,"OFFSHORE LISTED",IF(J103=158778,"CLAUDIO DE SOUZA PACINI",IF(J103=159800,"CLAUDIO DE SOUZA PACINI",_xlfn.XLOOKUP(J103,[1]!Tabela33[ID ORACLE],[1]!Tabela33[BROKER],0,0,1)))))))))))))</f>
        <v>RICARDO FERREIRA DA COSTA</v>
      </c>
      <c r="E103" s="22">
        <f t="shared" si="10"/>
        <v>-142.3544924064</v>
      </c>
      <c r="F103" s="9" t="str">
        <f t="shared" si="11"/>
        <v>REFINITIV</v>
      </c>
      <c r="G103" s="20">
        <f t="shared" si="8"/>
        <v>46082</v>
      </c>
      <c r="H103" s="23">
        <v>1170</v>
      </c>
      <c r="J103" s="41">
        <v>24199</v>
      </c>
      <c r="K103" s="1" t="s">
        <v>42</v>
      </c>
      <c r="L103" s="1" t="s">
        <v>17</v>
      </c>
      <c r="M103" s="29">
        <v>20.685648</v>
      </c>
      <c r="O103" s="1"/>
      <c r="P103" s="26"/>
      <c r="Q103" s="27"/>
      <c r="R103" s="26"/>
      <c r="S103" s="27"/>
      <c r="T103" s="26"/>
      <c r="U103" s="27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</row>
    <row r="104" spans="1:78" customFormat="1" ht="15" customHeight="1" x14ac:dyDescent="0.25">
      <c r="A104" s="9" t="str">
        <f t="shared" si="9"/>
        <v>CUSTO MARKET DATA - MARÇO/26-BLOOMBERG-24203</v>
      </c>
      <c r="B104" s="20">
        <v>46082</v>
      </c>
      <c r="C104" s="21">
        <v>817393</v>
      </c>
      <c r="D104" s="9" t="str">
        <f>IF(J104=57036,"ALEXANDRE DA COSTA SOARES",IF(J104=24157,"JOSE MAURICIO GOMES TEIXEIRA",IF(J104=24203,"JOSE MAURICIO GOMES TEIXEIRA",IF(J104=24149,"CHRISTIANO MARCONDES DE BARROS LIMA",IF(J104=24137,"CHRISTIANO MARCONDES DE BARROS LIMA",IF(J104=135152,"ENRICO BORTPLUZO CASSIANO",IF(J104=136568,"ENRICO BORTPLUZO CASSIANO", IF(J104=130976,"MARYLIA CARVALHO PONCE",IF(J104=136668,"ALEXANDRE DA COSTA SOARES",IF(J104=52340,"OFFSHORE LISTED",IF(J104=158778,"CLAUDIO DE SOUZA PACINI",IF(J104=159800,"CLAUDIO DE SOUZA PACINI",_xlfn.XLOOKUP(J104,[1]!Tabela33[ID ORACLE],[1]!Tabela33[BROKER],0,0,1)))))))))))))</f>
        <v>JOSE MAURICIO GOMES TEIXEIRA</v>
      </c>
      <c r="E104" s="22">
        <f t="shared" si="10"/>
        <v>-12617.164530189002</v>
      </c>
      <c r="F104" s="9" t="str">
        <f t="shared" si="11"/>
        <v>BLOOMBERG</v>
      </c>
      <c r="G104" s="20">
        <f t="shared" si="8"/>
        <v>46082</v>
      </c>
      <c r="H104" s="23">
        <v>1170</v>
      </c>
      <c r="J104" s="41">
        <v>24203</v>
      </c>
      <c r="K104" s="1" t="s">
        <v>41</v>
      </c>
      <c r="L104" s="1" t="s">
        <v>12</v>
      </c>
      <c r="M104" s="29">
        <v>2417.3591850000003</v>
      </c>
      <c r="O104" s="1"/>
      <c r="P104" s="26"/>
      <c r="Q104" s="27"/>
      <c r="R104" s="26"/>
      <c r="S104" s="27"/>
      <c r="T104" s="26"/>
      <c r="U104" s="27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</row>
    <row r="105" spans="1:78" customFormat="1" ht="15" hidden="1" customHeight="1" x14ac:dyDescent="0.25">
      <c r="A105" s="9" t="str">
        <f t="shared" si="9"/>
        <v>CUSTO MARKET DATA - MARÇO/26-REFINITIV-24237</v>
      </c>
      <c r="B105" s="20">
        <v>46082</v>
      </c>
      <c r="C105" s="21">
        <v>817393</v>
      </c>
      <c r="D105" s="9" t="str">
        <f>IF(J105=57036,"ALEXANDRE DA COSTA SOARES",IF(J105=24157,"JOSE MAURICIO GOMES TEIXEIRA",IF(J105=24203,"JOSE MAURICIO GOMES TEIXEIRA",IF(J105=24149,"CHRISTIANO MARCONDES DE BARROS LIMA",IF(J105=24137,"CHRISTIANO MARCONDES DE BARROS LIMA",IF(J105=135152,"ENRICO BORTPLUZO CASSIANO",IF(J105=136568,"ENRICO BORTPLUZO CASSIANO", IF(J105=130976,"MARYLIA CARVALHO PONCE",IF(J105=136668,"ALEXANDRE DA COSTA SOARES",IF(J105=52340,"OFFSHORE LISTED",IF(J105=158778,"CLAUDIO DE SOUZA PACINI",IF(J105=159800,"CLAUDIO DE SOUZA PACINI",_xlfn.XLOOKUP(J105,[1]!Tabela33[ID ORACLE],[1]!Tabela33[BROKER],0,0,1)))))))))))))</f>
        <v>EDUARDO TADEU CARAPIA UTTEMBERG</v>
      </c>
      <c r="E105" s="22">
        <f t="shared" si="10"/>
        <v>-142.3544924064</v>
      </c>
      <c r="F105" s="9" t="str">
        <f t="shared" si="11"/>
        <v>REFINITIV</v>
      </c>
      <c r="G105" s="20">
        <f t="shared" si="8"/>
        <v>46082</v>
      </c>
      <c r="H105" s="23">
        <v>1170</v>
      </c>
      <c r="J105" s="41">
        <v>24237</v>
      </c>
      <c r="K105" s="1" t="s">
        <v>42</v>
      </c>
      <c r="L105" s="1" t="s">
        <v>17</v>
      </c>
      <c r="M105" s="29">
        <v>20.685648</v>
      </c>
      <c r="O105" s="1"/>
      <c r="P105" s="26"/>
      <c r="Q105" s="27"/>
      <c r="R105" s="26"/>
      <c r="S105" s="27"/>
      <c r="T105" s="26"/>
      <c r="U105" s="27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</row>
    <row r="106" spans="1:78" customFormat="1" ht="15" customHeight="1" x14ac:dyDescent="0.25">
      <c r="A106" s="9" t="str">
        <f t="shared" si="9"/>
        <v>CUSTO MARKET DATA - MARÇO/26-BLOOMBERG-24243</v>
      </c>
      <c r="B106" s="20">
        <v>46082</v>
      </c>
      <c r="C106" s="21">
        <v>817393</v>
      </c>
      <c r="D106" s="9" t="str">
        <f>IF(J106=57036,"ALEXANDRE DA COSTA SOARES",IF(J106=24157,"JOSE MAURICIO GOMES TEIXEIRA",IF(J106=24203,"JOSE MAURICIO GOMES TEIXEIRA",IF(J106=24149,"CHRISTIANO MARCONDES DE BARROS LIMA",IF(J106=24137,"CHRISTIANO MARCONDES DE BARROS LIMA",IF(J106=135152,"ENRICO BORTPLUZO CASSIANO",IF(J106=136568,"ENRICO BORTPLUZO CASSIANO", IF(J106=130976,"MARYLIA CARVALHO PONCE",IF(J106=136668,"ALEXANDRE DA COSTA SOARES",IF(J106=52340,"OFFSHORE LISTED",IF(J106=158778,"CLAUDIO DE SOUZA PACINI",IF(J106=159800,"CLAUDIO DE SOUZA PACINI",_xlfn.XLOOKUP(J106,[1]!Tabela33[ID ORACLE],[1]!Tabela33[BROKER],0,0,1)))))))))))))</f>
        <v>JOSÉ VERGARA</v>
      </c>
      <c r="E106" s="22">
        <f t="shared" si="10"/>
        <v>-11790.933510189001</v>
      </c>
      <c r="F106" s="9" t="str">
        <f t="shared" si="11"/>
        <v>BLOOMBERG</v>
      </c>
      <c r="G106" s="20">
        <f t="shared" si="8"/>
        <v>46082</v>
      </c>
      <c r="H106" s="23">
        <v>1170</v>
      </c>
      <c r="J106" s="41">
        <v>24243</v>
      </c>
      <c r="K106" s="1" t="s">
        <v>41</v>
      </c>
      <c r="L106" s="1" t="s">
        <v>12</v>
      </c>
      <c r="M106" s="29">
        <v>2259.0591850000001</v>
      </c>
      <c r="O106" s="1"/>
      <c r="P106" s="26"/>
      <c r="Q106" s="27"/>
      <c r="R106" s="26"/>
      <c r="S106" s="27"/>
      <c r="T106" s="26"/>
      <c r="U106" s="27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</row>
    <row r="107" spans="1:78" customFormat="1" ht="15" customHeight="1" x14ac:dyDescent="0.25">
      <c r="A107" s="9" t="str">
        <f t="shared" si="9"/>
        <v>CUSTO MARKET DATA - MARÇO/26-BLOOMBERG-36538</v>
      </c>
      <c r="B107" s="20">
        <v>46082</v>
      </c>
      <c r="C107" s="21">
        <v>817393</v>
      </c>
      <c r="D107" s="9" t="str">
        <f>IF(J107=57036,"ALEXANDRE DA COSTA SOARES",IF(J107=24157,"JOSE MAURICIO GOMES TEIXEIRA",IF(J107=24203,"JOSE MAURICIO GOMES TEIXEIRA",IF(J107=24149,"CHRISTIANO MARCONDES DE BARROS LIMA",IF(J107=24137,"CHRISTIANO MARCONDES DE BARROS LIMA",IF(J107=135152,"ENRICO BORTPLUZO CASSIANO",IF(J107=136568,"ENRICO BORTPLUZO CASSIANO", IF(J107=130976,"MARYLIA CARVALHO PONCE",IF(J107=136668,"ALEXANDRE DA COSTA SOARES",IF(J107=52340,"OFFSHORE LISTED",IF(J107=158778,"CLAUDIO DE SOUZA PACINI",IF(J107=159800,"CLAUDIO DE SOUZA PACINI",_xlfn.XLOOKUP(J107,[1]!Tabela33[ID ORACLE],[1]!Tabela33[BROKER],0,0,1)))))))))))))</f>
        <v>CLYBAS PINTO FERRAZ NETO</v>
      </c>
      <c r="E107" s="22">
        <f t="shared" si="10"/>
        <v>-11790.933510189001</v>
      </c>
      <c r="F107" s="9" t="str">
        <f t="shared" si="11"/>
        <v>BLOOMBERG</v>
      </c>
      <c r="G107" s="20">
        <f t="shared" si="8"/>
        <v>46082</v>
      </c>
      <c r="H107" s="23">
        <v>1170</v>
      </c>
      <c r="J107" s="41">
        <v>36538</v>
      </c>
      <c r="K107" s="1" t="s">
        <v>41</v>
      </c>
      <c r="L107" s="1" t="s">
        <v>12</v>
      </c>
      <c r="M107" s="29">
        <v>2259.0591850000001</v>
      </c>
      <c r="O107" s="1"/>
      <c r="P107" s="26"/>
      <c r="Q107" s="27"/>
      <c r="R107" s="26"/>
      <c r="S107" s="27"/>
      <c r="T107" s="26"/>
      <c r="U107" s="27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</row>
    <row r="108" spans="1:78" customFormat="1" ht="15" hidden="1" customHeight="1" x14ac:dyDescent="0.25">
      <c r="A108" s="9" t="str">
        <f t="shared" si="9"/>
        <v>CUSTO MARKET DATA - MARÇO/26-REFINITIV-36538</v>
      </c>
      <c r="B108" s="20">
        <v>46082</v>
      </c>
      <c r="C108" s="21">
        <v>817393</v>
      </c>
      <c r="D108" s="9" t="str">
        <f>IF(J108=57036,"ALEXANDRE DA COSTA SOARES",IF(J108=24157,"JOSE MAURICIO GOMES TEIXEIRA",IF(J108=24203,"JOSE MAURICIO GOMES TEIXEIRA",IF(J108=24149,"CHRISTIANO MARCONDES DE BARROS LIMA",IF(J108=24137,"CHRISTIANO MARCONDES DE BARROS LIMA",IF(J108=135152,"ENRICO BORTPLUZO CASSIANO",IF(J108=136568,"ENRICO BORTPLUZO CASSIANO", IF(J108=130976,"MARYLIA CARVALHO PONCE",IF(J108=136668,"ALEXANDRE DA COSTA SOARES",IF(J108=52340,"OFFSHORE LISTED",IF(J108=158778,"CLAUDIO DE SOUZA PACINI",IF(J108=159800,"CLAUDIO DE SOUZA PACINI",_xlfn.XLOOKUP(J108,[1]!Tabela33[ID ORACLE],[1]!Tabela33[BROKER],0,0,1)))))))))))))</f>
        <v>CLYBAS PINTO FERRAZ NETO</v>
      </c>
      <c r="E108" s="22">
        <f t="shared" si="10"/>
        <v>-142.3544924064</v>
      </c>
      <c r="F108" s="9" t="str">
        <f t="shared" si="11"/>
        <v>REFINITIV</v>
      </c>
      <c r="G108" s="20">
        <f t="shared" si="8"/>
        <v>46082</v>
      </c>
      <c r="H108" s="23">
        <v>1170</v>
      </c>
      <c r="J108" s="41">
        <v>36538</v>
      </c>
      <c r="K108" s="1" t="s">
        <v>42</v>
      </c>
      <c r="L108" s="1" t="s">
        <v>17</v>
      </c>
      <c r="M108" s="29">
        <v>20.685648</v>
      </c>
      <c r="O108" s="1"/>
      <c r="P108" s="26"/>
      <c r="Q108" s="27"/>
      <c r="R108" s="26"/>
      <c r="S108" s="27"/>
      <c r="T108" s="26"/>
      <c r="U108" s="27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</row>
    <row r="109" spans="1:78" customFormat="1" ht="15" customHeight="1" x14ac:dyDescent="0.25">
      <c r="A109" s="9" t="str">
        <f t="shared" si="9"/>
        <v>CUSTO MARKET DATA - MARÇO/26-BLOOMBERG-52340</v>
      </c>
      <c r="B109" s="20">
        <v>46082</v>
      </c>
      <c r="C109" s="21">
        <v>817393</v>
      </c>
      <c r="D109" s="9" t="str">
        <f>IF(J109=57036,"ALEXANDRE DA COSTA SOARES",IF(J109=24157,"JOSE MAURICIO GOMES TEIXEIRA",IF(J109=24203,"JOSE MAURICIO GOMES TEIXEIRA",IF(J109=24149,"CHRISTIANO MARCONDES DE BARROS LIMA",IF(J109=24137,"CHRISTIANO MARCONDES DE BARROS LIMA",IF(J109=135152,"ENRICO BORTPLUZO CASSIANO",IF(J109=136568,"ENRICO BORTPLUZO CASSIANO", IF(J109=130976,"MARYLIA CARVALHO PONCE",IF(J109=136668,"ALEXANDRE DA COSTA SOARES",IF(J109=52340,"OFFSHORE LISTED",IF(J109=158778,"CLAUDIO DE SOUZA PACINI",IF(J109=159800,"CLAUDIO DE SOUZA PACINI",_xlfn.XLOOKUP(J109,[1]!Tabela33[ID ORACLE],[1]!Tabela33[BROKER],0,0,1)))))))))))))</f>
        <v>OFFSHORE LISTED</v>
      </c>
      <c r="E109" s="22">
        <f t="shared" si="10"/>
        <v>-13919.404830189002</v>
      </c>
      <c r="F109" s="9" t="str">
        <f t="shared" si="11"/>
        <v>BLOOMBERG</v>
      </c>
      <c r="G109" s="20">
        <f t="shared" si="8"/>
        <v>46082</v>
      </c>
      <c r="H109" s="23">
        <v>1170</v>
      </c>
      <c r="J109" s="41">
        <v>52340</v>
      </c>
      <c r="K109" s="1" t="s">
        <v>41</v>
      </c>
      <c r="L109" s="1" t="s">
        <v>12</v>
      </c>
      <c r="M109" s="29">
        <v>2666.8591850000003</v>
      </c>
      <c r="O109" s="1"/>
      <c r="P109" s="26"/>
      <c r="Q109" s="27"/>
      <c r="R109" s="26"/>
      <c r="S109" s="27"/>
      <c r="T109" s="26"/>
      <c r="U109" s="27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</row>
    <row r="110" spans="1:78" ht="15" hidden="1" customHeight="1" x14ac:dyDescent="0.25">
      <c r="A110" s="9" t="str">
        <f t="shared" si="9"/>
        <v>CUSTO MARKET DATA - MARÇO/26-FIDESSA-52340</v>
      </c>
      <c r="B110" s="20">
        <v>46082</v>
      </c>
      <c r="C110" s="21">
        <v>817393</v>
      </c>
      <c r="D110" s="9" t="str">
        <f>IF(J110=57036,"ALEXANDRE DA COSTA SOARES",IF(J110=24157,"JOSE MAURICIO GOMES TEIXEIRA",IF(J110=24203,"JOSE MAURICIO GOMES TEIXEIRA",IF(J110=24149,"CHRISTIANO MARCONDES DE BARROS LIMA",IF(J110=24137,"CHRISTIANO MARCONDES DE BARROS LIMA",IF(J110=135152,"ENRICO BORTPLUZO CASSIANO",IF(J110=136568,"ENRICO BORTPLUZO CASSIANO", IF(J110=130976,"MARYLIA CARVALHO PONCE",IF(J110=136668,"ALEXANDRE DA COSTA SOARES",IF(J110=52340,"OFFSHORE LISTED",IF(J110=158778,"CLAUDIO DE SOUZA PACINI",IF(J110=159800,"CLAUDIO DE SOUZA PACINI",_xlfn.XLOOKUP(J110,[1]!Tabela33[ID ORACLE],[1]!Tabela33[BROKER],0,0,1)))))))))))))</f>
        <v>OFFSHORE LISTED</v>
      </c>
      <c r="E110" s="22">
        <f t="shared" si="10"/>
        <v>-1815.9954352571999</v>
      </c>
      <c r="F110" s="9" t="str">
        <f t="shared" si="11"/>
        <v>FIDESSA</v>
      </c>
      <c r="G110" s="20">
        <f t="shared" si="8"/>
        <v>46082</v>
      </c>
      <c r="H110" s="23">
        <v>1170</v>
      </c>
      <c r="J110" s="41">
        <v>52340</v>
      </c>
      <c r="K110" s="1" t="s">
        <v>47</v>
      </c>
      <c r="L110" s="1" t="s">
        <v>12</v>
      </c>
      <c r="M110" s="29">
        <v>347.93183799999997</v>
      </c>
      <c r="Q110" s="27"/>
      <c r="S110" s="27"/>
      <c r="U110" s="27"/>
    </row>
    <row r="111" spans="1:78" customFormat="1" ht="15" hidden="1" customHeight="1" x14ac:dyDescent="0.25">
      <c r="A111" s="9" t="str">
        <f t="shared" si="9"/>
        <v>CUSTO MARKET DATA - MARÇO/26-NYSE MARKET INC.-52340</v>
      </c>
      <c r="B111" s="20">
        <v>46082</v>
      </c>
      <c r="C111" s="21">
        <v>817393</v>
      </c>
      <c r="D111" s="9" t="str">
        <f>IF(J111=57036,"ALEXANDRE DA COSTA SOARES",IF(J111=24157,"JOSE MAURICIO GOMES TEIXEIRA",IF(J111=24203,"JOSE MAURICIO GOMES TEIXEIRA",IF(J111=24149,"CHRISTIANO MARCONDES DE BARROS LIMA",IF(J111=24137,"CHRISTIANO MARCONDES DE BARROS LIMA",IF(J111=135152,"ENRICO BORTPLUZO CASSIANO",IF(J111=136568,"ENRICO BORTPLUZO CASSIANO", IF(J111=130976,"MARYLIA CARVALHO PONCE",IF(J111=136668,"ALEXANDRE DA COSTA SOARES",IF(J111=52340,"OFFSHORE LISTED",IF(J111=158778,"CLAUDIO DE SOUZA PACINI",IF(J111=159800,"CLAUDIO DE SOUZA PACINI",_xlfn.XLOOKUP(J111,[1]!Tabela33[ID ORACLE],[1]!Tabela33[BROKER],0,0,1)))))))))))))</f>
        <v>OFFSHORE LISTED</v>
      </c>
      <c r="E111" s="22">
        <f t="shared" si="10"/>
        <v>-2187.9942292398</v>
      </c>
      <c r="F111" s="9" t="str">
        <f t="shared" si="11"/>
        <v>NYSE MARKET INC.</v>
      </c>
      <c r="G111" s="20">
        <f t="shared" si="8"/>
        <v>46082</v>
      </c>
      <c r="H111" s="23">
        <v>1170</v>
      </c>
      <c r="J111" s="41">
        <v>52340</v>
      </c>
      <c r="K111" s="1" t="s">
        <v>44</v>
      </c>
      <c r="L111" s="1" t="s">
        <v>12</v>
      </c>
      <c r="M111" s="29">
        <v>419.20416699999998</v>
      </c>
      <c r="O111" s="1"/>
      <c r="P111" s="26"/>
      <c r="Q111" s="27"/>
      <c r="R111" s="26"/>
      <c r="S111" s="28"/>
      <c r="T111" s="26"/>
      <c r="U111" s="28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</row>
    <row r="112" spans="1:78" customFormat="1" ht="15" hidden="1" customHeight="1" x14ac:dyDescent="0.25">
      <c r="A112" s="9" t="str">
        <f t="shared" si="9"/>
        <v>CUSTO MARKET DATA - MARÇO/26-OPTIONS PRICE REPORTING AUTHORITY (OPRA)-52340</v>
      </c>
      <c r="B112" s="20">
        <v>46082</v>
      </c>
      <c r="C112" s="21">
        <v>817393</v>
      </c>
      <c r="D112" s="9" t="str">
        <f>IF(J112=57036,"ALEXANDRE DA COSTA SOARES",IF(J112=24157,"JOSE MAURICIO GOMES TEIXEIRA",IF(J112=24203,"JOSE MAURICIO GOMES TEIXEIRA",IF(J112=24149,"CHRISTIANO MARCONDES DE BARROS LIMA",IF(J112=24137,"CHRISTIANO MARCONDES DE BARROS LIMA",IF(J112=135152,"ENRICO BORTPLUZO CASSIANO",IF(J112=136568,"ENRICO BORTPLUZO CASSIANO", IF(J112=130976,"MARYLIA CARVALHO PONCE",IF(J112=136668,"ALEXANDRE DA COSTA SOARES",IF(J112=52340,"OFFSHORE LISTED",IF(J112=158778,"CLAUDIO DE SOUZA PACINI",IF(J112=159800,"CLAUDIO DE SOUZA PACINI",_xlfn.XLOOKUP(J112,[1]!Tabela33[ID ORACLE],[1]!Tabela33[BROKER],0,0,1)))))))))))))</f>
        <v>OFFSHORE LISTED</v>
      </c>
      <c r="E112" s="22">
        <f t="shared" si="10"/>
        <v>-164.4111</v>
      </c>
      <c r="F112" s="9" t="str">
        <f t="shared" si="11"/>
        <v>OPTIONS PRICE REPORTING AUTHORITY (OPRA)</v>
      </c>
      <c r="G112" s="20">
        <f t="shared" si="8"/>
        <v>46082</v>
      </c>
      <c r="H112" s="23">
        <v>1170</v>
      </c>
      <c r="J112" s="41">
        <v>52340</v>
      </c>
      <c r="K112" s="1" t="s">
        <v>45</v>
      </c>
      <c r="L112" s="1" t="s">
        <v>12</v>
      </c>
      <c r="M112" s="29">
        <v>31.5</v>
      </c>
      <c r="O112" s="1"/>
      <c r="P112" s="26"/>
      <c r="Q112" s="27"/>
      <c r="R112" s="26"/>
      <c r="S112" s="28"/>
      <c r="T112" s="26"/>
      <c r="U112" s="28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</row>
    <row r="113" spans="1:78" customFormat="1" ht="15" customHeight="1" x14ac:dyDescent="0.25">
      <c r="A113" s="9" t="str">
        <f t="shared" si="9"/>
        <v>CUSTO MARKET DATA - MARÇO/26-BLOOMBERG-56258</v>
      </c>
      <c r="B113" s="20">
        <v>46082</v>
      </c>
      <c r="C113" s="21">
        <v>817393</v>
      </c>
      <c r="D113" s="9" t="str">
        <f>IF(J113=57036,"ALEXANDRE DA COSTA SOARES",IF(J113=24157,"JOSE MAURICIO GOMES TEIXEIRA",IF(J113=24203,"JOSE MAURICIO GOMES TEIXEIRA",IF(J113=24149,"CHRISTIANO MARCONDES DE BARROS LIMA",IF(J113=24137,"CHRISTIANO MARCONDES DE BARROS LIMA",IF(J113=135152,"ENRICO BORTPLUZO CASSIANO",IF(J113=136568,"ENRICO BORTPLUZO CASSIANO", IF(J113=130976,"MARYLIA CARVALHO PONCE",IF(J113=136668,"ALEXANDRE DA COSTA SOARES",IF(J113=52340,"OFFSHORE LISTED",IF(J113=158778,"CLAUDIO DE SOUZA PACINI",IF(J113=159800,"CLAUDIO DE SOUZA PACINI",_xlfn.XLOOKUP(J113,[1]!Tabela33[ID ORACLE],[1]!Tabela33[BROKER],0,0,1)))))))))))))</f>
        <v>RAFFAELE SCURTI NETTO</v>
      </c>
      <c r="E113" s="22">
        <f t="shared" si="10"/>
        <v>-9440.8214600436022</v>
      </c>
      <c r="F113" s="9" t="str">
        <f t="shared" si="11"/>
        <v>BLOOMBERG</v>
      </c>
      <c r="G113" s="20">
        <f t="shared" si="8"/>
        <v>46082</v>
      </c>
      <c r="H113" s="23">
        <v>1170</v>
      </c>
      <c r="J113" s="41">
        <v>56258</v>
      </c>
      <c r="K113" s="1" t="s">
        <v>41</v>
      </c>
      <c r="L113" s="1" t="s">
        <v>12</v>
      </c>
      <c r="M113" s="29">
        <v>1808.7943940000002</v>
      </c>
      <c r="O113" s="1"/>
      <c r="P113" s="26"/>
      <c r="Q113" s="27"/>
      <c r="R113" s="26"/>
      <c r="S113" s="28"/>
      <c r="T113" s="26"/>
      <c r="U113" s="28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</row>
    <row r="114" spans="1:78" customFormat="1" ht="15" hidden="1" customHeight="1" x14ac:dyDescent="0.25">
      <c r="A114" s="9" t="str">
        <f t="shared" si="9"/>
        <v>CUSTO MARKET DATA - MARÇO/26-REFINITIV-56258</v>
      </c>
      <c r="B114" s="20">
        <v>46082</v>
      </c>
      <c r="C114" s="21">
        <v>817393</v>
      </c>
      <c r="D114" s="9" t="str">
        <f>IF(J114=57036,"ALEXANDRE DA COSTA SOARES",IF(J114=24157,"JOSE MAURICIO GOMES TEIXEIRA",IF(J114=24203,"JOSE MAURICIO GOMES TEIXEIRA",IF(J114=24149,"CHRISTIANO MARCONDES DE BARROS LIMA",IF(J114=24137,"CHRISTIANO MARCONDES DE BARROS LIMA",IF(J114=135152,"ENRICO BORTPLUZO CASSIANO",IF(J114=136568,"ENRICO BORTPLUZO CASSIANO", IF(J114=130976,"MARYLIA CARVALHO PONCE",IF(J114=136668,"ALEXANDRE DA COSTA SOARES",IF(J114=52340,"OFFSHORE LISTED",IF(J114=158778,"CLAUDIO DE SOUZA PACINI",IF(J114=159800,"CLAUDIO DE SOUZA PACINI",_xlfn.XLOOKUP(J114,[1]!Tabela33[ID ORACLE],[1]!Tabela33[BROKER],0,0,1)))))))))))))</f>
        <v>RAFFAELE SCURTI NETTO</v>
      </c>
      <c r="E114" s="22">
        <f t="shared" si="10"/>
        <v>-142.3544924064</v>
      </c>
      <c r="F114" s="9" t="str">
        <f t="shared" si="11"/>
        <v>REFINITIV</v>
      </c>
      <c r="G114" s="20">
        <f t="shared" si="8"/>
        <v>46082</v>
      </c>
      <c r="H114" s="23">
        <v>1170</v>
      </c>
      <c r="J114" s="41">
        <v>56258</v>
      </c>
      <c r="K114" s="1" t="s">
        <v>42</v>
      </c>
      <c r="L114" s="1" t="s">
        <v>17</v>
      </c>
      <c r="M114" s="29">
        <v>20.685648</v>
      </c>
      <c r="O114" s="1"/>
      <c r="P114" s="26"/>
      <c r="Q114" s="27"/>
      <c r="R114" s="26"/>
      <c r="S114" s="28"/>
      <c r="T114" s="26"/>
      <c r="U114" s="28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</row>
    <row r="115" spans="1:78" customFormat="1" ht="15" customHeight="1" x14ac:dyDescent="0.25">
      <c r="A115" s="9" t="str">
        <f t="shared" si="9"/>
        <v>CUSTO MARKET DATA - MARÇO/26-BLOOMBERG-57036</v>
      </c>
      <c r="B115" s="20">
        <v>46082</v>
      </c>
      <c r="C115" s="21">
        <v>817393</v>
      </c>
      <c r="D115" s="9" t="str">
        <f>IF(J115=57036,"ALEXANDRE DA COSTA SOARES",IF(J115=24157,"JOSE MAURICIO GOMES TEIXEIRA",IF(J115=24203,"JOSE MAURICIO GOMES TEIXEIRA",IF(J115=24149,"CHRISTIANO MARCONDES DE BARROS LIMA",IF(J115=24137,"CHRISTIANO MARCONDES DE BARROS LIMA",IF(J115=135152,"ENRICO BORTPLUZO CASSIANO",IF(J115=136568,"ENRICO BORTPLUZO CASSIANO", IF(J115=130976,"MARYLIA CARVALHO PONCE",IF(J115=136668,"ALEXANDRE DA COSTA SOARES",IF(J115=52340,"OFFSHORE LISTED",IF(J115=158778,"CLAUDIO DE SOUZA PACINI",IF(J115=159800,"CLAUDIO DE SOUZA PACINI",_xlfn.XLOOKUP(J115,[1]!Tabela33[ID ORACLE],[1]!Tabela33[BROKER],0,0,1)))))))))))))</f>
        <v>ALEXANDRE DA COSTA SOARES</v>
      </c>
      <c r="E115" s="22">
        <f t="shared" si="10"/>
        <v>-13512.813570188999</v>
      </c>
      <c r="F115" s="9" t="str">
        <f t="shared" si="11"/>
        <v>BLOOMBERG</v>
      </c>
      <c r="G115" s="20">
        <f t="shared" si="8"/>
        <v>46082</v>
      </c>
      <c r="H115" s="23">
        <v>1170</v>
      </c>
      <c r="J115" s="41">
        <v>57036</v>
      </c>
      <c r="K115" s="1" t="s">
        <v>41</v>
      </c>
      <c r="L115" s="1" t="s">
        <v>12</v>
      </c>
      <c r="M115" s="29">
        <v>2588.9591849999997</v>
      </c>
      <c r="O115" s="1"/>
      <c r="P115" s="26"/>
      <c r="Q115" s="27"/>
      <c r="R115" s="26"/>
      <c r="S115" s="28"/>
      <c r="T115" s="26"/>
      <c r="U115" s="28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</row>
    <row r="116" spans="1:78" customFormat="1" ht="15" hidden="1" customHeight="1" x14ac:dyDescent="0.25">
      <c r="A116" s="9" t="str">
        <f t="shared" si="9"/>
        <v>CUSTO MARKET DATA - MARÇO/26-FIDESSA-57036</v>
      </c>
      <c r="B116" s="20">
        <v>46082</v>
      </c>
      <c r="C116" s="21">
        <v>817393</v>
      </c>
      <c r="D116" s="9" t="str">
        <f>IF(J116=57036,"ALEXANDRE DA COSTA SOARES",IF(J116=24157,"JOSE MAURICIO GOMES TEIXEIRA",IF(J116=24203,"JOSE MAURICIO GOMES TEIXEIRA",IF(J116=24149,"CHRISTIANO MARCONDES DE BARROS LIMA",IF(J116=24137,"CHRISTIANO MARCONDES DE BARROS LIMA",IF(J116=135152,"ENRICO BORTPLUZO CASSIANO",IF(J116=136568,"ENRICO BORTPLUZO CASSIANO", IF(J116=130976,"MARYLIA CARVALHO PONCE",IF(J116=136668,"ALEXANDRE DA COSTA SOARES",IF(J116=52340,"OFFSHORE LISTED",IF(J116=158778,"CLAUDIO DE SOUZA PACINI",IF(J116=159800,"CLAUDIO DE SOUZA PACINI",_xlfn.XLOOKUP(J116,[1]!Tabela33[ID ORACLE],[1]!Tabela33[BROKER],0,0,1)))))))))))))</f>
        <v>ALEXANDRE DA COSTA SOARES</v>
      </c>
      <c r="E116" s="22">
        <f t="shared" si="10"/>
        <v>-2210.7139538370002</v>
      </c>
      <c r="F116" s="9" t="str">
        <f t="shared" si="11"/>
        <v>FIDESSA</v>
      </c>
      <c r="G116" s="20">
        <f t="shared" si="8"/>
        <v>46082</v>
      </c>
      <c r="H116" s="23">
        <v>1170</v>
      </c>
      <c r="J116" s="41">
        <v>57036</v>
      </c>
      <c r="K116" s="1" t="s">
        <v>47</v>
      </c>
      <c r="L116" s="1" t="s">
        <v>12</v>
      </c>
      <c r="M116" s="29">
        <v>423.55710499999998</v>
      </c>
      <c r="O116" s="1"/>
      <c r="P116" s="26"/>
      <c r="Q116" s="27"/>
      <c r="R116" s="26"/>
      <c r="S116" s="28"/>
      <c r="T116" s="26"/>
      <c r="U116" s="28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</row>
    <row r="117" spans="1:78" customFormat="1" ht="15" hidden="1" customHeight="1" x14ac:dyDescent="0.25">
      <c r="A117" s="9" t="str">
        <f t="shared" si="9"/>
        <v>CUSTO MARKET DATA - MARÇO/26-NYSE MARKET INC.-57036</v>
      </c>
      <c r="B117" s="20">
        <v>46082</v>
      </c>
      <c r="C117" s="21">
        <v>817393</v>
      </c>
      <c r="D117" s="9" t="str">
        <f>IF(J117=57036,"ALEXANDRE DA COSTA SOARES",IF(J117=24157,"JOSE MAURICIO GOMES TEIXEIRA",IF(J117=24203,"JOSE MAURICIO GOMES TEIXEIRA",IF(J117=24149,"CHRISTIANO MARCONDES DE BARROS LIMA",IF(J117=24137,"CHRISTIANO MARCONDES DE BARROS LIMA",IF(J117=135152,"ENRICO BORTPLUZO CASSIANO",IF(J117=136568,"ENRICO BORTPLUZO CASSIANO", IF(J117=130976,"MARYLIA CARVALHO PONCE",IF(J117=136668,"ALEXANDRE DA COSTA SOARES",IF(J117=52340,"OFFSHORE LISTED",IF(J117=158778,"CLAUDIO DE SOUZA PACINI",IF(J117=159800,"CLAUDIO DE SOUZA PACINI",_xlfn.XLOOKUP(J117,[1]!Tabela33[ID ORACLE],[1]!Tabela33[BROKER],0,0,1)))))))))))))</f>
        <v>ALEXANDRE DA COSTA SOARES</v>
      </c>
      <c r="E117" s="22">
        <f t="shared" si="10"/>
        <v>-1227.0156975</v>
      </c>
      <c r="F117" s="9" t="str">
        <f t="shared" si="11"/>
        <v>NYSE MARKET INC.</v>
      </c>
      <c r="G117" s="20">
        <f t="shared" si="8"/>
        <v>46082</v>
      </c>
      <c r="H117" s="23">
        <v>1170</v>
      </c>
      <c r="J117" s="41">
        <v>57036</v>
      </c>
      <c r="K117" s="1" t="s">
        <v>44</v>
      </c>
      <c r="L117" s="1" t="s">
        <v>12</v>
      </c>
      <c r="M117" s="29">
        <v>235.08750000000001</v>
      </c>
      <c r="O117" s="1"/>
      <c r="P117" s="26"/>
      <c r="Q117" s="27"/>
      <c r="R117" s="26"/>
      <c r="S117" s="28"/>
      <c r="T117" s="26"/>
      <c r="U117" s="28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</row>
    <row r="118" spans="1:78" customFormat="1" ht="15" hidden="1" customHeight="1" x14ac:dyDescent="0.25">
      <c r="A118" s="9" t="str">
        <f t="shared" si="9"/>
        <v>CUSTO MARKET DATA - MARÇO/26-OPTIONS PRICE REPORTING AUTHORITY (OPRA)-57036</v>
      </c>
      <c r="B118" s="20">
        <v>46082</v>
      </c>
      <c r="C118" s="21">
        <v>817393</v>
      </c>
      <c r="D118" s="9" t="str">
        <f>IF(J118=57036,"ALEXANDRE DA COSTA SOARES",IF(J118=24157,"JOSE MAURICIO GOMES TEIXEIRA",IF(J118=24203,"JOSE MAURICIO GOMES TEIXEIRA",IF(J118=24149,"CHRISTIANO MARCONDES DE BARROS LIMA",IF(J118=24137,"CHRISTIANO MARCONDES DE BARROS LIMA",IF(J118=135152,"ENRICO BORTPLUZO CASSIANO",IF(J118=136568,"ENRICO BORTPLUZO CASSIANO", IF(J118=130976,"MARYLIA CARVALHO PONCE",IF(J118=136668,"ALEXANDRE DA COSTA SOARES",IF(J118=52340,"OFFSHORE LISTED",IF(J118=158778,"CLAUDIO DE SOUZA PACINI",IF(J118=159800,"CLAUDIO DE SOUZA PACINI",_xlfn.XLOOKUP(J118,[1]!Tabela33[ID ORACLE],[1]!Tabela33[BROKER],0,0,1)))))))))))))</f>
        <v>ALEXANDRE DA COSTA SOARES</v>
      </c>
      <c r="E118" s="22">
        <f t="shared" si="10"/>
        <v>-343.41368512500003</v>
      </c>
      <c r="F118" s="9" t="str">
        <f t="shared" si="11"/>
        <v>OPTIONS PRICE REPORTING AUTHORITY (OPRA)</v>
      </c>
      <c r="G118" s="20">
        <f t="shared" si="8"/>
        <v>46082</v>
      </c>
      <c r="H118" s="23">
        <v>1170</v>
      </c>
      <c r="J118" s="41">
        <v>57036</v>
      </c>
      <c r="K118" s="1" t="s">
        <v>45</v>
      </c>
      <c r="L118" s="1" t="s">
        <v>12</v>
      </c>
      <c r="M118" s="29">
        <v>65.795625000000001</v>
      </c>
      <c r="O118" s="1"/>
      <c r="P118" s="26"/>
      <c r="Q118" s="27"/>
      <c r="R118" s="26"/>
      <c r="S118" s="28"/>
      <c r="T118" s="26"/>
      <c r="U118" s="28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</row>
    <row r="119" spans="1:78" customFormat="1" ht="15" hidden="1" customHeight="1" x14ac:dyDescent="0.25">
      <c r="A119" s="9" t="str">
        <f t="shared" si="9"/>
        <v>CUSTO MARKET DATA - MARÇO/26-REFINITIV-57036</v>
      </c>
      <c r="B119" s="20">
        <v>46082</v>
      </c>
      <c r="C119" s="21">
        <v>817393</v>
      </c>
      <c r="D119" s="9" t="str">
        <f>IF(J119=57036,"ALEXANDRE DA COSTA SOARES",IF(J119=24157,"JOSE MAURICIO GOMES TEIXEIRA",IF(J119=24203,"JOSE MAURICIO GOMES TEIXEIRA",IF(J119=24149,"CHRISTIANO MARCONDES DE BARROS LIMA",IF(J119=24137,"CHRISTIANO MARCONDES DE BARROS LIMA",IF(J119=135152,"ENRICO BORTPLUZO CASSIANO",IF(J119=136568,"ENRICO BORTPLUZO CASSIANO", IF(J119=130976,"MARYLIA CARVALHO PONCE",IF(J119=136668,"ALEXANDRE DA COSTA SOARES",IF(J119=52340,"OFFSHORE LISTED",IF(J119=158778,"CLAUDIO DE SOUZA PACINI",IF(J119=159800,"CLAUDIO DE SOUZA PACINI",_xlfn.XLOOKUP(J119,[1]!Tabela33[ID ORACLE],[1]!Tabela33[BROKER],0,0,1)))))))))))))</f>
        <v>ALEXANDRE DA COSTA SOARES</v>
      </c>
      <c r="E119" s="22">
        <f t="shared" si="10"/>
        <v>-142.3544924064</v>
      </c>
      <c r="F119" s="9" t="str">
        <f t="shared" si="11"/>
        <v>REFINITIV</v>
      </c>
      <c r="G119" s="20">
        <f t="shared" si="8"/>
        <v>46082</v>
      </c>
      <c r="H119" s="23">
        <v>1170</v>
      </c>
      <c r="J119" s="41">
        <v>57036</v>
      </c>
      <c r="K119" s="1" t="s">
        <v>42</v>
      </c>
      <c r="L119" s="1" t="s">
        <v>17</v>
      </c>
      <c r="M119" s="29">
        <v>20.685648</v>
      </c>
      <c r="O119" s="1"/>
      <c r="P119" s="26"/>
      <c r="Q119" s="27"/>
      <c r="R119" s="26"/>
      <c r="S119" s="28"/>
      <c r="T119" s="26"/>
      <c r="U119" s="28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</row>
    <row r="120" spans="1:78" customFormat="1" ht="15" hidden="1" customHeight="1" x14ac:dyDescent="0.25">
      <c r="A120" s="9" t="str">
        <f t="shared" si="9"/>
        <v>CUSTO MARKET DATA - MARÇO/26-TORONTO STOCK EXCHANGE-57036</v>
      </c>
      <c r="B120" s="20">
        <v>46082</v>
      </c>
      <c r="C120" s="21">
        <v>817393</v>
      </c>
      <c r="D120" s="9" t="str">
        <f>IF(J120=57036,"ALEXANDRE DA COSTA SOARES",IF(J120=24157,"JOSE MAURICIO GOMES TEIXEIRA",IF(J120=24203,"JOSE MAURICIO GOMES TEIXEIRA",IF(J120=24149,"CHRISTIANO MARCONDES DE BARROS LIMA",IF(J120=24137,"CHRISTIANO MARCONDES DE BARROS LIMA",IF(J120=135152,"ENRICO BORTPLUZO CASSIANO",IF(J120=136568,"ENRICO BORTPLUZO CASSIANO", IF(J120=130976,"MARYLIA CARVALHO PONCE",IF(J120=136668,"ALEXANDRE DA COSTA SOARES",IF(J120=52340,"OFFSHORE LISTED",IF(J120=158778,"CLAUDIO DE SOUZA PACINI",IF(J120=159800,"CLAUDIO DE SOUZA PACINI",_xlfn.XLOOKUP(J120,[1]!Tabela33[ID ORACLE],[1]!Tabela33[BROKER],0,0,1)))))))))))))</f>
        <v>ALEXANDRE DA COSTA SOARES</v>
      </c>
      <c r="E120" s="22">
        <f t="shared" si="10"/>
        <v>-526.45938451080008</v>
      </c>
      <c r="F120" s="9" t="str">
        <f t="shared" si="11"/>
        <v>TORONTO STOCK EXCHANGE</v>
      </c>
      <c r="G120" s="20">
        <f t="shared" si="8"/>
        <v>46082</v>
      </c>
      <c r="H120" s="23">
        <v>1170</v>
      </c>
      <c r="J120" s="41">
        <v>57036</v>
      </c>
      <c r="K120" s="1" t="s">
        <v>51</v>
      </c>
      <c r="L120" s="1" t="s">
        <v>12</v>
      </c>
      <c r="M120" s="29">
        <v>100.86588200000001</v>
      </c>
      <c r="O120" s="1"/>
      <c r="P120" s="26"/>
      <c r="Q120" s="27"/>
      <c r="R120" s="26"/>
      <c r="S120" s="28"/>
      <c r="T120" s="26"/>
      <c r="U120" s="28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</row>
    <row r="121" spans="1:78" customFormat="1" ht="15" customHeight="1" x14ac:dyDescent="0.25">
      <c r="A121" s="9" t="str">
        <f t="shared" si="9"/>
        <v>CUSTO MARKET DATA - MARÇO/26-BLOOMBERG-61086</v>
      </c>
      <c r="B121" s="20">
        <v>46082</v>
      </c>
      <c r="C121" s="21">
        <v>817393</v>
      </c>
      <c r="D121" s="9" t="str">
        <f>IF(J121=57036,"ALEXANDRE DA COSTA SOARES",IF(J121=24157,"JOSE MAURICIO GOMES TEIXEIRA",IF(J121=24203,"JOSE MAURICIO GOMES TEIXEIRA",IF(J121=24149,"CHRISTIANO MARCONDES DE BARROS LIMA",IF(J121=24137,"CHRISTIANO MARCONDES DE BARROS LIMA",IF(J121=135152,"ENRICO BORTPLUZO CASSIANO",IF(J121=136568,"ENRICO BORTPLUZO CASSIANO", IF(J121=130976,"MARYLIA CARVALHO PONCE",IF(J121=136668,"ALEXANDRE DA COSTA SOARES",IF(J121=52340,"OFFSHORE LISTED",IF(J121=158778,"CLAUDIO DE SOUZA PACINI",IF(J121=159800,"CLAUDIO DE SOUZA PACINI",_xlfn.XLOOKUP(J121,[1]!Tabela33[ID ORACLE],[1]!Tabela33[BROKER],0,0,1)))))))))))))</f>
        <v>ALEXANDRE DA COSTA SOARES</v>
      </c>
      <c r="E121" s="22">
        <f t="shared" si="10"/>
        <v>-13823.889810188999</v>
      </c>
      <c r="F121" s="9" t="str">
        <f t="shared" si="11"/>
        <v>BLOOMBERG</v>
      </c>
      <c r="G121" s="20">
        <f t="shared" si="8"/>
        <v>46082</v>
      </c>
      <c r="H121" s="23">
        <v>1170</v>
      </c>
      <c r="J121" s="41">
        <v>61086</v>
      </c>
      <c r="K121" s="1" t="s">
        <v>41</v>
      </c>
      <c r="L121" s="1" t="s">
        <v>12</v>
      </c>
      <c r="M121" s="29">
        <v>2648.5591849999996</v>
      </c>
      <c r="O121" s="1"/>
      <c r="P121" s="26"/>
      <c r="Q121" s="27"/>
      <c r="R121" s="26"/>
      <c r="S121" s="42"/>
      <c r="T121" s="26"/>
      <c r="U121" s="42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</row>
    <row r="122" spans="1:78" customFormat="1" ht="15" hidden="1" customHeight="1" x14ac:dyDescent="0.25">
      <c r="A122" s="9" t="str">
        <f t="shared" si="9"/>
        <v>CUSTO MARKET DATA - MARÇO/26-FIDESSA-61086</v>
      </c>
      <c r="B122" s="20">
        <v>46082</v>
      </c>
      <c r="C122" s="21">
        <v>817393</v>
      </c>
      <c r="D122" s="9" t="str">
        <f>IF(J122=57036,"ALEXANDRE DA COSTA SOARES",IF(J122=24157,"JOSE MAURICIO GOMES TEIXEIRA",IF(J122=24203,"JOSE MAURICIO GOMES TEIXEIRA",IF(J122=24149,"CHRISTIANO MARCONDES DE BARROS LIMA",IF(J122=24137,"CHRISTIANO MARCONDES DE BARROS LIMA",IF(J122=135152,"ENRICO BORTPLUZO CASSIANO",IF(J122=136568,"ENRICO BORTPLUZO CASSIANO", IF(J122=130976,"MARYLIA CARVALHO PONCE",IF(J122=136668,"ALEXANDRE DA COSTA SOARES",IF(J122=52340,"OFFSHORE LISTED",IF(J122=158778,"CLAUDIO DE SOUZA PACINI",IF(J122=159800,"CLAUDIO DE SOUZA PACINI",_xlfn.XLOOKUP(J122,[1]!Tabela33[ID ORACLE],[1]!Tabela33[BROKER],0,0,1)))))))))))))</f>
        <v>ALEXANDRE DA COSTA SOARES</v>
      </c>
      <c r="E122" s="22">
        <f t="shared" si="10"/>
        <v>-2212.3062257562001</v>
      </c>
      <c r="F122" s="9" t="str">
        <f t="shared" si="11"/>
        <v>FIDESSA</v>
      </c>
      <c r="G122" s="20">
        <f t="shared" si="8"/>
        <v>46082</v>
      </c>
      <c r="H122" s="23">
        <v>1170</v>
      </c>
      <c r="J122" s="41">
        <v>61086</v>
      </c>
      <c r="K122" s="1" t="s">
        <v>47</v>
      </c>
      <c r="L122" s="1" t="s">
        <v>12</v>
      </c>
      <c r="M122" s="29">
        <v>423.86217299999998</v>
      </c>
      <c r="O122" s="1"/>
      <c r="P122" s="26"/>
      <c r="Q122" s="27"/>
      <c r="R122" s="26"/>
      <c r="S122" s="42"/>
      <c r="T122" s="26"/>
      <c r="U122" s="42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</row>
    <row r="123" spans="1:78" customFormat="1" ht="15" hidden="1" customHeight="1" x14ac:dyDescent="0.25">
      <c r="A123" s="9" t="str">
        <f t="shared" si="9"/>
        <v>CUSTO MARKET DATA - MARÇO/26-NYSE MARKET INC.-61086</v>
      </c>
      <c r="B123" s="20">
        <v>46082</v>
      </c>
      <c r="C123" s="21">
        <v>817393</v>
      </c>
      <c r="D123" s="9" t="str">
        <f>IF(J123=57036,"ALEXANDRE DA COSTA SOARES",IF(J123=24157,"JOSE MAURICIO GOMES TEIXEIRA",IF(J123=24203,"JOSE MAURICIO GOMES TEIXEIRA",IF(J123=24149,"CHRISTIANO MARCONDES DE BARROS LIMA",IF(J123=24137,"CHRISTIANO MARCONDES DE BARROS LIMA",IF(J123=135152,"ENRICO BORTPLUZO CASSIANO",IF(J123=136568,"ENRICO BORTPLUZO CASSIANO", IF(J123=130976,"MARYLIA CARVALHO PONCE",IF(J123=136668,"ALEXANDRE DA COSTA SOARES",IF(J123=52340,"OFFSHORE LISTED",IF(J123=158778,"CLAUDIO DE SOUZA PACINI",IF(J123=159800,"CLAUDIO DE SOUZA PACINI",_xlfn.XLOOKUP(J123,[1]!Tabela33[ID ORACLE],[1]!Tabela33[BROKER],0,0,1)))))))))))))</f>
        <v>ALEXANDRE DA COSTA SOARES</v>
      </c>
      <c r="E123" s="22">
        <f t="shared" si="10"/>
        <v>-1903.8674894999999</v>
      </c>
      <c r="F123" s="9" t="str">
        <f t="shared" si="11"/>
        <v>NYSE MARKET INC.</v>
      </c>
      <c r="G123" s="20">
        <f t="shared" si="8"/>
        <v>46082</v>
      </c>
      <c r="H123" s="23">
        <v>1170</v>
      </c>
      <c r="J123" s="41">
        <v>61086</v>
      </c>
      <c r="K123" s="1" t="s">
        <v>44</v>
      </c>
      <c r="L123" s="1" t="s">
        <v>12</v>
      </c>
      <c r="M123" s="29">
        <v>364.76749999999998</v>
      </c>
      <c r="O123" s="1"/>
      <c r="P123" s="26"/>
      <c r="Q123" s="27"/>
      <c r="R123" s="26"/>
      <c r="S123" s="42"/>
      <c r="T123" s="26"/>
      <c r="U123" s="42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</row>
    <row r="124" spans="1:78" customFormat="1" ht="15" hidden="1" customHeight="1" x14ac:dyDescent="0.25">
      <c r="A124" s="9" t="str">
        <f t="shared" si="9"/>
        <v>CUSTO MARKET DATA - MARÇO/26-OPTIONS PRICE REPORTING AUTHORITY (OPRA)-61086</v>
      </c>
      <c r="B124" s="20">
        <v>46082</v>
      </c>
      <c r="C124" s="21">
        <v>817393</v>
      </c>
      <c r="D124" s="9" t="str">
        <f>IF(J124=57036,"ALEXANDRE DA COSTA SOARES",IF(J124=24157,"JOSE MAURICIO GOMES TEIXEIRA",IF(J124=24203,"JOSE MAURICIO GOMES TEIXEIRA",IF(J124=24149,"CHRISTIANO MARCONDES DE BARROS LIMA",IF(J124=24137,"CHRISTIANO MARCONDES DE BARROS LIMA",IF(J124=135152,"ENRICO BORTPLUZO CASSIANO",IF(J124=136568,"ENRICO BORTPLUZO CASSIANO", IF(J124=130976,"MARYLIA CARVALHO PONCE",IF(J124=136668,"ALEXANDRE DA COSTA SOARES",IF(J124=52340,"OFFSHORE LISTED",IF(J124=158778,"CLAUDIO DE SOUZA PACINI",IF(J124=159800,"CLAUDIO DE SOUZA PACINI",_xlfn.XLOOKUP(J124,[1]!Tabela33[ID ORACLE],[1]!Tabela33[BROKER],0,0,1)))))))))))))</f>
        <v>ALEXANDRE DA COSTA SOARES</v>
      </c>
      <c r="E124" s="22">
        <f t="shared" si="10"/>
        <v>-343.41368512500003</v>
      </c>
      <c r="F124" s="9" t="str">
        <f t="shared" si="11"/>
        <v>OPTIONS PRICE REPORTING AUTHORITY (OPRA)</v>
      </c>
      <c r="G124" s="20">
        <f t="shared" si="8"/>
        <v>46082</v>
      </c>
      <c r="H124" s="23">
        <v>1170</v>
      </c>
      <c r="J124" s="41">
        <v>61086</v>
      </c>
      <c r="K124" s="1" t="s">
        <v>45</v>
      </c>
      <c r="L124" s="1" t="s">
        <v>12</v>
      </c>
      <c r="M124" s="29">
        <v>65.795625000000001</v>
      </c>
      <c r="O124" s="1"/>
      <c r="P124" s="26"/>
      <c r="Q124" s="27"/>
      <c r="R124" s="26"/>
      <c r="S124" s="42"/>
      <c r="T124" s="26"/>
      <c r="U124" s="42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</row>
    <row r="125" spans="1:78" ht="15" hidden="1" customHeight="1" x14ac:dyDescent="0.25">
      <c r="A125" s="9" t="str">
        <f t="shared" si="9"/>
        <v>CUSTO MARKET DATA - MARÇO/26-REFINITIV-61086</v>
      </c>
      <c r="B125" s="20">
        <v>46082</v>
      </c>
      <c r="C125" s="21">
        <v>817393</v>
      </c>
      <c r="D125" s="9" t="str">
        <f>IF(J125=57036,"ALEXANDRE DA COSTA SOARES",IF(J125=24157,"JOSE MAURICIO GOMES TEIXEIRA",IF(J125=24203,"JOSE MAURICIO GOMES TEIXEIRA",IF(J125=24149,"CHRISTIANO MARCONDES DE BARROS LIMA",IF(J125=24137,"CHRISTIANO MARCONDES DE BARROS LIMA",IF(J125=135152,"ENRICO BORTPLUZO CASSIANO",IF(J125=136568,"ENRICO BORTPLUZO CASSIANO", IF(J125=130976,"MARYLIA CARVALHO PONCE",IF(J125=136668,"ALEXANDRE DA COSTA SOARES",IF(J125=52340,"OFFSHORE LISTED",IF(J125=158778,"CLAUDIO DE SOUZA PACINI",IF(J125=159800,"CLAUDIO DE SOUZA PACINI",_xlfn.XLOOKUP(J125,[1]!Tabela33[ID ORACLE],[1]!Tabela33[BROKER],0,0,1)))))))))))))</f>
        <v>ALEXANDRE DA COSTA SOARES</v>
      </c>
      <c r="E125" s="22">
        <f t="shared" si="10"/>
        <v>-142.3544924064</v>
      </c>
      <c r="F125" s="9" t="str">
        <f t="shared" si="11"/>
        <v>REFINITIV</v>
      </c>
      <c r="G125" s="20">
        <f t="shared" si="8"/>
        <v>46082</v>
      </c>
      <c r="H125" s="23">
        <v>1170</v>
      </c>
      <c r="J125" s="41">
        <v>61086</v>
      </c>
      <c r="K125" s="1" t="s">
        <v>42</v>
      </c>
      <c r="L125" s="1" t="s">
        <v>17</v>
      </c>
      <c r="M125" s="29">
        <v>20.685648</v>
      </c>
      <c r="Q125" s="27"/>
      <c r="S125" s="42"/>
      <c r="U125" s="42"/>
    </row>
    <row r="126" spans="1:78" ht="15" hidden="1" customHeight="1" x14ac:dyDescent="0.25">
      <c r="A126" s="9" t="str">
        <f t="shared" si="9"/>
        <v>CUSTO MARKET DATA - MARÇO/26-TORONTO STOCK EXCHANGE-61086</v>
      </c>
      <c r="B126" s="20">
        <v>46082</v>
      </c>
      <c r="C126" s="21">
        <v>817393</v>
      </c>
      <c r="D126" s="9" t="str">
        <f>IF(J126=57036,"ALEXANDRE DA COSTA SOARES",IF(J126=24157,"JOSE MAURICIO GOMES TEIXEIRA",IF(J126=24203,"JOSE MAURICIO GOMES TEIXEIRA",IF(J126=24149,"CHRISTIANO MARCONDES DE BARROS LIMA",IF(J126=24137,"CHRISTIANO MARCONDES DE BARROS LIMA",IF(J126=135152,"ENRICO BORTPLUZO CASSIANO",IF(J126=136568,"ENRICO BORTPLUZO CASSIANO", IF(J126=130976,"MARYLIA CARVALHO PONCE",IF(J126=136668,"ALEXANDRE DA COSTA SOARES",IF(J126=52340,"OFFSHORE LISTED",IF(J126=158778,"CLAUDIO DE SOUZA PACINI",IF(J126=159800,"CLAUDIO DE SOUZA PACINI",_xlfn.XLOOKUP(J126,[1]!Tabela33[ID ORACLE],[1]!Tabela33[BROKER],0,0,1)))))))))))))</f>
        <v>ALEXANDRE DA COSTA SOARES</v>
      </c>
      <c r="E126" s="22">
        <f t="shared" si="10"/>
        <v>-526.45938973020009</v>
      </c>
      <c r="F126" s="9" t="str">
        <f t="shared" si="11"/>
        <v>TORONTO STOCK EXCHANGE</v>
      </c>
      <c r="G126" s="20">
        <f t="shared" si="8"/>
        <v>46082</v>
      </c>
      <c r="H126" s="23">
        <v>1170</v>
      </c>
      <c r="J126" s="41">
        <v>61086</v>
      </c>
      <c r="K126" s="1" t="s">
        <v>51</v>
      </c>
      <c r="L126" s="1" t="s">
        <v>12</v>
      </c>
      <c r="M126" s="29">
        <v>100.86588300000001</v>
      </c>
      <c r="Q126" s="27"/>
      <c r="S126" s="42"/>
      <c r="U126" s="42"/>
    </row>
    <row r="127" spans="1:78" ht="15" customHeight="1" x14ac:dyDescent="0.25">
      <c r="A127" s="9" t="str">
        <f t="shared" si="9"/>
        <v>CUSTO MARKET DATA - MARÇO/26-BLOOMBERG-63203</v>
      </c>
      <c r="B127" s="20">
        <v>46082</v>
      </c>
      <c r="C127" s="21">
        <v>817393</v>
      </c>
      <c r="D127" s="9" t="str">
        <f>IF(J127=57036,"ALEXANDRE DA COSTA SOARES",IF(J127=24157,"JOSE MAURICIO GOMES TEIXEIRA",IF(J127=24203,"JOSE MAURICIO GOMES TEIXEIRA",IF(J127=24149,"CHRISTIANO MARCONDES DE BARROS LIMA",IF(J127=24137,"CHRISTIANO MARCONDES DE BARROS LIMA",IF(J127=135152,"ENRICO BORTPLUZO CASSIANO",IF(J127=136568,"ENRICO BORTPLUZO CASSIANO", IF(J127=130976,"MARYLIA CARVALHO PONCE",IF(J127=136668,"ALEXANDRE DA COSTA SOARES",IF(J127=52340,"OFFSHORE LISTED",IF(J127=158778,"CLAUDIO DE SOUZA PACINI",IF(J127=159800,"CLAUDIO DE SOUZA PACINI",_xlfn.XLOOKUP(J127,[1]!Tabela33[ID ORACLE],[1]!Tabela33[BROKER],0,0,1)))))))))))))</f>
        <v>FABIO SOARES PFAENDER</v>
      </c>
      <c r="E127" s="22">
        <f t="shared" si="10"/>
        <v>-13114.051410189</v>
      </c>
      <c r="F127" s="9" t="str">
        <f t="shared" si="11"/>
        <v>BLOOMBERG</v>
      </c>
      <c r="G127" s="20">
        <f t="shared" si="8"/>
        <v>46082</v>
      </c>
      <c r="H127" s="23">
        <v>1170</v>
      </c>
      <c r="J127" s="41">
        <v>63203</v>
      </c>
      <c r="K127" s="1" t="s">
        <v>41</v>
      </c>
      <c r="L127" s="1" t="s">
        <v>12</v>
      </c>
      <c r="M127" s="29">
        <v>2512.5591850000001</v>
      </c>
      <c r="Q127" s="27"/>
      <c r="S127" s="42"/>
      <c r="U127" s="42"/>
    </row>
    <row r="128" spans="1:78" ht="15" hidden="1" customHeight="1" x14ac:dyDescent="0.25">
      <c r="A128" s="9" t="str">
        <f t="shared" si="9"/>
        <v>CUSTO MARKET DATA - MARÇO/26-REFINITIV-63203</v>
      </c>
      <c r="B128" s="20">
        <v>46082</v>
      </c>
      <c r="C128" s="21">
        <v>817393</v>
      </c>
      <c r="D128" s="9" t="str">
        <f>IF(J128=57036,"ALEXANDRE DA COSTA SOARES",IF(J128=24157,"JOSE MAURICIO GOMES TEIXEIRA",IF(J128=24203,"JOSE MAURICIO GOMES TEIXEIRA",IF(J128=24149,"CHRISTIANO MARCONDES DE BARROS LIMA",IF(J128=24137,"CHRISTIANO MARCONDES DE BARROS LIMA",IF(J128=135152,"ENRICO BORTPLUZO CASSIANO",IF(J128=136568,"ENRICO BORTPLUZO CASSIANO", IF(J128=130976,"MARYLIA CARVALHO PONCE",IF(J128=136668,"ALEXANDRE DA COSTA SOARES",IF(J128=52340,"OFFSHORE LISTED",IF(J128=158778,"CLAUDIO DE SOUZA PACINI",IF(J128=159800,"CLAUDIO DE SOUZA PACINI",_xlfn.XLOOKUP(J128,[1]!Tabela33[ID ORACLE],[1]!Tabela33[BROKER],0,0,1)))))))))))))</f>
        <v>FABIO SOARES PFAENDER</v>
      </c>
      <c r="E128" s="22">
        <f t="shared" si="10"/>
        <v>-142.3544924064</v>
      </c>
      <c r="F128" s="9" t="str">
        <f t="shared" si="11"/>
        <v>REFINITIV</v>
      </c>
      <c r="G128" s="20">
        <f t="shared" si="8"/>
        <v>46082</v>
      </c>
      <c r="H128" s="23">
        <v>1170</v>
      </c>
      <c r="J128" s="41">
        <v>63203</v>
      </c>
      <c r="K128" s="1" t="s">
        <v>42</v>
      </c>
      <c r="L128" s="1" t="s">
        <v>17</v>
      </c>
      <c r="M128" s="29">
        <v>20.685648</v>
      </c>
      <c r="Q128" s="27"/>
      <c r="S128" s="42"/>
      <c r="U128" s="42"/>
    </row>
    <row r="129" spans="1:78" ht="15" customHeight="1" x14ac:dyDescent="0.25">
      <c r="A129" s="9" t="str">
        <f t="shared" si="9"/>
        <v>CUSTO MARKET DATA - MARÇO/26-BLOOMBERG-63705</v>
      </c>
      <c r="B129" s="20">
        <v>46082</v>
      </c>
      <c r="C129" s="21">
        <v>817393</v>
      </c>
      <c r="D129" s="9" t="str">
        <f>IF(J129=57036,"ALEXANDRE DA COSTA SOARES",IF(J129=24157,"JOSE MAURICIO GOMES TEIXEIRA",IF(J129=24203,"JOSE MAURICIO GOMES TEIXEIRA",IF(J129=24149,"CHRISTIANO MARCONDES DE BARROS LIMA",IF(J129=24137,"CHRISTIANO MARCONDES DE BARROS LIMA",IF(J129=135152,"ENRICO BORTPLUZO CASSIANO",IF(J129=136568,"ENRICO BORTPLUZO CASSIANO", IF(J129=130976,"MARYLIA CARVALHO PONCE",IF(J129=136668,"ALEXANDRE DA COSTA SOARES",IF(J129=52340,"OFFSHORE LISTED",IF(J129=158778,"CLAUDIO DE SOUZA PACINI",IF(J129=159800,"CLAUDIO DE SOUZA PACINI",_xlfn.XLOOKUP(J129,[1]!Tabela33[ID ORACLE],[1]!Tabela33[BROKER],0,0,1)))))))))))))</f>
        <v>ALEXANDRE DE CARVALHO GALHARDO</v>
      </c>
      <c r="E129" s="22">
        <f t="shared" si="10"/>
        <v>-12622.383930189002</v>
      </c>
      <c r="F129" s="9" t="str">
        <f t="shared" si="11"/>
        <v>BLOOMBERG</v>
      </c>
      <c r="G129" s="20">
        <f t="shared" si="8"/>
        <v>46082</v>
      </c>
      <c r="H129" s="23">
        <v>1170</v>
      </c>
      <c r="J129" s="41">
        <v>63705</v>
      </c>
      <c r="K129" s="1" t="s">
        <v>41</v>
      </c>
      <c r="L129" s="1" t="s">
        <v>12</v>
      </c>
      <c r="M129" s="29">
        <v>2418.3591850000003</v>
      </c>
      <c r="Q129" s="27"/>
      <c r="S129" s="42"/>
      <c r="U129" s="42"/>
    </row>
    <row r="130" spans="1:78" ht="15" hidden="1" customHeight="1" x14ac:dyDescent="0.25">
      <c r="A130" s="9" t="str">
        <f t="shared" ref="A130:A137" si="12">CONCATENATE($N$1,$I$1,F130,$I$1,J130)</f>
        <v>CUSTO MARKET DATA - MARÇO/26-NYSE MARKET INC.-63705</v>
      </c>
      <c r="B130" s="20">
        <v>46082</v>
      </c>
      <c r="C130" s="21">
        <v>817393</v>
      </c>
      <c r="D130" s="9" t="str">
        <f>IF(J130=57036,"ALEXANDRE DA COSTA SOARES",IF(J130=24157,"JOSE MAURICIO GOMES TEIXEIRA",IF(J130=24203,"JOSE MAURICIO GOMES TEIXEIRA",IF(J130=24149,"CHRISTIANO MARCONDES DE BARROS LIMA",IF(J130=24137,"CHRISTIANO MARCONDES DE BARROS LIMA",IF(J130=135152,"ENRICO BORTPLUZO CASSIANO",IF(J130=136568,"ENRICO BORTPLUZO CASSIANO", IF(J130=130976,"MARYLIA CARVALHO PONCE",IF(J130=136668,"ALEXANDRE DA COSTA SOARES",IF(J130=52340,"OFFSHORE LISTED",IF(J130=158778,"CLAUDIO DE SOUZA PACINI",IF(J130=159800,"CLAUDIO DE SOUZA PACINI",_xlfn.XLOOKUP(J130,[1]!Tabela33[ID ORACLE],[1]!Tabela33[BROKER],0,0,1)))))))))))))</f>
        <v>ALEXANDRE DE CARVALHO GALHARDO</v>
      </c>
      <c r="E130" s="22">
        <f t="shared" si="10"/>
        <v>-140.9238</v>
      </c>
      <c r="F130" s="9" t="str">
        <f t="shared" ref="F130:F137" si="13">IF(UPPER(K130)="Valor Analytics LLC","VALOR",UPPER(K130))</f>
        <v>NYSE MARKET INC.</v>
      </c>
      <c r="G130" s="20">
        <f t="shared" ref="G130:G151" si="14">B130</f>
        <v>46082</v>
      </c>
      <c r="H130" s="23">
        <v>1170</v>
      </c>
      <c r="J130" s="41">
        <v>63705</v>
      </c>
      <c r="K130" s="1" t="s">
        <v>44</v>
      </c>
      <c r="L130" s="1" t="s">
        <v>12</v>
      </c>
      <c r="M130" s="29">
        <v>27</v>
      </c>
      <c r="Q130" s="27"/>
      <c r="S130" s="42"/>
      <c r="U130" s="42"/>
    </row>
    <row r="131" spans="1:78" ht="15" customHeight="1" x14ac:dyDescent="0.25">
      <c r="A131" s="9" t="str">
        <f t="shared" si="12"/>
        <v>CUSTO MARKET DATA - MARÇO/26-BLOOMBERG-64098</v>
      </c>
      <c r="B131" s="20">
        <v>46082</v>
      </c>
      <c r="C131" s="21">
        <v>817393</v>
      </c>
      <c r="D131" s="9" t="str">
        <f>IF(J131=57036,"ALEXANDRE DA COSTA SOARES",IF(J131=24157,"JOSE MAURICIO GOMES TEIXEIRA",IF(J131=24203,"JOSE MAURICIO GOMES TEIXEIRA",IF(J131=24149,"CHRISTIANO MARCONDES DE BARROS LIMA",IF(J131=24137,"CHRISTIANO MARCONDES DE BARROS LIMA",IF(J131=135152,"ENRICO BORTPLUZO CASSIANO",IF(J131=136568,"ENRICO BORTPLUZO CASSIANO", IF(J131=130976,"MARYLIA CARVALHO PONCE",IF(J131=136668,"ALEXANDRE DA COSTA SOARES",IF(J131=52340,"OFFSHORE LISTED",IF(J131=158778,"CLAUDIO DE SOUZA PACINI",IF(J131=159800,"CLAUDIO DE SOUZA PACINI",_xlfn.XLOOKUP(J131,[1]!Tabela33[ID ORACLE],[1]!Tabela33[BROKER],0,0,1)))))))))))))</f>
        <v>HAMILTON DEL MONACO FILHO</v>
      </c>
      <c r="E131" s="22">
        <f t="shared" si="10"/>
        <v>-13529.515650189001</v>
      </c>
      <c r="F131" s="9" t="str">
        <f t="shared" si="13"/>
        <v>BLOOMBERG</v>
      </c>
      <c r="G131" s="20">
        <f t="shared" si="14"/>
        <v>46082</v>
      </c>
      <c r="H131" s="23">
        <v>1170</v>
      </c>
      <c r="J131" s="41">
        <v>64098</v>
      </c>
      <c r="K131" s="1" t="s">
        <v>41</v>
      </c>
      <c r="L131" s="1" t="s">
        <v>12</v>
      </c>
      <c r="M131" s="29">
        <v>2592.159185</v>
      </c>
      <c r="Q131" s="27"/>
      <c r="S131" s="42"/>
      <c r="U131" s="42"/>
    </row>
    <row r="132" spans="1:78" ht="15" hidden="1" customHeight="1" x14ac:dyDescent="0.25">
      <c r="A132" s="9" t="str">
        <f t="shared" si="12"/>
        <v>CUSTO MARKET DATA - MARÇO/26-NYSE MARKET INC.-64098</v>
      </c>
      <c r="B132" s="20">
        <v>46082</v>
      </c>
      <c r="C132" s="21">
        <v>817393</v>
      </c>
      <c r="D132" s="9" t="str">
        <f>IF(J132=57036,"ALEXANDRE DA COSTA SOARES",IF(J132=24157,"JOSE MAURICIO GOMES TEIXEIRA",IF(J132=24203,"JOSE MAURICIO GOMES TEIXEIRA",IF(J132=24149,"CHRISTIANO MARCONDES DE BARROS LIMA",IF(J132=24137,"CHRISTIANO MARCONDES DE BARROS LIMA",IF(J132=135152,"ENRICO BORTPLUZO CASSIANO",IF(J132=136568,"ENRICO BORTPLUZO CASSIANO", IF(J132=130976,"MARYLIA CARVALHO PONCE",IF(J132=136668,"ALEXANDRE DA COSTA SOARES",IF(J132=52340,"OFFSHORE LISTED",IF(J132=158778,"CLAUDIO DE SOUZA PACINI",IF(J132=159800,"CLAUDIO DE SOUZA PACINI",_xlfn.XLOOKUP(J132,[1]!Tabela33[ID ORACLE],[1]!Tabela33[BROKER],0,0,1)))))))))))))</f>
        <v>HAMILTON DEL MONACO FILHO</v>
      </c>
      <c r="E132" s="22">
        <f t="shared" si="10"/>
        <v>-2400.924</v>
      </c>
      <c r="F132" s="9" t="str">
        <f t="shared" si="13"/>
        <v>NYSE MARKET INC.</v>
      </c>
      <c r="G132" s="20">
        <f t="shared" si="14"/>
        <v>46082</v>
      </c>
      <c r="H132" s="23">
        <v>1170</v>
      </c>
      <c r="J132" s="41">
        <v>64098</v>
      </c>
      <c r="K132" s="1" t="s">
        <v>44</v>
      </c>
      <c r="L132" s="1" t="s">
        <v>12</v>
      </c>
      <c r="M132" s="29">
        <v>460</v>
      </c>
      <c r="Q132" s="27"/>
    </row>
    <row r="133" spans="1:78" ht="15" hidden="1" customHeight="1" x14ac:dyDescent="0.25">
      <c r="A133" s="9" t="str">
        <f t="shared" si="12"/>
        <v>CUSTO MARKET DATA - MARÇO/26-OPTIONS PRICE REPORTING AUTHORITY (OPRA)-64098</v>
      </c>
      <c r="B133" s="20">
        <v>46082</v>
      </c>
      <c r="C133" s="21">
        <v>817393</v>
      </c>
      <c r="D133" s="9" t="str">
        <f>IF(J133=57036,"ALEXANDRE DA COSTA SOARES",IF(J133=24157,"JOSE MAURICIO GOMES TEIXEIRA",IF(J133=24203,"JOSE MAURICIO GOMES TEIXEIRA",IF(J133=24149,"CHRISTIANO MARCONDES DE BARROS LIMA",IF(J133=24137,"CHRISTIANO MARCONDES DE BARROS LIMA",IF(J133=135152,"ENRICO BORTPLUZO CASSIANO",IF(J133=136568,"ENRICO BORTPLUZO CASSIANO", IF(J133=130976,"MARYLIA CARVALHO PONCE",IF(J133=136668,"ALEXANDRE DA COSTA SOARES",IF(J133=52340,"OFFSHORE LISTED",IF(J133=158778,"CLAUDIO DE SOUZA PACINI",IF(J133=159800,"CLAUDIO DE SOUZA PACINI",_xlfn.XLOOKUP(J133,[1]!Tabela33[ID ORACLE],[1]!Tabela33[BROKER],0,0,1)))))))))))))</f>
        <v>HAMILTON DEL MONACO FILHO</v>
      </c>
      <c r="E133" s="22">
        <f t="shared" si="10"/>
        <v>-164.4111</v>
      </c>
      <c r="F133" s="9" t="str">
        <f t="shared" si="13"/>
        <v>OPTIONS PRICE REPORTING AUTHORITY (OPRA)</v>
      </c>
      <c r="G133" s="20">
        <f t="shared" si="14"/>
        <v>46082</v>
      </c>
      <c r="H133" s="23">
        <v>1170</v>
      </c>
      <c r="J133" s="41">
        <v>64098</v>
      </c>
      <c r="K133" s="1" t="s">
        <v>45</v>
      </c>
      <c r="L133" s="1" t="s">
        <v>12</v>
      </c>
      <c r="M133" s="29">
        <v>31.5</v>
      </c>
      <c r="Q133" s="27"/>
    </row>
    <row r="134" spans="1:78" customFormat="1" ht="15" hidden="1" customHeight="1" x14ac:dyDescent="0.25">
      <c r="A134" s="9" t="str">
        <f t="shared" si="12"/>
        <v>CUSTO MARKET DATA - MARÇO/26-REFINITIV-64098</v>
      </c>
      <c r="B134" s="20">
        <v>46082</v>
      </c>
      <c r="C134" s="21">
        <v>817393</v>
      </c>
      <c r="D134" s="9" t="str">
        <f>IF(J134=57036,"ALEXANDRE DA COSTA SOARES",IF(J134=24157,"JOSE MAURICIO GOMES TEIXEIRA",IF(J134=24203,"JOSE MAURICIO GOMES TEIXEIRA",IF(J134=24149,"CHRISTIANO MARCONDES DE BARROS LIMA",IF(J134=24137,"CHRISTIANO MARCONDES DE BARROS LIMA",IF(J134=135152,"ENRICO BORTPLUZO CASSIANO",IF(J134=136568,"ENRICO BORTPLUZO CASSIANO", IF(J134=130976,"MARYLIA CARVALHO PONCE",IF(J134=136668,"ALEXANDRE DA COSTA SOARES",IF(J134=52340,"OFFSHORE LISTED",IF(J134=158778,"CLAUDIO DE SOUZA PACINI",IF(J134=159800,"CLAUDIO DE SOUZA PACINI",_xlfn.XLOOKUP(J134,[1]!Tabela33[ID ORACLE],[1]!Tabela33[BROKER],0,0,1)))))))))))))</f>
        <v>HAMILTON DEL MONACO FILHO</v>
      </c>
      <c r="E134" s="22">
        <f t="shared" si="10"/>
        <v>-142.3544924064</v>
      </c>
      <c r="F134" s="9" t="str">
        <f t="shared" si="13"/>
        <v>REFINITIV</v>
      </c>
      <c r="G134" s="20">
        <f t="shared" si="14"/>
        <v>46082</v>
      </c>
      <c r="H134" s="23">
        <v>1170</v>
      </c>
      <c r="J134" s="41">
        <v>64098</v>
      </c>
      <c r="K134" s="1" t="s">
        <v>42</v>
      </c>
      <c r="L134" s="1" t="s">
        <v>17</v>
      </c>
      <c r="M134" s="29">
        <v>20.685648</v>
      </c>
      <c r="O134" s="1"/>
      <c r="P134" s="26"/>
      <c r="Q134" s="27"/>
      <c r="R134" s="26"/>
      <c r="S134" s="28"/>
      <c r="T134" s="26"/>
      <c r="U134" s="28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</row>
    <row r="135" spans="1:78" ht="15" hidden="1" customHeight="1" x14ac:dyDescent="0.25">
      <c r="A135" s="9" t="str">
        <f t="shared" si="12"/>
        <v>CUSTO MARKET DATA - MARÇO/26-SYMPHONY COMMUNICATION SERVICES, LLC-64098</v>
      </c>
      <c r="B135" s="20">
        <v>46082</v>
      </c>
      <c r="C135" s="21">
        <v>817393</v>
      </c>
      <c r="D135" s="9" t="str">
        <f>IF(J135=57036,"ALEXANDRE DA COSTA SOARES",IF(J135=24157,"JOSE MAURICIO GOMES TEIXEIRA",IF(J135=24203,"JOSE MAURICIO GOMES TEIXEIRA",IF(J135=24149,"CHRISTIANO MARCONDES DE BARROS LIMA",IF(J135=24137,"CHRISTIANO MARCONDES DE BARROS LIMA",IF(J135=135152,"ENRICO BORTPLUZO CASSIANO",IF(J135=136568,"ENRICO BORTPLUZO CASSIANO", IF(J135=130976,"MARYLIA CARVALHO PONCE",IF(J135=136668,"ALEXANDRE DA COSTA SOARES",IF(J135=52340,"OFFSHORE LISTED",IF(J135=158778,"CLAUDIO DE SOUZA PACINI",IF(J135=159800,"CLAUDIO DE SOUZA PACINI",_xlfn.XLOOKUP(J135,[1]!Tabela33[ID ORACLE],[1]!Tabela33[BROKER],0,0,1)))))))))))))</f>
        <v>HAMILTON DEL MONACO FILHO</v>
      </c>
      <c r="E135" s="22">
        <f t="shared" si="10"/>
        <v>-130.70030025000003</v>
      </c>
      <c r="F135" s="9" t="str">
        <f t="shared" si="13"/>
        <v>SYMPHONY COMMUNICATION SERVICES, LLC</v>
      </c>
      <c r="G135" s="20">
        <f t="shared" si="14"/>
        <v>46082</v>
      </c>
      <c r="H135" s="23">
        <v>1170</v>
      </c>
      <c r="J135" s="41">
        <v>64098</v>
      </c>
      <c r="K135" s="1" t="s">
        <v>50</v>
      </c>
      <c r="L135" s="1" t="s">
        <v>12</v>
      </c>
      <c r="M135" s="29">
        <v>25.041250000000002</v>
      </c>
      <c r="Q135" s="27"/>
    </row>
    <row r="136" spans="1:78" ht="15" customHeight="1" x14ac:dyDescent="0.25">
      <c r="A136" s="9" t="str">
        <f t="shared" si="12"/>
        <v>CUSTO MARKET DATA - MARÇO/26-BLOOMBERG-66546</v>
      </c>
      <c r="B136" s="20">
        <v>46082</v>
      </c>
      <c r="C136" s="21">
        <v>817393</v>
      </c>
      <c r="D136" s="9" t="str">
        <f>IF(J136=57036,"ALEXANDRE DA COSTA SOARES",IF(J136=24157,"JOSE MAURICIO GOMES TEIXEIRA",IF(J136=24203,"JOSE MAURICIO GOMES TEIXEIRA",IF(J136=24149,"CHRISTIANO MARCONDES DE BARROS LIMA",IF(J136=24137,"CHRISTIANO MARCONDES DE BARROS LIMA",IF(J136=135152,"ENRICO BORTPLUZO CASSIANO",IF(J136=136568,"ENRICO BORTPLUZO CASSIANO", IF(J136=130976,"MARYLIA CARVALHO PONCE",IF(J136=136668,"ALEXANDRE DA COSTA SOARES",IF(J136=52340,"OFFSHORE LISTED",IF(J136=158778,"CLAUDIO DE SOUZA PACINI",IF(J136=159800,"CLAUDIO DE SOUZA PACINI",_xlfn.XLOOKUP(J136,[1]!Tabela33[ID ORACLE],[1]!Tabela33[BROKER],0,0,1)))))))))))))</f>
        <v>ERMINIO OLIVI LUCCI</v>
      </c>
      <c r="E136" s="22">
        <f t="shared" si="10"/>
        <v>-12388.554810189002</v>
      </c>
      <c r="F136" s="9" t="str">
        <f t="shared" si="13"/>
        <v>BLOOMBERG</v>
      </c>
      <c r="G136" s="20">
        <f t="shared" si="14"/>
        <v>46082</v>
      </c>
      <c r="H136" s="23">
        <v>1170</v>
      </c>
      <c r="J136" s="41">
        <v>66546</v>
      </c>
      <c r="K136" s="1" t="s">
        <v>41</v>
      </c>
      <c r="L136" s="1" t="s">
        <v>12</v>
      </c>
      <c r="M136" s="29">
        <v>2373.5591850000001</v>
      </c>
      <c r="Q136" s="27"/>
    </row>
    <row r="137" spans="1:78" ht="15" hidden="1" customHeight="1" x14ac:dyDescent="0.25">
      <c r="A137" s="9" t="str">
        <f t="shared" si="12"/>
        <v>CUSTO MARKET DATA - MARÇO/26-REFINITIV-67829</v>
      </c>
      <c r="B137" s="20">
        <v>46082</v>
      </c>
      <c r="C137" s="21">
        <v>817393</v>
      </c>
      <c r="D137" s="9" t="str">
        <f>IF(J137=57036,"ALEXANDRE DA COSTA SOARES",IF(J137=24157,"JOSE MAURICIO GOMES TEIXEIRA",IF(J137=24203,"JOSE MAURICIO GOMES TEIXEIRA",IF(J137=24149,"CHRISTIANO MARCONDES DE BARROS LIMA",IF(J137=24137,"CHRISTIANO MARCONDES DE BARROS LIMA",IF(J137=135152,"ENRICO BORTPLUZO CASSIANO",IF(J137=136568,"ENRICO BORTPLUZO CASSIANO", IF(J137=130976,"MARYLIA CARVALHO PONCE",IF(J137=136668,"ALEXANDRE DA COSTA SOARES",IF(J137=52340,"OFFSHORE LISTED",IF(J137=158778,"CLAUDIO DE SOUZA PACINI",IF(J137=159800,"CLAUDIO DE SOUZA PACINI",_xlfn.XLOOKUP(J137,[1]!Tabela33[ID ORACLE],[1]!Tabela33[BROKER],0,0,1)))))))))))))</f>
        <v>WESLEY MARQUES DA SILVA</v>
      </c>
      <c r="E137" s="22">
        <f t="shared" si="10"/>
        <v>-142.3544924064</v>
      </c>
      <c r="F137" s="9" t="str">
        <f t="shared" si="13"/>
        <v>REFINITIV</v>
      </c>
      <c r="G137" s="20">
        <f t="shared" si="14"/>
        <v>46082</v>
      </c>
      <c r="H137" s="23">
        <v>1170</v>
      </c>
      <c r="J137" s="41">
        <v>67829</v>
      </c>
      <c r="K137" s="1" t="s">
        <v>42</v>
      </c>
      <c r="L137" s="1" t="s">
        <v>17</v>
      </c>
      <c r="M137" s="29">
        <v>20.685648</v>
      </c>
      <c r="N137" s="29"/>
      <c r="Q137" s="27"/>
    </row>
    <row r="138" spans="1:78" ht="15" customHeight="1" x14ac:dyDescent="0.25">
      <c r="A138" s="9" t="str">
        <f t="shared" si="9"/>
        <v>CUSTO MARKET DATA - MARÇO/26-BLOOMBERG-67841</v>
      </c>
      <c r="B138" s="20">
        <v>46082</v>
      </c>
      <c r="C138" s="21">
        <v>817393</v>
      </c>
      <c r="D138" s="9" t="str">
        <f>IF(J138=57036,"ALEXANDRE DA COSTA SOARES",IF(J138=24157,"JOSE MAURICIO GOMES TEIXEIRA",IF(J138=24203,"JOSE MAURICIO GOMES TEIXEIRA",IF(J138=24149,"CHRISTIANO MARCONDES DE BARROS LIMA",IF(J138=24137,"CHRISTIANO MARCONDES DE BARROS LIMA",IF(J138=135152,"ENRICO BORTPLUZO CASSIANO",IF(J138=136568,"ENRICO BORTPLUZO CASSIANO", IF(J138=130976,"MARYLIA CARVALHO PONCE",IF(J138=136668,"ALEXANDRE DA COSTA SOARES",IF(J138=52340,"OFFSHORE LISTED",IF(J138=158778,"CLAUDIO DE SOUZA PACINI",IF(J138=159800,"CLAUDIO DE SOUZA PACINI",_xlfn.XLOOKUP(J138,[1]!Tabela33[ID ORACLE],[1]!Tabela33[BROKER],0,0,1)))))))))))))</f>
        <v>FERNANDO FERREIRA FEITOSA</v>
      </c>
      <c r="E138" s="22">
        <f t="shared" si="10"/>
        <v>-52.194000000000003</v>
      </c>
      <c r="F138" s="9" t="str">
        <f t="shared" si="11"/>
        <v>BLOOMBERG</v>
      </c>
      <c r="G138" s="20">
        <f t="shared" si="14"/>
        <v>46082</v>
      </c>
      <c r="H138" s="23">
        <v>1170</v>
      </c>
      <c r="J138" s="41">
        <v>67841</v>
      </c>
      <c r="K138" s="1" t="s">
        <v>41</v>
      </c>
      <c r="L138" s="1" t="s">
        <v>12</v>
      </c>
      <c r="M138" s="29">
        <v>10</v>
      </c>
      <c r="N138" s="29"/>
      <c r="Q138" s="27"/>
    </row>
    <row r="139" spans="1:78" customFormat="1" ht="15" hidden="1" customHeight="1" x14ac:dyDescent="0.25">
      <c r="A139" s="9" t="str">
        <f t="shared" si="9"/>
        <v>CUSTO MARKET DATA - MARÇO/26-REFINITIV-67841</v>
      </c>
      <c r="B139" s="20">
        <v>46082</v>
      </c>
      <c r="C139" s="21">
        <v>817393</v>
      </c>
      <c r="D139" s="9" t="str">
        <f>IF(J139=57036,"ALEXANDRE DA COSTA SOARES",IF(J139=24157,"JOSE MAURICIO GOMES TEIXEIRA",IF(J139=24203,"JOSE MAURICIO GOMES TEIXEIRA",IF(J139=24149,"CHRISTIANO MARCONDES DE BARROS LIMA",IF(J139=24137,"CHRISTIANO MARCONDES DE BARROS LIMA",IF(J139=135152,"ENRICO BORTPLUZO CASSIANO",IF(J139=136568,"ENRICO BORTPLUZO CASSIANO", IF(J139=130976,"MARYLIA CARVALHO PONCE",IF(J139=136668,"ALEXANDRE DA COSTA SOARES",IF(J139=52340,"OFFSHORE LISTED",IF(J139=158778,"CLAUDIO DE SOUZA PACINI",IF(J139=159800,"CLAUDIO DE SOUZA PACINI",_xlfn.XLOOKUP(J139,[1]!Tabela33[ID ORACLE],[1]!Tabela33[BROKER],0,0,1)))))))))))))</f>
        <v>FERNANDO FERREIRA FEITOSA</v>
      </c>
      <c r="E139" s="22">
        <f t="shared" si="10"/>
        <v>-142.3544924064</v>
      </c>
      <c r="F139" s="9" t="str">
        <f t="shared" si="11"/>
        <v>REFINITIV</v>
      </c>
      <c r="G139" s="20">
        <f t="shared" si="14"/>
        <v>46082</v>
      </c>
      <c r="H139" s="23">
        <v>1170</v>
      </c>
      <c r="J139" s="41">
        <v>67841</v>
      </c>
      <c r="K139" s="1" t="s">
        <v>42</v>
      </c>
      <c r="L139" s="1" t="s">
        <v>17</v>
      </c>
      <c r="M139" s="29">
        <v>20.685648</v>
      </c>
      <c r="N139" s="29"/>
      <c r="O139" s="1"/>
      <c r="P139" s="26"/>
      <c r="Q139" s="27"/>
      <c r="R139" s="26"/>
      <c r="S139" s="28"/>
      <c r="T139" s="26"/>
      <c r="U139" s="28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</row>
    <row r="140" spans="1:78" customFormat="1" ht="15" customHeight="1" x14ac:dyDescent="0.25">
      <c r="A140" s="9" t="str">
        <f t="shared" si="9"/>
        <v>CUSTO MARKET DATA - MARÇO/26-BLOOMBERG-67843</v>
      </c>
      <c r="B140" s="20">
        <v>46082</v>
      </c>
      <c r="C140" s="21">
        <v>817393</v>
      </c>
      <c r="D140" s="9" t="str">
        <f>IF(J140=57036,"ALEXANDRE DA COSTA SOARES",IF(J140=24157,"JOSE MAURICIO GOMES TEIXEIRA",IF(J140=24203,"JOSE MAURICIO GOMES TEIXEIRA",IF(J140=24149,"CHRISTIANO MARCONDES DE BARROS LIMA",IF(J140=24137,"CHRISTIANO MARCONDES DE BARROS LIMA",IF(J140=135152,"ENRICO BORTPLUZO CASSIANO",IF(J140=136568,"ENRICO BORTPLUZO CASSIANO", IF(J140=130976,"MARYLIA CARVALHO PONCE",IF(J140=136668,"ALEXANDRE DA COSTA SOARES",IF(J140=52340,"OFFSHORE LISTED",IF(J140=158778,"CLAUDIO DE SOUZA PACINI",IF(J140=159800,"CLAUDIO DE SOUZA PACINI",_xlfn.XLOOKUP(J140,[1]!Tabela33[ID ORACLE],[1]!Tabela33[BROKER],0,0,1)))))))))))))</f>
        <v>ANTÔNIO MARTINS NETO</v>
      </c>
      <c r="E140" s="22">
        <f t="shared" si="10"/>
        <v>-12388.554810189002</v>
      </c>
      <c r="F140" s="9" t="str">
        <f t="shared" si="11"/>
        <v>BLOOMBERG</v>
      </c>
      <c r="G140" s="20">
        <f t="shared" si="14"/>
        <v>46082</v>
      </c>
      <c r="H140" s="23">
        <v>1170</v>
      </c>
      <c r="J140" s="41">
        <v>67843</v>
      </c>
      <c r="K140" s="1" t="s">
        <v>41</v>
      </c>
      <c r="L140" s="1" t="s">
        <v>12</v>
      </c>
      <c r="M140" s="29">
        <v>2373.5591850000001</v>
      </c>
      <c r="N140" s="29"/>
      <c r="O140" s="1"/>
      <c r="P140" s="26"/>
      <c r="Q140" s="27"/>
      <c r="R140" s="26"/>
      <c r="S140" s="28"/>
      <c r="T140" s="26"/>
      <c r="U140" s="28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</row>
    <row r="141" spans="1:78" ht="15" hidden="1" customHeight="1" x14ac:dyDescent="0.25">
      <c r="A141" s="9" t="str">
        <f t="shared" si="9"/>
        <v>CUSTO MARKET DATA - MARÇO/26-REFINITIV-67843</v>
      </c>
      <c r="B141" s="20">
        <v>46082</v>
      </c>
      <c r="C141" s="21">
        <v>817393</v>
      </c>
      <c r="D141" s="9" t="str">
        <f>IF(J141=57036,"ALEXANDRE DA COSTA SOARES",IF(J141=24157,"JOSE MAURICIO GOMES TEIXEIRA",IF(J141=24203,"JOSE MAURICIO GOMES TEIXEIRA",IF(J141=24149,"CHRISTIANO MARCONDES DE BARROS LIMA",IF(J141=24137,"CHRISTIANO MARCONDES DE BARROS LIMA",IF(J141=135152,"ENRICO BORTPLUZO CASSIANO",IF(J141=136568,"ENRICO BORTPLUZO CASSIANO", IF(J141=130976,"MARYLIA CARVALHO PONCE",IF(J141=136668,"ALEXANDRE DA COSTA SOARES",IF(J141=52340,"OFFSHORE LISTED",IF(J141=158778,"CLAUDIO DE SOUZA PACINI",IF(J141=159800,"CLAUDIO DE SOUZA PACINI",_xlfn.XLOOKUP(J141,[1]!Tabela33[ID ORACLE],[1]!Tabela33[BROKER],0,0,1)))))))))))))</f>
        <v>ANTÔNIO MARTINS NETO</v>
      </c>
      <c r="E141" s="22">
        <f t="shared" si="10"/>
        <v>-142.3544924064</v>
      </c>
      <c r="F141" s="9" t="str">
        <f t="shared" si="11"/>
        <v>REFINITIV</v>
      </c>
      <c r="G141" s="20">
        <f t="shared" si="14"/>
        <v>46082</v>
      </c>
      <c r="H141" s="23">
        <v>1170</v>
      </c>
      <c r="J141" s="41">
        <v>67843</v>
      </c>
      <c r="K141" s="1" t="s">
        <v>42</v>
      </c>
      <c r="L141" s="1" t="s">
        <v>17</v>
      </c>
      <c r="M141" s="29">
        <v>20.685648</v>
      </c>
      <c r="N141" s="29"/>
      <c r="O141" s="41"/>
      <c r="Q141" s="27"/>
    </row>
    <row r="142" spans="1:78" ht="15" customHeight="1" x14ac:dyDescent="0.25">
      <c r="A142" s="9" t="str">
        <f t="shared" si="9"/>
        <v>CUSTO MARKET DATA - MARÇO/26-BLOOMBERG-70461</v>
      </c>
      <c r="B142" s="20">
        <v>46082</v>
      </c>
      <c r="C142" s="21">
        <v>817393</v>
      </c>
      <c r="D142" s="9" t="str">
        <f>IF(J142=57036,"ALEXANDRE DA COSTA SOARES",IF(J142=24157,"JOSE MAURICIO GOMES TEIXEIRA",IF(J142=24203,"JOSE MAURICIO GOMES TEIXEIRA",IF(J142=24149,"CHRISTIANO MARCONDES DE BARROS LIMA",IF(J142=24137,"CHRISTIANO MARCONDES DE BARROS LIMA",IF(J142=135152,"ENRICO BORTPLUZO CASSIANO",IF(J142=136568,"ENRICO BORTPLUZO CASSIANO", IF(J142=130976,"MARYLIA CARVALHO PONCE",IF(J142=136668,"ALEXANDRE DA COSTA SOARES",IF(J142=52340,"OFFSHORE LISTED",IF(J142=158778,"CLAUDIO DE SOUZA PACINI",IF(J142=159800,"CLAUDIO DE SOUZA PACINI",_xlfn.XLOOKUP(J142,[1]!Tabela33[ID ORACLE],[1]!Tabela33[BROKER],0,0,1)))))))))))))</f>
        <v>ALVARO LUIZ RICOTTA SOARES</v>
      </c>
      <c r="E142" s="22">
        <f t="shared" si="10"/>
        <v>-9440.8214600436022</v>
      </c>
      <c r="F142" s="9" t="str">
        <f t="shared" si="11"/>
        <v>BLOOMBERG</v>
      </c>
      <c r="G142" s="20">
        <f t="shared" si="14"/>
        <v>46082</v>
      </c>
      <c r="H142" s="23">
        <v>1170</v>
      </c>
      <c r="J142" s="41">
        <v>70461</v>
      </c>
      <c r="K142" s="1" t="s">
        <v>41</v>
      </c>
      <c r="L142" s="1" t="s">
        <v>12</v>
      </c>
      <c r="M142" s="29">
        <v>1808.7943940000002</v>
      </c>
      <c r="N142" s="29"/>
      <c r="O142" s="41"/>
      <c r="Q142" s="27"/>
    </row>
    <row r="143" spans="1:78" ht="15" customHeight="1" x14ac:dyDescent="0.25">
      <c r="A143" s="9" t="str">
        <f t="shared" ref="A143:A151" si="15">CONCATENATE($N$1,$I$1,F143,$I$1,J143)</f>
        <v>CUSTO MARKET DATA - MARÇO/26-BLOOMBERG-70953</v>
      </c>
      <c r="B143" s="20">
        <v>46082</v>
      </c>
      <c r="C143" s="21">
        <v>817393</v>
      </c>
      <c r="D143" s="9" t="str">
        <f>IF(J143=57036,"ALEXANDRE DA COSTA SOARES",IF(J143=24157,"JOSE MAURICIO GOMES TEIXEIRA",IF(J143=24203,"JOSE MAURICIO GOMES TEIXEIRA",IF(J143=24149,"CHRISTIANO MARCONDES DE BARROS LIMA",IF(J143=24137,"CHRISTIANO MARCONDES DE BARROS LIMA",IF(J143=135152,"ENRICO BORTPLUZO CASSIANO",IF(J143=136568,"ENRICO BORTPLUZO CASSIANO", IF(J143=130976,"MARYLIA CARVALHO PONCE",IF(J143=136668,"ALEXANDRE DA COSTA SOARES",IF(J143=52340,"OFFSHORE LISTED",IF(J143=158778,"CLAUDIO DE SOUZA PACINI",IF(J143=159800,"CLAUDIO DE SOUZA PACINI",_xlfn.XLOOKUP(J143,[1]!Tabela33[ID ORACLE],[1]!Tabela33[BROKER],0,0,1)))))))))))))</f>
        <v>CARLOS BASILE</v>
      </c>
      <c r="E143" s="22">
        <f t="shared" si="10"/>
        <v>-12784.707270189001</v>
      </c>
      <c r="F143" s="9" t="str">
        <f t="shared" si="11"/>
        <v>BLOOMBERG</v>
      </c>
      <c r="G143" s="20">
        <f t="shared" si="14"/>
        <v>46082</v>
      </c>
      <c r="H143" s="23">
        <v>1170</v>
      </c>
      <c r="J143" s="41">
        <v>70953</v>
      </c>
      <c r="K143" s="1" t="s">
        <v>41</v>
      </c>
      <c r="L143" s="1" t="s">
        <v>12</v>
      </c>
      <c r="M143" s="29">
        <v>2449.4591850000002</v>
      </c>
      <c r="N143" s="29"/>
      <c r="O143" s="41"/>
      <c r="Q143" s="27"/>
    </row>
    <row r="144" spans="1:78" ht="15" hidden="1" customHeight="1" x14ac:dyDescent="0.25">
      <c r="A144" s="9" t="str">
        <f t="shared" si="15"/>
        <v>CUSTO MARKET DATA - MARÇO/26-REFINITIV-72574</v>
      </c>
      <c r="B144" s="20">
        <v>46082</v>
      </c>
      <c r="C144" s="21">
        <v>817393</v>
      </c>
      <c r="D144" s="9" t="str">
        <f>IF(J144=57036,"ALEXANDRE DA COSTA SOARES",IF(J144=24157,"JOSE MAURICIO GOMES TEIXEIRA",IF(J144=24203,"JOSE MAURICIO GOMES TEIXEIRA",IF(J144=24149,"CHRISTIANO MARCONDES DE BARROS LIMA",IF(J144=24137,"CHRISTIANO MARCONDES DE BARROS LIMA",IF(J144=135152,"ENRICO BORTPLUZO CASSIANO",IF(J144=136568,"ENRICO BORTPLUZO CASSIANO", IF(J144=130976,"MARYLIA CARVALHO PONCE",IF(J144=136668,"ALEXANDRE DA COSTA SOARES",IF(J144=52340,"OFFSHORE LISTED",IF(J144=158778,"CLAUDIO DE SOUZA PACINI",IF(J144=159800,"CLAUDIO DE SOUZA PACINI",_xlfn.XLOOKUP(J144,[1]!Tabela33[ID ORACLE],[1]!Tabela33[BROKER],0,0,1)))))))))))))</f>
        <v>CARLOS JOSE SEPPE MILANI</v>
      </c>
      <c r="E144" s="22">
        <f t="shared" si="10"/>
        <v>-142.3544924064</v>
      </c>
      <c r="F144" s="9" t="str">
        <f t="shared" si="11"/>
        <v>REFINITIV</v>
      </c>
      <c r="G144" s="20">
        <f t="shared" si="14"/>
        <v>46082</v>
      </c>
      <c r="H144" s="23">
        <v>1170</v>
      </c>
      <c r="J144" s="41">
        <v>72574</v>
      </c>
      <c r="K144" s="1" t="s">
        <v>42</v>
      </c>
      <c r="L144" s="1" t="s">
        <v>17</v>
      </c>
      <c r="M144" s="29">
        <v>20.685648</v>
      </c>
      <c r="N144" s="29"/>
      <c r="O144" s="41"/>
      <c r="Q144" s="27"/>
    </row>
    <row r="145" spans="1:17" ht="15" customHeight="1" x14ac:dyDescent="0.25">
      <c r="A145" s="9" t="str">
        <f t="shared" si="15"/>
        <v>CUSTO MARKET DATA - MARÇO/26-BLOOMBERG-100142</v>
      </c>
      <c r="B145" s="20">
        <v>46082</v>
      </c>
      <c r="C145" s="21">
        <v>817393</v>
      </c>
      <c r="D145" s="9" t="str">
        <f>IF(J145=57036,"ALEXANDRE DA COSTA SOARES",IF(J145=24157,"JOSE MAURICIO GOMES TEIXEIRA",IF(J145=24203,"JOSE MAURICIO GOMES TEIXEIRA",IF(J145=24149,"CHRISTIANO MARCONDES DE BARROS LIMA",IF(J145=24137,"CHRISTIANO MARCONDES DE BARROS LIMA",IF(J145=135152,"ENRICO BORTPLUZO CASSIANO",IF(J145=136568,"ENRICO BORTPLUZO CASSIANO", IF(J145=130976,"MARYLIA CARVALHO PONCE",IF(J145=136668,"ALEXANDRE DA COSTA SOARES",IF(J145=52340,"OFFSHORE LISTED",IF(J145=158778,"CLAUDIO DE SOUZA PACINI",IF(J145=159800,"CLAUDIO DE SOUZA PACINI",_xlfn.XLOOKUP(J145,[1]!Tabela33[ID ORACLE],[1]!Tabela33[BROKER],0,0,1)))))))))))))</f>
        <v>RAFAEL TENORIO CAVALCANTI</v>
      </c>
      <c r="E145" s="22">
        <f t="shared" si="10"/>
        <v>-12525.516120000002</v>
      </c>
      <c r="F145" s="9" t="str">
        <f t="shared" si="11"/>
        <v>BLOOMBERG</v>
      </c>
      <c r="G145" s="20">
        <f t="shared" si="14"/>
        <v>46082</v>
      </c>
      <c r="H145" s="23">
        <v>1170</v>
      </c>
      <c r="J145" s="41">
        <v>100142</v>
      </c>
      <c r="K145" s="1" t="s">
        <v>41</v>
      </c>
      <c r="L145" s="1" t="s">
        <v>12</v>
      </c>
      <c r="M145" s="29">
        <v>2399.8000000000002</v>
      </c>
      <c r="N145" s="29"/>
      <c r="O145" s="41"/>
      <c r="Q145" s="27"/>
    </row>
    <row r="146" spans="1:17" ht="15" customHeight="1" x14ac:dyDescent="0.25">
      <c r="A146" s="9" t="str">
        <f t="shared" si="15"/>
        <v>CUSTO MARKET DATA - MARÇO/26-BLOOMBERG-136667</v>
      </c>
      <c r="B146" s="20">
        <v>46082</v>
      </c>
      <c r="C146" s="21">
        <v>817393</v>
      </c>
      <c r="D146" s="9" t="str">
        <f>IF(J146=57036,"ALEXANDRE DA COSTA SOARES",IF(J146=24157,"JOSE MAURICIO GOMES TEIXEIRA",IF(J146=24203,"JOSE MAURICIO GOMES TEIXEIRA",IF(J146=24149,"CHRISTIANO MARCONDES DE BARROS LIMA",IF(J146=24137,"CHRISTIANO MARCONDES DE BARROS LIMA",IF(J146=135152,"ENRICO BORTPLUZO CASSIANO",IF(J146=136568,"ENRICO BORTPLUZO CASSIANO", IF(J146=130976,"MARYLIA CARVALHO PONCE",IF(J146=136668,"ALEXANDRE DA COSTA SOARES",IF(J146=52340,"OFFSHORE LISTED",IF(J146=158778,"CLAUDIO DE SOUZA PACINI",IF(J146=159800,"CLAUDIO DE SOUZA PACINI",_xlfn.XLOOKUP(J146,[1]!Tabela33[ID ORACLE],[1]!Tabela33[BROKER],0,0,1)))))))))))))</f>
        <v>HUGO BIANCHI RIBEIRO</v>
      </c>
      <c r="E146" s="22">
        <f t="shared" si="10"/>
        <v>-12525.516120000002</v>
      </c>
      <c r="F146" s="9" t="str">
        <f t="shared" si="11"/>
        <v>BLOOMBERG</v>
      </c>
      <c r="G146" s="20">
        <f t="shared" si="14"/>
        <v>46082</v>
      </c>
      <c r="H146" s="23">
        <v>1170</v>
      </c>
      <c r="J146" s="41">
        <v>136667</v>
      </c>
      <c r="K146" s="1" t="s">
        <v>41</v>
      </c>
      <c r="L146" s="1" t="s">
        <v>12</v>
      </c>
      <c r="M146" s="29">
        <v>2399.8000000000002</v>
      </c>
      <c r="N146" s="29"/>
      <c r="O146" s="41"/>
    </row>
    <row r="147" spans="1:17" ht="15" customHeight="1" x14ac:dyDescent="0.25">
      <c r="A147" s="9" t="str">
        <f t="shared" si="15"/>
        <v>CUSTO MARKET DATA - MARÇO/26-BLOOMBERG-66729</v>
      </c>
      <c r="B147" s="20">
        <v>46082</v>
      </c>
      <c r="C147" s="21">
        <v>817393</v>
      </c>
      <c r="D147" s="9" t="str">
        <f>IF(J147=57036,"ALEXANDRE DA COSTA SOARES",IF(J147=24157,"JOSE MAURICIO GOMES TEIXEIRA",IF(J147=24203,"JOSE MAURICIO GOMES TEIXEIRA",IF(J147=24149,"CHRISTIANO MARCONDES DE BARROS LIMA",IF(J147=24137,"CHRISTIANO MARCONDES DE BARROS LIMA",IF(J147=135152,"ENRICO BORTPLUZO CASSIANO",IF(J147=136568,"ENRICO BORTPLUZO CASSIANO", IF(J147=130976,"MARYLIA CARVALHO PONCE",IF(J147=136668,"ALEXANDRE DA COSTA SOARES",IF(J147=52340,"OFFSHORE LISTED",IF(J147=158778,"CLAUDIO DE SOUZA PACINI",IF(J147=159800,"CLAUDIO DE SOUZA PACINI",_xlfn.XLOOKUP(J147,[1]!Tabela33[ID ORACLE],[1]!Tabela33[BROKER],0,0,1)))))))))))))</f>
        <v>PAOLO FRANCA LIDA</v>
      </c>
      <c r="E147" s="22">
        <f t="shared" si="10"/>
        <v>-11768.703120000002</v>
      </c>
      <c r="F147" s="9" t="str">
        <f t="shared" si="11"/>
        <v>BLOOMBERG</v>
      </c>
      <c r="G147" s="20">
        <f t="shared" si="14"/>
        <v>46082</v>
      </c>
      <c r="H147" s="23">
        <v>1170</v>
      </c>
      <c r="J147" s="41">
        <v>66729</v>
      </c>
      <c r="K147" s="1" t="s">
        <v>41</v>
      </c>
      <c r="L147" s="1" t="s">
        <v>12</v>
      </c>
      <c r="M147" s="29">
        <v>2254.8000000000002</v>
      </c>
      <c r="N147" s="29"/>
      <c r="O147" s="41"/>
    </row>
    <row r="148" spans="1:17" ht="15" customHeight="1" x14ac:dyDescent="0.25">
      <c r="A148" s="9" t="str">
        <f t="shared" si="15"/>
        <v>CUSTO MARKET DATA - MARÇO/26-BLOOMBERG-128550</v>
      </c>
      <c r="B148" s="20">
        <v>46082</v>
      </c>
      <c r="C148" s="21">
        <v>817393</v>
      </c>
      <c r="D148" s="9" t="str">
        <f>IF(J148=57036,"ALEXANDRE DA COSTA SOARES",IF(J148=24157,"JOSE MAURICIO GOMES TEIXEIRA",IF(J148=24203,"JOSE MAURICIO GOMES TEIXEIRA",IF(J148=24149,"CHRISTIANO MARCONDES DE BARROS LIMA",IF(J148=24137,"CHRISTIANO MARCONDES DE BARROS LIMA",IF(J148=135152,"ENRICO BORTPLUZO CASSIANO",IF(J148=136568,"ENRICO BORTPLUZO CASSIANO", IF(J148=130976,"MARYLIA CARVALHO PONCE",IF(J148=136668,"ALEXANDRE DA COSTA SOARES",IF(J148=52340,"OFFSHORE LISTED",IF(J148=158778,"CLAUDIO DE SOUZA PACINI",IF(J148=159800,"CLAUDIO DE SOUZA PACINI",_xlfn.XLOOKUP(J148,[1]!Tabela33[ID ORACLE],[1]!Tabela33[BROKER],0,0,1)))))))))))))</f>
        <v>ALINE FAUSTINI</v>
      </c>
      <c r="E148" s="22">
        <f t="shared" si="10"/>
        <v>-14210.838510713998</v>
      </c>
      <c r="F148" s="9" t="str">
        <f t="shared" si="11"/>
        <v>BLOOMBERG</v>
      </c>
      <c r="G148" s="20">
        <f t="shared" si="14"/>
        <v>46082</v>
      </c>
      <c r="H148" s="23">
        <v>1170</v>
      </c>
      <c r="J148" s="41">
        <v>128550</v>
      </c>
      <c r="K148" s="1" t="s">
        <v>41</v>
      </c>
      <c r="L148" s="1" t="s">
        <v>12</v>
      </c>
      <c r="M148" s="29">
        <v>2722.6958099999997</v>
      </c>
      <c r="N148" s="41"/>
    </row>
    <row r="149" spans="1:17" ht="15" hidden="1" customHeight="1" x14ac:dyDescent="0.25">
      <c r="A149" s="9" t="str">
        <f t="shared" si="15"/>
        <v>CUSTO MARKET DATA - MARÇO/26-NYSE MARKET INC.-128550</v>
      </c>
      <c r="B149" s="20">
        <v>46082</v>
      </c>
      <c r="C149" s="21">
        <v>817393</v>
      </c>
      <c r="D149" s="9" t="str">
        <f>IF(J149=57036,"ALEXANDRE DA COSTA SOARES",IF(J149=24157,"JOSE MAURICIO GOMES TEIXEIRA",IF(J149=24203,"JOSE MAURICIO GOMES TEIXEIRA",IF(J149=24149,"CHRISTIANO MARCONDES DE BARROS LIMA",IF(J149=24137,"CHRISTIANO MARCONDES DE BARROS LIMA",IF(J149=135152,"ENRICO BORTPLUZO CASSIANO",IF(J149=136568,"ENRICO BORTPLUZO CASSIANO", IF(J149=130976,"MARYLIA CARVALHO PONCE",IF(J149=136668,"ALEXANDRE DA COSTA SOARES",IF(J149=52340,"OFFSHORE LISTED",IF(J149=158778,"CLAUDIO DE SOUZA PACINI",IF(J149=159800,"CLAUDIO DE SOUZA PACINI",_xlfn.XLOOKUP(J149,[1]!Tabela33[ID ORACLE],[1]!Tabela33[BROKER],0,0,1)))))))))))))</f>
        <v>ALINE FAUSTINI</v>
      </c>
      <c r="E149" s="22">
        <f t="shared" si="10"/>
        <v>-153.43078725000001</v>
      </c>
      <c r="F149" s="9" t="str">
        <f t="shared" si="11"/>
        <v>NYSE MARKET INC.</v>
      </c>
      <c r="G149" s="20">
        <f t="shared" si="14"/>
        <v>46082</v>
      </c>
      <c r="H149" s="23">
        <v>1170</v>
      </c>
      <c r="J149" s="41">
        <v>128550</v>
      </c>
      <c r="K149" s="1" t="s">
        <v>44</v>
      </c>
      <c r="L149" s="1" t="s">
        <v>12</v>
      </c>
      <c r="M149" s="29">
        <v>29.396249999999998</v>
      </c>
      <c r="N149" s="41"/>
    </row>
    <row r="150" spans="1:17" ht="15" hidden="1" customHeight="1" x14ac:dyDescent="0.25">
      <c r="A150" s="9" t="str">
        <f t="shared" si="15"/>
        <v>CUSTO MARKET DATA - MARÇO/26-REFINITIV-128550</v>
      </c>
      <c r="B150" s="20">
        <v>46082</v>
      </c>
      <c r="C150" s="21">
        <v>817393</v>
      </c>
      <c r="D150" s="9" t="str">
        <f>IF(J150=57036,"ALEXANDRE DA COSTA SOARES",IF(J150=24157,"JOSE MAURICIO GOMES TEIXEIRA",IF(J150=24203,"JOSE MAURICIO GOMES TEIXEIRA",IF(J150=24149,"CHRISTIANO MARCONDES DE BARROS LIMA",IF(J150=24137,"CHRISTIANO MARCONDES DE BARROS LIMA",IF(J150=135152,"ENRICO BORTPLUZO CASSIANO",IF(J150=136568,"ENRICO BORTPLUZO CASSIANO", IF(J150=130976,"MARYLIA CARVALHO PONCE",IF(J150=136668,"ALEXANDRE DA COSTA SOARES",IF(J150=52340,"OFFSHORE LISTED",IF(J150=158778,"CLAUDIO DE SOUZA PACINI",IF(J150=159800,"CLAUDIO DE SOUZA PACINI",_xlfn.XLOOKUP(J150,[1]!Tabela33[ID ORACLE],[1]!Tabela33[BROKER],0,0,1)))))))))))))</f>
        <v>ALINE FAUSTINI</v>
      </c>
      <c r="E150" s="22">
        <f t="shared" si="10"/>
        <v>-366.17944938480002</v>
      </c>
      <c r="F150" s="9" t="str">
        <f t="shared" si="11"/>
        <v>REFINITIV</v>
      </c>
      <c r="G150" s="20">
        <f t="shared" si="14"/>
        <v>46082</v>
      </c>
      <c r="H150" s="23">
        <v>1170</v>
      </c>
      <c r="J150" s="41">
        <v>128550</v>
      </c>
      <c r="K150" s="1" t="s">
        <v>42</v>
      </c>
      <c r="L150" s="1" t="s">
        <v>17</v>
      </c>
      <c r="M150" s="29">
        <v>53.209836000000003</v>
      </c>
      <c r="N150" s="41"/>
    </row>
    <row r="151" spans="1:17" ht="15" customHeight="1" x14ac:dyDescent="0.25">
      <c r="A151" s="9" t="str">
        <f t="shared" si="15"/>
        <v>CUSTO MARKET DATA - MARÇO/26-BLOOMBERG-153754</v>
      </c>
      <c r="B151" s="20">
        <v>46082</v>
      </c>
      <c r="C151" s="21">
        <v>817393</v>
      </c>
      <c r="D151" s="9" t="str">
        <f>IF(J151=57036,"ALEXANDRE DA COSTA SOARES",IF(J151=24157,"JOSE MAURICIO GOMES TEIXEIRA",IF(J151=24203,"JOSE MAURICIO GOMES TEIXEIRA",IF(J151=24149,"CHRISTIANO MARCONDES DE BARROS LIMA",IF(J151=24137,"CHRISTIANO MARCONDES DE BARROS LIMA",IF(J151=135152,"ENRICO BORTPLUZO CASSIANO",IF(J151=136568,"ENRICO BORTPLUZO CASSIANO", IF(J151=130976,"MARYLIA CARVALHO PONCE",IF(J151=136668,"ALEXANDRE DA COSTA SOARES",IF(J151=52340,"OFFSHORE LISTED",IF(J151=158778,"CLAUDIO DE SOUZA PACINI",IF(J151=159800,"CLAUDIO DE SOUZA PACINI",_xlfn.XLOOKUP(J151,[1]!Tabela33[ID ORACLE],[1]!Tabela33[BROKER],0,0,1)))))))))))))</f>
        <v>CLAUDIO DE SOUZA PACINI</v>
      </c>
      <c r="E151" s="22">
        <f t="shared" si="10"/>
        <v>-22907.976193998009</v>
      </c>
      <c r="F151" s="9" t="str">
        <f t="shared" si="11"/>
        <v>BLOOMBERG</v>
      </c>
      <c r="G151" s="20">
        <f t="shared" si="14"/>
        <v>46082</v>
      </c>
      <c r="H151" s="23">
        <v>1170</v>
      </c>
      <c r="J151" s="41">
        <v>153754</v>
      </c>
      <c r="K151" s="1" t="s">
        <v>41</v>
      </c>
      <c r="L151" s="1" t="s">
        <v>12</v>
      </c>
      <c r="M151" s="29">
        <v>4389.0056700000014</v>
      </c>
      <c r="N151" s="41"/>
    </row>
    <row r="152" spans="1:17" ht="15" hidden="1" customHeight="1" x14ac:dyDescent="0.25">
      <c r="A152" s="9" t="str">
        <f t="shared" ref="A152:A157" si="16">CONCATENATE($N$1,$I$1,F152,$I$1,J152)</f>
        <v>CUSTO MARKET DATA - MARÇO/26-FIDESSA-153754</v>
      </c>
      <c r="B152" s="20">
        <v>46082</v>
      </c>
      <c r="C152" s="21">
        <v>817393</v>
      </c>
      <c r="D152" s="9" t="str">
        <f>IF(J152=57036,"ALEXANDRE DA COSTA SOARES",IF(J152=24157,"JOSE MAURICIO GOMES TEIXEIRA",IF(J152=24203,"JOSE MAURICIO GOMES TEIXEIRA",IF(J152=24149,"CHRISTIANO MARCONDES DE BARROS LIMA",IF(J152=24137,"CHRISTIANO MARCONDES DE BARROS LIMA",IF(J152=135152,"ENRICO BORTPLUZO CASSIANO",IF(J152=136568,"ENRICO BORTPLUZO CASSIANO", IF(J152=130976,"MARYLIA CARVALHO PONCE",IF(J152=136668,"ALEXANDRE DA COSTA SOARES",IF(J152=52340,"OFFSHORE LISTED",IF(J152=158778,"CLAUDIO DE SOUZA PACINI",IF(J152=159800,"CLAUDIO DE SOUZA PACINI",_xlfn.XLOOKUP(J152,[1]!Tabela33[ID ORACLE],[1]!Tabela33[BROKER],0,0,1)))))))))))))</f>
        <v>CLAUDIO DE SOUZA PACINI</v>
      </c>
      <c r="E152" s="22">
        <f t="shared" si="10"/>
        <v>-1820.4847090494</v>
      </c>
      <c r="F152" s="9" t="str">
        <f t="shared" ref="F152:F157" si="17">IF(UPPER(K152)="Valor Analytics LLC","VALOR",UPPER(K152))</f>
        <v>FIDESSA</v>
      </c>
      <c r="G152" s="20">
        <f t="shared" ref="G152:G157" si="18">B152</f>
        <v>46082</v>
      </c>
      <c r="H152" s="23">
        <v>1170</v>
      </c>
      <c r="J152" s="41">
        <v>153754</v>
      </c>
      <c r="K152" s="1" t="s">
        <v>47</v>
      </c>
      <c r="L152" s="1" t="s">
        <v>12</v>
      </c>
      <c r="M152" s="29">
        <v>348.79195099999998</v>
      </c>
      <c r="N152" s="41"/>
    </row>
    <row r="153" spans="1:17" ht="15" hidden="1" customHeight="1" x14ac:dyDescent="0.25">
      <c r="A153" s="9" t="str">
        <f t="shared" si="16"/>
        <v>CUSTO MARKET DATA - MARÇO/26-NYSE MARKET INC.-153754</v>
      </c>
      <c r="B153" s="20">
        <v>46082</v>
      </c>
      <c r="C153" s="21">
        <v>817393</v>
      </c>
      <c r="D153" s="9" t="str">
        <f>IF(J153=57036,"ALEXANDRE DA COSTA SOARES",IF(J153=24157,"JOSE MAURICIO GOMES TEIXEIRA",IF(J153=24203,"JOSE MAURICIO GOMES TEIXEIRA",IF(J153=24149,"CHRISTIANO MARCONDES DE BARROS LIMA",IF(J153=24137,"CHRISTIANO MARCONDES DE BARROS LIMA",IF(J153=135152,"ENRICO BORTPLUZO CASSIANO",IF(J153=136568,"ENRICO BORTPLUZO CASSIANO", IF(J153=130976,"MARYLIA CARVALHO PONCE",IF(J153=136668,"ALEXANDRE DA COSTA SOARES",IF(J153=52340,"OFFSHORE LISTED",IF(J153=158778,"CLAUDIO DE SOUZA PACINI",IF(J153=159800,"CLAUDIO DE SOUZA PACINI",_xlfn.XLOOKUP(J153,[1]!Tabela33[ID ORACLE],[1]!Tabela33[BROKER],0,0,1)))))))))))))</f>
        <v>CLAUDIO DE SOUZA PACINI</v>
      </c>
      <c r="E153" s="22">
        <f t="shared" si="10"/>
        <v>-1903.8674894999999</v>
      </c>
      <c r="F153" s="9" t="str">
        <f t="shared" si="17"/>
        <v>NYSE MARKET INC.</v>
      </c>
      <c r="G153" s="20">
        <f t="shared" si="18"/>
        <v>46082</v>
      </c>
      <c r="H153" s="23">
        <v>1170</v>
      </c>
      <c r="J153" s="41">
        <v>153754</v>
      </c>
      <c r="K153" s="1" t="s">
        <v>44</v>
      </c>
      <c r="L153" s="1" t="s">
        <v>12</v>
      </c>
      <c r="M153" s="29">
        <v>364.76749999999998</v>
      </c>
      <c r="N153" s="41"/>
    </row>
    <row r="154" spans="1:17" ht="15" hidden="1" customHeight="1" x14ac:dyDescent="0.25">
      <c r="A154" s="9" t="str">
        <f t="shared" si="16"/>
        <v>CUSTO MARKET DATA - MARÇO/26-OPTIONS PRICE REPORTING AUTHORITY (OPRA)-153754</v>
      </c>
      <c r="B154" s="20">
        <v>46082</v>
      </c>
      <c r="C154" s="21">
        <v>817393</v>
      </c>
      <c r="D154" s="9" t="str">
        <f>IF(J154=57036,"ALEXANDRE DA COSTA SOARES",IF(J154=24157,"JOSE MAURICIO GOMES TEIXEIRA",IF(J154=24203,"JOSE MAURICIO GOMES TEIXEIRA",IF(J154=24149,"CHRISTIANO MARCONDES DE BARROS LIMA",IF(J154=24137,"CHRISTIANO MARCONDES DE BARROS LIMA",IF(J154=135152,"ENRICO BORTPLUZO CASSIANO",IF(J154=136568,"ENRICO BORTPLUZO CASSIANO", IF(J154=130976,"MARYLIA CARVALHO PONCE",IF(J154=136668,"ALEXANDRE DA COSTA SOARES",IF(J154=52340,"OFFSHORE LISTED",IF(J154=158778,"CLAUDIO DE SOUZA PACINI",IF(J154=159800,"CLAUDIO DE SOUZA PACINI",_xlfn.XLOOKUP(J154,[1]!Tabela33[ID ORACLE],[1]!Tabela33[BROKER],0,0,1)))))))))))))</f>
        <v>CLAUDIO DE SOUZA PACINI</v>
      </c>
      <c r="E154" s="22">
        <f>-IF(L154="BRL",M154,IF(L154="GBP",M154*$R$1,IF(L154="CAD",M154*$T$1,M154*$P$1)))</f>
        <v>-522.28252312500013</v>
      </c>
      <c r="F154" s="9" t="str">
        <f t="shared" si="17"/>
        <v>OPTIONS PRICE REPORTING AUTHORITY (OPRA)</v>
      </c>
      <c r="G154" s="20">
        <f t="shared" si="18"/>
        <v>46082</v>
      </c>
      <c r="H154" s="23">
        <v>1170</v>
      </c>
      <c r="J154" s="41">
        <v>153754</v>
      </c>
      <c r="K154" s="1" t="s">
        <v>45</v>
      </c>
      <c r="L154" s="1" t="s">
        <v>12</v>
      </c>
      <c r="M154" s="29">
        <v>100.06562500000001</v>
      </c>
      <c r="N154" s="41"/>
    </row>
    <row r="155" spans="1:17" ht="15" hidden="1" customHeight="1" x14ac:dyDescent="0.25">
      <c r="A155" s="9" t="str">
        <f t="shared" si="16"/>
        <v>CUSTO MARKET DATA - MARÇO/26-TORONTO STOCK EXCHANGE-153754</v>
      </c>
      <c r="B155" s="20">
        <v>46082</v>
      </c>
      <c r="C155" s="21">
        <v>817393</v>
      </c>
      <c r="D155" s="9" t="str">
        <f>IF(J155=57036,"ALEXANDRE DA COSTA SOARES",IF(J155=24157,"JOSE MAURICIO GOMES TEIXEIRA",IF(J155=24203,"JOSE MAURICIO GOMES TEIXEIRA",IF(J155=24149,"CHRISTIANO MARCONDES DE BARROS LIMA",IF(J155=24137,"CHRISTIANO MARCONDES DE BARROS LIMA",IF(J155=135152,"ENRICO BORTPLUZO CASSIANO",IF(J155=136568,"ENRICO BORTPLUZO CASSIANO", IF(J155=130976,"MARYLIA CARVALHO PONCE",IF(J155=136668,"ALEXANDRE DA COSTA SOARES",IF(J155=52340,"OFFSHORE LISTED",IF(J155=158778,"CLAUDIO DE SOUZA PACINI",IF(J155=159800,"CLAUDIO DE SOUZA PACINI",_xlfn.XLOOKUP(J155,[1]!Tabela33[ID ORACLE],[1]!Tabela33[BROKER],0,0,1)))))))))))))</f>
        <v>CLAUDIO DE SOUZA PACINI</v>
      </c>
      <c r="E155" s="22">
        <f>-IF(L155="BRL",M155,IF(L155="GBP",M155*$R$1,IF(L155="CAD",M155*$T$1,M155*$P$1)))</f>
        <v>-379.67655226020008</v>
      </c>
      <c r="F155" s="9" t="str">
        <f t="shared" si="17"/>
        <v>TORONTO STOCK EXCHANGE</v>
      </c>
      <c r="G155" s="20">
        <f t="shared" si="18"/>
        <v>46082</v>
      </c>
      <c r="H155" s="23">
        <v>1170</v>
      </c>
      <c r="J155" s="41">
        <v>153754</v>
      </c>
      <c r="K155" s="1" t="s">
        <v>51</v>
      </c>
      <c r="L155" s="1" t="s">
        <v>12</v>
      </c>
      <c r="M155" s="29">
        <v>72.743333000000007</v>
      </c>
      <c r="N155" s="41"/>
    </row>
    <row r="156" spans="1:17" ht="15" hidden="1" customHeight="1" x14ac:dyDescent="0.25">
      <c r="A156" s="9" t="str">
        <f t="shared" si="16"/>
        <v>CUSTO MARKET DATA - MARÇO/26-TRADE THE NEWS, INC.-153754</v>
      </c>
      <c r="B156" s="20">
        <v>46082</v>
      </c>
      <c r="C156" s="21">
        <v>817393</v>
      </c>
      <c r="D156" s="9" t="str">
        <f>IF(J156=57036,"ALEXANDRE DA COSTA SOARES",IF(J156=24157,"JOSE MAURICIO GOMES TEIXEIRA",IF(J156=24203,"JOSE MAURICIO GOMES TEIXEIRA",IF(J156=24149,"CHRISTIANO MARCONDES DE BARROS LIMA",IF(J156=24137,"CHRISTIANO MARCONDES DE BARROS LIMA",IF(J156=135152,"ENRICO BORTPLUZO CASSIANO",IF(J156=136568,"ENRICO BORTPLUZO CASSIANO", IF(J156=130976,"MARYLIA CARVALHO PONCE",IF(J156=136668,"ALEXANDRE DA COSTA SOARES",IF(J156=52340,"OFFSHORE LISTED",IF(J156=158778,"CLAUDIO DE SOUZA PACINI",IF(J156=159800,"CLAUDIO DE SOUZA PACINI",_xlfn.XLOOKUP(J156,[1]!Tabela33[ID ORACLE],[1]!Tabela33[BROKER],0,0,1)))))))))))))</f>
        <v>CLAUDIO DE SOUZA PACINI</v>
      </c>
      <c r="E156" s="22">
        <f>-IF(L156="BRL",M156,IF(L156="GBP",M156*$R$1,IF(L156="CAD",M156*$T$1,M156*$P$1)))</f>
        <v>-1434.03015</v>
      </c>
      <c r="F156" s="9" t="str">
        <f t="shared" si="17"/>
        <v>TRADE THE NEWS, INC.</v>
      </c>
      <c r="G156" s="20">
        <f t="shared" si="18"/>
        <v>46082</v>
      </c>
      <c r="H156" s="23">
        <v>1170</v>
      </c>
      <c r="J156" s="41">
        <v>153754</v>
      </c>
      <c r="K156" s="1" t="s">
        <v>52</v>
      </c>
      <c r="L156" s="1" t="s">
        <v>12</v>
      </c>
      <c r="M156" s="29">
        <v>274.75</v>
      </c>
      <c r="N156" s="41"/>
    </row>
    <row r="157" spans="1:17" ht="15" hidden="1" customHeight="1" x14ac:dyDescent="0.25">
      <c r="A157" s="9" t="str">
        <f t="shared" si="16"/>
        <v>CUSTO MARKET DATA - MARÇO/26--</v>
      </c>
      <c r="B157" s="20">
        <v>46082</v>
      </c>
      <c r="C157" s="21">
        <v>817393</v>
      </c>
      <c r="D157" s="9">
        <f>IF(J157=57036,"ALEXANDRE DA COSTA SOARES",IF(J157=24157,"JOSE MAURICIO GOMES TEIXEIRA",IF(J157=24203,"JOSE MAURICIO GOMES TEIXEIRA",IF(J157=24149,"CHRISTIANO MARCONDES DE BARROS LIMA",IF(J157=24137,"CHRISTIANO MARCONDES DE BARROS LIMA",IF(J157=135152,"ENRICO BORTPLUZO CASSIANO",IF(J157=136568,"ENRICO BORTPLUZO CASSIANO", IF(J157=130976,"MARYLIA CARVALHO PONCE",IF(J157=136668,"ALEXANDRE DA COSTA SOARES",IF(J157=52340,"OFFSHORE LISTED",IF(J157=158778,"CLAUDIO DE SOUZA PACINI",IF(J157=159800,"CLAUDIO DE SOUZA PACINI",_xlfn.XLOOKUP(J157,[1]!Tabela33[ID ORACLE],[1]!Tabela33[BROKER],0,0,1)))))))))))))</f>
        <v>0</v>
      </c>
      <c r="E157" s="22">
        <f>-IF(L157="BRL",M157,IF(L157="GBP",M157*$R$1,IF(L157="CAD",M157*$T$1,M157*$P$1)))</f>
        <v>0</v>
      </c>
      <c r="F157" s="9" t="str">
        <f t="shared" si="17"/>
        <v/>
      </c>
      <c r="G157" s="20">
        <f t="shared" si="18"/>
        <v>46082</v>
      </c>
      <c r="H157" s="23">
        <v>1170</v>
      </c>
    </row>
    <row r="1048561" spans="3:3" ht="15" customHeight="1" x14ac:dyDescent="0.25">
      <c r="C1048561" s="21"/>
    </row>
  </sheetData>
  <autoFilter ref="A1:BZ157" xr:uid="{97B8CE54-D5EE-4422-8880-2C20C4085286}">
    <filterColumn colId="5">
      <filters>
        <filter val="BLOOMBERG"/>
      </filters>
    </filterColumn>
  </autoFilter>
  <mergeCells count="11">
    <mergeCell ref="N8:N9"/>
    <mergeCell ref="O8:O9"/>
    <mergeCell ref="N10:N11"/>
    <mergeCell ref="O10:O11"/>
    <mergeCell ref="N12:N23"/>
    <mergeCell ref="N2:N3"/>
    <mergeCell ref="O2:O3"/>
    <mergeCell ref="N4:N5"/>
    <mergeCell ref="O4:O5"/>
    <mergeCell ref="N6:N7"/>
    <mergeCell ref="O6:O7"/>
  </mergeCells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31EC2-6CF3-42ED-8D31-D403E8961840}">
  <sheetPr filterMode="1"/>
  <dimension ref="A1:BZ1048548"/>
  <sheetViews>
    <sheetView showGridLines="0" zoomScaleNormal="100" workbookViewId="0">
      <selection activeCell="E1" sqref="E1:E1048576"/>
    </sheetView>
  </sheetViews>
  <sheetFormatPr defaultRowHeight="15" customHeight="1" x14ac:dyDescent="0.25"/>
  <cols>
    <col min="1" max="1" width="48.85546875" style="1" customWidth="1"/>
    <col min="2" max="2" width="19.140625" style="3" bestFit="1" customWidth="1"/>
    <col min="3" max="3" width="8.42578125" style="4" customWidth="1"/>
    <col min="4" max="4" width="34.7109375" style="1" bestFit="1" customWidth="1"/>
    <col min="5" max="5" width="10" style="2" bestFit="1" customWidth="1"/>
    <col min="6" max="6" width="17.42578125" style="1" bestFit="1" customWidth="1"/>
    <col min="7" max="7" width="19.140625" style="3" bestFit="1" customWidth="1"/>
    <col min="8" max="8" width="16.28515625" style="19" bestFit="1" customWidth="1"/>
    <col min="9" max="9" width="2.7109375" customWidth="1"/>
    <col min="10" max="10" width="14" style="1" customWidth="1"/>
    <col min="11" max="11" width="28.28515625" style="1" bestFit="1" customWidth="1"/>
    <col min="12" max="12" width="8.7109375" style="1" customWidth="1"/>
    <col min="13" max="13" width="23.28515625" style="2" bestFit="1" customWidth="1"/>
    <col min="14" max="14" width="53.5703125" bestFit="1" customWidth="1"/>
    <col min="15" max="15" width="6.140625" style="1" bestFit="1" customWidth="1"/>
    <col min="16" max="16" width="11.5703125" style="26" bestFit="1" customWidth="1"/>
    <col min="17" max="17" width="21.42578125" style="28" customWidth="1"/>
    <col min="18" max="18" width="31.85546875" style="26" bestFit="1" customWidth="1"/>
    <col min="19" max="19" width="9.140625" style="28" bestFit="1" customWidth="1"/>
    <col min="20" max="20" width="11.5703125" style="26" bestFit="1" customWidth="1"/>
    <col min="21" max="21" width="9.140625" style="28"/>
    <col min="22" max="16384" width="9.140625" style="1"/>
  </cols>
  <sheetData>
    <row r="1" spans="1:21" ht="15" customHeight="1" x14ac:dyDescent="0.2">
      <c r="A1" s="33" t="s">
        <v>0</v>
      </c>
      <c r="B1" s="30" t="s">
        <v>7</v>
      </c>
      <c r="C1" s="33" t="s">
        <v>1</v>
      </c>
      <c r="D1" s="33" t="s">
        <v>2</v>
      </c>
      <c r="E1" s="34" t="s">
        <v>3</v>
      </c>
      <c r="F1" s="33" t="s">
        <v>4</v>
      </c>
      <c r="G1" s="30" t="s">
        <v>5</v>
      </c>
      <c r="H1" s="33" t="s">
        <v>6</v>
      </c>
      <c r="I1" s="33" t="s">
        <v>16</v>
      </c>
      <c r="J1" s="35" t="s">
        <v>8</v>
      </c>
      <c r="K1" s="35" t="s">
        <v>9</v>
      </c>
      <c r="L1" s="35" t="s">
        <v>10</v>
      </c>
      <c r="M1" s="36" t="s">
        <v>11</v>
      </c>
      <c r="N1" s="32" t="s">
        <v>55</v>
      </c>
      <c r="P1" s="37">
        <v>4.9885999999999999</v>
      </c>
      <c r="Q1" s="38" t="s">
        <v>12</v>
      </c>
      <c r="R1" s="39">
        <v>6.7735000000000003</v>
      </c>
      <c r="S1" s="38" t="s">
        <v>17</v>
      </c>
      <c r="T1" s="37">
        <v>3.6654</v>
      </c>
      <c r="U1" s="38" t="s">
        <v>23</v>
      </c>
    </row>
    <row r="2" spans="1:21" ht="15" customHeight="1" x14ac:dyDescent="0.25">
      <c r="A2" s="5" t="str">
        <f t="shared" ref="A2:A7" si="0">CONCATENATE($N$1,$I$1,F2,$I$1,J2)</f>
        <v>CUSTO MARKET DATA - ABRIL/26-BLOOMBERG-67829</v>
      </c>
      <c r="B2" s="6">
        <v>46113</v>
      </c>
      <c r="C2" s="7">
        <v>817393</v>
      </c>
      <c r="D2" s="5" t="s">
        <v>15</v>
      </c>
      <c r="E2" s="8">
        <f>-IF(L2="BRL",M2,M2*$P$1)/2</f>
        <v>-6012.8493498569997</v>
      </c>
      <c r="F2" s="5" t="str">
        <f>UPPER(K2)</f>
        <v>BLOOMBERG</v>
      </c>
      <c r="G2" s="6">
        <f>B2</f>
        <v>46113</v>
      </c>
      <c r="H2" s="16">
        <v>1170</v>
      </c>
      <c r="J2" s="18">
        <v>67829</v>
      </c>
      <c r="K2" s="14" t="s">
        <v>41</v>
      </c>
      <c r="L2" s="15" t="s">
        <v>12</v>
      </c>
      <c r="M2" s="8">
        <v>2410.6359899999998</v>
      </c>
      <c r="N2" s="47" t="s">
        <v>26</v>
      </c>
      <c r="O2" s="49">
        <v>67829</v>
      </c>
      <c r="Q2" s="27"/>
      <c r="R2" s="27"/>
      <c r="S2" s="27"/>
      <c r="U2" s="27"/>
    </row>
    <row r="3" spans="1:21" ht="15" customHeight="1" x14ac:dyDescent="0.25">
      <c r="A3" s="10" t="str">
        <f t="shared" si="0"/>
        <v>CUSTO MARKET DATA - ABRIL/26-BLOOMBERG-67829</v>
      </c>
      <c r="B3" s="24">
        <v>46113</v>
      </c>
      <c r="C3" s="11">
        <v>817393</v>
      </c>
      <c r="D3" s="10" t="s">
        <v>24</v>
      </c>
      <c r="E3" s="12">
        <f>-IF(L3="BRL",M3,M3*$P$1)/2</f>
        <v>-6012.8493498569997</v>
      </c>
      <c r="F3" s="10" t="str">
        <f t="shared" ref="F3:F11" si="1">UPPER(K3)</f>
        <v>BLOOMBERG</v>
      </c>
      <c r="G3" s="24">
        <f t="shared" ref="G3:G28" si="2">B3</f>
        <v>46113</v>
      </c>
      <c r="H3" s="17">
        <v>1170</v>
      </c>
      <c r="J3" s="17">
        <v>67829</v>
      </c>
      <c r="K3" s="17" t="s">
        <v>41</v>
      </c>
      <c r="L3" s="13" t="s">
        <v>12</v>
      </c>
      <c r="M3" s="12">
        <v>2410.6359899999998</v>
      </c>
      <c r="N3" s="48"/>
      <c r="O3" s="50"/>
      <c r="Q3" s="27"/>
      <c r="R3" s="27"/>
      <c r="S3" s="27"/>
      <c r="U3" s="27"/>
    </row>
    <row r="4" spans="1:21" ht="15" customHeight="1" x14ac:dyDescent="0.25">
      <c r="A4" s="5" t="str">
        <f t="shared" si="0"/>
        <v>CUSTO MARKET DATA - ABRIL/26-BLOOMBERG-67825</v>
      </c>
      <c r="B4" s="6">
        <v>46113</v>
      </c>
      <c r="C4" s="7">
        <v>817393</v>
      </c>
      <c r="D4" s="5" t="s">
        <v>28</v>
      </c>
      <c r="E4" s="8">
        <f>-IF(L4="BRL",M4,M4*$P$1)/2</f>
        <v>-5718.0230898569998</v>
      </c>
      <c r="F4" s="5" t="str">
        <f t="shared" si="1"/>
        <v>BLOOMBERG</v>
      </c>
      <c r="G4" s="6">
        <f t="shared" si="2"/>
        <v>46113</v>
      </c>
      <c r="H4" s="16">
        <v>1170</v>
      </c>
      <c r="J4" s="18">
        <v>67825</v>
      </c>
      <c r="K4" s="18" t="s">
        <v>41</v>
      </c>
      <c r="L4" s="15" t="s">
        <v>12</v>
      </c>
      <c r="M4" s="8">
        <v>2292.4359899999999</v>
      </c>
      <c r="N4" s="47" t="s">
        <v>25</v>
      </c>
      <c r="O4" s="49">
        <v>67825</v>
      </c>
      <c r="Q4" s="27"/>
      <c r="R4" s="27"/>
      <c r="S4" s="27"/>
      <c r="U4" s="27"/>
    </row>
    <row r="5" spans="1:21" ht="15" customHeight="1" x14ac:dyDescent="0.25">
      <c r="A5" s="10" t="str">
        <f t="shared" si="0"/>
        <v>CUSTO MARKET DATA - ABRIL/26-BLOOMBERG-67825</v>
      </c>
      <c r="B5" s="24">
        <v>46113</v>
      </c>
      <c r="C5" s="11">
        <v>817393</v>
      </c>
      <c r="D5" s="10" t="s">
        <v>27</v>
      </c>
      <c r="E5" s="12">
        <f>-IF(L5="BRL",M5,M5*$P$1)/2</f>
        <v>-5718.0230898569998</v>
      </c>
      <c r="F5" s="10" t="str">
        <f t="shared" si="1"/>
        <v>BLOOMBERG</v>
      </c>
      <c r="G5" s="24">
        <f t="shared" si="2"/>
        <v>46113</v>
      </c>
      <c r="H5" s="17">
        <v>1170</v>
      </c>
      <c r="J5" s="17">
        <v>67825</v>
      </c>
      <c r="K5" s="17" t="s">
        <v>41</v>
      </c>
      <c r="L5" s="13" t="s">
        <v>12</v>
      </c>
      <c r="M5" s="12">
        <v>2292.4359899999999</v>
      </c>
      <c r="N5" s="48"/>
      <c r="O5" s="50"/>
      <c r="Q5" s="27"/>
      <c r="R5" s="27"/>
      <c r="S5" s="27"/>
      <c r="U5" s="27"/>
    </row>
    <row r="6" spans="1:21" ht="15" hidden="1" customHeight="1" x14ac:dyDescent="0.25">
      <c r="A6" s="5" t="str">
        <f t="shared" si="0"/>
        <v>CUSTO MARKET DATA - ABRIL/26-REFINITIV-103090</v>
      </c>
      <c r="B6" s="6">
        <v>46113</v>
      </c>
      <c r="C6" s="7">
        <v>817393</v>
      </c>
      <c r="D6" s="5" t="s">
        <v>13</v>
      </c>
      <c r="E6" s="8">
        <f>-IF(L6="BRL",M6,IF(L6="GBP",M6*R1,M6*$P$1))/2</f>
        <v>-70.607681991000007</v>
      </c>
      <c r="F6" s="5" t="str">
        <f t="shared" si="1"/>
        <v>REFINITIV</v>
      </c>
      <c r="G6" s="6">
        <f t="shared" si="2"/>
        <v>46113</v>
      </c>
      <c r="H6" s="16">
        <v>1170</v>
      </c>
      <c r="J6" s="18">
        <v>103090</v>
      </c>
      <c r="K6" s="18" t="s">
        <v>42</v>
      </c>
      <c r="L6" s="15" t="s">
        <v>17</v>
      </c>
      <c r="M6" s="8">
        <v>20.848212</v>
      </c>
      <c r="N6" s="47" t="s">
        <v>18</v>
      </c>
      <c r="O6" s="49">
        <v>103090</v>
      </c>
      <c r="Q6" s="27"/>
      <c r="R6" s="27"/>
      <c r="S6" s="27"/>
      <c r="U6" s="27"/>
    </row>
    <row r="7" spans="1:21" ht="15" hidden="1" customHeight="1" x14ac:dyDescent="0.25">
      <c r="A7" s="10" t="str">
        <f t="shared" si="0"/>
        <v>CUSTO MARKET DATA - ABRIL/26-REFINITIV-103090</v>
      </c>
      <c r="B7" s="24">
        <v>46113</v>
      </c>
      <c r="C7" s="11">
        <v>817393</v>
      </c>
      <c r="D7" s="10" t="s">
        <v>14</v>
      </c>
      <c r="E7" s="12">
        <f>-IF(L7="BRL",M7,IF(L7="GBP",M7*R1,M7*$P$1))/2</f>
        <v>-70.607681991000007</v>
      </c>
      <c r="F7" s="10" t="str">
        <f t="shared" si="1"/>
        <v>REFINITIV</v>
      </c>
      <c r="G7" s="24">
        <f t="shared" si="2"/>
        <v>46113</v>
      </c>
      <c r="H7" s="17">
        <v>1170</v>
      </c>
      <c r="J7" s="17">
        <v>103090</v>
      </c>
      <c r="K7" s="17" t="s">
        <v>42</v>
      </c>
      <c r="L7" s="13" t="s">
        <v>17</v>
      </c>
      <c r="M7" s="12">
        <v>20.848212</v>
      </c>
      <c r="N7" s="48"/>
      <c r="O7" s="50"/>
      <c r="Q7" s="27"/>
      <c r="R7" s="27"/>
      <c r="S7" s="27"/>
      <c r="U7" s="27"/>
    </row>
    <row r="8" spans="1:21" ht="15" customHeight="1" x14ac:dyDescent="0.25">
      <c r="A8" s="5" t="str">
        <f t="shared" ref="A8:A28" si="3">CONCATENATE($N$1,$I$1,F8,$I$1,J8)</f>
        <v>CUSTO MARKET DATA - ABRIL/26-BLOOMBERG-72574</v>
      </c>
      <c r="B8" s="6">
        <v>46113</v>
      </c>
      <c r="C8" s="7">
        <v>817393</v>
      </c>
      <c r="D8" s="5" t="s">
        <v>43</v>
      </c>
      <c r="E8" s="8">
        <f>-IF(L8="BRL",M8,IF(L8="GBP",M8*#REF!,M8*$P$1))/2</f>
        <v>-6018.5862398569998</v>
      </c>
      <c r="F8" s="5" t="str">
        <f t="shared" si="1"/>
        <v>BLOOMBERG</v>
      </c>
      <c r="G8" s="6">
        <f t="shared" si="2"/>
        <v>46113</v>
      </c>
      <c r="H8" s="16">
        <v>1170</v>
      </c>
      <c r="J8" s="18">
        <v>72574</v>
      </c>
      <c r="K8" s="18" t="s">
        <v>41</v>
      </c>
      <c r="L8" s="15" t="s">
        <v>12</v>
      </c>
      <c r="M8" s="8">
        <v>2412.9359899999999</v>
      </c>
      <c r="N8" s="47" t="s">
        <v>21</v>
      </c>
      <c r="O8" s="49"/>
      <c r="Q8" s="27"/>
      <c r="R8" s="27"/>
      <c r="S8" s="27"/>
      <c r="U8" s="27"/>
    </row>
    <row r="9" spans="1:21" ht="15" customHeight="1" x14ac:dyDescent="0.25">
      <c r="A9" s="10" t="str">
        <f t="shared" si="3"/>
        <v>CUSTO MARKET DATA - ABRIL/26-BLOOMBERG-72574</v>
      </c>
      <c r="B9" s="24">
        <v>46113</v>
      </c>
      <c r="C9" s="11">
        <v>817393</v>
      </c>
      <c r="D9" s="10" t="s">
        <v>20</v>
      </c>
      <c r="E9" s="12">
        <f>-IF(L9="BRL",M9,IF(L9="GBP",M9*#REF!,M9*$P$1))/2</f>
        <v>-6018.5862398569998</v>
      </c>
      <c r="F9" s="10" t="str">
        <f t="shared" si="1"/>
        <v>BLOOMBERG</v>
      </c>
      <c r="G9" s="24">
        <f t="shared" si="2"/>
        <v>46113</v>
      </c>
      <c r="H9" s="17">
        <v>1170</v>
      </c>
      <c r="J9" s="17">
        <v>72574</v>
      </c>
      <c r="K9" s="17" t="s">
        <v>41</v>
      </c>
      <c r="L9" s="13" t="s">
        <v>12</v>
      </c>
      <c r="M9" s="12">
        <v>2412.9359899999999</v>
      </c>
      <c r="N9" s="48"/>
      <c r="O9" s="50"/>
      <c r="Q9" s="27"/>
      <c r="R9" s="27"/>
      <c r="S9" s="27"/>
      <c r="U9" s="27"/>
    </row>
    <row r="10" spans="1:21" ht="15" customHeight="1" x14ac:dyDescent="0.25">
      <c r="A10" s="5" t="str">
        <f t="shared" si="3"/>
        <v>CUSTO MARKET DATA - ABRIL/26-BLOOMBERG-135064</v>
      </c>
      <c r="B10" s="6">
        <v>46113</v>
      </c>
      <c r="C10" s="7">
        <v>817393</v>
      </c>
      <c r="D10" s="5" t="s">
        <v>29</v>
      </c>
      <c r="E10" s="8">
        <f>-IF(L10="BRL",M10,IF(L10="GBP",M10*#REF!,M10*$P$1))/2</f>
        <v>-5987.9063498569994</v>
      </c>
      <c r="F10" s="5" t="str">
        <f t="shared" si="1"/>
        <v>BLOOMBERG</v>
      </c>
      <c r="G10" s="6">
        <f t="shared" si="2"/>
        <v>46113</v>
      </c>
      <c r="H10" s="16">
        <v>1170</v>
      </c>
      <c r="J10" s="18">
        <v>135064</v>
      </c>
      <c r="K10" s="18" t="s">
        <v>41</v>
      </c>
      <c r="L10" s="15" t="s">
        <v>12</v>
      </c>
      <c r="M10" s="8">
        <v>2400.6359899999998</v>
      </c>
      <c r="N10" s="47" t="s">
        <v>30</v>
      </c>
      <c r="O10" s="49"/>
      <c r="Q10" s="27"/>
      <c r="R10" s="27"/>
      <c r="S10" s="27"/>
      <c r="U10" s="27"/>
    </row>
    <row r="11" spans="1:21" ht="15" customHeight="1" x14ac:dyDescent="0.25">
      <c r="A11" s="10" t="str">
        <f t="shared" si="3"/>
        <v>CUSTO MARKET DATA - ABRIL/26-BLOOMBERG-135064</v>
      </c>
      <c r="B11" s="24">
        <v>46113</v>
      </c>
      <c r="C11" s="11">
        <v>817393</v>
      </c>
      <c r="D11" s="10" t="s">
        <v>22</v>
      </c>
      <c r="E11" s="12">
        <f>-IF(L11="BRL",M11,IF(L11="GBP",M11*#REF!,M11*$P$1))/2</f>
        <v>-5987.9063498569994</v>
      </c>
      <c r="F11" s="10" t="str">
        <f t="shared" si="1"/>
        <v>BLOOMBERG</v>
      </c>
      <c r="G11" s="24">
        <f t="shared" si="2"/>
        <v>46113</v>
      </c>
      <c r="H11" s="17">
        <v>1170</v>
      </c>
      <c r="J11" s="17">
        <v>135064</v>
      </c>
      <c r="K11" s="17" t="s">
        <v>41</v>
      </c>
      <c r="L11" s="13" t="s">
        <v>12</v>
      </c>
      <c r="M11" s="12">
        <v>2400.6359899999998</v>
      </c>
      <c r="N11" s="48"/>
      <c r="O11" s="50"/>
      <c r="Q11" s="27"/>
      <c r="R11" s="27"/>
      <c r="S11" s="27"/>
      <c r="U11" s="27"/>
    </row>
    <row r="12" spans="1:21" ht="15" customHeight="1" x14ac:dyDescent="0.25">
      <c r="A12" s="5" t="str">
        <f t="shared" si="3"/>
        <v>CUSTO MARKET DATA - ABRIL/26-Bloomberg-151474</v>
      </c>
      <c r="B12" s="30">
        <v>46113</v>
      </c>
      <c r="C12" s="7">
        <v>817393</v>
      </c>
      <c r="D12" s="5" t="s">
        <v>32</v>
      </c>
      <c r="E12" s="8">
        <f>-IF(L12="BRL",M12,IF(L12="GBP",M12*$R$1,IF(L12="CAD",M12*$T$1,M12*$P$1)))/12</f>
        <v>-4.157166666666666</v>
      </c>
      <c r="F12" s="5" t="str">
        <f>K12</f>
        <v>Bloomberg</v>
      </c>
      <c r="G12" s="30">
        <f t="shared" si="2"/>
        <v>46113</v>
      </c>
      <c r="H12" s="16">
        <v>1170</v>
      </c>
      <c r="J12" s="16">
        <v>151474</v>
      </c>
      <c r="K12" s="16" t="s">
        <v>41</v>
      </c>
      <c r="L12" s="31" t="s">
        <v>12</v>
      </c>
      <c r="M12" s="8">
        <v>10</v>
      </c>
      <c r="N12" s="47" t="s">
        <v>31</v>
      </c>
      <c r="O12" s="26"/>
      <c r="Q12" s="27"/>
      <c r="R12" s="27"/>
      <c r="S12" s="27"/>
      <c r="U12" s="27"/>
    </row>
    <row r="13" spans="1:21" ht="15" customHeight="1" x14ac:dyDescent="0.25">
      <c r="A13" s="5" t="str">
        <f>CONCATENATE($N$1,$I$1,F13,$I$1,J13)</f>
        <v>CUSTO MARKET DATA - ABRIL/26-Bloomberg-151474</v>
      </c>
      <c r="B13" s="30">
        <v>46113</v>
      </c>
      <c r="C13" s="7">
        <v>817393</v>
      </c>
      <c r="D13" s="5" t="s">
        <v>24</v>
      </c>
      <c r="E13" s="8">
        <f t="shared" ref="E13:E23" si="4">-IF(L13="BRL",M13,IF(L13="GBP",M13*$R$1,IF(L13="CAD",M13*$T$1,M13*$P$1)))/12</f>
        <v>-4.157166666666666</v>
      </c>
      <c r="F13" s="5" t="str">
        <f t="shared" ref="F13:F23" si="5">K13</f>
        <v>Bloomberg</v>
      </c>
      <c r="G13" s="30">
        <f t="shared" si="2"/>
        <v>46113</v>
      </c>
      <c r="H13" s="16">
        <v>1170</v>
      </c>
      <c r="J13" s="16">
        <v>151474</v>
      </c>
      <c r="K13" s="16" t="s">
        <v>41</v>
      </c>
      <c r="L13" s="31" t="s">
        <v>12</v>
      </c>
      <c r="M13" s="8">
        <v>10</v>
      </c>
      <c r="N13" s="51"/>
      <c r="O13" s="26"/>
      <c r="Q13" s="27"/>
      <c r="R13" s="27"/>
      <c r="S13" s="27"/>
      <c r="U13" s="27"/>
    </row>
    <row r="14" spans="1:21" ht="15" customHeight="1" x14ac:dyDescent="0.25">
      <c r="A14" s="5" t="str">
        <f t="shared" si="3"/>
        <v>CUSTO MARKET DATA - ABRIL/26-Bloomberg-151474</v>
      </c>
      <c r="B14" s="30">
        <v>46113</v>
      </c>
      <c r="C14" s="7">
        <v>817393</v>
      </c>
      <c r="D14" s="5" t="s">
        <v>33</v>
      </c>
      <c r="E14" s="8">
        <f t="shared" si="4"/>
        <v>-4.157166666666666</v>
      </c>
      <c r="F14" s="5" t="str">
        <f t="shared" si="5"/>
        <v>Bloomberg</v>
      </c>
      <c r="G14" s="30">
        <f t="shared" si="2"/>
        <v>46113</v>
      </c>
      <c r="H14" s="16">
        <v>1170</v>
      </c>
      <c r="J14" s="16">
        <v>151474</v>
      </c>
      <c r="K14" s="16" t="s">
        <v>41</v>
      </c>
      <c r="L14" s="31" t="s">
        <v>12</v>
      </c>
      <c r="M14" s="8">
        <v>10</v>
      </c>
      <c r="N14" s="51"/>
      <c r="O14" s="26"/>
      <c r="Q14" s="27"/>
      <c r="R14" s="27"/>
      <c r="S14" s="27"/>
      <c r="U14" s="27"/>
    </row>
    <row r="15" spans="1:21" ht="15" customHeight="1" x14ac:dyDescent="0.25">
      <c r="A15" s="5" t="str">
        <f t="shared" si="3"/>
        <v>CUSTO MARKET DATA - ABRIL/26-Bloomberg-151474</v>
      </c>
      <c r="B15" s="30">
        <v>46113</v>
      </c>
      <c r="C15" s="7">
        <v>817393</v>
      </c>
      <c r="D15" s="5" t="s">
        <v>34</v>
      </c>
      <c r="E15" s="8">
        <f t="shared" si="4"/>
        <v>-4.157166666666666</v>
      </c>
      <c r="F15" s="5" t="str">
        <f t="shared" si="5"/>
        <v>Bloomberg</v>
      </c>
      <c r="G15" s="30">
        <f t="shared" si="2"/>
        <v>46113</v>
      </c>
      <c r="H15" s="16">
        <v>1170</v>
      </c>
      <c r="J15" s="16">
        <v>151474</v>
      </c>
      <c r="K15" s="16" t="s">
        <v>41</v>
      </c>
      <c r="L15" s="31" t="s">
        <v>12</v>
      </c>
      <c r="M15" s="8">
        <v>10</v>
      </c>
      <c r="N15" s="51"/>
      <c r="O15" s="26"/>
      <c r="Q15" s="27"/>
      <c r="R15" s="27"/>
      <c r="S15" s="27"/>
      <c r="U15" s="27"/>
    </row>
    <row r="16" spans="1:21" ht="15" customHeight="1" x14ac:dyDescent="0.25">
      <c r="A16" s="5" t="str">
        <f t="shared" si="3"/>
        <v>CUSTO MARKET DATA - ABRIL/26-Bloomberg-151474</v>
      </c>
      <c r="B16" s="30">
        <v>46113</v>
      </c>
      <c r="C16" s="7">
        <v>817393</v>
      </c>
      <c r="D16" s="5" t="s">
        <v>15</v>
      </c>
      <c r="E16" s="8">
        <f t="shared" si="4"/>
        <v>-4.157166666666666</v>
      </c>
      <c r="F16" s="5" t="str">
        <f t="shared" si="5"/>
        <v>Bloomberg</v>
      </c>
      <c r="G16" s="30">
        <f t="shared" si="2"/>
        <v>46113</v>
      </c>
      <c r="H16" s="16">
        <v>1170</v>
      </c>
      <c r="J16" s="16">
        <v>151474</v>
      </c>
      <c r="K16" s="16" t="s">
        <v>41</v>
      </c>
      <c r="L16" s="31" t="s">
        <v>12</v>
      </c>
      <c r="M16" s="8">
        <v>10</v>
      </c>
      <c r="N16" s="51"/>
      <c r="O16" s="26"/>
      <c r="Q16" s="27"/>
      <c r="R16" s="27"/>
      <c r="S16" s="27"/>
      <c r="U16" s="27"/>
    </row>
    <row r="17" spans="1:21" ht="15" customHeight="1" x14ac:dyDescent="0.25">
      <c r="A17" s="5" t="str">
        <f t="shared" si="3"/>
        <v>CUSTO MARKET DATA - ABRIL/26-Bloomberg-151474</v>
      </c>
      <c r="B17" s="30">
        <v>46113</v>
      </c>
      <c r="C17" s="7">
        <v>817393</v>
      </c>
      <c r="D17" s="5" t="s">
        <v>27</v>
      </c>
      <c r="E17" s="8">
        <f t="shared" si="4"/>
        <v>-4.157166666666666</v>
      </c>
      <c r="F17" s="5" t="str">
        <f t="shared" si="5"/>
        <v>Bloomberg</v>
      </c>
      <c r="G17" s="30">
        <f t="shared" si="2"/>
        <v>46113</v>
      </c>
      <c r="H17" s="16">
        <v>1170</v>
      </c>
      <c r="J17" s="16">
        <v>151474</v>
      </c>
      <c r="K17" s="16" t="s">
        <v>41</v>
      </c>
      <c r="L17" s="31" t="s">
        <v>12</v>
      </c>
      <c r="M17" s="8">
        <v>10</v>
      </c>
      <c r="N17" s="51"/>
      <c r="O17" s="26"/>
      <c r="Q17" s="27"/>
      <c r="R17" s="27"/>
      <c r="S17" s="27"/>
      <c r="U17" s="27"/>
    </row>
    <row r="18" spans="1:21" ht="15" customHeight="1" x14ac:dyDescent="0.25">
      <c r="A18" s="5" t="str">
        <f t="shared" si="3"/>
        <v>CUSTO MARKET DATA - ABRIL/26-Bloomberg-151474</v>
      </c>
      <c r="B18" s="30">
        <v>46113</v>
      </c>
      <c r="C18" s="7">
        <v>817393</v>
      </c>
      <c r="D18" s="5" t="s">
        <v>28</v>
      </c>
      <c r="E18" s="8">
        <f t="shared" si="4"/>
        <v>-4.157166666666666</v>
      </c>
      <c r="F18" s="5" t="str">
        <f t="shared" si="5"/>
        <v>Bloomberg</v>
      </c>
      <c r="G18" s="30">
        <f t="shared" si="2"/>
        <v>46113</v>
      </c>
      <c r="H18" s="16">
        <v>1170</v>
      </c>
      <c r="J18" s="16">
        <v>151474</v>
      </c>
      <c r="K18" s="16" t="s">
        <v>41</v>
      </c>
      <c r="L18" s="31" t="s">
        <v>12</v>
      </c>
      <c r="M18" s="8">
        <v>10</v>
      </c>
      <c r="N18" s="51"/>
      <c r="O18" s="26"/>
      <c r="Q18" s="27"/>
      <c r="R18" s="27"/>
      <c r="S18" s="27"/>
      <c r="U18" s="27"/>
    </row>
    <row r="19" spans="1:21" ht="15" customHeight="1" x14ac:dyDescent="0.25">
      <c r="A19" s="5" t="str">
        <f t="shared" si="3"/>
        <v>CUSTO MARKET DATA - ABRIL/26-Bloomberg-151474</v>
      </c>
      <c r="B19" s="30">
        <v>46113</v>
      </c>
      <c r="C19" s="7">
        <v>817393</v>
      </c>
      <c r="D19" s="5" t="s">
        <v>35</v>
      </c>
      <c r="E19" s="8">
        <f t="shared" si="4"/>
        <v>-4.157166666666666</v>
      </c>
      <c r="F19" s="5" t="str">
        <f t="shared" si="5"/>
        <v>Bloomberg</v>
      </c>
      <c r="G19" s="30">
        <f t="shared" si="2"/>
        <v>46113</v>
      </c>
      <c r="H19" s="16">
        <v>1170</v>
      </c>
      <c r="J19" s="16">
        <v>151474</v>
      </c>
      <c r="K19" s="16" t="s">
        <v>41</v>
      </c>
      <c r="L19" s="31" t="s">
        <v>12</v>
      </c>
      <c r="M19" s="8">
        <v>10</v>
      </c>
      <c r="N19" s="51"/>
      <c r="O19" s="26"/>
      <c r="Q19" s="27"/>
      <c r="R19" s="27"/>
      <c r="S19" s="27"/>
      <c r="U19" s="27"/>
    </row>
    <row r="20" spans="1:21" ht="15" customHeight="1" x14ac:dyDescent="0.25">
      <c r="A20" s="5" t="str">
        <f t="shared" si="3"/>
        <v>CUSTO MARKET DATA - ABRIL/26-Bloomberg-151474</v>
      </c>
      <c r="B20" s="30">
        <v>46113</v>
      </c>
      <c r="C20" s="7">
        <v>817393</v>
      </c>
      <c r="D20" s="5" t="s">
        <v>20</v>
      </c>
      <c r="E20" s="8">
        <f t="shared" si="4"/>
        <v>-4.157166666666666</v>
      </c>
      <c r="F20" s="5" t="str">
        <f t="shared" si="5"/>
        <v>Bloomberg</v>
      </c>
      <c r="G20" s="30">
        <f t="shared" si="2"/>
        <v>46113</v>
      </c>
      <c r="H20" s="16">
        <v>1170</v>
      </c>
      <c r="J20" s="16">
        <v>151474</v>
      </c>
      <c r="K20" s="16" t="s">
        <v>41</v>
      </c>
      <c r="L20" s="31" t="s">
        <v>12</v>
      </c>
      <c r="M20" s="8">
        <v>10</v>
      </c>
      <c r="N20" s="51"/>
      <c r="O20" s="26"/>
      <c r="Q20" s="27"/>
      <c r="R20" s="27"/>
      <c r="S20" s="27"/>
      <c r="U20" s="27"/>
    </row>
    <row r="21" spans="1:21" ht="15" customHeight="1" x14ac:dyDescent="0.25">
      <c r="A21" s="5" t="str">
        <f t="shared" si="3"/>
        <v>CUSTO MARKET DATA - ABRIL/26-Bloomberg-151474</v>
      </c>
      <c r="B21" s="30">
        <v>46113</v>
      </c>
      <c r="C21" s="7">
        <v>817393</v>
      </c>
      <c r="D21" s="5" t="s">
        <v>43</v>
      </c>
      <c r="E21" s="8">
        <f t="shared" si="4"/>
        <v>-4.157166666666666</v>
      </c>
      <c r="F21" s="5" t="str">
        <f t="shared" si="5"/>
        <v>Bloomberg</v>
      </c>
      <c r="G21" s="30">
        <f t="shared" si="2"/>
        <v>46113</v>
      </c>
      <c r="H21" s="16">
        <v>1170</v>
      </c>
      <c r="J21" s="16">
        <v>151474</v>
      </c>
      <c r="K21" s="16" t="s">
        <v>41</v>
      </c>
      <c r="L21" s="31" t="s">
        <v>12</v>
      </c>
      <c r="M21" s="8">
        <v>10</v>
      </c>
      <c r="N21" s="51"/>
      <c r="O21" s="26"/>
      <c r="Q21" s="27"/>
      <c r="R21" s="27"/>
      <c r="S21" s="27"/>
      <c r="U21" s="27"/>
    </row>
    <row r="22" spans="1:21" ht="15" customHeight="1" x14ac:dyDescent="0.25">
      <c r="A22" s="5" t="str">
        <f t="shared" si="3"/>
        <v>CUSTO MARKET DATA - ABRIL/26-Bloomberg-151474</v>
      </c>
      <c r="B22" s="30">
        <v>46113</v>
      </c>
      <c r="C22" s="7">
        <v>817393</v>
      </c>
      <c r="D22" s="5" t="s">
        <v>36</v>
      </c>
      <c r="E22" s="8">
        <f t="shared" si="4"/>
        <v>-4.157166666666666</v>
      </c>
      <c r="F22" s="5" t="str">
        <f t="shared" si="5"/>
        <v>Bloomberg</v>
      </c>
      <c r="G22" s="30">
        <f t="shared" si="2"/>
        <v>46113</v>
      </c>
      <c r="H22" s="16">
        <v>1170</v>
      </c>
      <c r="J22" s="16">
        <v>151474</v>
      </c>
      <c r="K22" s="16" t="s">
        <v>41</v>
      </c>
      <c r="L22" s="31" t="s">
        <v>12</v>
      </c>
      <c r="M22" s="8">
        <v>10</v>
      </c>
      <c r="N22" s="51"/>
      <c r="O22" s="26"/>
      <c r="Q22" s="27"/>
      <c r="R22" s="27"/>
      <c r="S22" s="27"/>
      <c r="U22" s="27"/>
    </row>
    <row r="23" spans="1:21" ht="15" customHeight="1" x14ac:dyDescent="0.25">
      <c r="A23" s="10" t="str">
        <f t="shared" si="3"/>
        <v>CUSTO MARKET DATA - ABRIL/26-Bloomberg-151474</v>
      </c>
      <c r="B23" s="24">
        <v>46113</v>
      </c>
      <c r="C23" s="11">
        <v>817393</v>
      </c>
      <c r="D23" s="10" t="s">
        <v>37</v>
      </c>
      <c r="E23" s="12">
        <f t="shared" si="4"/>
        <v>-4.157166666666666</v>
      </c>
      <c r="F23" s="10" t="str">
        <f t="shared" si="5"/>
        <v>Bloomberg</v>
      </c>
      <c r="G23" s="24">
        <f t="shared" si="2"/>
        <v>46113</v>
      </c>
      <c r="H23" s="17">
        <v>1170</v>
      </c>
      <c r="J23" s="17">
        <v>151474</v>
      </c>
      <c r="K23" s="17" t="s">
        <v>41</v>
      </c>
      <c r="L23" s="13" t="s">
        <v>12</v>
      </c>
      <c r="M23" s="12">
        <v>10</v>
      </c>
      <c r="N23" s="48"/>
      <c r="Q23" s="27"/>
      <c r="R23" s="27"/>
      <c r="S23" s="27"/>
      <c r="U23" s="27"/>
    </row>
    <row r="24" spans="1:21" ht="15" customHeight="1" x14ac:dyDescent="0.25">
      <c r="A24" s="10" t="str">
        <f t="shared" si="3"/>
        <v>CUSTO MARKET DATA - ABRIL/26-BLOOMBERG-133472</v>
      </c>
      <c r="B24" s="24">
        <v>46113</v>
      </c>
      <c r="C24" s="11">
        <v>817393</v>
      </c>
      <c r="D24" s="10" t="s">
        <v>38</v>
      </c>
      <c r="E24" s="12">
        <f>-IF(L24="BRL",M24,IF(L24="GBP",M24*$R$1,IF(L24="CAD",M24*$T$1,M24*$P$1)))</f>
        <v>-49.885999999999996</v>
      </c>
      <c r="F24" s="10" t="str">
        <f>UPPER(K24)</f>
        <v>BLOOMBERG</v>
      </c>
      <c r="G24" s="24">
        <f t="shared" si="2"/>
        <v>46113</v>
      </c>
      <c r="H24" s="17">
        <v>1170</v>
      </c>
      <c r="J24" s="17">
        <v>133472</v>
      </c>
      <c r="K24" s="17" t="s">
        <v>41</v>
      </c>
      <c r="L24" s="13" t="s">
        <v>12</v>
      </c>
      <c r="M24" s="12">
        <v>10</v>
      </c>
      <c r="N24" s="40" t="s">
        <v>39</v>
      </c>
      <c r="Q24" s="27"/>
      <c r="R24" s="27"/>
      <c r="S24" s="27"/>
      <c r="U24" s="27"/>
    </row>
    <row r="25" spans="1:21" ht="15" customHeight="1" x14ac:dyDescent="0.25">
      <c r="A25" s="10" t="str">
        <f>CONCATENATE($N$1,$I$1,F25,$I$1,J25)</f>
        <v>CUSTO MARKET DATA - ABRIL/26-BLOOMBERG-161123</v>
      </c>
      <c r="B25" s="24">
        <v>46113</v>
      </c>
      <c r="C25" s="11">
        <v>817393</v>
      </c>
      <c r="D25" s="10" t="s">
        <v>38</v>
      </c>
      <c r="E25" s="12">
        <f>-IF(L25="BRL",M25,IF(L25="GBP",M25*$R$1,IF(L25="CAD",M25*$T$1,M25*$P$1)))</f>
        <v>-49.885999999999996</v>
      </c>
      <c r="F25" s="10" t="str">
        <f>IF(UPPER(K25)="Valor Analytics LLC","VALOR",UPPER(K25))</f>
        <v>BLOOMBERG</v>
      </c>
      <c r="G25" s="24">
        <f>B25</f>
        <v>46113</v>
      </c>
      <c r="H25" s="17">
        <v>1170</v>
      </c>
      <c r="J25" s="17">
        <v>161123</v>
      </c>
      <c r="K25" s="17" t="s">
        <v>41</v>
      </c>
      <c r="L25" s="13" t="s">
        <v>12</v>
      </c>
      <c r="M25" s="12">
        <v>10</v>
      </c>
      <c r="N25" s="40" t="s">
        <v>56</v>
      </c>
      <c r="Q25" s="27"/>
      <c r="R25" s="27"/>
      <c r="S25" s="27"/>
      <c r="U25" s="27"/>
    </row>
    <row r="26" spans="1:21" ht="15" hidden="1" customHeight="1" x14ac:dyDescent="0.25">
      <c r="A26" s="10" t="str">
        <f>CONCATENATE($N$1,$I$1,F26,$I$1,J26)</f>
        <v>CUSTO MARKET DATA - ABRIL/26-REFINITIV-133472</v>
      </c>
      <c r="B26" s="24">
        <v>46113</v>
      </c>
      <c r="C26" s="11">
        <v>817393</v>
      </c>
      <c r="D26" s="10" t="s">
        <v>38</v>
      </c>
      <c r="E26" s="12">
        <f>-IF(L26="BRL",M26,IF(L26="GBP",M26*$R$1,IF(L26="CAD",M26*$T$1,M26*$P$1)))</f>
        <v>-577.982755</v>
      </c>
      <c r="F26" s="10" t="str">
        <f>UPPER(K26)</f>
        <v>REFINITIV</v>
      </c>
      <c r="G26" s="24">
        <f>B26</f>
        <v>46113</v>
      </c>
      <c r="H26" s="17">
        <v>1170</v>
      </c>
      <c r="J26" s="17">
        <v>133472</v>
      </c>
      <c r="K26" s="17" t="s">
        <v>42</v>
      </c>
      <c r="L26" s="13" t="s">
        <v>17</v>
      </c>
      <c r="M26" s="12">
        <v>85.33</v>
      </c>
      <c r="N26" s="40" t="s">
        <v>39</v>
      </c>
      <c r="Q26" s="27"/>
      <c r="R26" s="27"/>
      <c r="S26" s="27"/>
      <c r="U26" s="27"/>
    </row>
    <row r="27" spans="1:21" ht="15" customHeight="1" x14ac:dyDescent="0.25">
      <c r="A27" s="5" t="s">
        <v>57</v>
      </c>
      <c r="B27" s="30">
        <v>46113</v>
      </c>
      <c r="C27" s="7">
        <v>817393</v>
      </c>
      <c r="D27" s="5" t="s">
        <v>38</v>
      </c>
      <c r="E27" s="8">
        <v>-49.885999999999996</v>
      </c>
      <c r="F27" s="5" t="s">
        <v>58</v>
      </c>
      <c r="G27" s="30">
        <v>46113</v>
      </c>
      <c r="H27" s="16">
        <v>1170</v>
      </c>
      <c r="J27" s="16">
        <v>161932</v>
      </c>
      <c r="K27" s="16" t="s">
        <v>41</v>
      </c>
      <c r="L27" s="31" t="s">
        <v>12</v>
      </c>
      <c r="M27" s="8">
        <v>10</v>
      </c>
      <c r="N27" s="5" t="s">
        <v>59</v>
      </c>
      <c r="Q27" s="27"/>
      <c r="R27" s="27"/>
      <c r="S27" s="27"/>
      <c r="U27" s="27"/>
    </row>
    <row r="28" spans="1:21" ht="15" hidden="1" customHeight="1" x14ac:dyDescent="0.25">
      <c r="A28" s="9" t="str">
        <f t="shared" si="3"/>
        <v>CUSTO MARKET DATA - ABRIL/26-REFINITIV-100142</v>
      </c>
      <c r="B28" s="20">
        <v>46113</v>
      </c>
      <c r="C28" s="21">
        <v>817393</v>
      </c>
      <c r="D28" s="9" t="str">
        <f>IF(J28=57036,"ALEXANDRE DA COSTA SOARES",IF(J28=24157,"JOSE MAURICIO GOMES TEIXEIRA",IF(J28=24203,"JOSE MAURICIO GOMES TEIXEIRA",IF(J28=24149,"CHRISTIANO MARCONDES DE BARROS LIMA",IF(J28=24137,"CHRISTIANO MARCONDES DE BARROS LIMA",IF(J28=135152,"ENRICO BORTPLUZO CASSIANO",IF(J28=136568,"ENRICO BORTPLUZO CASSIANO", IF(J28=130976,"MARYLIA CARVALHO PONCE",IF(J28=136668,"ALEXANDRE DA COSTA SOARES",IF(J28=52340,"OFFSHORE LISTED",IF(J28=158778,"CLAUDIO DE SOUZA PACINI",IF(J28=159800,"CLAUDIO DE SOUZA PACINI",_xlfn.XLOOKUP(J28,[1]!Tabela33[ID ORACLE],[1]!Tabela33[BROKER],0,0,1)))))))))))))</f>
        <v>RAFAEL TENORIO CAVALCANTI</v>
      </c>
      <c r="E28" s="22">
        <f>-IF(L28="BRL",M28,IF(L28="GBP",M28*$R$1,IF(L28="CAD",M28*$T$1,M28*$P$1)))</f>
        <v>-577.97555476950004</v>
      </c>
      <c r="F28" s="9" t="str">
        <f>IF(UPPER(K28)="Valor Analytics LLC","VALOR",UPPER(K28))</f>
        <v>REFINITIV</v>
      </c>
      <c r="G28" s="20">
        <f t="shared" si="2"/>
        <v>46113</v>
      </c>
      <c r="H28" s="23">
        <v>1170</v>
      </c>
      <c r="J28" s="41">
        <v>100142</v>
      </c>
      <c r="K28" s="1" t="s">
        <v>42</v>
      </c>
      <c r="L28" s="1" t="s">
        <v>17</v>
      </c>
      <c r="M28" s="29">
        <v>85.328936999999996</v>
      </c>
      <c r="N28" s="2"/>
      <c r="Q28" s="27"/>
      <c r="R28" s="27"/>
      <c r="S28" s="27"/>
      <c r="U28" s="27"/>
    </row>
    <row r="29" spans="1:21" ht="15" hidden="1" customHeight="1" x14ac:dyDescent="0.25">
      <c r="A29" s="9" t="str">
        <f t="shared" ref="A29:A86" si="6">CONCATENATE($N$1,$I$1,F29,$I$1,J29)</f>
        <v>CUSTO MARKET DATA - ABRIL/26-REFINITIV-105071</v>
      </c>
      <c r="B29" s="20">
        <v>46113</v>
      </c>
      <c r="C29" s="21">
        <v>817393</v>
      </c>
      <c r="D29" s="9" t="str">
        <f>IF(J29=57036,"ALEXANDRE DA COSTA SOARES",IF(J29=24157,"JOSE MAURICIO GOMES TEIXEIRA",IF(J29=24203,"JOSE MAURICIO GOMES TEIXEIRA",IF(J29=24149,"CHRISTIANO MARCONDES DE BARROS LIMA",IF(J29=24137,"CHRISTIANO MARCONDES DE BARROS LIMA",IF(J29=135152,"ENRICO BORTPLUZO CASSIANO",IF(J29=136568,"ENRICO BORTPLUZO CASSIANO", IF(J29=130976,"MARYLIA CARVALHO PONCE",IF(J29=136668,"ALEXANDRE DA COSTA SOARES",IF(J29=52340,"OFFSHORE LISTED",IF(J29=158778,"CLAUDIO DE SOUZA PACINI",IF(J29=159800,"CLAUDIO DE SOUZA PACINI",_xlfn.XLOOKUP(J29,[1]!Tabela33[ID ORACLE],[1]!Tabela33[BROKER],0,0,1)))))))))))))</f>
        <v>RODRIGO MOURA MARQUES</v>
      </c>
      <c r="E29" s="22">
        <f t="shared" ref="E29:E86" si="7">-IF(L29="BRL",M29,IF(L29="GBP",M29*$R$1,IF(L29="CAD",M29*$T$1,M29*$P$1)))</f>
        <v>-141.21536398200001</v>
      </c>
      <c r="F29" s="9" t="str">
        <f t="shared" ref="F29:F86" si="8">IF(UPPER(K29)="Valor Analytics LLC","VALOR",UPPER(K29))</f>
        <v>REFINITIV</v>
      </c>
      <c r="G29" s="20">
        <f t="shared" ref="G29:G86" si="9">B29</f>
        <v>46113</v>
      </c>
      <c r="H29" s="23">
        <v>1170</v>
      </c>
      <c r="J29" s="41">
        <v>105071</v>
      </c>
      <c r="K29" s="1" t="s">
        <v>42</v>
      </c>
      <c r="L29" s="1" t="s">
        <v>17</v>
      </c>
      <c r="M29" s="29">
        <v>20.848212</v>
      </c>
      <c r="N29" s="2"/>
      <c r="Q29" s="27"/>
      <c r="R29" s="27"/>
      <c r="S29" s="27"/>
      <c r="U29" s="27"/>
    </row>
    <row r="30" spans="1:21" ht="15" customHeight="1" x14ac:dyDescent="0.25">
      <c r="A30" s="9" t="str">
        <f t="shared" si="6"/>
        <v>CUSTO MARKET DATA - ABRIL/26-BLOOMBERG-106970</v>
      </c>
      <c r="B30" s="20">
        <v>46113</v>
      </c>
      <c r="C30" s="21">
        <v>817393</v>
      </c>
      <c r="D30" s="9" t="str">
        <f>IF(J30=57036,"ALEXANDRE DA COSTA SOARES",IF(J30=24157,"JOSE MAURICIO GOMES TEIXEIRA",IF(J30=24203,"JOSE MAURICIO GOMES TEIXEIRA",IF(J30=24149,"CHRISTIANO MARCONDES DE BARROS LIMA",IF(J30=24137,"CHRISTIANO MARCONDES DE BARROS LIMA",IF(J30=135152,"ENRICO BORTPLUZO CASSIANO",IF(J30=136568,"ENRICO BORTPLUZO CASSIANO", IF(J30=130976,"MARYLIA CARVALHO PONCE",IF(J30=136668,"ALEXANDRE DA COSTA SOARES",IF(J30=52340,"OFFSHORE LISTED",IF(J30=158778,"CLAUDIO DE SOUZA PACINI",IF(J30=159800,"CLAUDIO DE SOUZA PACINI",_xlfn.XLOOKUP(J30,[1]!Tabela33[ID ORACLE],[1]!Tabela33[BROKER],0,0,1)))))))))))))</f>
        <v>CESAR MARIANO SCARAMBONE MENEZES</v>
      </c>
      <c r="E30" s="22">
        <f t="shared" si="7"/>
        <v>-11838.626199713999</v>
      </c>
      <c r="F30" s="9" t="str">
        <f t="shared" si="8"/>
        <v>BLOOMBERG</v>
      </c>
      <c r="G30" s="20">
        <f t="shared" si="9"/>
        <v>46113</v>
      </c>
      <c r="H30" s="23">
        <v>1170</v>
      </c>
      <c r="J30" s="41">
        <v>106970</v>
      </c>
      <c r="K30" s="1" t="s">
        <v>41</v>
      </c>
      <c r="L30" s="1" t="s">
        <v>12</v>
      </c>
      <c r="M30" s="29">
        <v>2373.1359899999998</v>
      </c>
      <c r="N30" s="2"/>
      <c r="Q30" s="27"/>
      <c r="R30" s="27"/>
      <c r="S30" s="27"/>
      <c r="U30" s="27"/>
    </row>
    <row r="31" spans="1:21" ht="15" hidden="1" customHeight="1" x14ac:dyDescent="0.25">
      <c r="A31" s="9" t="str">
        <f t="shared" si="6"/>
        <v>CUSTO MARKET DATA - ABRIL/26-REFINITIV-106970</v>
      </c>
      <c r="B31" s="20">
        <v>46113</v>
      </c>
      <c r="C31" s="21">
        <v>817393</v>
      </c>
      <c r="D31" s="9" t="str">
        <f>IF(J31=57036,"ALEXANDRE DA COSTA SOARES",IF(J31=24157,"JOSE MAURICIO GOMES TEIXEIRA",IF(J31=24203,"JOSE MAURICIO GOMES TEIXEIRA",IF(J31=24149,"CHRISTIANO MARCONDES DE BARROS LIMA",IF(J31=24137,"CHRISTIANO MARCONDES DE BARROS LIMA",IF(J31=135152,"ENRICO BORTPLUZO CASSIANO",IF(J31=136568,"ENRICO BORTPLUZO CASSIANO", IF(J31=130976,"MARYLIA CARVALHO PONCE",IF(J31=136668,"ALEXANDRE DA COSTA SOARES",IF(J31=52340,"OFFSHORE LISTED",IF(J31=158778,"CLAUDIO DE SOUZA PACINI",IF(J31=159800,"CLAUDIO DE SOUZA PACINI",_xlfn.XLOOKUP(J31,[1]!Tabela33[ID ORACLE],[1]!Tabela33[BROKER],0,0,1)))))))))))))</f>
        <v>CESAR MARIANO SCARAMBONE MENEZES</v>
      </c>
      <c r="E31" s="22">
        <f t="shared" si="7"/>
        <v>-141.21536398200001</v>
      </c>
      <c r="F31" s="9" t="str">
        <f t="shared" si="8"/>
        <v>REFINITIV</v>
      </c>
      <c r="G31" s="20">
        <f t="shared" si="9"/>
        <v>46113</v>
      </c>
      <c r="H31" s="23">
        <v>1170</v>
      </c>
      <c r="J31" s="41">
        <v>106970</v>
      </c>
      <c r="K31" s="1" t="s">
        <v>42</v>
      </c>
      <c r="L31" s="1" t="s">
        <v>17</v>
      </c>
      <c r="M31" s="29">
        <v>20.848212</v>
      </c>
      <c r="N31" s="2"/>
      <c r="Q31" s="27"/>
      <c r="R31" s="27"/>
      <c r="S31" s="27"/>
      <c r="U31" s="27"/>
    </row>
    <row r="32" spans="1:21" ht="15" hidden="1" customHeight="1" x14ac:dyDescent="0.25">
      <c r="A32" s="9" t="str">
        <f t="shared" si="6"/>
        <v>CUSTO MARKET DATA - ABRIL/26-REFINITIV-108911</v>
      </c>
      <c r="B32" s="20">
        <v>46113</v>
      </c>
      <c r="C32" s="21">
        <v>817393</v>
      </c>
      <c r="D32" s="9" t="str">
        <f>IF(J32=57036,"ALEXANDRE DA COSTA SOARES",IF(J32=24157,"JOSE MAURICIO GOMES TEIXEIRA",IF(J32=24203,"JOSE MAURICIO GOMES TEIXEIRA",IF(J32=24149,"CHRISTIANO MARCONDES DE BARROS LIMA",IF(J32=24137,"CHRISTIANO MARCONDES DE BARROS LIMA",IF(J32=135152,"ENRICO BORTPLUZO CASSIANO",IF(J32=136568,"ENRICO BORTPLUZO CASSIANO", IF(J32=130976,"MARYLIA CARVALHO PONCE",IF(J32=136668,"ALEXANDRE DA COSTA SOARES",IF(J32=52340,"OFFSHORE LISTED",IF(J32=158778,"CLAUDIO DE SOUZA PACINI",IF(J32=159800,"CLAUDIO DE SOUZA PACINI",_xlfn.XLOOKUP(J32,[1]!Tabela33[ID ORACLE],[1]!Tabela33[BROKER],0,0,1)))))))))))))</f>
        <v>ALI MOHAMAD KANSAOU</v>
      </c>
      <c r="E32" s="22">
        <f t="shared" si="7"/>
        <v>-141.21536398200001</v>
      </c>
      <c r="F32" s="9" t="str">
        <f t="shared" si="8"/>
        <v>REFINITIV</v>
      </c>
      <c r="G32" s="20">
        <f t="shared" si="9"/>
        <v>46113</v>
      </c>
      <c r="H32" s="23">
        <v>1170</v>
      </c>
      <c r="J32" s="41">
        <v>108911</v>
      </c>
      <c r="K32" s="1" t="s">
        <v>42</v>
      </c>
      <c r="L32" s="1" t="s">
        <v>17</v>
      </c>
      <c r="M32" s="29">
        <v>20.848212</v>
      </c>
      <c r="N32" s="2"/>
      <c r="Q32" s="27"/>
      <c r="R32" s="27"/>
      <c r="S32" s="27"/>
      <c r="U32" s="27"/>
    </row>
    <row r="33" spans="1:78" ht="15" customHeight="1" x14ac:dyDescent="0.25">
      <c r="A33" s="9" t="str">
        <f t="shared" si="6"/>
        <v>CUSTO MARKET DATA - ABRIL/26-BLOOMBERG-113487</v>
      </c>
      <c r="B33" s="20">
        <v>46113</v>
      </c>
      <c r="C33" s="21">
        <v>817393</v>
      </c>
      <c r="D33" s="9" t="str">
        <f>IF(J33=57036,"ALEXANDRE DA COSTA SOARES",IF(J33=24157,"JOSE MAURICIO GOMES TEIXEIRA",IF(J33=24203,"JOSE MAURICIO GOMES TEIXEIRA",IF(J33=24149,"CHRISTIANO MARCONDES DE BARROS LIMA",IF(J33=24137,"CHRISTIANO MARCONDES DE BARROS LIMA",IF(J33=135152,"ENRICO BORTPLUZO CASSIANO",IF(J33=136568,"ENRICO BORTPLUZO CASSIANO", IF(J33=130976,"MARYLIA CARVALHO PONCE",IF(J33=136668,"ALEXANDRE DA COSTA SOARES",IF(J33=52340,"OFFSHORE LISTED",IF(J33=158778,"CLAUDIO DE SOUZA PACINI",IF(J33=159800,"CLAUDIO DE SOUZA PACINI",_xlfn.XLOOKUP(J33,[1]!Tabela33[ID ORACLE],[1]!Tabela33[BROKER],0,0,1)))))))))))))</f>
        <v>MARYLIA CARVALHO PONCE</v>
      </c>
      <c r="E33" s="22">
        <f t="shared" si="7"/>
        <v>-11838.626199713999</v>
      </c>
      <c r="F33" s="9" t="str">
        <f t="shared" si="8"/>
        <v>BLOOMBERG</v>
      </c>
      <c r="G33" s="20">
        <f t="shared" si="9"/>
        <v>46113</v>
      </c>
      <c r="H33" s="23">
        <v>1170</v>
      </c>
      <c r="J33" s="41">
        <v>113487</v>
      </c>
      <c r="K33" s="1" t="s">
        <v>41</v>
      </c>
      <c r="L33" s="1" t="s">
        <v>12</v>
      </c>
      <c r="M33" s="29">
        <v>2373.1359899999998</v>
      </c>
      <c r="N33" s="2"/>
      <c r="Q33" s="27"/>
      <c r="R33" s="27"/>
      <c r="S33" s="27"/>
      <c r="U33" s="27"/>
    </row>
    <row r="34" spans="1:78" ht="15" hidden="1" customHeight="1" x14ac:dyDescent="0.25">
      <c r="A34" s="9" t="str">
        <f t="shared" si="6"/>
        <v>CUSTO MARKET DATA - ABRIL/26-REFINITIV-113487</v>
      </c>
      <c r="B34" s="20">
        <v>46113</v>
      </c>
      <c r="C34" s="21">
        <v>817393</v>
      </c>
      <c r="D34" s="9" t="str">
        <f>IF(J34=57036,"ALEXANDRE DA COSTA SOARES",IF(J34=24157,"JOSE MAURICIO GOMES TEIXEIRA",IF(J34=24203,"JOSE MAURICIO GOMES TEIXEIRA",IF(J34=24149,"CHRISTIANO MARCONDES DE BARROS LIMA",IF(J34=24137,"CHRISTIANO MARCONDES DE BARROS LIMA",IF(J34=135152,"ENRICO BORTPLUZO CASSIANO",IF(J34=136568,"ENRICO BORTPLUZO CASSIANO", IF(J34=130976,"MARYLIA CARVALHO PONCE",IF(J34=136668,"ALEXANDRE DA COSTA SOARES",IF(J34=52340,"OFFSHORE LISTED",IF(J34=158778,"CLAUDIO DE SOUZA PACINI",IF(J34=159800,"CLAUDIO DE SOUZA PACINI",_xlfn.XLOOKUP(J34,[1]!Tabela33[ID ORACLE],[1]!Tabela33[BROKER],0,0,1)))))))))))))</f>
        <v>MARYLIA CARVALHO PONCE</v>
      </c>
      <c r="E34" s="22">
        <f t="shared" si="7"/>
        <v>-141.21536398200001</v>
      </c>
      <c r="F34" s="9" t="str">
        <f t="shared" si="8"/>
        <v>REFINITIV</v>
      </c>
      <c r="G34" s="20">
        <f t="shared" si="9"/>
        <v>46113</v>
      </c>
      <c r="H34" s="23">
        <v>1170</v>
      </c>
      <c r="J34" s="41">
        <v>113487</v>
      </c>
      <c r="K34" s="1" t="s">
        <v>42</v>
      </c>
      <c r="L34" s="1" t="s">
        <v>17</v>
      </c>
      <c r="M34" s="29">
        <v>20.848212</v>
      </c>
      <c r="N34" s="2"/>
      <c r="Q34" s="27"/>
      <c r="R34" s="27"/>
      <c r="S34" s="27"/>
      <c r="U34" s="27"/>
    </row>
    <row r="35" spans="1:78" ht="15" hidden="1" customHeight="1" x14ac:dyDescent="0.25">
      <c r="A35" s="9" t="str">
        <f t="shared" si="6"/>
        <v>CUSTO MARKET DATA - ABRIL/26-CBOE GLOBAL MARKETS-115154</v>
      </c>
      <c r="B35" s="20">
        <v>46113</v>
      </c>
      <c r="C35" s="21">
        <v>817393</v>
      </c>
      <c r="D35" s="9" t="str">
        <f>IF(J35=57036,"ALEXANDRE DA COSTA SOARES",IF(J35=24157,"JOSE MAURICIO GOMES TEIXEIRA",IF(J35=24203,"JOSE MAURICIO GOMES TEIXEIRA",IF(J35=24149,"CHRISTIANO MARCONDES DE BARROS LIMA",IF(J35=24137,"CHRISTIANO MARCONDES DE BARROS LIMA",IF(J35=135152,"ENRICO BORTPLUZO CASSIANO",IF(J35=136568,"ENRICO BORTPLUZO CASSIANO", IF(J35=130976,"MARYLIA CARVALHO PONCE",IF(J35=136668,"ALEXANDRE DA COSTA SOARES",IF(J35=52340,"OFFSHORE LISTED",IF(J35=158778,"CLAUDIO DE SOUZA PACINI",IF(J35=159800,"CLAUDIO DE SOUZA PACINI",_xlfn.XLOOKUP(J35,[1]!Tabela33[ID ORACLE],[1]!Tabela33[BROKER],0,0,1)))))))))))))</f>
        <v>FELIPE DE ANDRADE BASILE</v>
      </c>
      <c r="E35" s="22">
        <f t="shared" si="7"/>
        <v>-1738.0282399999999</v>
      </c>
      <c r="F35" s="9" t="str">
        <f t="shared" si="8"/>
        <v>CBOE GLOBAL MARKETS</v>
      </c>
      <c r="G35" s="20">
        <f t="shared" si="9"/>
        <v>46113</v>
      </c>
      <c r="H35" s="23">
        <v>1170</v>
      </c>
      <c r="J35" s="41">
        <v>115154</v>
      </c>
      <c r="K35" s="1" t="s">
        <v>46</v>
      </c>
      <c r="L35" s="1" t="s">
        <v>12</v>
      </c>
      <c r="M35" s="29">
        <v>348.4</v>
      </c>
      <c r="N35" s="2"/>
      <c r="Q35" s="27"/>
      <c r="R35" s="27"/>
      <c r="S35" s="27"/>
      <c r="U35" s="27"/>
    </row>
    <row r="36" spans="1:78" ht="15" hidden="1" customHeight="1" x14ac:dyDescent="0.25">
      <c r="A36" s="9" t="str">
        <f t="shared" si="6"/>
        <v>CUSTO MARKET DATA - ABRIL/26-FIDESSA-115154</v>
      </c>
      <c r="B36" s="20">
        <v>46113</v>
      </c>
      <c r="C36" s="21">
        <v>817393</v>
      </c>
      <c r="D36" s="9" t="str">
        <f>IF(J36=57036,"ALEXANDRE DA COSTA SOARES",IF(J36=24157,"JOSE MAURICIO GOMES TEIXEIRA",IF(J36=24203,"JOSE MAURICIO GOMES TEIXEIRA",IF(J36=24149,"CHRISTIANO MARCONDES DE BARROS LIMA",IF(J36=24137,"CHRISTIANO MARCONDES DE BARROS LIMA",IF(J36=135152,"ENRICO BORTPLUZO CASSIANO",IF(J36=136568,"ENRICO BORTPLUZO CASSIANO", IF(J36=130976,"MARYLIA CARVALHO PONCE",IF(J36=136668,"ALEXANDRE DA COSTA SOARES",IF(J36=52340,"OFFSHORE LISTED",IF(J36=158778,"CLAUDIO DE SOUZA PACINI",IF(J36=159800,"CLAUDIO DE SOUZA PACINI",_xlfn.XLOOKUP(J36,[1]!Tabela33[ID ORACLE],[1]!Tabela33[BROKER],0,0,1)))))))))))))</f>
        <v>FELIPE DE ANDRADE BASILE</v>
      </c>
      <c r="E36" s="22">
        <f t="shared" si="7"/>
        <v>-2114.4743015904</v>
      </c>
      <c r="F36" s="9" t="str">
        <f t="shared" si="8"/>
        <v>FIDESSA</v>
      </c>
      <c r="G36" s="20">
        <f t="shared" si="9"/>
        <v>46113</v>
      </c>
      <c r="H36" s="23">
        <v>1170</v>
      </c>
      <c r="J36" s="41">
        <v>115154</v>
      </c>
      <c r="K36" s="1" t="s">
        <v>47</v>
      </c>
      <c r="L36" s="1" t="s">
        <v>12</v>
      </c>
      <c r="M36" s="29">
        <v>423.86126400000001</v>
      </c>
      <c r="N36" s="2"/>
      <c r="Q36" s="27"/>
      <c r="R36" s="27"/>
      <c r="S36" s="27"/>
      <c r="T36" s="27"/>
      <c r="U36" s="27"/>
    </row>
    <row r="37" spans="1:78" customFormat="1" ht="15" hidden="1" customHeight="1" x14ac:dyDescent="0.25">
      <c r="A37" s="9" t="str">
        <f t="shared" si="6"/>
        <v>CUSTO MARKET DATA - ABRIL/26-NYSE MARKET INC.-115154</v>
      </c>
      <c r="B37" s="20">
        <v>46113</v>
      </c>
      <c r="C37" s="21">
        <v>817393</v>
      </c>
      <c r="D37" s="9" t="str">
        <f>IF(J37=57036,"ALEXANDRE DA COSTA SOARES",IF(J37=24157,"JOSE MAURICIO GOMES TEIXEIRA",IF(J37=24203,"JOSE MAURICIO GOMES TEIXEIRA",IF(J37=24149,"CHRISTIANO MARCONDES DE BARROS LIMA",IF(J37=24137,"CHRISTIANO MARCONDES DE BARROS LIMA",IF(J37=135152,"ENRICO BORTPLUZO CASSIANO",IF(J37=136568,"ENRICO BORTPLUZO CASSIANO", IF(J37=130976,"MARYLIA CARVALHO PONCE",IF(J37=136668,"ALEXANDRE DA COSTA SOARES",IF(J37=52340,"OFFSHORE LISTED",IF(J37=158778,"CLAUDIO DE SOUZA PACINI",IF(J37=159800,"CLAUDIO DE SOUZA PACINI",_xlfn.XLOOKUP(J37,[1]!Tabela33[ID ORACLE],[1]!Tabela33[BROKER],0,0,1)))))))))))))</f>
        <v>FELIPE DE ANDRADE BASILE</v>
      </c>
      <c r="E37" s="22">
        <f t="shared" si="7"/>
        <v>-1651.1767139999999</v>
      </c>
      <c r="F37" s="9" t="str">
        <f t="shared" si="8"/>
        <v>NYSE MARKET INC.</v>
      </c>
      <c r="G37" s="20">
        <f t="shared" si="9"/>
        <v>46113</v>
      </c>
      <c r="H37" s="23">
        <v>1170</v>
      </c>
      <c r="J37" s="41">
        <v>115154</v>
      </c>
      <c r="K37" s="1" t="s">
        <v>44</v>
      </c>
      <c r="L37" s="1" t="s">
        <v>12</v>
      </c>
      <c r="M37" s="29">
        <v>330.99</v>
      </c>
      <c r="N37" s="2"/>
      <c r="O37" s="1"/>
      <c r="P37" s="26"/>
      <c r="Q37" s="27"/>
      <c r="R37" s="27"/>
      <c r="S37" s="27"/>
      <c r="T37" s="26"/>
      <c r="U37" s="27"/>
    </row>
    <row r="38" spans="1:78" customFormat="1" ht="15" hidden="1" customHeight="1" x14ac:dyDescent="0.25">
      <c r="A38" s="9" t="str">
        <f t="shared" si="6"/>
        <v>CUSTO MARKET DATA - ABRIL/26-OPTIONS PRICE REPORTING AUTHORITY (OPRA)-115154</v>
      </c>
      <c r="B38" s="20">
        <v>46113</v>
      </c>
      <c r="C38" s="21">
        <v>817393</v>
      </c>
      <c r="D38" s="9" t="str">
        <f>IF(J38=57036,"ALEXANDRE DA COSTA SOARES",IF(J38=24157,"JOSE MAURICIO GOMES TEIXEIRA",IF(J38=24203,"JOSE MAURICIO GOMES TEIXEIRA",IF(J38=24149,"CHRISTIANO MARCONDES DE BARROS LIMA",IF(J38=24137,"CHRISTIANO MARCONDES DE BARROS LIMA",IF(J38=135152,"ENRICO BORTPLUZO CASSIANO",IF(J38=136568,"ENRICO BORTPLUZO CASSIANO", IF(J38=130976,"MARYLIA CARVALHO PONCE",IF(J38=136668,"ALEXANDRE DA COSTA SOARES",IF(J38=52340,"OFFSHORE LISTED",IF(J38=158778,"CLAUDIO DE SOUZA PACINI",IF(J38=159800,"CLAUDIO DE SOUZA PACINI",_xlfn.XLOOKUP(J38,[1]!Tabela33[ID ORACLE],[1]!Tabela33[BROKER],0,0,1)))))))))))))</f>
        <v>FELIPE DE ANDRADE BASILE</v>
      </c>
      <c r="E38" s="22">
        <f t="shared" si="7"/>
        <v>-328.228054875</v>
      </c>
      <c r="F38" s="9" t="str">
        <f t="shared" si="8"/>
        <v>OPTIONS PRICE REPORTING AUTHORITY (OPRA)</v>
      </c>
      <c r="G38" s="20">
        <f t="shared" si="9"/>
        <v>46113</v>
      </c>
      <c r="H38" s="23">
        <v>1170</v>
      </c>
      <c r="J38" s="41">
        <v>115154</v>
      </c>
      <c r="K38" s="1" t="s">
        <v>45</v>
      </c>
      <c r="L38" s="1" t="s">
        <v>12</v>
      </c>
      <c r="M38" s="29">
        <v>65.795625000000001</v>
      </c>
      <c r="N38" s="2"/>
      <c r="O38" s="1"/>
      <c r="P38" s="26"/>
      <c r="Q38" s="27"/>
      <c r="R38" s="27"/>
      <c r="S38" s="27"/>
      <c r="T38" s="26"/>
      <c r="U38" s="27"/>
    </row>
    <row r="39" spans="1:78" customFormat="1" ht="15" hidden="1" customHeight="1" x14ac:dyDescent="0.25">
      <c r="A39" s="9" t="str">
        <f t="shared" si="6"/>
        <v>CUSTO MARKET DATA - ABRIL/26-REFINITIV-115154</v>
      </c>
      <c r="B39" s="20">
        <v>46113</v>
      </c>
      <c r="C39" s="21">
        <v>817393</v>
      </c>
      <c r="D39" s="9" t="str">
        <f>IF(J39=57036,"ALEXANDRE DA COSTA SOARES",IF(J39=24157,"JOSE MAURICIO GOMES TEIXEIRA",IF(J39=24203,"JOSE MAURICIO GOMES TEIXEIRA",IF(J39=24149,"CHRISTIANO MARCONDES DE BARROS LIMA",IF(J39=24137,"CHRISTIANO MARCONDES DE BARROS LIMA",IF(J39=135152,"ENRICO BORTPLUZO CASSIANO",IF(J39=136568,"ENRICO BORTPLUZO CASSIANO", IF(J39=130976,"MARYLIA CARVALHO PONCE",IF(J39=136668,"ALEXANDRE DA COSTA SOARES",IF(J39=52340,"OFFSHORE LISTED",IF(J39=158778,"CLAUDIO DE SOUZA PACINI",IF(J39=159800,"CLAUDIO DE SOUZA PACINI",_xlfn.XLOOKUP(J39,[1]!Tabela33[ID ORACLE],[1]!Tabela33[BROKER],0,0,1)))))))))))))</f>
        <v>FELIPE DE ANDRADE BASILE</v>
      </c>
      <c r="E39" s="22">
        <f t="shared" si="7"/>
        <v>-141.21536398200001</v>
      </c>
      <c r="F39" s="9" t="str">
        <f t="shared" si="8"/>
        <v>REFINITIV</v>
      </c>
      <c r="G39" s="20">
        <f t="shared" si="9"/>
        <v>46113</v>
      </c>
      <c r="H39" s="23">
        <v>1170</v>
      </c>
      <c r="J39" s="41">
        <v>115154</v>
      </c>
      <c r="K39" s="1" t="s">
        <v>42</v>
      </c>
      <c r="L39" s="1" t="s">
        <v>17</v>
      </c>
      <c r="M39" s="29">
        <v>20.848212</v>
      </c>
      <c r="N39" s="2"/>
      <c r="O39" s="1"/>
      <c r="P39" s="26"/>
      <c r="Q39" s="27"/>
      <c r="R39" s="27"/>
      <c r="S39" s="27"/>
      <c r="T39" s="26"/>
      <c r="U39" s="27"/>
    </row>
    <row r="40" spans="1:78" customFormat="1" ht="15" customHeight="1" x14ac:dyDescent="0.25">
      <c r="A40" s="9" t="str">
        <f t="shared" si="6"/>
        <v>CUSTO MARKET DATA - ABRIL/26-BLOOMBERG-118235</v>
      </c>
      <c r="B40" s="20">
        <v>46113</v>
      </c>
      <c r="C40" s="21">
        <v>817393</v>
      </c>
      <c r="D40" s="9" t="str">
        <f>IF(J40=57036,"ALEXANDRE DA COSTA SOARES",IF(J40=24157,"JOSE MAURICIO GOMES TEIXEIRA",IF(J40=24203,"JOSE MAURICIO GOMES TEIXEIRA",IF(J40=24149,"CHRISTIANO MARCONDES DE BARROS LIMA",IF(J40=24137,"CHRISTIANO MARCONDES DE BARROS LIMA",IF(J40=135152,"ENRICO BORTPLUZO CASSIANO",IF(J40=136568,"ENRICO BORTPLUZO CASSIANO", IF(J40=130976,"MARYLIA CARVALHO PONCE",IF(J40=136668,"ALEXANDRE DA COSTA SOARES",IF(J40=52340,"OFFSHORE LISTED",IF(J40=158778,"CLAUDIO DE SOUZA PACINI",IF(J40=159800,"CLAUDIO DE SOUZA PACINI",_xlfn.XLOOKUP(J40,[1]!Tabela33[ID ORACLE],[1]!Tabela33[BROKER],0,0,1)))))))))))))</f>
        <v>ANDRE HALL ACCIOLY</v>
      </c>
      <c r="E40" s="22">
        <f t="shared" si="7"/>
        <v>-49.885999999999996</v>
      </c>
      <c r="F40" s="9" t="str">
        <f t="shared" si="8"/>
        <v>BLOOMBERG</v>
      </c>
      <c r="G40" s="20">
        <f t="shared" si="9"/>
        <v>46113</v>
      </c>
      <c r="H40" s="23">
        <v>1170</v>
      </c>
      <c r="J40" s="41">
        <v>118235</v>
      </c>
      <c r="K40" s="1" t="s">
        <v>41</v>
      </c>
      <c r="L40" s="1" t="s">
        <v>12</v>
      </c>
      <c r="M40" s="29">
        <v>10</v>
      </c>
      <c r="N40" s="2"/>
      <c r="O40" s="1"/>
      <c r="P40" s="26"/>
      <c r="Q40" s="27"/>
      <c r="R40" s="27"/>
      <c r="S40" s="27"/>
      <c r="T40" s="26"/>
      <c r="U40" s="27"/>
    </row>
    <row r="41" spans="1:78" customFormat="1" ht="15" customHeight="1" x14ac:dyDescent="0.25">
      <c r="A41" s="9" t="str">
        <f t="shared" si="6"/>
        <v>CUSTO MARKET DATA - ABRIL/26-BLOOMBERG-119734</v>
      </c>
      <c r="B41" s="20">
        <v>46113</v>
      </c>
      <c r="C41" s="21">
        <v>817393</v>
      </c>
      <c r="D41" s="9" t="str">
        <f>IF(J41=57036,"ALEXANDRE DA COSTA SOARES",IF(J41=24157,"JOSE MAURICIO GOMES TEIXEIRA",IF(J41=24203,"JOSE MAURICIO GOMES TEIXEIRA",IF(J41=24149,"CHRISTIANO MARCONDES DE BARROS LIMA",IF(J41=24137,"CHRISTIANO MARCONDES DE BARROS LIMA",IF(J41=135152,"ENRICO BORTPLUZO CASSIANO",IF(J41=136568,"ENRICO BORTPLUZO CASSIANO", IF(J41=130976,"MARYLIA CARVALHO PONCE",IF(J41=136668,"ALEXANDRE DA COSTA SOARES",IF(J41=52340,"OFFSHORE LISTED",IF(J41=158778,"CLAUDIO DE SOUZA PACINI",IF(J41=159800,"CLAUDIO DE SOUZA PACINI",_xlfn.XLOOKUP(J41,[1]!Tabela33[ID ORACLE],[1]!Tabela33[BROKER],0,0,1)))))))))))))</f>
        <v>RAFAEL MARQUES MOREIRA DA COSTA</v>
      </c>
      <c r="E41" s="22">
        <f t="shared" si="7"/>
        <v>-49.885999999999996</v>
      </c>
      <c r="F41" s="9" t="str">
        <f t="shared" si="8"/>
        <v>BLOOMBERG</v>
      </c>
      <c r="G41" s="20">
        <f t="shared" si="9"/>
        <v>46113</v>
      </c>
      <c r="H41" s="23">
        <v>1170</v>
      </c>
      <c r="J41" s="41">
        <v>119734</v>
      </c>
      <c r="K41" s="1" t="s">
        <v>41</v>
      </c>
      <c r="L41" s="1" t="s">
        <v>12</v>
      </c>
      <c r="M41" s="29">
        <v>10</v>
      </c>
      <c r="N41" s="2"/>
      <c r="O41" s="1"/>
      <c r="P41" s="26"/>
      <c r="Q41" s="27"/>
      <c r="R41" s="27"/>
      <c r="S41" s="27"/>
      <c r="T41" s="26"/>
      <c r="U41" s="27"/>
    </row>
    <row r="42" spans="1:78" customFormat="1" ht="15" hidden="1" customHeight="1" x14ac:dyDescent="0.25">
      <c r="A42" s="9" t="str">
        <f t="shared" si="6"/>
        <v>CUSTO MARKET DATA - ABRIL/26-BROADCAST-119734</v>
      </c>
      <c r="B42" s="20">
        <v>46113</v>
      </c>
      <c r="C42" s="21">
        <v>817393</v>
      </c>
      <c r="D42" s="9" t="str">
        <f>IF(J42=57036,"ALEXANDRE DA COSTA SOARES",IF(J42=24157,"JOSE MAURICIO GOMES TEIXEIRA",IF(J42=24203,"JOSE MAURICIO GOMES TEIXEIRA",IF(J42=24149,"CHRISTIANO MARCONDES DE BARROS LIMA",IF(J42=24137,"CHRISTIANO MARCONDES DE BARROS LIMA",IF(J42=135152,"ENRICO BORTPLUZO CASSIANO",IF(J42=136568,"ENRICO BORTPLUZO CASSIANO", IF(J42=130976,"MARYLIA CARVALHO PONCE",IF(J42=136668,"ALEXANDRE DA COSTA SOARES",IF(J42=52340,"OFFSHORE LISTED",IF(J42=158778,"CLAUDIO DE SOUZA PACINI",IF(J42=159800,"CLAUDIO DE SOUZA PACINI",_xlfn.XLOOKUP(J42,[1]!Tabela33[ID ORACLE],[1]!Tabela33[BROKER],0,0,1)))))))))))))</f>
        <v>RAFAEL MARQUES MOREIRA DA COSTA</v>
      </c>
      <c r="E42" s="22">
        <f t="shared" si="7"/>
        <v>-2598.0012060000004</v>
      </c>
      <c r="F42" s="9" t="str">
        <f t="shared" si="8"/>
        <v>BROADCAST</v>
      </c>
      <c r="G42" s="20">
        <f t="shared" si="9"/>
        <v>46113</v>
      </c>
      <c r="H42" s="23">
        <v>1170</v>
      </c>
      <c r="J42" s="41">
        <v>119734</v>
      </c>
      <c r="K42" s="1" t="s">
        <v>48</v>
      </c>
      <c r="L42" s="1" t="s">
        <v>49</v>
      </c>
      <c r="M42" s="29">
        <v>2598.0012060000004</v>
      </c>
      <c r="N42" s="2"/>
      <c r="O42" s="1"/>
      <c r="P42" s="26"/>
      <c r="Q42" s="27"/>
      <c r="R42" s="27"/>
      <c r="S42" s="27"/>
      <c r="T42" s="26"/>
      <c r="U42" s="27"/>
    </row>
    <row r="43" spans="1:78" customFormat="1" ht="15" customHeight="1" x14ac:dyDescent="0.25">
      <c r="A43" s="9" t="str">
        <f t="shared" si="6"/>
        <v>CUSTO MARKET DATA - ABRIL/26-BLOOMBERG-122758</v>
      </c>
      <c r="B43" s="20">
        <v>46113</v>
      </c>
      <c r="C43" s="21">
        <v>817393</v>
      </c>
      <c r="D43" s="9" t="str">
        <f>IF(J43=57036,"ALEXANDRE DA COSTA SOARES",IF(J43=24157,"JOSE MAURICIO GOMES TEIXEIRA",IF(J43=24203,"JOSE MAURICIO GOMES TEIXEIRA",IF(J43=24149,"CHRISTIANO MARCONDES DE BARROS LIMA",IF(J43=24137,"CHRISTIANO MARCONDES DE BARROS LIMA",IF(J43=135152,"ENRICO BORTPLUZO CASSIANO",IF(J43=136568,"ENRICO BORTPLUZO CASSIANO", IF(J43=130976,"MARYLIA CARVALHO PONCE",IF(J43=136668,"ALEXANDRE DA COSTA SOARES",IF(J43=52340,"OFFSHORE LISTED",IF(J43=158778,"CLAUDIO DE SOUZA PACINI",IF(J43=159800,"CLAUDIO DE SOUZA PACINI",_xlfn.XLOOKUP(J43,[1]!Tabela33[ID ORACLE],[1]!Tabela33[BROKER],0,0,1)))))))))))))</f>
        <v>ANDRE FERREIRA DOS SANTOS</v>
      </c>
      <c r="E43" s="22">
        <f t="shared" si="7"/>
        <v>-5987.9063598342009</v>
      </c>
      <c r="F43" s="9" t="str">
        <f t="shared" si="8"/>
        <v>BLOOMBERG</v>
      </c>
      <c r="G43" s="20">
        <f t="shared" si="9"/>
        <v>46113</v>
      </c>
      <c r="H43" s="23">
        <v>1170</v>
      </c>
      <c r="J43" s="41">
        <v>122758</v>
      </c>
      <c r="K43" s="1" t="s">
        <v>41</v>
      </c>
      <c r="L43" s="1" t="s">
        <v>12</v>
      </c>
      <c r="M43" s="29">
        <v>1200.3179970000001</v>
      </c>
      <c r="N43" s="2"/>
      <c r="O43" s="1"/>
      <c r="P43" s="26"/>
      <c r="Q43" s="27"/>
      <c r="R43" s="27"/>
      <c r="S43" s="27"/>
      <c r="T43" s="26"/>
      <c r="U43" s="27"/>
    </row>
    <row r="44" spans="1:78" customFormat="1" ht="15" hidden="1" customHeight="1" x14ac:dyDescent="0.25">
      <c r="A44" s="9" t="str">
        <f t="shared" si="6"/>
        <v>CUSTO MARKET DATA - ABRIL/26-REFINITIV-122758</v>
      </c>
      <c r="B44" s="20">
        <v>46113</v>
      </c>
      <c r="C44" s="21">
        <v>817393</v>
      </c>
      <c r="D44" s="9" t="str">
        <f>IF(J44=57036,"ALEXANDRE DA COSTA SOARES",IF(J44=24157,"JOSE MAURICIO GOMES TEIXEIRA",IF(J44=24203,"JOSE MAURICIO GOMES TEIXEIRA",IF(J44=24149,"CHRISTIANO MARCONDES DE BARROS LIMA",IF(J44=24137,"CHRISTIANO MARCONDES DE BARROS LIMA",IF(J44=135152,"ENRICO BORTPLUZO CASSIANO",IF(J44=136568,"ENRICO BORTPLUZO CASSIANO", IF(J44=130976,"MARYLIA CARVALHO PONCE",IF(J44=136668,"ALEXANDRE DA COSTA SOARES",IF(J44=52340,"OFFSHORE LISTED",IF(J44=158778,"CLAUDIO DE SOUZA PACINI",IF(J44=159800,"CLAUDIO DE SOUZA PACINI",_xlfn.XLOOKUP(J44,[1]!Tabela33[ID ORACLE],[1]!Tabela33[BROKER],0,0,1)))))))))))))</f>
        <v>ANDRE FERREIRA DOS SANTOS</v>
      </c>
      <c r="E44" s="22">
        <f t="shared" si="7"/>
        <v>-141.21536398200001</v>
      </c>
      <c r="F44" s="9" t="str">
        <f t="shared" si="8"/>
        <v>REFINITIV</v>
      </c>
      <c r="G44" s="20">
        <f t="shared" si="9"/>
        <v>46113</v>
      </c>
      <c r="H44" s="23">
        <v>1170</v>
      </c>
      <c r="J44" s="41">
        <v>122758</v>
      </c>
      <c r="K44" s="1" t="s">
        <v>42</v>
      </c>
      <c r="L44" s="1" t="s">
        <v>17</v>
      </c>
      <c r="M44" s="29">
        <v>20.848212</v>
      </c>
      <c r="N44" s="2"/>
      <c r="O44" s="1"/>
      <c r="P44" s="26"/>
      <c r="Q44" s="27"/>
      <c r="R44" s="27"/>
      <c r="S44" s="27"/>
      <c r="T44" s="26"/>
      <c r="U44" s="27"/>
    </row>
    <row r="45" spans="1:78" ht="15" hidden="1" customHeight="1" x14ac:dyDescent="0.25">
      <c r="A45" s="9" t="str">
        <f t="shared" si="6"/>
        <v>CUSTO MARKET DATA - ABRIL/26-REFINITIV-125254</v>
      </c>
      <c r="B45" s="20">
        <v>46113</v>
      </c>
      <c r="C45" s="21">
        <v>817393</v>
      </c>
      <c r="D45" s="9" t="str">
        <f>IF(J45=57036,"ALEXANDRE DA COSTA SOARES",IF(J45=24157,"JOSE MAURICIO GOMES TEIXEIRA",IF(J45=24203,"JOSE MAURICIO GOMES TEIXEIRA",IF(J45=24149,"CHRISTIANO MARCONDES DE BARROS LIMA",IF(J45=24137,"CHRISTIANO MARCONDES DE BARROS LIMA",IF(J45=135152,"ENRICO BORTPLUZO CASSIANO",IF(J45=136568,"ENRICO BORTPLUZO CASSIANO", IF(J45=130976,"MARYLIA CARVALHO PONCE",IF(J45=136668,"ALEXANDRE DA COSTA SOARES",IF(J45=52340,"OFFSHORE LISTED",IF(J45=158778,"CLAUDIO DE SOUZA PACINI",IF(J45=159800,"CLAUDIO DE SOUZA PACINI",_xlfn.XLOOKUP(J45,[1]!Tabela33[ID ORACLE],[1]!Tabela33[BROKER],0,0,1)))))))))))))</f>
        <v>GUSTAVO D ELBOUX FERRIELLO</v>
      </c>
      <c r="E45" s="22">
        <f t="shared" si="7"/>
        <v>-141.21536398200001</v>
      </c>
      <c r="F45" s="9" t="str">
        <f t="shared" si="8"/>
        <v>REFINITIV</v>
      </c>
      <c r="G45" s="20">
        <f t="shared" si="9"/>
        <v>46113</v>
      </c>
      <c r="H45" s="23">
        <v>1170</v>
      </c>
      <c r="J45" s="41">
        <v>125254</v>
      </c>
      <c r="K45" s="1" t="s">
        <v>42</v>
      </c>
      <c r="L45" s="1" t="s">
        <v>17</v>
      </c>
      <c r="M45" s="29">
        <v>20.848212</v>
      </c>
      <c r="N45" s="2"/>
      <c r="Q45" s="27"/>
      <c r="R45" s="27"/>
      <c r="S45" s="27"/>
      <c r="U45" s="27"/>
    </row>
    <row r="46" spans="1:78" s="25" customFormat="1" ht="15" hidden="1" customHeight="1" x14ac:dyDescent="0.25">
      <c r="A46" s="9" t="str">
        <f t="shared" si="6"/>
        <v>CUSTO MARKET DATA - ABRIL/26-FIDESSA-125412</v>
      </c>
      <c r="B46" s="20">
        <v>46113</v>
      </c>
      <c r="C46" s="21">
        <v>817393</v>
      </c>
      <c r="D46" s="9" t="str">
        <f>IF(J46=57036,"ALEXANDRE DA COSTA SOARES",IF(J46=24157,"JOSE MAURICIO GOMES TEIXEIRA",IF(J46=24203,"JOSE MAURICIO GOMES TEIXEIRA",IF(J46=24149,"CHRISTIANO MARCONDES DE BARROS LIMA",IF(J46=24137,"CHRISTIANO MARCONDES DE BARROS LIMA",IF(J46=135152,"ENRICO BORTPLUZO CASSIANO",IF(J46=136568,"ENRICO BORTPLUZO CASSIANO", IF(J46=130976,"MARYLIA CARVALHO PONCE",IF(J46=136668,"ALEXANDRE DA COSTA SOARES",IF(J46=52340,"OFFSHORE LISTED",IF(J46=158778,"CLAUDIO DE SOUZA PACINI",IF(J46=159800,"CLAUDIO DE SOUZA PACINI",_xlfn.XLOOKUP(J46,[1]!Tabela33[ID ORACLE],[1]!Tabela33[BROKER],0,0,1)))))))))))))</f>
        <v>GUSTAVO VALERIO FERREIRA DE ALBUQUERQUE</v>
      </c>
      <c r="E46" s="22">
        <f t="shared" si="7"/>
        <v>-1735.6927670467999</v>
      </c>
      <c r="F46" s="9" t="str">
        <f t="shared" si="8"/>
        <v>FIDESSA</v>
      </c>
      <c r="G46" s="20">
        <f t="shared" si="9"/>
        <v>46113</v>
      </c>
      <c r="H46" s="23">
        <v>1170</v>
      </c>
      <c r="I46"/>
      <c r="J46" s="41">
        <v>125412</v>
      </c>
      <c r="K46" s="1" t="s">
        <v>47</v>
      </c>
      <c r="L46" s="1" t="s">
        <v>12</v>
      </c>
      <c r="M46" s="29">
        <v>347.93183799999997</v>
      </c>
      <c r="N46" s="2"/>
      <c r="O46" s="1"/>
      <c r="P46" s="26"/>
      <c r="Q46" s="27"/>
      <c r="R46" s="27"/>
      <c r="S46" s="27"/>
      <c r="T46" s="26"/>
      <c r="U46" s="27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s="25" customFormat="1" ht="15" hidden="1" customHeight="1" x14ac:dyDescent="0.25">
      <c r="A47" s="9" t="str">
        <f t="shared" si="6"/>
        <v>CUSTO MARKET DATA - ABRIL/26-NYSE MARKET INC.-125412</v>
      </c>
      <c r="B47" s="20">
        <v>46113</v>
      </c>
      <c r="C47" s="21">
        <v>817393</v>
      </c>
      <c r="D47" s="9" t="str">
        <f>IF(J47=57036,"ALEXANDRE DA COSTA SOARES",IF(J47=24157,"JOSE MAURICIO GOMES TEIXEIRA",IF(J47=24203,"JOSE MAURICIO GOMES TEIXEIRA",IF(J47=24149,"CHRISTIANO MARCONDES DE BARROS LIMA",IF(J47=24137,"CHRISTIANO MARCONDES DE BARROS LIMA",IF(J47=135152,"ENRICO BORTPLUZO CASSIANO",IF(J47=136568,"ENRICO BORTPLUZO CASSIANO", IF(J47=130976,"MARYLIA CARVALHO PONCE",IF(J47=136668,"ALEXANDRE DA COSTA SOARES",IF(J47=52340,"OFFSHORE LISTED",IF(J47=158778,"CLAUDIO DE SOUZA PACINI",IF(J47=159800,"CLAUDIO DE SOUZA PACINI",_xlfn.XLOOKUP(J47,[1]!Tabela33[ID ORACLE],[1]!Tabela33[BROKER],0,0,1)))))))))))))</f>
        <v>GUSTAVO VALERIO FERREIRA DE ALBUQUERQUE</v>
      </c>
      <c r="E47" s="22">
        <f t="shared" si="7"/>
        <v>-1270.9331505</v>
      </c>
      <c r="F47" s="9" t="str">
        <f t="shared" si="8"/>
        <v>NYSE MARKET INC.</v>
      </c>
      <c r="G47" s="20">
        <f t="shared" si="9"/>
        <v>46113</v>
      </c>
      <c r="H47" s="23">
        <v>1170</v>
      </c>
      <c r="I47"/>
      <c r="J47" s="41">
        <v>125412</v>
      </c>
      <c r="K47" s="1" t="s">
        <v>44</v>
      </c>
      <c r="L47" s="1" t="s">
        <v>12</v>
      </c>
      <c r="M47" s="29">
        <v>254.76749999999998</v>
      </c>
      <c r="N47" s="2"/>
      <c r="O47" s="1"/>
      <c r="P47" s="26"/>
      <c r="Q47" s="27"/>
      <c r="R47" s="27"/>
      <c r="S47" s="27"/>
      <c r="T47" s="26"/>
      <c r="U47" s="27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s="25" customFormat="1" ht="15" hidden="1" customHeight="1" x14ac:dyDescent="0.25">
      <c r="A48" s="9" t="str">
        <f t="shared" si="6"/>
        <v>CUSTO MARKET DATA - ABRIL/26-REFINITIV-125412</v>
      </c>
      <c r="B48" s="20">
        <v>46113</v>
      </c>
      <c r="C48" s="21">
        <v>817393</v>
      </c>
      <c r="D48" s="9" t="str">
        <f>IF(J48=57036,"ALEXANDRE DA COSTA SOARES",IF(J48=24157,"JOSE MAURICIO GOMES TEIXEIRA",IF(J48=24203,"JOSE MAURICIO GOMES TEIXEIRA",IF(J48=24149,"CHRISTIANO MARCONDES DE BARROS LIMA",IF(J48=24137,"CHRISTIANO MARCONDES DE BARROS LIMA",IF(J48=135152,"ENRICO BORTPLUZO CASSIANO",IF(J48=136568,"ENRICO BORTPLUZO CASSIANO", IF(J48=130976,"MARYLIA CARVALHO PONCE",IF(J48=136668,"ALEXANDRE DA COSTA SOARES",IF(J48=52340,"OFFSHORE LISTED",IF(J48=158778,"CLAUDIO DE SOUZA PACINI",IF(J48=159800,"CLAUDIO DE SOUZA PACINI",_xlfn.XLOOKUP(J48,[1]!Tabela33[ID ORACLE],[1]!Tabela33[BROKER],0,0,1)))))))))))))</f>
        <v>GUSTAVO VALERIO FERREIRA DE ALBUQUERQUE</v>
      </c>
      <c r="E48" s="22">
        <f t="shared" si="7"/>
        <v>-141.21536398200001</v>
      </c>
      <c r="F48" s="9" t="str">
        <f t="shared" si="8"/>
        <v>REFINITIV</v>
      </c>
      <c r="G48" s="20">
        <f t="shared" si="9"/>
        <v>46113</v>
      </c>
      <c r="H48" s="23">
        <v>1170</v>
      </c>
      <c r="I48"/>
      <c r="J48" s="41">
        <v>125412</v>
      </c>
      <c r="K48" s="1" t="s">
        <v>42</v>
      </c>
      <c r="L48" s="1" t="s">
        <v>17</v>
      </c>
      <c r="M48" s="29">
        <v>20.848212</v>
      </c>
      <c r="N48" s="2"/>
      <c r="O48" s="1"/>
      <c r="P48" s="26"/>
      <c r="Q48" s="27"/>
      <c r="R48" s="27"/>
      <c r="S48" s="27"/>
      <c r="T48" s="26"/>
      <c r="U48" s="27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customFormat="1" ht="15" hidden="1" customHeight="1" x14ac:dyDescent="0.25">
      <c r="A49" s="9" t="str">
        <f t="shared" si="6"/>
        <v>CUSTO MARKET DATA - ABRIL/26-REFINITIV-125524</v>
      </c>
      <c r="B49" s="20">
        <v>46113</v>
      </c>
      <c r="C49" s="21">
        <v>817393</v>
      </c>
      <c r="D49" s="9" t="str">
        <f>IF(J49=57036,"ALEXANDRE DA COSTA SOARES",IF(J49=24157,"JOSE MAURICIO GOMES TEIXEIRA",IF(J49=24203,"JOSE MAURICIO GOMES TEIXEIRA",IF(J49=24149,"CHRISTIANO MARCONDES DE BARROS LIMA",IF(J49=24137,"CHRISTIANO MARCONDES DE BARROS LIMA",IF(J49=135152,"ENRICO BORTPLUZO CASSIANO",IF(J49=136568,"ENRICO BORTPLUZO CASSIANO", IF(J49=130976,"MARYLIA CARVALHO PONCE",IF(J49=136668,"ALEXANDRE DA COSTA SOARES",IF(J49=52340,"OFFSHORE LISTED",IF(J49=158778,"CLAUDIO DE SOUZA PACINI",IF(J49=159800,"CLAUDIO DE SOUZA PACINI",_xlfn.XLOOKUP(J49,[1]!Tabela33[ID ORACLE],[1]!Tabela33[BROKER],0,0,1)))))))))))))</f>
        <v>JUAREZ JOAQUIM DE LACERDA</v>
      </c>
      <c r="E49" s="22">
        <f t="shared" si="7"/>
        <v>-141.21536398200001</v>
      </c>
      <c r="F49" s="9" t="str">
        <f t="shared" si="8"/>
        <v>REFINITIV</v>
      </c>
      <c r="G49" s="20">
        <f t="shared" si="9"/>
        <v>46113</v>
      </c>
      <c r="H49" s="23">
        <v>1170</v>
      </c>
      <c r="J49" s="41">
        <v>125524</v>
      </c>
      <c r="K49" s="1" t="s">
        <v>42</v>
      </c>
      <c r="L49" s="1" t="s">
        <v>17</v>
      </c>
      <c r="M49" s="29">
        <v>20.848212</v>
      </c>
      <c r="N49" s="2"/>
      <c r="O49" s="1"/>
      <c r="P49" s="26"/>
      <c r="Q49" s="27"/>
      <c r="R49" s="27"/>
      <c r="S49" s="27"/>
      <c r="T49" s="26"/>
      <c r="U49" s="27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customFormat="1" ht="15" customHeight="1" x14ac:dyDescent="0.25">
      <c r="A50" s="9" t="str">
        <f t="shared" si="6"/>
        <v>CUSTO MARKET DATA - ABRIL/26-BLOOMBERG-127165</v>
      </c>
      <c r="B50" s="20">
        <v>46113</v>
      </c>
      <c r="C50" s="21">
        <v>817393</v>
      </c>
      <c r="D50" s="9" t="str">
        <f>IF(J50=57036,"ALEXANDRE DA COSTA SOARES",IF(J50=24157,"JOSE MAURICIO GOMES TEIXEIRA",IF(J50=24203,"JOSE MAURICIO GOMES TEIXEIRA",IF(J50=24149,"CHRISTIANO MARCONDES DE BARROS LIMA",IF(J50=24137,"CHRISTIANO MARCONDES DE BARROS LIMA",IF(J50=135152,"ENRICO BORTPLUZO CASSIANO",IF(J50=136568,"ENRICO BORTPLUZO CASSIANO", IF(J50=130976,"MARYLIA CARVALHO PONCE",IF(J50=136668,"ALEXANDRE DA COSTA SOARES",IF(J50=52340,"OFFSHORE LISTED",IF(J50=158778,"CLAUDIO DE SOUZA PACINI",IF(J50=159800,"CLAUDIO DE SOUZA PACINI",_xlfn.XLOOKUP(J50,[1]!Tabela33[ID ORACLE],[1]!Tabela33[BROKER],0,0,1)))))))))))))</f>
        <v>RODRIGO PENTAGNA</v>
      </c>
      <c r="E50" s="22">
        <f t="shared" si="7"/>
        <v>-12217.260939713999</v>
      </c>
      <c r="F50" s="9" t="str">
        <f t="shared" si="8"/>
        <v>BLOOMBERG</v>
      </c>
      <c r="G50" s="20">
        <f t="shared" si="9"/>
        <v>46113</v>
      </c>
      <c r="H50" s="23">
        <v>1170</v>
      </c>
      <c r="J50" s="41">
        <v>127165</v>
      </c>
      <c r="K50" s="1" t="s">
        <v>41</v>
      </c>
      <c r="L50" s="1" t="s">
        <v>12</v>
      </c>
      <c r="M50" s="29">
        <v>2449.0359899999999</v>
      </c>
      <c r="N50" s="2"/>
      <c r="O50" s="1"/>
      <c r="P50" s="26"/>
      <c r="Q50" s="27"/>
      <c r="R50" s="27"/>
      <c r="S50" s="27"/>
      <c r="T50" s="26"/>
      <c r="U50" s="27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customFormat="1" ht="15" hidden="1" customHeight="1" x14ac:dyDescent="0.25">
      <c r="A51" s="9" t="str">
        <f t="shared" si="6"/>
        <v>CUSTO MARKET DATA - ABRIL/26-OPTIONS PRICE REPORTING AUTHORITY (OPRA)-127165</v>
      </c>
      <c r="B51" s="20">
        <v>46113</v>
      </c>
      <c r="C51" s="21">
        <v>817393</v>
      </c>
      <c r="D51" s="9" t="str">
        <f>IF(J51=57036,"ALEXANDRE DA COSTA SOARES",IF(J51=24157,"JOSE MAURICIO GOMES TEIXEIRA",IF(J51=24203,"JOSE MAURICIO GOMES TEIXEIRA",IF(J51=24149,"CHRISTIANO MARCONDES DE BARROS LIMA",IF(J51=24137,"CHRISTIANO MARCONDES DE BARROS LIMA",IF(J51=135152,"ENRICO BORTPLUZO CASSIANO",IF(J51=136568,"ENRICO BORTPLUZO CASSIANO", IF(J51=130976,"MARYLIA CARVALHO PONCE",IF(J51=136668,"ALEXANDRE DA COSTA SOARES",IF(J51=52340,"OFFSHORE LISTED",IF(J51=158778,"CLAUDIO DE SOUZA PACINI",IF(J51=159800,"CLAUDIO DE SOUZA PACINI",_xlfn.XLOOKUP(J51,[1]!Tabela33[ID ORACLE],[1]!Tabela33[BROKER],0,0,1)))))))))))))</f>
        <v>RODRIGO PENTAGNA</v>
      </c>
      <c r="E51" s="22">
        <f t="shared" si="7"/>
        <v>-157.14089999999999</v>
      </c>
      <c r="F51" s="9" t="str">
        <f t="shared" si="8"/>
        <v>OPTIONS PRICE REPORTING AUTHORITY (OPRA)</v>
      </c>
      <c r="G51" s="20">
        <f t="shared" si="9"/>
        <v>46113</v>
      </c>
      <c r="H51" s="23">
        <v>1170</v>
      </c>
      <c r="J51" s="41">
        <v>127165</v>
      </c>
      <c r="K51" s="1" t="s">
        <v>45</v>
      </c>
      <c r="L51" s="1" t="s">
        <v>12</v>
      </c>
      <c r="M51" s="29">
        <v>31.5</v>
      </c>
      <c r="N51" s="2"/>
      <c r="O51" s="1"/>
      <c r="P51" s="26"/>
      <c r="Q51" s="27"/>
      <c r="R51" s="27"/>
      <c r="S51" s="27"/>
      <c r="T51" s="26"/>
      <c r="U51" s="27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customFormat="1" ht="15" hidden="1" customHeight="1" x14ac:dyDescent="0.25">
      <c r="A52" s="9" t="str">
        <f t="shared" si="6"/>
        <v>CUSTO MARKET DATA - ABRIL/26-REFINITIV-127165</v>
      </c>
      <c r="B52" s="20">
        <v>46113</v>
      </c>
      <c r="C52" s="21">
        <v>817393</v>
      </c>
      <c r="D52" s="9" t="str">
        <f>IF(J52=57036,"ALEXANDRE DA COSTA SOARES",IF(J52=24157,"JOSE MAURICIO GOMES TEIXEIRA",IF(J52=24203,"JOSE MAURICIO GOMES TEIXEIRA",IF(J52=24149,"CHRISTIANO MARCONDES DE BARROS LIMA",IF(J52=24137,"CHRISTIANO MARCONDES DE BARROS LIMA",IF(J52=135152,"ENRICO BORTPLUZO CASSIANO",IF(J52=136568,"ENRICO BORTPLUZO CASSIANO", IF(J52=130976,"MARYLIA CARVALHO PONCE",IF(J52=136668,"ALEXANDRE DA COSTA SOARES",IF(J52=52340,"OFFSHORE LISTED",IF(J52=158778,"CLAUDIO DE SOUZA PACINI",IF(J52=159800,"CLAUDIO DE SOUZA PACINI",_xlfn.XLOOKUP(J52,[1]!Tabela33[ID ORACLE],[1]!Tabela33[BROKER],0,0,1)))))))))))))</f>
        <v>RODRIGO PENTAGNA</v>
      </c>
      <c r="E52" s="22">
        <f t="shared" si="7"/>
        <v>-141.21536398200001</v>
      </c>
      <c r="F52" s="9" t="str">
        <f t="shared" si="8"/>
        <v>REFINITIV</v>
      </c>
      <c r="G52" s="20">
        <f t="shared" si="9"/>
        <v>46113</v>
      </c>
      <c r="H52" s="23">
        <v>1170</v>
      </c>
      <c r="J52" s="41">
        <v>127165</v>
      </c>
      <c r="K52" s="1" t="s">
        <v>42</v>
      </c>
      <c r="L52" s="1" t="s">
        <v>17</v>
      </c>
      <c r="M52" s="29">
        <v>20.848212</v>
      </c>
      <c r="N52" s="2"/>
      <c r="O52" s="1"/>
      <c r="P52" s="26"/>
      <c r="Q52" s="27"/>
      <c r="R52" s="27"/>
      <c r="S52" s="27"/>
      <c r="T52" s="26"/>
      <c r="U52" s="27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customFormat="1" ht="15" customHeight="1" x14ac:dyDescent="0.25">
      <c r="A53" s="9" t="str">
        <f t="shared" si="6"/>
        <v>CUSTO MARKET DATA - ABRIL/26-BLOOMBERG-128628</v>
      </c>
      <c r="B53" s="20">
        <v>46113</v>
      </c>
      <c r="C53" s="21">
        <v>817393</v>
      </c>
      <c r="D53" s="9" t="str">
        <f>IF(J53=57036,"ALEXANDRE DA COSTA SOARES",IF(J53=24157,"JOSE MAURICIO GOMES TEIXEIRA",IF(J53=24203,"JOSE MAURICIO GOMES TEIXEIRA",IF(J53=24149,"CHRISTIANO MARCONDES DE BARROS LIMA",IF(J53=24137,"CHRISTIANO MARCONDES DE BARROS LIMA",IF(J53=135152,"ENRICO BORTPLUZO CASSIANO",IF(J53=136568,"ENRICO BORTPLUZO CASSIANO", IF(J53=130976,"MARYLIA CARVALHO PONCE",IF(J53=136668,"ALEXANDRE DA COSTA SOARES",IF(J53=52340,"OFFSHORE LISTED",IF(J53=158778,"CLAUDIO DE SOUZA PACINI",IF(J53=159800,"CLAUDIO DE SOUZA PACINI",_xlfn.XLOOKUP(J53,[1]!Tabela33[ID ORACLE],[1]!Tabela33[BROKER],0,0,1)))))))))))))</f>
        <v>MARCELLE DA SILVEIRA GIL CADILHE</v>
      </c>
      <c r="E53" s="22">
        <f t="shared" si="7"/>
        <v>-49.885999999999996</v>
      </c>
      <c r="F53" s="9" t="str">
        <f t="shared" si="8"/>
        <v>BLOOMBERG</v>
      </c>
      <c r="G53" s="20">
        <f t="shared" si="9"/>
        <v>46113</v>
      </c>
      <c r="H53" s="23">
        <v>1170</v>
      </c>
      <c r="J53" s="41">
        <v>128628</v>
      </c>
      <c r="K53" s="1" t="s">
        <v>41</v>
      </c>
      <c r="L53" s="1" t="s">
        <v>12</v>
      </c>
      <c r="M53" s="29">
        <v>10</v>
      </c>
      <c r="N53" s="2"/>
      <c r="O53" s="1"/>
      <c r="P53" s="26"/>
      <c r="Q53" s="27"/>
      <c r="R53" s="27"/>
      <c r="S53" s="27"/>
      <c r="T53" s="26"/>
      <c r="U53" s="27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customFormat="1" ht="15" hidden="1" customHeight="1" x14ac:dyDescent="0.25">
      <c r="A54" s="9" t="str">
        <f t="shared" si="6"/>
        <v>CUSTO MARKET DATA - ABRIL/26-REFINITIV-130976</v>
      </c>
      <c r="B54" s="20">
        <v>46113</v>
      </c>
      <c r="C54" s="21">
        <v>817393</v>
      </c>
      <c r="D54" s="9" t="str">
        <f>IF(J54=57036,"ALEXANDRE DA COSTA SOARES",IF(J54=24157,"JOSE MAURICIO GOMES TEIXEIRA",IF(J54=24203,"JOSE MAURICIO GOMES TEIXEIRA",IF(J54=24149,"CHRISTIANO MARCONDES DE BARROS LIMA",IF(J54=24137,"CHRISTIANO MARCONDES DE BARROS LIMA",IF(J54=135152,"ENRICO BORTPLUZO CASSIANO",IF(J54=136568,"ENRICO BORTPLUZO CASSIANO", IF(J54=130976,"MARYLIA CARVALHO PONCE",IF(J54=136668,"ALEXANDRE DA COSTA SOARES",IF(J54=52340,"OFFSHORE LISTED",IF(J54=158778,"CLAUDIO DE SOUZA PACINI",IF(J54=159800,"CLAUDIO DE SOUZA PACINI",_xlfn.XLOOKUP(J54,[1]!Tabela33[ID ORACLE],[1]!Tabela33[BROKER],0,0,1)))))))))))))</f>
        <v>MARYLIA CARVALHO PONCE</v>
      </c>
      <c r="E54" s="22">
        <f t="shared" si="7"/>
        <v>-141.21536398200001</v>
      </c>
      <c r="F54" s="9" t="str">
        <f t="shared" si="8"/>
        <v>REFINITIV</v>
      </c>
      <c r="G54" s="20">
        <f t="shared" si="9"/>
        <v>46113</v>
      </c>
      <c r="H54" s="23">
        <v>1170</v>
      </c>
      <c r="J54" s="41">
        <v>130976</v>
      </c>
      <c r="K54" s="1" t="s">
        <v>42</v>
      </c>
      <c r="L54" s="1" t="s">
        <v>17</v>
      </c>
      <c r="M54" s="29">
        <v>20.848212</v>
      </c>
      <c r="N54" s="2"/>
      <c r="O54" s="1"/>
      <c r="P54" s="26"/>
      <c r="Q54" s="27"/>
      <c r="R54" s="27"/>
      <c r="S54" s="27"/>
      <c r="T54" s="26"/>
      <c r="U54" s="27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customFormat="1" ht="15" customHeight="1" x14ac:dyDescent="0.25">
      <c r="A55" s="9" t="str">
        <f t="shared" si="6"/>
        <v>CUSTO MARKET DATA - ABRIL/26-BLOOMBERG-131299</v>
      </c>
      <c r="B55" s="20">
        <v>46113</v>
      </c>
      <c r="C55" s="21">
        <v>817393</v>
      </c>
      <c r="D55" s="9" t="str">
        <f>IF(J55=57036,"ALEXANDRE DA COSTA SOARES",IF(J55=24157,"JOSE MAURICIO GOMES TEIXEIRA",IF(J55=24203,"JOSE MAURICIO GOMES TEIXEIRA",IF(J55=24149,"CHRISTIANO MARCONDES DE BARROS LIMA",IF(J55=24137,"CHRISTIANO MARCONDES DE BARROS LIMA",IF(J55=135152,"ENRICO BORTPLUZO CASSIANO",IF(J55=136568,"ENRICO BORTPLUZO CASSIANO", IF(J55=130976,"MARYLIA CARVALHO PONCE",IF(J55=136668,"ALEXANDRE DA COSTA SOARES",IF(J55=52340,"OFFSHORE LISTED",IF(J55=158778,"CLAUDIO DE SOUZA PACINI",IF(J55=159800,"CLAUDIO DE SOUZA PACINI",_xlfn.XLOOKUP(J55,[1]!Tabela33[ID ORACLE],[1]!Tabela33[BROKER],0,0,1)))))))))))))</f>
        <v>RODRIGO BETTI MARQUES</v>
      </c>
      <c r="E55" s="22">
        <f t="shared" si="7"/>
        <v>-12748.546839713999</v>
      </c>
      <c r="F55" s="9" t="str">
        <f t="shared" si="8"/>
        <v>BLOOMBERG</v>
      </c>
      <c r="G55" s="20">
        <f t="shared" si="9"/>
        <v>46113</v>
      </c>
      <c r="H55" s="23">
        <v>1170</v>
      </c>
      <c r="J55" s="41">
        <v>131299</v>
      </c>
      <c r="K55" s="1" t="s">
        <v>41</v>
      </c>
      <c r="L55" s="1" t="s">
        <v>12</v>
      </c>
      <c r="M55" s="29">
        <v>2555.5359899999999</v>
      </c>
      <c r="N55" s="2"/>
      <c r="O55" s="1"/>
      <c r="P55" s="26"/>
      <c r="Q55" s="27"/>
      <c r="R55" s="27"/>
      <c r="S55" s="27"/>
      <c r="T55" s="26"/>
      <c r="U55" s="27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customFormat="1" ht="15" hidden="1" customHeight="1" x14ac:dyDescent="0.25">
      <c r="A56" s="9" t="str">
        <f t="shared" si="6"/>
        <v>CUSTO MARKET DATA - ABRIL/26-REFINITIV-131299</v>
      </c>
      <c r="B56" s="20">
        <v>46113</v>
      </c>
      <c r="C56" s="21">
        <v>817393</v>
      </c>
      <c r="D56" s="9" t="str">
        <f>IF(J56=57036,"ALEXANDRE DA COSTA SOARES",IF(J56=24157,"JOSE MAURICIO GOMES TEIXEIRA",IF(J56=24203,"JOSE MAURICIO GOMES TEIXEIRA",IF(J56=24149,"CHRISTIANO MARCONDES DE BARROS LIMA",IF(J56=24137,"CHRISTIANO MARCONDES DE BARROS LIMA",IF(J56=135152,"ENRICO BORTPLUZO CASSIANO",IF(J56=136568,"ENRICO BORTPLUZO CASSIANO", IF(J56=130976,"MARYLIA CARVALHO PONCE",IF(J56=136668,"ALEXANDRE DA COSTA SOARES",IF(J56=52340,"OFFSHORE LISTED",IF(J56=158778,"CLAUDIO DE SOUZA PACINI",IF(J56=159800,"CLAUDIO DE SOUZA PACINI",_xlfn.XLOOKUP(J56,[1]!Tabela33[ID ORACLE],[1]!Tabela33[BROKER],0,0,1)))))))))))))</f>
        <v>RODRIGO BETTI MARQUES</v>
      </c>
      <c r="E56" s="22">
        <f t="shared" si="7"/>
        <v>-577.97555476950004</v>
      </c>
      <c r="F56" s="9" t="str">
        <f t="shared" si="8"/>
        <v>REFINITIV</v>
      </c>
      <c r="G56" s="20">
        <f t="shared" si="9"/>
        <v>46113</v>
      </c>
      <c r="H56" s="23">
        <v>1170</v>
      </c>
      <c r="J56" s="41">
        <v>131299</v>
      </c>
      <c r="K56" s="1" t="s">
        <v>42</v>
      </c>
      <c r="L56" s="1" t="s">
        <v>17</v>
      </c>
      <c r="M56" s="29">
        <v>85.328936999999996</v>
      </c>
      <c r="N56" s="2"/>
      <c r="O56" s="1"/>
      <c r="P56" s="26"/>
      <c r="Q56" s="27"/>
      <c r="R56" s="27"/>
      <c r="S56" s="27"/>
      <c r="T56" s="26"/>
      <c r="U56" s="27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customFormat="1" ht="15" customHeight="1" x14ac:dyDescent="0.25">
      <c r="A57" s="9" t="str">
        <f t="shared" si="6"/>
        <v>CUSTO MARKET DATA - ABRIL/26-BLOOMBERG-132975</v>
      </c>
      <c r="B57" s="20">
        <v>46113</v>
      </c>
      <c r="C57" s="21">
        <v>817393</v>
      </c>
      <c r="D57" s="9" t="str">
        <f>IF(J57=57036,"ALEXANDRE DA COSTA SOARES",IF(J57=24157,"JOSE MAURICIO GOMES TEIXEIRA",IF(J57=24203,"JOSE MAURICIO GOMES TEIXEIRA",IF(J57=24149,"CHRISTIANO MARCONDES DE BARROS LIMA",IF(J57=24137,"CHRISTIANO MARCONDES DE BARROS LIMA",IF(J57=135152,"ENRICO BORTPLUZO CASSIANO",IF(J57=136568,"ENRICO BORTPLUZO CASSIANO", IF(J57=130976,"MARYLIA CARVALHO PONCE",IF(J57=136668,"ALEXANDRE DA COSTA SOARES",IF(J57=52340,"OFFSHORE LISTED",IF(J57=158778,"CLAUDIO DE SOUZA PACINI",IF(J57=159800,"CLAUDIO DE SOUZA PACINI",_xlfn.XLOOKUP(J57,[1]!Tabela33[ID ORACLE],[1]!Tabela33[BROKER],0,0,1)))))))))))))</f>
        <v>MATHEUS NACIF NESRALLAH</v>
      </c>
      <c r="E57" s="22">
        <f t="shared" si="7"/>
        <v>-49.885999999999996</v>
      </c>
      <c r="F57" s="9" t="str">
        <f t="shared" si="8"/>
        <v>BLOOMBERG</v>
      </c>
      <c r="G57" s="20">
        <f t="shared" si="9"/>
        <v>46113</v>
      </c>
      <c r="H57" s="23">
        <v>1170</v>
      </c>
      <c r="J57" s="41">
        <v>132975</v>
      </c>
      <c r="K57" s="1" t="s">
        <v>41</v>
      </c>
      <c r="L57" s="1" t="s">
        <v>12</v>
      </c>
      <c r="M57" s="29">
        <v>10</v>
      </c>
      <c r="N57" s="2"/>
      <c r="O57" s="1"/>
      <c r="P57" s="26"/>
      <c r="Q57" s="27"/>
      <c r="R57" s="27"/>
      <c r="S57" s="27"/>
      <c r="T57" s="26"/>
      <c r="U57" s="27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customFormat="1" ht="15" hidden="1" customHeight="1" x14ac:dyDescent="0.25">
      <c r="A58" s="9" t="str">
        <f t="shared" si="6"/>
        <v>CUSTO MARKET DATA - ABRIL/26-REFINITIV-132975</v>
      </c>
      <c r="B58" s="20">
        <v>46113</v>
      </c>
      <c r="C58" s="21">
        <v>817393</v>
      </c>
      <c r="D58" s="9" t="str">
        <f>IF(J58=57036,"ALEXANDRE DA COSTA SOARES",IF(J58=24157,"JOSE MAURICIO GOMES TEIXEIRA",IF(J58=24203,"JOSE MAURICIO GOMES TEIXEIRA",IF(J58=24149,"CHRISTIANO MARCONDES DE BARROS LIMA",IF(J58=24137,"CHRISTIANO MARCONDES DE BARROS LIMA",IF(J58=135152,"ENRICO BORTPLUZO CASSIANO",IF(J58=136568,"ENRICO BORTPLUZO CASSIANO", IF(J58=130976,"MARYLIA CARVALHO PONCE",IF(J58=136668,"ALEXANDRE DA COSTA SOARES",IF(J58=52340,"OFFSHORE LISTED",IF(J58=158778,"CLAUDIO DE SOUZA PACINI",IF(J58=159800,"CLAUDIO DE SOUZA PACINI",_xlfn.XLOOKUP(J58,[1]!Tabela33[ID ORACLE],[1]!Tabela33[BROKER],0,0,1)))))))))))))</f>
        <v>MATHEUS NACIF NESRALLAH</v>
      </c>
      <c r="E58" s="22">
        <f t="shared" si="7"/>
        <v>-141.21536398200001</v>
      </c>
      <c r="F58" s="9" t="str">
        <f t="shared" si="8"/>
        <v>REFINITIV</v>
      </c>
      <c r="G58" s="20">
        <f t="shared" si="9"/>
        <v>46113</v>
      </c>
      <c r="H58" s="23">
        <v>1170</v>
      </c>
      <c r="J58" s="41">
        <v>132975</v>
      </c>
      <c r="K58" s="1" t="s">
        <v>42</v>
      </c>
      <c r="L58" s="1" t="s">
        <v>17</v>
      </c>
      <c r="M58" s="29">
        <v>20.848212</v>
      </c>
      <c r="N58" s="2"/>
      <c r="O58" s="1"/>
      <c r="P58" s="26"/>
      <c r="Q58" s="27"/>
      <c r="R58" s="27"/>
      <c r="S58" s="27"/>
      <c r="T58" s="26"/>
      <c r="U58" s="27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25">
      <c r="A59" s="9" t="str">
        <f t="shared" si="6"/>
        <v>CUSTO MARKET DATA - ABRIL/26-BLOOMBERG-133842</v>
      </c>
      <c r="B59" s="20">
        <v>46113</v>
      </c>
      <c r="C59" s="21">
        <v>817393</v>
      </c>
      <c r="D59" s="9" t="str">
        <f>IF(J59=57036,"ALEXANDRE DA COSTA SOARES",IF(J59=24157,"JOSE MAURICIO GOMES TEIXEIRA",IF(J59=24203,"JOSE MAURICIO GOMES TEIXEIRA",IF(J59=24149,"CHRISTIANO MARCONDES DE BARROS LIMA",IF(J59=24137,"CHRISTIANO MARCONDES DE BARROS LIMA",IF(J59=135152,"ENRICO BORTPLUZO CASSIANO",IF(J59=136568,"ENRICO BORTPLUZO CASSIANO", IF(J59=130976,"MARYLIA CARVALHO PONCE",IF(J59=136668,"ALEXANDRE DA COSTA SOARES",IF(J59=52340,"OFFSHORE LISTED",IF(J59=158778,"CLAUDIO DE SOUZA PACINI",IF(J59=159800,"CLAUDIO DE SOUZA PACINI",_xlfn.XLOOKUP(J59,[1]!Tabela33[ID ORACLE],[1]!Tabela33[BROKER],0,0,1)))))))))))))</f>
        <v>FELIPE GOMES BASILE</v>
      </c>
      <c r="E59" s="22">
        <f t="shared" si="7"/>
        <v>-11248.474819713998</v>
      </c>
      <c r="F59" s="9" t="str">
        <f t="shared" si="8"/>
        <v>BLOOMBERG</v>
      </c>
      <c r="G59" s="20">
        <f t="shared" si="9"/>
        <v>46113</v>
      </c>
      <c r="H59" s="23">
        <v>1170</v>
      </c>
      <c r="J59" s="41">
        <v>133842</v>
      </c>
      <c r="K59" s="1" t="s">
        <v>41</v>
      </c>
      <c r="L59" s="1" t="s">
        <v>12</v>
      </c>
      <c r="M59" s="29">
        <v>2254.8359899999996</v>
      </c>
      <c r="N59" s="2"/>
      <c r="Q59" s="27"/>
      <c r="R59" s="27"/>
      <c r="S59" s="27"/>
      <c r="U59" s="27"/>
    </row>
    <row r="60" spans="1:78" ht="15" hidden="1" customHeight="1" x14ac:dyDescent="0.25">
      <c r="A60" s="9" t="str">
        <f t="shared" si="6"/>
        <v>CUSTO MARKET DATA - ABRIL/26-REFINITIV-133842</v>
      </c>
      <c r="B60" s="20">
        <v>46113</v>
      </c>
      <c r="C60" s="21">
        <v>817393</v>
      </c>
      <c r="D60" s="9" t="str">
        <f>IF(J60=57036,"ALEXANDRE DA COSTA SOARES",IF(J60=24157,"JOSE MAURICIO GOMES TEIXEIRA",IF(J60=24203,"JOSE MAURICIO GOMES TEIXEIRA",IF(J60=24149,"CHRISTIANO MARCONDES DE BARROS LIMA",IF(J60=24137,"CHRISTIANO MARCONDES DE BARROS LIMA",IF(J60=135152,"ENRICO BORTPLUZO CASSIANO",IF(J60=136568,"ENRICO BORTPLUZO CASSIANO", IF(J60=130976,"MARYLIA CARVALHO PONCE",IF(J60=136668,"ALEXANDRE DA COSTA SOARES",IF(J60=52340,"OFFSHORE LISTED",IF(J60=158778,"CLAUDIO DE SOUZA PACINI",IF(J60=159800,"CLAUDIO DE SOUZA PACINI",_xlfn.XLOOKUP(J60,[1]!Tabela33[ID ORACLE],[1]!Tabela33[BROKER],0,0,1)))))))))))))</f>
        <v>FELIPE GOMES BASILE</v>
      </c>
      <c r="E60" s="22">
        <f t="shared" si="7"/>
        <v>-141.21536398200001</v>
      </c>
      <c r="F60" s="9" t="str">
        <f t="shared" si="8"/>
        <v>REFINITIV</v>
      </c>
      <c r="G60" s="20">
        <f t="shared" si="9"/>
        <v>46113</v>
      </c>
      <c r="H60" s="23">
        <v>1170</v>
      </c>
      <c r="J60" s="41">
        <v>133842</v>
      </c>
      <c r="K60" s="1" t="s">
        <v>42</v>
      </c>
      <c r="L60" s="1" t="s">
        <v>17</v>
      </c>
      <c r="M60" s="29">
        <v>20.848212</v>
      </c>
      <c r="N60" s="2"/>
      <c r="Q60" s="27"/>
      <c r="R60" s="27"/>
      <c r="S60" s="27"/>
      <c r="U60" s="27"/>
    </row>
    <row r="61" spans="1:78" ht="15" customHeight="1" x14ac:dyDescent="0.25">
      <c r="A61" s="9" t="str">
        <f t="shared" si="6"/>
        <v>CUSTO MARKET DATA - ABRIL/26-BLOOMBERG-134703</v>
      </c>
      <c r="B61" s="20">
        <v>46113</v>
      </c>
      <c r="C61" s="21">
        <v>817393</v>
      </c>
      <c r="D61" s="9" t="str">
        <f>IF(J61=57036,"ALEXANDRE DA COSTA SOARES",IF(J61=24157,"JOSE MAURICIO GOMES TEIXEIRA",IF(J61=24203,"JOSE MAURICIO GOMES TEIXEIRA",IF(J61=24149,"CHRISTIANO MARCONDES DE BARROS LIMA",IF(J61=24137,"CHRISTIANO MARCONDES DE BARROS LIMA",IF(J61=135152,"ENRICO BORTPLUZO CASSIANO",IF(J61=136568,"ENRICO BORTPLUZO CASSIANO", IF(J61=130976,"MARYLIA CARVALHO PONCE",IF(J61=136668,"ALEXANDRE DA COSTA SOARES",IF(J61=52340,"OFFSHORE LISTED",IF(J61=158778,"CLAUDIO DE SOUZA PACINI",IF(J61=159800,"CLAUDIO DE SOUZA PACINI",_xlfn.XLOOKUP(J61,[1]!Tabela33[ID ORACLE],[1]!Tabela33[BROKER],0,0,1)))))))))))))</f>
        <v>DANIELA VODOVOZ</v>
      </c>
      <c r="E61" s="22">
        <f t="shared" si="7"/>
        <v>-11838.626199713999</v>
      </c>
      <c r="F61" s="9" t="str">
        <f t="shared" si="8"/>
        <v>BLOOMBERG</v>
      </c>
      <c r="G61" s="20">
        <f t="shared" si="9"/>
        <v>46113</v>
      </c>
      <c r="H61" s="23">
        <v>1170</v>
      </c>
      <c r="J61" s="41">
        <v>134703</v>
      </c>
      <c r="K61" s="1" t="s">
        <v>41</v>
      </c>
      <c r="L61" s="1" t="s">
        <v>12</v>
      </c>
      <c r="M61" s="29">
        <v>2373.1359899999998</v>
      </c>
      <c r="N61" s="2"/>
      <c r="Q61" s="27"/>
      <c r="R61" s="27"/>
      <c r="S61" s="27"/>
      <c r="U61" s="27"/>
    </row>
    <row r="62" spans="1:78" ht="15" hidden="1" customHeight="1" x14ac:dyDescent="0.25">
      <c r="A62" s="9" t="str">
        <f t="shared" si="6"/>
        <v>CUSTO MARKET DATA - ABRIL/26-FIDESSA-134703</v>
      </c>
      <c r="B62" s="20">
        <v>46113</v>
      </c>
      <c r="C62" s="21">
        <v>817393</v>
      </c>
      <c r="D62" s="9" t="str">
        <f>IF(J62=57036,"ALEXANDRE DA COSTA SOARES",IF(J62=24157,"JOSE MAURICIO GOMES TEIXEIRA",IF(J62=24203,"JOSE MAURICIO GOMES TEIXEIRA",IF(J62=24149,"CHRISTIANO MARCONDES DE BARROS LIMA",IF(J62=24137,"CHRISTIANO MARCONDES DE BARROS LIMA",IF(J62=135152,"ENRICO BORTPLUZO CASSIANO",IF(J62=136568,"ENRICO BORTPLUZO CASSIANO", IF(J62=130976,"MARYLIA CARVALHO PONCE",IF(J62=136668,"ALEXANDRE DA COSTA SOARES",IF(J62=52340,"OFFSHORE LISTED",IF(J62=158778,"CLAUDIO DE SOUZA PACINI",IF(J62=159800,"CLAUDIO DE SOUZA PACINI",_xlfn.XLOOKUP(J62,[1]!Tabela33[ID ORACLE],[1]!Tabela33[BROKER],0,0,1)))))))))))))</f>
        <v>DANIELA VODOVOZ</v>
      </c>
      <c r="E62" s="22">
        <f t="shared" si="7"/>
        <v>-4.2907597117999998</v>
      </c>
      <c r="F62" s="9" t="str">
        <f t="shared" si="8"/>
        <v>FIDESSA</v>
      </c>
      <c r="G62" s="20">
        <f t="shared" si="9"/>
        <v>46113</v>
      </c>
      <c r="H62" s="23">
        <v>1170</v>
      </c>
      <c r="J62" s="41">
        <v>134703</v>
      </c>
      <c r="K62" s="1" t="s">
        <v>47</v>
      </c>
      <c r="L62" s="1" t="s">
        <v>12</v>
      </c>
      <c r="M62" s="29">
        <v>0.86011300000000002</v>
      </c>
      <c r="N62" s="2"/>
      <c r="Q62" s="27"/>
      <c r="R62" s="27"/>
      <c r="S62" s="27"/>
      <c r="U62" s="27"/>
    </row>
    <row r="63" spans="1:78" ht="15" hidden="1" customHeight="1" x14ac:dyDescent="0.25">
      <c r="A63" s="9" t="str">
        <f t="shared" si="6"/>
        <v>CUSTO MARKET DATA - ABRIL/26-NYSE MARKET INC.-134703</v>
      </c>
      <c r="B63" s="20">
        <v>46113</v>
      </c>
      <c r="C63" s="21">
        <v>817393</v>
      </c>
      <c r="D63" s="9" t="str">
        <f>IF(J63=57036,"ALEXANDRE DA COSTA SOARES",IF(J63=24157,"JOSE MAURICIO GOMES TEIXEIRA",IF(J63=24203,"JOSE MAURICIO GOMES TEIXEIRA",IF(J63=24149,"CHRISTIANO MARCONDES DE BARROS LIMA",IF(J63=24137,"CHRISTIANO MARCONDES DE BARROS LIMA",IF(J63=135152,"ENRICO BORTPLUZO CASSIANO",IF(J63=136568,"ENRICO BORTPLUZO CASSIANO", IF(J63=130976,"MARYLIA CARVALHO PONCE",IF(J63=136668,"ALEXANDRE DA COSTA SOARES",IF(J63=52340,"OFFSHORE LISTED",IF(J63=158778,"CLAUDIO DE SOUZA PACINI",IF(J63=159800,"CLAUDIO DE SOUZA PACINI",_xlfn.XLOOKUP(J63,[1]!Tabela33[ID ORACLE],[1]!Tabela33[BROKER],0,0,1)))))))))))))</f>
        <v>DANIELA VODOVOZ</v>
      </c>
      <c r="E63" s="22">
        <f t="shared" si="7"/>
        <v>-619.17256050000003</v>
      </c>
      <c r="F63" s="9" t="str">
        <f t="shared" si="8"/>
        <v>NYSE MARKET INC.</v>
      </c>
      <c r="G63" s="20">
        <f t="shared" si="9"/>
        <v>46113</v>
      </c>
      <c r="H63" s="23">
        <v>1170</v>
      </c>
      <c r="J63" s="41">
        <v>134703</v>
      </c>
      <c r="K63" s="1" t="s">
        <v>44</v>
      </c>
      <c r="L63" s="1" t="s">
        <v>12</v>
      </c>
      <c r="M63" s="29">
        <v>124.11750000000001</v>
      </c>
      <c r="N63" s="2"/>
      <c r="Q63" s="27"/>
      <c r="R63" s="27"/>
      <c r="S63" s="27"/>
      <c r="U63" s="27"/>
    </row>
    <row r="64" spans="1:78" ht="15" hidden="1" customHeight="1" x14ac:dyDescent="0.25">
      <c r="A64" s="9" t="str">
        <f t="shared" si="6"/>
        <v>CUSTO MARKET DATA - ABRIL/26-OPTIONS PRICE REPORTING AUTHORITY (OPRA)-134703</v>
      </c>
      <c r="B64" s="20">
        <v>46113</v>
      </c>
      <c r="C64" s="21">
        <v>817393</v>
      </c>
      <c r="D64" s="9" t="str">
        <f>IF(J64=57036,"ALEXANDRE DA COSTA SOARES",IF(J64=24157,"JOSE MAURICIO GOMES TEIXEIRA",IF(J64=24203,"JOSE MAURICIO GOMES TEIXEIRA",IF(J64=24149,"CHRISTIANO MARCONDES DE BARROS LIMA",IF(J64=24137,"CHRISTIANO MARCONDES DE BARROS LIMA",IF(J64=135152,"ENRICO BORTPLUZO CASSIANO",IF(J64=136568,"ENRICO BORTPLUZO CASSIANO", IF(J64=130976,"MARYLIA CARVALHO PONCE",IF(J64=136668,"ALEXANDRE DA COSTA SOARES",IF(J64=52340,"OFFSHORE LISTED",IF(J64=158778,"CLAUDIO DE SOUZA PACINI",IF(J64=159800,"CLAUDIO DE SOUZA PACINI",_xlfn.XLOOKUP(J64,[1]!Tabela33[ID ORACLE],[1]!Tabela33[BROKER],0,0,1)))))))))))))</f>
        <v>DANIELA VODOVOZ</v>
      </c>
      <c r="E64" s="22">
        <f t="shared" si="7"/>
        <v>-342.17430975000002</v>
      </c>
      <c r="F64" s="9" t="str">
        <f t="shared" si="8"/>
        <v>OPTIONS PRICE REPORTING AUTHORITY (OPRA)</v>
      </c>
      <c r="G64" s="20">
        <f t="shared" si="9"/>
        <v>46113</v>
      </c>
      <c r="H64" s="23">
        <v>1170</v>
      </c>
      <c r="J64" s="41">
        <v>134703</v>
      </c>
      <c r="K64" s="1" t="s">
        <v>45</v>
      </c>
      <c r="L64" s="1" t="s">
        <v>12</v>
      </c>
      <c r="M64" s="29">
        <v>68.591250000000002</v>
      </c>
      <c r="N64" s="2"/>
      <c r="Q64" s="27"/>
      <c r="R64" s="27"/>
      <c r="S64" s="27"/>
      <c r="U64" s="27"/>
    </row>
    <row r="65" spans="1:78" s="4" customFormat="1" ht="15" hidden="1" customHeight="1" x14ac:dyDescent="0.25">
      <c r="A65" s="9" t="str">
        <f t="shared" si="6"/>
        <v>CUSTO MARKET DATA - ABRIL/26-REFINITIV-135064</v>
      </c>
      <c r="B65" s="20">
        <v>46113</v>
      </c>
      <c r="C65" s="21">
        <v>817393</v>
      </c>
      <c r="D65" s="9" t="str">
        <f>IF(J65=57036,"ALEXANDRE DA COSTA SOARES",IF(J65=24157,"JOSE MAURICIO GOMES TEIXEIRA",IF(J65=24203,"JOSE MAURICIO GOMES TEIXEIRA",IF(J65=24149,"CHRISTIANO MARCONDES DE BARROS LIMA",IF(J65=24137,"CHRISTIANO MARCONDES DE BARROS LIMA",IF(J65=135152,"ENRICO BORTPLUZO CASSIANO",IF(J65=136568,"ENRICO BORTPLUZO CASSIANO", IF(J65=130976,"MARYLIA CARVALHO PONCE",IF(J65=136668,"ALEXANDRE DA COSTA SOARES",IF(J65=52340,"OFFSHORE LISTED",IF(J65=158778,"CLAUDIO DE SOUZA PACINI",IF(J65=159800,"CLAUDIO DE SOUZA PACINI",_xlfn.XLOOKUP(J65,[1]!Tabela33[ID ORACLE],[1]!Tabela33[BROKER],0,0,1)))))))))))))</f>
        <v>ENRICO BORTPLUZO CASSIANO</v>
      </c>
      <c r="E65" s="22">
        <f t="shared" si="7"/>
        <v>-141.21536398200001</v>
      </c>
      <c r="F65" s="9" t="str">
        <f t="shared" si="8"/>
        <v>REFINITIV</v>
      </c>
      <c r="G65" s="20">
        <f t="shared" si="9"/>
        <v>46113</v>
      </c>
      <c r="H65" s="23">
        <v>1170</v>
      </c>
      <c r="I65"/>
      <c r="J65" s="41">
        <v>135064</v>
      </c>
      <c r="K65" s="1" t="s">
        <v>42</v>
      </c>
      <c r="L65" s="1" t="s">
        <v>17</v>
      </c>
      <c r="M65" s="29">
        <v>20.848212</v>
      </c>
      <c r="N65" s="2"/>
      <c r="O65" s="1"/>
      <c r="P65" s="26"/>
      <c r="Q65" s="27"/>
      <c r="R65" s="27"/>
      <c r="S65" s="27"/>
      <c r="T65" s="26"/>
      <c r="U65" s="27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s="4" customFormat="1" ht="15" customHeight="1" x14ac:dyDescent="0.25">
      <c r="A66" s="9" t="str">
        <f t="shared" si="6"/>
        <v>CUSTO MARKET DATA - ABRIL/26-BLOOMBERG-135152</v>
      </c>
      <c r="B66" s="20">
        <v>46113</v>
      </c>
      <c r="C66" s="21">
        <v>817393</v>
      </c>
      <c r="D66" s="9" t="str">
        <f>IF(J66=57036,"ALEXANDRE DA COSTA SOARES",IF(J66=24157,"JOSE MAURICIO GOMES TEIXEIRA",IF(J66=24203,"JOSE MAURICIO GOMES TEIXEIRA",IF(J66=24149,"CHRISTIANO MARCONDES DE BARROS LIMA",IF(J66=24137,"CHRISTIANO MARCONDES DE BARROS LIMA",IF(J66=135152,"ENRICO BORTPLUZO CASSIANO",IF(J66=136568,"ENRICO BORTPLUZO CASSIANO", IF(J66=130976,"MARYLIA CARVALHO PONCE",IF(J66=136668,"ALEXANDRE DA COSTA SOARES",IF(J66=52340,"OFFSHORE LISTED",IF(J66=158778,"CLAUDIO DE SOUZA PACINI",IF(J66=159800,"CLAUDIO DE SOUZA PACINI",_xlfn.XLOOKUP(J66,[1]!Tabela33[ID ORACLE],[1]!Tabela33[BROKER],0,0,1)))))))))))))</f>
        <v>ENRICO BORTPLUZO CASSIANO</v>
      </c>
      <c r="E66" s="22">
        <f t="shared" si="7"/>
        <v>-11975.812699713999</v>
      </c>
      <c r="F66" s="9" t="str">
        <f t="shared" si="8"/>
        <v>BLOOMBERG</v>
      </c>
      <c r="G66" s="20">
        <f t="shared" si="9"/>
        <v>46113</v>
      </c>
      <c r="H66" s="23">
        <v>1170</v>
      </c>
      <c r="I66"/>
      <c r="J66" s="41">
        <v>135152</v>
      </c>
      <c r="K66" s="1" t="s">
        <v>41</v>
      </c>
      <c r="L66" s="1" t="s">
        <v>12</v>
      </c>
      <c r="M66" s="29">
        <v>2400.6359899999998</v>
      </c>
      <c r="N66" s="2"/>
      <c r="O66" s="1"/>
      <c r="P66" s="26"/>
      <c r="Q66" s="27"/>
      <c r="R66" s="27"/>
      <c r="S66" s="27"/>
      <c r="T66" s="26"/>
      <c r="U66" s="27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hidden="1" customHeight="1" x14ac:dyDescent="0.25">
      <c r="A67" s="9" t="str">
        <f t="shared" si="6"/>
        <v>CUSTO MARKET DATA - ABRIL/26-REFINITIV-136568</v>
      </c>
      <c r="B67" s="20">
        <v>46113</v>
      </c>
      <c r="C67" s="21">
        <v>817393</v>
      </c>
      <c r="D67" s="9" t="str">
        <f>IF(J67=57036,"ALEXANDRE DA COSTA SOARES",IF(J67=24157,"JOSE MAURICIO GOMES TEIXEIRA",IF(J67=24203,"JOSE MAURICIO GOMES TEIXEIRA",IF(J67=24149,"CHRISTIANO MARCONDES DE BARROS LIMA",IF(J67=24137,"CHRISTIANO MARCONDES DE BARROS LIMA",IF(J67=135152,"ENRICO BORTPLUZO CASSIANO",IF(J67=136568,"ENRICO BORTPLUZO CASSIANO", IF(J67=130976,"MARYLIA CARVALHO PONCE",IF(J67=136668,"ALEXANDRE DA COSTA SOARES",IF(J67=52340,"OFFSHORE LISTED",IF(J67=158778,"CLAUDIO DE SOUZA PACINI",IF(J67=159800,"CLAUDIO DE SOUZA PACINI",_xlfn.XLOOKUP(J67,[1]!Tabela33[ID ORACLE],[1]!Tabela33[BROKER],0,0,1)))))))))))))</f>
        <v>ENRICO BORTPLUZO CASSIANO</v>
      </c>
      <c r="E67" s="22">
        <f t="shared" si="7"/>
        <v>-141.21536398200001</v>
      </c>
      <c r="F67" s="9" t="str">
        <f t="shared" si="8"/>
        <v>REFINITIV</v>
      </c>
      <c r="G67" s="20">
        <f t="shared" si="9"/>
        <v>46113</v>
      </c>
      <c r="H67" s="23">
        <v>1170</v>
      </c>
      <c r="J67" s="41">
        <v>136568</v>
      </c>
      <c r="K67" s="1" t="s">
        <v>42</v>
      </c>
      <c r="L67" s="1" t="s">
        <v>17</v>
      </c>
      <c r="M67" s="29">
        <v>20.848212</v>
      </c>
      <c r="N67" s="2"/>
      <c r="Q67" s="27"/>
      <c r="R67" s="27"/>
      <c r="S67" s="27"/>
      <c r="U67" s="27"/>
    </row>
    <row r="68" spans="1:78" ht="15" hidden="1" customHeight="1" x14ac:dyDescent="0.25">
      <c r="A68" s="9" t="str">
        <f t="shared" si="6"/>
        <v>CUSTO MARKET DATA - ABRIL/26-REFINITIV-136667</v>
      </c>
      <c r="B68" s="20">
        <v>46113</v>
      </c>
      <c r="C68" s="21">
        <v>817393</v>
      </c>
      <c r="D68" s="9" t="str">
        <f>IF(J68=57036,"ALEXANDRE DA COSTA SOARES",IF(J68=24157,"JOSE MAURICIO GOMES TEIXEIRA",IF(J68=24203,"JOSE MAURICIO GOMES TEIXEIRA",IF(J68=24149,"CHRISTIANO MARCONDES DE BARROS LIMA",IF(J68=24137,"CHRISTIANO MARCONDES DE BARROS LIMA",IF(J68=135152,"ENRICO BORTPLUZO CASSIANO",IF(J68=136568,"ENRICO BORTPLUZO CASSIANO", IF(J68=130976,"MARYLIA CARVALHO PONCE",IF(J68=136668,"ALEXANDRE DA COSTA SOARES",IF(J68=52340,"OFFSHORE LISTED",IF(J68=158778,"CLAUDIO DE SOUZA PACINI",IF(J68=159800,"CLAUDIO DE SOUZA PACINI",_xlfn.XLOOKUP(J68,[1]!Tabela33[ID ORACLE],[1]!Tabela33[BROKER],0,0,1)))))))))))))</f>
        <v>HUGO BIANCHI RIBEIRO</v>
      </c>
      <c r="E68" s="22">
        <f t="shared" si="7"/>
        <v>-577.97555476950004</v>
      </c>
      <c r="F68" s="9" t="str">
        <f t="shared" si="8"/>
        <v>REFINITIV</v>
      </c>
      <c r="G68" s="20">
        <f t="shared" si="9"/>
        <v>46113</v>
      </c>
      <c r="H68" s="23">
        <v>1170</v>
      </c>
      <c r="J68" s="41">
        <v>136667</v>
      </c>
      <c r="K68" s="1" t="s">
        <v>42</v>
      </c>
      <c r="L68" s="1" t="s">
        <v>17</v>
      </c>
      <c r="M68" s="29">
        <v>85.328936999999996</v>
      </c>
      <c r="N68" s="2"/>
      <c r="Q68" s="27"/>
      <c r="R68" s="27"/>
      <c r="S68" s="27"/>
      <c r="U68" s="27"/>
    </row>
    <row r="69" spans="1:78" ht="15" hidden="1" customHeight="1" x14ac:dyDescent="0.25">
      <c r="A69" s="9" t="str">
        <f t="shared" si="6"/>
        <v>CUSTO MARKET DATA - ABRIL/26-OPTIONS PRICE REPORTING AUTHORITY (OPRA)-136668</v>
      </c>
      <c r="B69" s="20">
        <v>46113</v>
      </c>
      <c r="C69" s="21">
        <v>817393</v>
      </c>
      <c r="D69" s="9" t="str">
        <f>IF(J69=57036,"ALEXANDRE DA COSTA SOARES",IF(J69=24157,"JOSE MAURICIO GOMES TEIXEIRA",IF(J69=24203,"JOSE MAURICIO GOMES TEIXEIRA",IF(J69=24149,"CHRISTIANO MARCONDES DE BARROS LIMA",IF(J69=24137,"CHRISTIANO MARCONDES DE BARROS LIMA",IF(J69=135152,"ENRICO BORTPLUZO CASSIANO",IF(J69=136568,"ENRICO BORTPLUZO CASSIANO", IF(J69=130976,"MARYLIA CARVALHO PONCE",IF(J69=136668,"ALEXANDRE DA COSTA SOARES",IF(J69=52340,"OFFSHORE LISTED",IF(J69=158778,"CLAUDIO DE SOUZA PACINI",IF(J69=159800,"CLAUDIO DE SOUZA PACINI",_xlfn.XLOOKUP(J69,[1]!Tabela33[ID ORACLE],[1]!Tabela33[BROKER],0,0,1)))))))))))))</f>
        <v>ALEXANDRE DA COSTA SOARES</v>
      </c>
      <c r="E69" s="22">
        <f t="shared" si="7"/>
        <v>-157.14089999999999</v>
      </c>
      <c r="F69" s="9" t="str">
        <f t="shared" si="8"/>
        <v>OPTIONS PRICE REPORTING AUTHORITY (OPRA)</v>
      </c>
      <c r="G69" s="20">
        <f t="shared" si="9"/>
        <v>46113</v>
      </c>
      <c r="H69" s="23">
        <v>1170</v>
      </c>
      <c r="J69" s="41">
        <v>136668</v>
      </c>
      <c r="K69" s="1" t="s">
        <v>45</v>
      </c>
      <c r="L69" s="1" t="s">
        <v>12</v>
      </c>
      <c r="M69" s="29">
        <v>31.5</v>
      </c>
      <c r="N69" s="2"/>
      <c r="Q69" s="27"/>
      <c r="R69" s="27"/>
      <c r="S69" s="27"/>
      <c r="U69" s="27"/>
    </row>
    <row r="70" spans="1:78" ht="15" hidden="1" customHeight="1" x14ac:dyDescent="0.25">
      <c r="A70" s="9" t="str">
        <f t="shared" si="6"/>
        <v>CUSTO MARKET DATA - ABRIL/26-REFINITIV-136668</v>
      </c>
      <c r="B70" s="20">
        <v>46113</v>
      </c>
      <c r="C70" s="21">
        <v>817393</v>
      </c>
      <c r="D70" s="9" t="str">
        <f>IF(J70=57036,"ALEXANDRE DA COSTA SOARES",IF(J70=24157,"JOSE MAURICIO GOMES TEIXEIRA",IF(J70=24203,"JOSE MAURICIO GOMES TEIXEIRA",IF(J70=24149,"CHRISTIANO MARCONDES DE BARROS LIMA",IF(J70=24137,"CHRISTIANO MARCONDES DE BARROS LIMA",IF(J70=135152,"ENRICO BORTPLUZO CASSIANO",IF(J70=136568,"ENRICO BORTPLUZO CASSIANO", IF(J70=130976,"MARYLIA CARVALHO PONCE",IF(J70=136668,"ALEXANDRE DA COSTA SOARES",IF(J70=52340,"OFFSHORE LISTED",IF(J70=158778,"CLAUDIO DE SOUZA PACINI",IF(J70=159800,"CLAUDIO DE SOUZA PACINI",_xlfn.XLOOKUP(J70,[1]!Tabela33[ID ORACLE],[1]!Tabela33[BROKER],0,0,1)))))))))))))</f>
        <v>ALEXANDRE DA COSTA SOARES</v>
      </c>
      <c r="E70" s="22">
        <f t="shared" si="7"/>
        <v>-141.21536398200001</v>
      </c>
      <c r="F70" s="9" t="str">
        <f t="shared" si="8"/>
        <v>REFINITIV</v>
      </c>
      <c r="G70" s="20">
        <f t="shared" si="9"/>
        <v>46113</v>
      </c>
      <c r="H70" s="23">
        <v>1170</v>
      </c>
      <c r="J70" s="41">
        <v>136668</v>
      </c>
      <c r="K70" s="1" t="s">
        <v>42</v>
      </c>
      <c r="L70" s="1" t="s">
        <v>17</v>
      </c>
      <c r="M70" s="29">
        <v>20.848212</v>
      </c>
      <c r="N70" s="2"/>
      <c r="Q70" s="27"/>
      <c r="R70" s="27"/>
      <c r="S70" s="27"/>
      <c r="U70" s="27"/>
    </row>
    <row r="71" spans="1:78" ht="15" hidden="1" customHeight="1" x14ac:dyDescent="0.25">
      <c r="A71" s="9" t="str">
        <f t="shared" si="6"/>
        <v>CUSTO MARKET DATA - ABRIL/26-SYMPHONY COMMUNICATION SERVICES, LLC-136668</v>
      </c>
      <c r="B71" s="20">
        <v>46113</v>
      </c>
      <c r="C71" s="21">
        <v>817393</v>
      </c>
      <c r="D71" s="9" t="str">
        <f>IF(J71=57036,"ALEXANDRE DA COSTA SOARES",IF(J71=24157,"JOSE MAURICIO GOMES TEIXEIRA",IF(J71=24203,"JOSE MAURICIO GOMES TEIXEIRA",IF(J71=24149,"CHRISTIANO MARCONDES DE BARROS LIMA",IF(J71=24137,"CHRISTIANO MARCONDES DE BARROS LIMA",IF(J71=135152,"ENRICO BORTPLUZO CASSIANO",IF(J71=136568,"ENRICO BORTPLUZO CASSIANO", IF(J71=130976,"MARYLIA CARVALHO PONCE",IF(J71=136668,"ALEXANDRE DA COSTA SOARES",IF(J71=52340,"OFFSHORE LISTED",IF(J71=158778,"CLAUDIO DE SOUZA PACINI",IF(J71=159800,"CLAUDIO DE SOUZA PACINI",_xlfn.XLOOKUP(J71,[1]!Tabela33[ID ORACLE],[1]!Tabela33[BROKER],0,0,1)))))))))))))</f>
        <v>ALEXANDRE DA COSTA SOARES</v>
      </c>
      <c r="E71" s="22">
        <f t="shared" si="7"/>
        <v>-124.92077975000001</v>
      </c>
      <c r="F71" s="9" t="str">
        <f t="shared" si="8"/>
        <v>SYMPHONY COMMUNICATION SERVICES, LLC</v>
      </c>
      <c r="G71" s="20">
        <f t="shared" si="9"/>
        <v>46113</v>
      </c>
      <c r="H71" s="23">
        <v>1170</v>
      </c>
      <c r="J71" s="41">
        <v>136668</v>
      </c>
      <c r="K71" s="1" t="s">
        <v>50</v>
      </c>
      <c r="L71" s="1" t="s">
        <v>12</v>
      </c>
      <c r="M71" s="29">
        <v>25.041250000000002</v>
      </c>
      <c r="N71" s="2"/>
      <c r="Q71" s="27"/>
      <c r="R71" s="27"/>
      <c r="S71" s="27"/>
      <c r="U71" s="27"/>
    </row>
    <row r="72" spans="1:78" ht="15" customHeight="1" x14ac:dyDescent="0.25">
      <c r="A72" s="9" t="str">
        <f t="shared" si="6"/>
        <v>CUSTO MARKET DATA - ABRIL/26-BLOOMBERG-137478</v>
      </c>
      <c r="B72" s="20">
        <v>46113</v>
      </c>
      <c r="C72" s="21">
        <v>817393</v>
      </c>
      <c r="D72" s="9" t="str">
        <f>IF(J72=57036,"ALEXANDRE DA COSTA SOARES",IF(J72=24157,"JOSE MAURICIO GOMES TEIXEIRA",IF(J72=24203,"JOSE MAURICIO GOMES TEIXEIRA",IF(J72=24149,"CHRISTIANO MARCONDES DE BARROS LIMA",IF(J72=24137,"CHRISTIANO MARCONDES DE BARROS LIMA",IF(J72=135152,"ENRICO BORTPLUZO CASSIANO",IF(J72=136568,"ENRICO BORTPLUZO CASSIANO", IF(J72=130976,"MARYLIA CARVALHO PONCE",IF(J72=136668,"ALEXANDRE DA COSTA SOARES",IF(J72=52340,"OFFSHORE LISTED",IF(J72=158778,"CLAUDIO DE SOUZA PACINI",IF(J72=159800,"CLAUDIO DE SOUZA PACINI",_xlfn.XLOOKUP(J72,[1]!Tabela33[ID ORACLE],[1]!Tabela33[BROKER],0,0,1)))))))))))))</f>
        <v>ALEXANDRE BRENO STEVENS</v>
      </c>
      <c r="E72" s="22">
        <f t="shared" si="7"/>
        <v>-9021.768317302598</v>
      </c>
      <c r="F72" s="9" t="str">
        <f t="shared" si="8"/>
        <v>BLOOMBERG</v>
      </c>
      <c r="G72" s="20">
        <f t="shared" si="9"/>
        <v>46113</v>
      </c>
      <c r="H72" s="23">
        <v>1170</v>
      </c>
      <c r="J72" s="41">
        <v>137478</v>
      </c>
      <c r="K72" s="1" t="s">
        <v>41</v>
      </c>
      <c r="L72" s="1" t="s">
        <v>12</v>
      </c>
      <c r="M72" s="29">
        <v>1808.4769909999998</v>
      </c>
      <c r="N72" s="2"/>
      <c r="Q72" s="27"/>
      <c r="R72" s="27"/>
      <c r="S72" s="27"/>
      <c r="U72" s="27"/>
    </row>
    <row r="73" spans="1:78" ht="15" customHeight="1" x14ac:dyDescent="0.25">
      <c r="A73" s="9" t="str">
        <f t="shared" si="6"/>
        <v>CUSTO MARKET DATA - ABRIL/26-BLOOMBERG-139345</v>
      </c>
      <c r="B73" s="20">
        <v>46113</v>
      </c>
      <c r="C73" s="21">
        <v>817393</v>
      </c>
      <c r="D73" s="9" t="str">
        <f>IF(J73=57036,"ALEXANDRE DA COSTA SOARES",IF(J73=24157,"JOSE MAURICIO GOMES TEIXEIRA",IF(J73=24203,"JOSE MAURICIO GOMES TEIXEIRA",IF(J73=24149,"CHRISTIANO MARCONDES DE BARROS LIMA",IF(J73=24137,"CHRISTIANO MARCONDES DE BARROS LIMA",IF(J73=135152,"ENRICO BORTPLUZO CASSIANO",IF(J73=136568,"ENRICO BORTPLUZO CASSIANO", IF(J73=130976,"MARYLIA CARVALHO PONCE",IF(J73=136668,"ALEXANDRE DA COSTA SOARES",IF(J73=52340,"OFFSHORE LISTED",IF(J73=158778,"CLAUDIO DE SOUZA PACINI",IF(J73=159800,"CLAUDIO DE SOUZA PACINI",_xlfn.XLOOKUP(J73,[1]!Tabela33[ID ORACLE],[1]!Tabela33[BROKER],0,0,1)))))))))))))</f>
        <v>FELIPE MEIRELLES RACCAH</v>
      </c>
      <c r="E73" s="22">
        <f t="shared" si="7"/>
        <v>-11838.626199713999</v>
      </c>
      <c r="F73" s="9" t="str">
        <f t="shared" si="8"/>
        <v>BLOOMBERG</v>
      </c>
      <c r="G73" s="20">
        <f t="shared" si="9"/>
        <v>46113</v>
      </c>
      <c r="H73" s="23">
        <v>1170</v>
      </c>
      <c r="J73" s="41">
        <v>139345</v>
      </c>
      <c r="K73" s="1" t="s">
        <v>41</v>
      </c>
      <c r="L73" s="1" t="s">
        <v>12</v>
      </c>
      <c r="M73" s="29">
        <v>2373.1359899999998</v>
      </c>
      <c r="N73" s="2"/>
      <c r="Q73" s="27"/>
      <c r="R73" s="27"/>
      <c r="S73" s="27"/>
      <c r="U73" s="27"/>
    </row>
    <row r="74" spans="1:78" ht="15" customHeight="1" x14ac:dyDescent="0.25">
      <c r="A74" s="9" t="str">
        <f t="shared" si="6"/>
        <v>CUSTO MARKET DATA - ABRIL/26-BLOOMBERG-141745</v>
      </c>
      <c r="B74" s="20">
        <v>46113</v>
      </c>
      <c r="C74" s="21">
        <v>817393</v>
      </c>
      <c r="D74" s="9" t="str">
        <f>IF(J74=57036,"ALEXANDRE DA COSTA SOARES",IF(J74=24157,"JOSE MAURICIO GOMES TEIXEIRA",IF(J74=24203,"JOSE MAURICIO GOMES TEIXEIRA",IF(J74=24149,"CHRISTIANO MARCONDES DE BARROS LIMA",IF(J74=24137,"CHRISTIANO MARCONDES DE BARROS LIMA",IF(J74=135152,"ENRICO BORTPLUZO CASSIANO",IF(J74=136568,"ENRICO BORTPLUZO CASSIANO", IF(J74=130976,"MARYLIA CARVALHO PONCE",IF(J74=136668,"ALEXANDRE DA COSTA SOARES",IF(J74=52340,"OFFSHORE LISTED",IF(J74=158778,"CLAUDIO DE SOUZA PACINI",IF(J74=159800,"CLAUDIO DE SOUZA PACINI",_xlfn.XLOOKUP(J74,[1]!Tabela33[ID ORACLE],[1]!Tabela33[BROKER],0,0,1)))))))))))))</f>
        <v>EDRAS DURAES D ANUNCIACAO</v>
      </c>
      <c r="E74" s="22">
        <f t="shared" si="7"/>
        <v>-11115.279199713999</v>
      </c>
      <c r="F74" s="9" t="str">
        <f t="shared" si="8"/>
        <v>BLOOMBERG</v>
      </c>
      <c r="G74" s="20">
        <f t="shared" si="9"/>
        <v>46113</v>
      </c>
      <c r="H74" s="23">
        <v>1170</v>
      </c>
      <c r="J74" s="41">
        <v>141745</v>
      </c>
      <c r="K74" s="1" t="s">
        <v>41</v>
      </c>
      <c r="L74" s="1" t="s">
        <v>12</v>
      </c>
      <c r="M74" s="29">
        <v>2228.1359899999998</v>
      </c>
      <c r="N74" s="2"/>
      <c r="Q74" s="27"/>
      <c r="R74" s="27"/>
      <c r="S74" s="27"/>
      <c r="U74" s="27"/>
    </row>
    <row r="75" spans="1:78" ht="15" customHeight="1" x14ac:dyDescent="0.25">
      <c r="A75" s="9" t="str">
        <f t="shared" si="6"/>
        <v>CUSTO MARKET DATA - ABRIL/26-BLOOMBERG-142760</v>
      </c>
      <c r="B75" s="20">
        <v>46113</v>
      </c>
      <c r="C75" s="21">
        <v>817393</v>
      </c>
      <c r="D75" s="9" t="str">
        <f>IF(J75=57036,"ALEXANDRE DA COSTA SOARES",IF(J75=24157,"JOSE MAURICIO GOMES TEIXEIRA",IF(J75=24203,"JOSE MAURICIO GOMES TEIXEIRA",IF(J75=24149,"CHRISTIANO MARCONDES DE BARROS LIMA",IF(J75=24137,"CHRISTIANO MARCONDES DE BARROS LIMA",IF(J75=135152,"ENRICO BORTPLUZO CASSIANO",IF(J75=136568,"ENRICO BORTPLUZO CASSIANO", IF(J75=130976,"MARYLIA CARVALHO PONCE",IF(J75=136668,"ALEXANDRE DA COSTA SOARES",IF(J75=52340,"OFFSHORE LISTED",IF(J75=158778,"CLAUDIO DE SOUZA PACINI",IF(J75=159800,"CLAUDIO DE SOUZA PACINI",_xlfn.XLOOKUP(J75,[1]!Tabela33[ID ORACLE],[1]!Tabela33[BROKER],0,0,1)))))))))))))</f>
        <v>CARLOS THADEU DE FREITAS GOMES FILHO</v>
      </c>
      <c r="E75" s="22">
        <f t="shared" si="7"/>
        <v>-11975.812699713999</v>
      </c>
      <c r="F75" s="9" t="str">
        <f t="shared" si="8"/>
        <v>BLOOMBERG</v>
      </c>
      <c r="G75" s="20">
        <f t="shared" si="9"/>
        <v>46113</v>
      </c>
      <c r="H75" s="23">
        <v>1170</v>
      </c>
      <c r="J75" s="41">
        <v>142760</v>
      </c>
      <c r="K75" s="1" t="s">
        <v>41</v>
      </c>
      <c r="L75" s="1" t="s">
        <v>12</v>
      </c>
      <c r="M75" s="29">
        <v>2400.6359899999998</v>
      </c>
      <c r="N75" s="2"/>
      <c r="Q75" s="27"/>
      <c r="R75" s="27"/>
      <c r="S75" s="27"/>
      <c r="U75" s="27"/>
    </row>
    <row r="76" spans="1:78" ht="15" customHeight="1" x14ac:dyDescent="0.25">
      <c r="A76" s="9" t="str">
        <f t="shared" si="6"/>
        <v>CUSTO MARKET DATA - ABRIL/26-BLOOMBERG-150588</v>
      </c>
      <c r="B76" s="20">
        <v>46113</v>
      </c>
      <c r="C76" s="21">
        <v>817393</v>
      </c>
      <c r="D76" s="9" t="str">
        <f>IF(J76=57036,"ALEXANDRE DA COSTA SOARES",IF(J76=24157,"JOSE MAURICIO GOMES TEIXEIRA",IF(J76=24203,"JOSE MAURICIO GOMES TEIXEIRA",IF(J76=24149,"CHRISTIANO MARCONDES DE BARROS LIMA",IF(J76=24137,"CHRISTIANO MARCONDES DE BARROS LIMA",IF(J76=135152,"ENRICO BORTPLUZO CASSIANO",IF(J76=136568,"ENRICO BORTPLUZO CASSIANO", IF(J76=130976,"MARYLIA CARVALHO PONCE",IF(J76=136668,"ALEXANDRE DA COSTA SOARES",IF(J76=52340,"OFFSHORE LISTED",IF(J76=158778,"CLAUDIO DE SOUZA PACINI",IF(J76=159800,"CLAUDIO DE SOUZA PACINI",_xlfn.XLOOKUP(J76,[1]!Tabela33[ID ORACLE],[1]!Tabela33[BROKER],0,0,1)))))))))))))</f>
        <v>PAULO GUILHERME MENEZES FELIX</v>
      </c>
      <c r="E76" s="22">
        <f t="shared" si="7"/>
        <v>-49.885999999999996</v>
      </c>
      <c r="F76" s="9" t="str">
        <f t="shared" si="8"/>
        <v>BLOOMBERG</v>
      </c>
      <c r="G76" s="20">
        <f t="shared" si="9"/>
        <v>46113</v>
      </c>
      <c r="H76" s="23">
        <v>1170</v>
      </c>
      <c r="J76" s="41">
        <v>150588</v>
      </c>
      <c r="K76" s="1" t="s">
        <v>41</v>
      </c>
      <c r="L76" s="1" t="s">
        <v>12</v>
      </c>
      <c r="M76" s="29">
        <v>10</v>
      </c>
      <c r="N76" s="2"/>
      <c r="Q76" s="27"/>
      <c r="R76" s="27"/>
      <c r="S76" s="27"/>
      <c r="U76" s="27"/>
    </row>
    <row r="77" spans="1:78" ht="15" customHeight="1" x14ac:dyDescent="0.25">
      <c r="A77" s="9" t="str">
        <f t="shared" si="6"/>
        <v>CUSTO MARKET DATA - ABRIL/26-BLOOMBERG-152836</v>
      </c>
      <c r="B77" s="20">
        <v>46113</v>
      </c>
      <c r="C77" s="21">
        <v>817393</v>
      </c>
      <c r="D77" s="9" t="str">
        <f>IF(J77=57036,"ALEXANDRE DA COSTA SOARES",IF(J77=24157,"JOSE MAURICIO GOMES TEIXEIRA",IF(J77=24203,"JOSE MAURICIO GOMES TEIXEIRA",IF(J77=24149,"CHRISTIANO MARCONDES DE BARROS LIMA",IF(J77=24137,"CHRISTIANO MARCONDES DE BARROS LIMA",IF(J77=135152,"ENRICO BORTPLUZO CASSIANO",IF(J77=136568,"ENRICO BORTPLUZO CASSIANO", IF(J77=130976,"MARYLIA CARVALHO PONCE",IF(J77=136668,"ALEXANDRE DA COSTA SOARES",IF(J77=52340,"OFFSHORE LISTED",IF(J77=158778,"CLAUDIO DE SOUZA PACINI",IF(J77=159800,"CLAUDIO DE SOUZA PACINI",_xlfn.XLOOKUP(J77,[1]!Tabela33[ID ORACLE],[1]!Tabela33[BROKER],0,0,1)))))))))))))</f>
        <v>FELIPE DE SA TAVARES</v>
      </c>
      <c r="E77" s="22">
        <f t="shared" si="7"/>
        <v>-11975.812699713999</v>
      </c>
      <c r="F77" s="9" t="str">
        <f t="shared" si="8"/>
        <v>BLOOMBERG</v>
      </c>
      <c r="G77" s="20">
        <f t="shared" si="9"/>
        <v>46113</v>
      </c>
      <c r="H77" s="23">
        <v>1170</v>
      </c>
      <c r="J77" s="41">
        <v>152836</v>
      </c>
      <c r="K77" s="1" t="s">
        <v>41</v>
      </c>
      <c r="L77" s="1" t="s">
        <v>12</v>
      </c>
      <c r="M77" s="29">
        <v>2400.6359899999998</v>
      </c>
      <c r="N77" s="2"/>
      <c r="Q77" s="27"/>
      <c r="R77" s="27"/>
      <c r="S77" s="27"/>
      <c r="U77" s="27"/>
    </row>
    <row r="78" spans="1:78" ht="15" customHeight="1" x14ac:dyDescent="0.25">
      <c r="A78" s="9" t="str">
        <f t="shared" si="6"/>
        <v>CUSTO MARKET DATA - ABRIL/26-BLOOMBERG-153595</v>
      </c>
      <c r="B78" s="20">
        <v>46113</v>
      </c>
      <c r="C78" s="21">
        <v>817393</v>
      </c>
      <c r="D78" s="9" t="str">
        <f>IF(J78=57036,"ALEXANDRE DA COSTA SOARES",IF(J78=24157,"JOSE MAURICIO GOMES TEIXEIRA",IF(J78=24203,"JOSE MAURICIO GOMES TEIXEIRA",IF(J78=24149,"CHRISTIANO MARCONDES DE BARROS LIMA",IF(J78=24137,"CHRISTIANO MARCONDES DE BARROS LIMA",IF(J78=135152,"ENRICO BORTPLUZO CASSIANO",IF(J78=136568,"ENRICO BORTPLUZO CASSIANO", IF(J78=130976,"MARYLIA CARVALHO PONCE",IF(J78=136668,"ALEXANDRE DA COSTA SOARES",IF(J78=52340,"OFFSHORE LISTED",IF(J78=158778,"CLAUDIO DE SOUZA PACINI",IF(J78=159800,"CLAUDIO DE SOUZA PACINI",_xlfn.XLOOKUP(J78,[1]!Tabela33[ID ORACLE],[1]!Tabela33[BROKER],0,0,1)))))))))))))</f>
        <v>REINALDO ANDRE URBANO FILHO</v>
      </c>
      <c r="E78" s="22">
        <f t="shared" si="7"/>
        <v>-12037.172479714</v>
      </c>
      <c r="F78" s="9" t="str">
        <f t="shared" si="8"/>
        <v>BLOOMBERG</v>
      </c>
      <c r="G78" s="20">
        <f t="shared" si="9"/>
        <v>46113</v>
      </c>
      <c r="H78" s="23">
        <v>1170</v>
      </c>
      <c r="J78" s="41">
        <v>153595</v>
      </c>
      <c r="K78" s="1" t="s">
        <v>41</v>
      </c>
      <c r="L78" s="1" t="s">
        <v>12</v>
      </c>
      <c r="M78" s="29">
        <v>2412.9359899999999</v>
      </c>
      <c r="N78" s="2"/>
      <c r="Q78" s="27"/>
      <c r="R78" s="27"/>
      <c r="S78" s="27"/>
      <c r="U78" s="27"/>
    </row>
    <row r="79" spans="1:78" customFormat="1" ht="15" customHeight="1" x14ac:dyDescent="0.25">
      <c r="A79" s="9" t="str">
        <f t="shared" si="6"/>
        <v>CUSTO MARKET DATA - ABRIL/26-BLOOMBERG-158778</v>
      </c>
      <c r="B79" s="20">
        <v>46113</v>
      </c>
      <c r="C79" s="21">
        <v>817393</v>
      </c>
      <c r="D79" s="9" t="str">
        <f>IF(J79=57036,"ALEXANDRE DA COSTA SOARES",IF(J79=24157,"JOSE MAURICIO GOMES TEIXEIRA",IF(J79=24203,"JOSE MAURICIO GOMES TEIXEIRA",IF(J79=24149,"CHRISTIANO MARCONDES DE BARROS LIMA",IF(J79=24137,"CHRISTIANO MARCONDES DE BARROS LIMA",IF(J79=135152,"ENRICO BORTPLUZO CASSIANO",IF(J79=136568,"ENRICO BORTPLUZO CASSIANO", IF(J79=130976,"MARYLIA CARVALHO PONCE",IF(J79=136668,"ALEXANDRE DA COSTA SOARES",IF(J79=52340,"OFFSHORE LISTED",IF(J79=158778,"CLAUDIO DE SOUZA PACINI",IF(J79=159800,"CLAUDIO DE SOUZA PACINI",_xlfn.XLOOKUP(J79,[1]!Tabela33[ID ORACLE],[1]!Tabela33[BROKER],0,0,1)))))))))))))</f>
        <v>CLAUDIO DE SOUZA PACINI</v>
      </c>
      <c r="E79" s="22">
        <f t="shared" si="7"/>
        <v>-12030.687299713998</v>
      </c>
      <c r="F79" s="9" t="str">
        <f t="shared" si="8"/>
        <v>BLOOMBERG</v>
      </c>
      <c r="G79" s="20">
        <f t="shared" si="9"/>
        <v>46113</v>
      </c>
      <c r="H79" s="23">
        <v>1170</v>
      </c>
      <c r="J79" s="41">
        <v>158778</v>
      </c>
      <c r="K79" s="1" t="s">
        <v>41</v>
      </c>
      <c r="L79" s="1" t="s">
        <v>12</v>
      </c>
      <c r="M79" s="29">
        <v>2411.6359899999998</v>
      </c>
      <c r="N79" s="2"/>
      <c r="O79" s="1"/>
      <c r="P79" s="26"/>
      <c r="Q79" s="27"/>
      <c r="R79" s="27"/>
      <c r="S79" s="27"/>
      <c r="T79" s="26"/>
      <c r="U79" s="27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</row>
    <row r="80" spans="1:78" customFormat="1" ht="15" hidden="1" customHeight="1" x14ac:dyDescent="0.25">
      <c r="A80" s="9" t="str">
        <f t="shared" si="6"/>
        <v>CUSTO MARKET DATA - ABRIL/26-FIDESSA-158778</v>
      </c>
      <c r="B80" s="20">
        <v>46113</v>
      </c>
      <c r="C80" s="21">
        <v>817393</v>
      </c>
      <c r="D80" s="9" t="str">
        <f>IF(J80=57036,"ALEXANDRE DA COSTA SOARES",IF(J80=24157,"JOSE MAURICIO GOMES TEIXEIRA",IF(J80=24203,"JOSE MAURICIO GOMES TEIXEIRA",IF(J80=24149,"CHRISTIANO MARCONDES DE BARROS LIMA",IF(J80=24137,"CHRISTIANO MARCONDES DE BARROS LIMA",IF(J80=135152,"ENRICO BORTPLUZO CASSIANO",IF(J80=136568,"ENRICO BORTPLUZO CASSIANO", IF(J80=130976,"MARYLIA CARVALHO PONCE",IF(J80=136668,"ALEXANDRE DA COSTA SOARES",IF(J80=52340,"OFFSHORE LISTED",IF(J80=158778,"CLAUDIO DE SOUZA PACINI",IF(J80=159800,"CLAUDIO DE SOUZA PACINI",_xlfn.XLOOKUP(J80,[1]!Tabela33[ID ORACLE],[1]!Tabela33[BROKER],0,0,1)))))))))))))</f>
        <v>CLAUDIO DE SOUZA PACINI</v>
      </c>
      <c r="E80" s="22">
        <f t="shared" si="7"/>
        <v>-1739.9835267586</v>
      </c>
      <c r="F80" s="9" t="str">
        <f t="shared" si="8"/>
        <v>FIDESSA</v>
      </c>
      <c r="G80" s="20">
        <f t="shared" si="9"/>
        <v>46113</v>
      </c>
      <c r="H80" s="23">
        <v>1170</v>
      </c>
      <c r="J80" s="41">
        <v>158778</v>
      </c>
      <c r="K80" s="1" t="s">
        <v>47</v>
      </c>
      <c r="L80" s="1" t="s">
        <v>12</v>
      </c>
      <c r="M80" s="29">
        <v>348.79195099999998</v>
      </c>
      <c r="N80" s="2"/>
      <c r="O80" s="1"/>
      <c r="P80" s="26"/>
      <c r="Q80" s="27"/>
      <c r="R80" s="27"/>
      <c r="S80" s="27"/>
      <c r="T80" s="26"/>
      <c r="U80" s="27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</row>
    <row r="81" spans="1:78" customFormat="1" ht="15" hidden="1" customHeight="1" x14ac:dyDescent="0.25">
      <c r="A81" s="9" t="str">
        <f t="shared" si="6"/>
        <v>CUSTO MARKET DATA - ABRIL/26-NYSE MARKET INC.-158778</v>
      </c>
      <c r="B81" s="20">
        <v>46113</v>
      </c>
      <c r="C81" s="21">
        <v>817393</v>
      </c>
      <c r="D81" s="9" t="str">
        <f>IF(J81=57036,"ALEXANDRE DA COSTA SOARES",IF(J81=24157,"JOSE MAURICIO GOMES TEIXEIRA",IF(J81=24203,"JOSE MAURICIO GOMES TEIXEIRA",IF(J81=24149,"CHRISTIANO MARCONDES DE BARROS LIMA",IF(J81=24137,"CHRISTIANO MARCONDES DE BARROS LIMA",IF(J81=135152,"ENRICO BORTPLUZO CASSIANO",IF(J81=136568,"ENRICO BORTPLUZO CASSIANO", IF(J81=130976,"MARYLIA CARVALHO PONCE",IF(J81=136668,"ALEXANDRE DA COSTA SOARES",IF(J81=52340,"OFFSHORE LISTED",IF(J81=158778,"CLAUDIO DE SOUZA PACINI",IF(J81=159800,"CLAUDIO DE SOUZA PACINI",_xlfn.XLOOKUP(J81,[1]!Tabela33[ID ORACLE],[1]!Tabela33[BROKER],0,0,1)))))))))))))</f>
        <v>CLAUDIO DE SOUZA PACINI</v>
      </c>
      <c r="E81" s="22">
        <f t="shared" si="7"/>
        <v>-1270.9331505</v>
      </c>
      <c r="F81" s="9" t="str">
        <f t="shared" si="8"/>
        <v>NYSE MARKET INC.</v>
      </c>
      <c r="G81" s="20">
        <f t="shared" si="9"/>
        <v>46113</v>
      </c>
      <c r="H81" s="23">
        <v>1170</v>
      </c>
      <c r="J81" s="41">
        <v>158778</v>
      </c>
      <c r="K81" s="1" t="s">
        <v>44</v>
      </c>
      <c r="L81" s="1" t="s">
        <v>12</v>
      </c>
      <c r="M81" s="29">
        <v>254.76749999999998</v>
      </c>
      <c r="N81" s="2"/>
      <c r="O81" s="1"/>
      <c r="P81" s="26"/>
      <c r="Q81" s="27"/>
      <c r="R81" s="27"/>
      <c r="S81" s="27"/>
      <c r="T81" s="26"/>
      <c r="U81" s="27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</row>
    <row r="82" spans="1:78" customFormat="1" ht="15" hidden="1" customHeight="1" x14ac:dyDescent="0.25">
      <c r="A82" s="9" t="str">
        <f t="shared" si="6"/>
        <v>CUSTO MARKET DATA - ABRIL/26-OPTIONS PRICE REPORTING AUTHORITY (OPRA)-158778</v>
      </c>
      <c r="B82" s="20">
        <v>46113</v>
      </c>
      <c r="C82" s="21">
        <v>817393</v>
      </c>
      <c r="D82" s="9" t="str">
        <f>IF(J82=57036,"ALEXANDRE DA COSTA SOARES",IF(J82=24157,"JOSE MAURICIO GOMES TEIXEIRA",IF(J82=24203,"JOSE MAURICIO GOMES TEIXEIRA",IF(J82=24149,"CHRISTIANO MARCONDES DE BARROS LIMA",IF(J82=24137,"CHRISTIANO MARCONDES DE BARROS LIMA",IF(J82=135152,"ENRICO BORTPLUZO CASSIANO",IF(J82=136568,"ENRICO BORTPLUZO CASSIANO", IF(J82=130976,"MARYLIA CARVALHO PONCE",IF(J82=136668,"ALEXANDRE DA COSTA SOARES",IF(J82=52340,"OFFSHORE LISTED",IF(J82=158778,"CLAUDIO DE SOUZA PACINI",IF(J82=159800,"CLAUDIO DE SOUZA PACINI",_xlfn.XLOOKUP(J82,[1]!Tabela33[ID ORACLE],[1]!Tabela33[BROKER],0,0,1)))))))))))))</f>
        <v>CLAUDIO DE SOUZA PACINI</v>
      </c>
      <c r="E82" s="22">
        <f t="shared" si="7"/>
        <v>-171.137040875</v>
      </c>
      <c r="F82" s="9" t="str">
        <f t="shared" si="8"/>
        <v>OPTIONS PRICE REPORTING AUTHORITY (OPRA)</v>
      </c>
      <c r="G82" s="20">
        <f t="shared" si="9"/>
        <v>46113</v>
      </c>
      <c r="H82" s="23">
        <v>1170</v>
      </c>
      <c r="J82" s="41">
        <v>158778</v>
      </c>
      <c r="K82" s="1" t="s">
        <v>45</v>
      </c>
      <c r="L82" s="1" t="s">
        <v>12</v>
      </c>
      <c r="M82" s="29">
        <v>34.305624999999999</v>
      </c>
      <c r="N82" s="2"/>
      <c r="O82" s="1"/>
      <c r="P82" s="26"/>
      <c r="Q82" s="27"/>
      <c r="R82" s="27"/>
      <c r="S82" s="27"/>
      <c r="T82" s="26"/>
      <c r="U82" s="27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</row>
    <row r="83" spans="1:78" customFormat="1" ht="15" customHeight="1" x14ac:dyDescent="0.25">
      <c r="A83" s="9" t="str">
        <f t="shared" si="6"/>
        <v>CUSTO MARKET DATA - ABRIL/26-BLOOMBERG-159800</v>
      </c>
      <c r="B83" s="20">
        <v>46113</v>
      </c>
      <c r="C83" s="21">
        <v>817393</v>
      </c>
      <c r="D83" s="9" t="str">
        <f>IF(J83=57036,"ALEXANDRE DA COSTA SOARES",IF(J83=24157,"JOSE MAURICIO GOMES TEIXEIRA",IF(J83=24203,"JOSE MAURICIO GOMES TEIXEIRA",IF(J83=24149,"CHRISTIANO MARCONDES DE BARROS LIMA",IF(J83=24137,"CHRISTIANO MARCONDES DE BARROS LIMA",IF(J83=135152,"ENRICO BORTPLUZO CASSIANO",IF(J83=136568,"ENRICO BORTPLUZO CASSIANO", IF(J83=130976,"MARYLIA CARVALHO PONCE",IF(J83=136668,"ALEXANDRE DA COSTA SOARES",IF(J83=52340,"OFFSHORE LISTED",IF(J83=158778,"CLAUDIO DE SOUZA PACINI",IF(J83=159800,"CLAUDIO DE SOUZA PACINI",_xlfn.XLOOKUP(J83,[1]!Tabela33[ID ORACLE],[1]!Tabela33[BROKER],0,0,1)))))))))))))</f>
        <v>CLAUDIO DE SOUZA PACINI</v>
      </c>
      <c r="E83" s="22">
        <f t="shared" si="7"/>
        <v>-13545.725119713998</v>
      </c>
      <c r="F83" s="9" t="str">
        <f t="shared" si="8"/>
        <v>BLOOMBERG</v>
      </c>
      <c r="G83" s="20">
        <f t="shared" si="9"/>
        <v>46113</v>
      </c>
      <c r="H83" s="23">
        <v>1170</v>
      </c>
      <c r="J83" s="41">
        <v>159800</v>
      </c>
      <c r="K83" s="1" t="s">
        <v>41</v>
      </c>
      <c r="L83" s="1" t="s">
        <v>12</v>
      </c>
      <c r="M83" s="29">
        <v>2715.3359899999996</v>
      </c>
      <c r="N83" s="2"/>
      <c r="O83" s="1"/>
      <c r="P83" s="26"/>
      <c r="Q83" s="27"/>
      <c r="R83" s="27"/>
      <c r="S83" s="27"/>
      <c r="T83" s="26"/>
      <c r="U83" s="27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</row>
    <row r="84" spans="1:78" customFormat="1" ht="15" hidden="1" customHeight="1" x14ac:dyDescent="0.25">
      <c r="A84" s="9" t="str">
        <f t="shared" si="6"/>
        <v>CUSTO MARKET DATA - ABRIL/26-FIDESSA-159800</v>
      </c>
      <c r="B84" s="20">
        <v>46113</v>
      </c>
      <c r="C84" s="21">
        <v>817393</v>
      </c>
      <c r="D84" s="9" t="str">
        <f>IF(J84=57036,"ALEXANDRE DA COSTA SOARES",IF(J84=24157,"JOSE MAURICIO GOMES TEIXEIRA",IF(J84=24203,"JOSE MAURICIO GOMES TEIXEIRA",IF(J84=24149,"CHRISTIANO MARCONDES DE BARROS LIMA",IF(J84=24137,"CHRISTIANO MARCONDES DE BARROS LIMA",IF(J84=135152,"ENRICO BORTPLUZO CASSIANO",IF(J84=136568,"ENRICO BORTPLUZO CASSIANO", IF(J84=130976,"MARYLIA CARVALHO PONCE",IF(J84=136668,"ALEXANDRE DA COSTA SOARES",IF(J84=52340,"OFFSHORE LISTED",IF(J84=158778,"CLAUDIO DE SOUZA PACINI",IF(J84=159800,"CLAUDIO DE SOUZA PACINI",_xlfn.XLOOKUP(J84,[1]!Tabela33[ID ORACLE],[1]!Tabela33[BROKER],0,0,1)))))))))))))</f>
        <v>CLAUDIO DE SOUZA PACINI</v>
      </c>
      <c r="E84" s="22">
        <f t="shared" si="7"/>
        <v>-1739.9835267586</v>
      </c>
      <c r="F84" s="9" t="str">
        <f t="shared" si="8"/>
        <v>FIDESSA</v>
      </c>
      <c r="G84" s="20">
        <f t="shared" si="9"/>
        <v>46113</v>
      </c>
      <c r="H84" s="23">
        <v>1170</v>
      </c>
      <c r="J84" s="41">
        <v>159800</v>
      </c>
      <c r="K84" s="1" t="s">
        <v>47</v>
      </c>
      <c r="L84" s="1" t="s">
        <v>12</v>
      </c>
      <c r="M84" s="29">
        <v>348.79195099999998</v>
      </c>
      <c r="N84" s="2"/>
      <c r="O84" s="1"/>
      <c r="P84" s="26"/>
      <c r="Q84" s="27"/>
      <c r="R84" s="27"/>
      <c r="S84" s="27"/>
      <c r="T84" s="26"/>
      <c r="U84" s="27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</row>
    <row r="85" spans="1:78" customFormat="1" ht="15" hidden="1" customHeight="1" x14ac:dyDescent="0.25">
      <c r="A85" s="9" t="str">
        <f t="shared" si="6"/>
        <v>CUSTO MARKET DATA - ABRIL/26-NYSE MARKET INC.-159800</v>
      </c>
      <c r="B85" s="20">
        <v>46113</v>
      </c>
      <c r="C85" s="21">
        <v>817393</v>
      </c>
      <c r="D85" s="9" t="str">
        <f>IF(J85=57036,"ALEXANDRE DA COSTA SOARES",IF(J85=24157,"JOSE MAURICIO GOMES TEIXEIRA",IF(J85=24203,"JOSE MAURICIO GOMES TEIXEIRA",IF(J85=24149,"CHRISTIANO MARCONDES DE BARROS LIMA",IF(J85=24137,"CHRISTIANO MARCONDES DE BARROS LIMA",IF(J85=135152,"ENRICO BORTPLUZO CASSIANO",IF(J85=136568,"ENRICO BORTPLUZO CASSIANO", IF(J85=130976,"MARYLIA CARVALHO PONCE",IF(J85=136668,"ALEXANDRE DA COSTA SOARES",IF(J85=52340,"OFFSHORE LISTED",IF(J85=158778,"CLAUDIO DE SOUZA PACINI",IF(J85=159800,"CLAUDIO DE SOUZA PACINI",_xlfn.XLOOKUP(J85,[1]!Tabela33[ID ORACLE],[1]!Tabela33[BROKER],0,0,1)))))))))))))</f>
        <v>CLAUDIO DE SOUZA PACINI</v>
      </c>
      <c r="E85" s="22">
        <f t="shared" si="7"/>
        <v>-1520.3631504999998</v>
      </c>
      <c r="F85" s="9" t="str">
        <f t="shared" si="8"/>
        <v>NYSE MARKET INC.</v>
      </c>
      <c r="G85" s="20">
        <f t="shared" si="9"/>
        <v>46113</v>
      </c>
      <c r="H85" s="23">
        <v>1170</v>
      </c>
      <c r="J85" s="41">
        <v>159800</v>
      </c>
      <c r="K85" s="1" t="s">
        <v>44</v>
      </c>
      <c r="L85" s="1" t="s">
        <v>12</v>
      </c>
      <c r="M85" s="29">
        <v>304.76749999999998</v>
      </c>
      <c r="N85" s="2"/>
      <c r="O85" s="1"/>
      <c r="P85" s="26"/>
      <c r="Q85" s="27"/>
      <c r="R85" s="27"/>
      <c r="S85" s="27"/>
      <c r="T85" s="26"/>
      <c r="U85" s="27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</row>
    <row r="86" spans="1:78" customFormat="1" ht="15" hidden="1" customHeight="1" x14ac:dyDescent="0.25">
      <c r="A86" s="9" t="str">
        <f t="shared" si="6"/>
        <v>CUSTO MARKET DATA - ABRIL/26-OPTIONS PRICE REPORTING AUTHORITY (OPRA)-159800</v>
      </c>
      <c r="B86" s="20">
        <v>46113</v>
      </c>
      <c r="C86" s="21">
        <v>817393</v>
      </c>
      <c r="D86" s="9" t="str">
        <f>IF(J86=57036,"ALEXANDRE DA COSTA SOARES",IF(J86=24157,"JOSE MAURICIO GOMES TEIXEIRA",IF(J86=24203,"JOSE MAURICIO GOMES TEIXEIRA",IF(J86=24149,"CHRISTIANO MARCONDES DE BARROS LIMA",IF(J86=24137,"CHRISTIANO MARCONDES DE BARROS LIMA",IF(J86=135152,"ENRICO BORTPLUZO CASSIANO",IF(J86=136568,"ENRICO BORTPLUZO CASSIANO", IF(J86=130976,"MARYLIA CARVALHO PONCE",IF(J86=136668,"ALEXANDRE DA COSTA SOARES",IF(J86=52340,"OFFSHORE LISTED",IF(J86=158778,"CLAUDIO DE SOUZA PACINI",IF(J86=159800,"CLAUDIO DE SOUZA PACINI",_xlfn.XLOOKUP(J86,[1]!Tabela33[ID ORACLE],[1]!Tabela33[BROKER],0,0,1)))))))))))))</f>
        <v>CLAUDIO DE SOUZA PACINI</v>
      </c>
      <c r="E86" s="22">
        <f t="shared" si="7"/>
        <v>-670.39612887500004</v>
      </c>
      <c r="F86" s="9" t="str">
        <f t="shared" si="8"/>
        <v>OPTIONS PRICE REPORTING AUTHORITY (OPRA)</v>
      </c>
      <c r="G86" s="20">
        <f t="shared" si="9"/>
        <v>46113</v>
      </c>
      <c r="H86" s="23">
        <v>1170</v>
      </c>
      <c r="J86" s="41">
        <v>159800</v>
      </c>
      <c r="K86" s="1" t="s">
        <v>45</v>
      </c>
      <c r="L86" s="1" t="s">
        <v>12</v>
      </c>
      <c r="M86" s="29">
        <v>134.385625</v>
      </c>
      <c r="N86" s="2"/>
      <c r="O86" s="1"/>
      <c r="P86" s="26"/>
      <c r="Q86" s="27"/>
      <c r="R86" s="27"/>
      <c r="S86" s="27"/>
      <c r="T86" s="26"/>
      <c r="U86" s="27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</row>
    <row r="87" spans="1:78" customFormat="1" ht="15" customHeight="1" x14ac:dyDescent="0.25">
      <c r="A87" s="9" t="str">
        <f t="shared" ref="A87:A140" si="10">CONCATENATE($N$1,$I$1,F87,$I$1,J87)</f>
        <v>CUSTO MARKET DATA - ABRIL/26-BLOOMBERG-22361</v>
      </c>
      <c r="B87" s="20">
        <v>46113</v>
      </c>
      <c r="C87" s="21">
        <v>817393</v>
      </c>
      <c r="D87" s="9" t="str">
        <f>IF(J87=57036,"ALEXANDRE DA COSTA SOARES",IF(J87=24157,"JOSE MAURICIO GOMES TEIXEIRA",IF(J87=24203,"JOSE MAURICIO GOMES TEIXEIRA",IF(J87=24149,"CHRISTIANO MARCONDES DE BARROS LIMA",IF(J87=24137,"CHRISTIANO MARCONDES DE BARROS LIMA",IF(J87=135152,"ENRICO BORTPLUZO CASSIANO",IF(J87=136568,"ENRICO BORTPLUZO CASSIANO", IF(J87=130976,"MARYLIA CARVALHO PONCE",IF(J87=136668,"ALEXANDRE DA COSTA SOARES",IF(J87=52340,"OFFSHORE LISTED",IF(J87=158778,"CLAUDIO DE SOUZA PACINI",IF(J87=159800,"CLAUDIO DE SOUZA PACINI",_xlfn.XLOOKUP(J87,[1]!Tabela33[ID ORACLE],[1]!Tabela33[BROKER],0,0,1)))))))))))))</f>
        <v>DANIEL TEIXEIRA SIQUEIRA GONÇALVES</v>
      </c>
      <c r="E87" s="22">
        <f t="shared" ref="E87:E140" si="11">-IF(L87="BRL",M87,IF(L87="GBP",M87*$R$1,IF(L87="CAD",M87*$T$1,M87*$P$1)))</f>
        <v>-5987.9063598342009</v>
      </c>
      <c r="F87" s="9" t="str">
        <f t="shared" ref="F87:F140" si="12">IF(UPPER(K87)="Valor Analytics LLC","VALOR",UPPER(K87))</f>
        <v>BLOOMBERG</v>
      </c>
      <c r="G87" s="20">
        <f t="shared" ref="G87:G140" si="13">B87</f>
        <v>46113</v>
      </c>
      <c r="H87" s="23">
        <v>1170</v>
      </c>
      <c r="J87" s="41">
        <v>22361</v>
      </c>
      <c r="K87" s="1" t="s">
        <v>41</v>
      </c>
      <c r="L87" s="1" t="s">
        <v>12</v>
      </c>
      <c r="M87" s="29">
        <v>1200.3179970000001</v>
      </c>
      <c r="N87" s="2"/>
      <c r="O87" s="1"/>
      <c r="P87" s="26"/>
      <c r="Q87" s="27"/>
      <c r="R87" s="27"/>
      <c r="S87" s="27"/>
      <c r="T87" s="26"/>
      <c r="U87" s="27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</row>
    <row r="88" spans="1:78" customFormat="1" ht="15" hidden="1" customHeight="1" x14ac:dyDescent="0.25">
      <c r="A88" s="9" t="str">
        <f t="shared" si="10"/>
        <v>CUSTO MARKET DATA - ABRIL/26-REFINITIV-22361</v>
      </c>
      <c r="B88" s="20">
        <v>46113</v>
      </c>
      <c r="C88" s="21">
        <v>817393</v>
      </c>
      <c r="D88" s="9" t="str">
        <f>IF(J88=57036,"ALEXANDRE DA COSTA SOARES",IF(J88=24157,"JOSE MAURICIO GOMES TEIXEIRA",IF(J88=24203,"JOSE MAURICIO GOMES TEIXEIRA",IF(J88=24149,"CHRISTIANO MARCONDES DE BARROS LIMA",IF(J88=24137,"CHRISTIANO MARCONDES DE BARROS LIMA",IF(J88=135152,"ENRICO BORTPLUZO CASSIANO",IF(J88=136568,"ENRICO BORTPLUZO CASSIANO", IF(J88=130976,"MARYLIA CARVALHO PONCE",IF(J88=136668,"ALEXANDRE DA COSTA SOARES",IF(J88=52340,"OFFSHORE LISTED",IF(J88=158778,"CLAUDIO DE SOUZA PACINI",IF(J88=159800,"CLAUDIO DE SOUZA PACINI",_xlfn.XLOOKUP(J88,[1]!Tabela33[ID ORACLE],[1]!Tabela33[BROKER],0,0,1)))))))))))))</f>
        <v>DANIEL TEIXEIRA SIQUEIRA GONÇALVES</v>
      </c>
      <c r="E88" s="22">
        <f t="shared" si="11"/>
        <v>-141.21536398200001</v>
      </c>
      <c r="F88" s="9" t="str">
        <f t="shared" si="12"/>
        <v>REFINITIV</v>
      </c>
      <c r="G88" s="20">
        <f t="shared" si="13"/>
        <v>46113</v>
      </c>
      <c r="H88" s="23">
        <v>1170</v>
      </c>
      <c r="J88" s="41">
        <v>22361</v>
      </c>
      <c r="K88" s="1" t="s">
        <v>42</v>
      </c>
      <c r="L88" s="1" t="s">
        <v>17</v>
      </c>
      <c r="M88" s="29">
        <v>20.848212</v>
      </c>
      <c r="N88" s="2"/>
      <c r="O88" s="1"/>
      <c r="P88" s="26"/>
      <c r="Q88" s="27"/>
      <c r="R88" s="27"/>
      <c r="S88" s="27"/>
      <c r="T88" s="26"/>
      <c r="U88" s="27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</row>
    <row r="89" spans="1:78" ht="15" customHeight="1" x14ac:dyDescent="0.25">
      <c r="A89" s="9" t="str">
        <f t="shared" si="10"/>
        <v>CUSTO MARKET DATA - ABRIL/26-BLOOMBERG-24137</v>
      </c>
      <c r="B89" s="20">
        <v>46113</v>
      </c>
      <c r="C89" s="21">
        <v>817393</v>
      </c>
      <c r="D89" s="9" t="str">
        <f>IF(J89=57036,"ALEXANDRE DA COSTA SOARES",IF(J89=24157,"JOSE MAURICIO GOMES TEIXEIRA",IF(J89=24203,"JOSE MAURICIO GOMES TEIXEIRA",IF(J89=24149,"CHRISTIANO MARCONDES DE BARROS LIMA",IF(J89=24137,"CHRISTIANO MARCONDES DE BARROS LIMA",IF(J89=135152,"ENRICO BORTPLUZO CASSIANO",IF(J89=136568,"ENRICO BORTPLUZO CASSIANO", IF(J89=130976,"MARYLIA CARVALHO PONCE",IF(J89=136668,"ALEXANDRE DA COSTA SOARES",IF(J89=52340,"OFFSHORE LISTED",IF(J89=158778,"CLAUDIO DE SOUZA PACINI",IF(J89=159800,"CLAUDIO DE SOUZA PACINI",_xlfn.XLOOKUP(J89,[1]!Tabela33[ID ORACLE],[1]!Tabela33[BROKER],0,0,1)))))))))))))</f>
        <v>CHRISTIANO MARCONDES DE BARROS LIMA</v>
      </c>
      <c r="E89" s="22">
        <f t="shared" si="11"/>
        <v>-12229.233579714</v>
      </c>
      <c r="F89" s="9" t="str">
        <f t="shared" si="12"/>
        <v>BLOOMBERG</v>
      </c>
      <c r="G89" s="20">
        <f t="shared" si="13"/>
        <v>46113</v>
      </c>
      <c r="H89" s="23">
        <v>1170</v>
      </c>
      <c r="J89" s="41">
        <v>24137</v>
      </c>
      <c r="K89" s="1" t="s">
        <v>41</v>
      </c>
      <c r="L89" s="1" t="s">
        <v>12</v>
      </c>
      <c r="M89" s="29">
        <v>2451.4359899999999</v>
      </c>
      <c r="Q89" s="27"/>
      <c r="R89" s="27"/>
      <c r="S89" s="27"/>
      <c r="U89" s="27"/>
    </row>
    <row r="90" spans="1:78" ht="15" customHeight="1" x14ac:dyDescent="0.25">
      <c r="A90" s="9" t="str">
        <f t="shared" si="10"/>
        <v>CUSTO MARKET DATA - ABRIL/26-BLOOMBERG-24140</v>
      </c>
      <c r="B90" s="20">
        <v>46113</v>
      </c>
      <c r="C90" s="21">
        <v>817393</v>
      </c>
      <c r="D90" s="9" t="str">
        <f>IF(J90=57036,"ALEXANDRE DA COSTA SOARES",IF(J90=24157,"JOSE MAURICIO GOMES TEIXEIRA",IF(J90=24203,"JOSE MAURICIO GOMES TEIXEIRA",IF(J90=24149,"CHRISTIANO MARCONDES DE BARROS LIMA",IF(J90=24137,"CHRISTIANO MARCONDES DE BARROS LIMA",IF(J90=135152,"ENRICO BORTPLUZO CASSIANO",IF(J90=136568,"ENRICO BORTPLUZO CASSIANO", IF(J90=130976,"MARYLIA CARVALHO PONCE",IF(J90=136668,"ALEXANDRE DA COSTA SOARES",IF(J90=52340,"OFFSHORE LISTED",IF(J90=158778,"CLAUDIO DE SOUZA PACINI",IF(J90=159800,"CLAUDIO DE SOUZA PACINI",_xlfn.XLOOKUP(J90,[1]!Tabela33[ID ORACLE],[1]!Tabela33[BROKER],0,0,1)))))))))))))</f>
        <v>FRANCISCO JOSE DIAS CARVALHO</v>
      </c>
      <c r="E90" s="22">
        <f t="shared" si="11"/>
        <v>-9021.768317302598</v>
      </c>
      <c r="F90" s="9" t="str">
        <f t="shared" si="12"/>
        <v>BLOOMBERG</v>
      </c>
      <c r="G90" s="20">
        <f t="shared" si="13"/>
        <v>46113</v>
      </c>
      <c r="H90" s="23">
        <v>1170</v>
      </c>
      <c r="J90" s="41">
        <v>24140</v>
      </c>
      <c r="K90" s="1" t="s">
        <v>41</v>
      </c>
      <c r="L90" s="1" t="s">
        <v>12</v>
      </c>
      <c r="M90" s="29">
        <v>1808.4769909999998</v>
      </c>
      <c r="Q90" s="27"/>
      <c r="R90" s="27"/>
      <c r="S90" s="27"/>
      <c r="U90" s="27"/>
    </row>
    <row r="91" spans="1:78" ht="15" hidden="1" customHeight="1" x14ac:dyDescent="0.25">
      <c r="A91" s="9" t="str">
        <f t="shared" si="10"/>
        <v>CUSTO MARKET DATA - ABRIL/26-REFINITIV-24140</v>
      </c>
      <c r="B91" s="20">
        <v>46113</v>
      </c>
      <c r="C91" s="21">
        <v>817393</v>
      </c>
      <c r="D91" s="9" t="str">
        <f>IF(J91=57036,"ALEXANDRE DA COSTA SOARES",IF(J91=24157,"JOSE MAURICIO GOMES TEIXEIRA",IF(J91=24203,"JOSE MAURICIO GOMES TEIXEIRA",IF(J91=24149,"CHRISTIANO MARCONDES DE BARROS LIMA",IF(J91=24137,"CHRISTIANO MARCONDES DE BARROS LIMA",IF(J91=135152,"ENRICO BORTPLUZO CASSIANO",IF(J91=136568,"ENRICO BORTPLUZO CASSIANO", IF(J91=130976,"MARYLIA CARVALHO PONCE",IF(J91=136668,"ALEXANDRE DA COSTA SOARES",IF(J91=52340,"OFFSHORE LISTED",IF(J91=158778,"CLAUDIO DE SOUZA PACINI",IF(J91=159800,"CLAUDIO DE SOUZA PACINI",_xlfn.XLOOKUP(J91,[1]!Tabela33[ID ORACLE],[1]!Tabela33[BROKER],0,0,1)))))))))))))</f>
        <v>FRANCISCO JOSE DIAS CARVALHO</v>
      </c>
      <c r="E91" s="22">
        <f t="shared" si="11"/>
        <v>-141.21536398200001</v>
      </c>
      <c r="F91" s="9" t="str">
        <f t="shared" si="12"/>
        <v>REFINITIV</v>
      </c>
      <c r="G91" s="20">
        <f t="shared" si="13"/>
        <v>46113</v>
      </c>
      <c r="H91" s="23">
        <v>1170</v>
      </c>
      <c r="J91" s="41">
        <v>24140</v>
      </c>
      <c r="K91" s="1" t="s">
        <v>42</v>
      </c>
      <c r="L91" s="1" t="s">
        <v>17</v>
      </c>
      <c r="M91" s="29">
        <v>20.848212</v>
      </c>
      <c r="Q91" s="27"/>
      <c r="R91" s="27"/>
      <c r="S91" s="27"/>
      <c r="U91" s="27"/>
    </row>
    <row r="92" spans="1:78" ht="15" customHeight="1" x14ac:dyDescent="0.25">
      <c r="A92" s="9" t="str">
        <f t="shared" si="10"/>
        <v>CUSTO MARKET DATA - ABRIL/26-BLOOMBERG-24141</v>
      </c>
      <c r="B92" s="20">
        <v>46113</v>
      </c>
      <c r="C92" s="21">
        <v>817393</v>
      </c>
      <c r="D92" s="9" t="str">
        <f>IF(J92=57036,"ALEXANDRE DA COSTA SOARES",IF(J92=24157,"JOSE MAURICIO GOMES TEIXEIRA",IF(J92=24203,"JOSE MAURICIO GOMES TEIXEIRA",IF(J92=24149,"CHRISTIANO MARCONDES DE BARROS LIMA",IF(J92=24137,"CHRISTIANO MARCONDES DE BARROS LIMA",IF(J92=135152,"ENRICO BORTPLUZO CASSIANO",IF(J92=136568,"ENRICO BORTPLUZO CASSIANO", IF(J92=130976,"MARYLIA CARVALHO PONCE",IF(J92=136668,"ALEXANDRE DA COSTA SOARES",IF(J92=52340,"OFFSHORE LISTED",IF(J92=158778,"CLAUDIO DE SOUZA PACINI",IF(J92=159800,"CLAUDIO DE SOUZA PACINI",_xlfn.XLOOKUP(J92,[1]!Tabela33[ID ORACLE],[1]!Tabela33[BROKER],0,0,1)))))))))))))</f>
        <v>ANTONIO AUGUSTO DAS CHAGAS CARVALHO</v>
      </c>
      <c r="E92" s="22">
        <f t="shared" si="11"/>
        <v>-12037.172479714</v>
      </c>
      <c r="F92" s="9" t="str">
        <f t="shared" si="12"/>
        <v>BLOOMBERG</v>
      </c>
      <c r="G92" s="20">
        <f t="shared" si="13"/>
        <v>46113</v>
      </c>
      <c r="H92" s="23">
        <v>1170</v>
      </c>
      <c r="J92" s="41">
        <v>24141</v>
      </c>
      <c r="K92" s="1" t="s">
        <v>41</v>
      </c>
      <c r="L92" s="1" t="s">
        <v>12</v>
      </c>
      <c r="M92" s="29">
        <v>2412.9359899999999</v>
      </c>
      <c r="Q92" s="27"/>
      <c r="R92" s="27"/>
      <c r="S92" s="27"/>
      <c r="U92" s="27"/>
    </row>
    <row r="93" spans="1:78" customFormat="1" ht="15" hidden="1" customHeight="1" x14ac:dyDescent="0.25">
      <c r="A93" s="9" t="str">
        <f t="shared" si="10"/>
        <v>CUSTO MARKET DATA - ABRIL/26-REFINITIV-24141</v>
      </c>
      <c r="B93" s="20">
        <v>46113</v>
      </c>
      <c r="C93" s="21">
        <v>817393</v>
      </c>
      <c r="D93" s="9" t="str">
        <f>IF(J93=57036,"ALEXANDRE DA COSTA SOARES",IF(J93=24157,"JOSE MAURICIO GOMES TEIXEIRA",IF(J93=24203,"JOSE MAURICIO GOMES TEIXEIRA",IF(J93=24149,"CHRISTIANO MARCONDES DE BARROS LIMA",IF(J93=24137,"CHRISTIANO MARCONDES DE BARROS LIMA",IF(J93=135152,"ENRICO BORTPLUZO CASSIANO",IF(J93=136568,"ENRICO BORTPLUZO CASSIANO", IF(J93=130976,"MARYLIA CARVALHO PONCE",IF(J93=136668,"ALEXANDRE DA COSTA SOARES",IF(J93=52340,"OFFSHORE LISTED",IF(J93=158778,"CLAUDIO DE SOUZA PACINI",IF(J93=159800,"CLAUDIO DE SOUZA PACINI",_xlfn.XLOOKUP(J93,[1]!Tabela33[ID ORACLE],[1]!Tabela33[BROKER],0,0,1)))))))))))))</f>
        <v>ANTONIO AUGUSTO DAS CHAGAS CARVALHO</v>
      </c>
      <c r="E93" s="22">
        <f t="shared" si="11"/>
        <v>-141.21536398200001</v>
      </c>
      <c r="F93" s="9" t="str">
        <f t="shared" si="12"/>
        <v>REFINITIV</v>
      </c>
      <c r="G93" s="20">
        <f t="shared" si="13"/>
        <v>46113</v>
      </c>
      <c r="H93" s="23">
        <v>1170</v>
      </c>
      <c r="J93" s="41">
        <v>24141</v>
      </c>
      <c r="K93" s="1" t="s">
        <v>42</v>
      </c>
      <c r="L93" s="1" t="s">
        <v>17</v>
      </c>
      <c r="M93" s="29">
        <v>20.848212</v>
      </c>
      <c r="O93" s="1"/>
      <c r="P93" s="26"/>
      <c r="Q93" s="27"/>
      <c r="R93" s="27"/>
      <c r="S93" s="27"/>
      <c r="T93" s="26"/>
      <c r="U93" s="27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</row>
    <row r="94" spans="1:78" customFormat="1" ht="15" customHeight="1" x14ac:dyDescent="0.25">
      <c r="A94" s="9" t="str">
        <f t="shared" si="10"/>
        <v>CUSTO MARKET DATA - ABRIL/26-BLOOMBERG-24156</v>
      </c>
      <c r="B94" s="20">
        <v>46113</v>
      </c>
      <c r="C94" s="21">
        <v>817393</v>
      </c>
      <c r="D94" s="9" t="str">
        <f>IF(J94=57036,"ALEXANDRE DA COSTA SOARES",IF(J94=24157,"JOSE MAURICIO GOMES TEIXEIRA",IF(J94=24203,"JOSE MAURICIO GOMES TEIXEIRA",IF(J94=24149,"CHRISTIANO MARCONDES DE BARROS LIMA",IF(J94=24137,"CHRISTIANO MARCONDES DE BARROS LIMA",IF(J94=135152,"ENRICO BORTPLUZO CASSIANO",IF(J94=136568,"ENRICO BORTPLUZO CASSIANO", IF(J94=130976,"MARYLIA CARVALHO PONCE",IF(J94=136668,"ALEXANDRE DA COSTA SOARES",IF(J94=52340,"OFFSHORE LISTED",IF(J94=158778,"CLAUDIO DE SOUZA PACINI",IF(J94=159800,"CLAUDIO DE SOUZA PACINI",_xlfn.XLOOKUP(J94,[1]!Tabela33[ID ORACLE],[1]!Tabela33[BROKER],0,0,1)))))))))))))</f>
        <v>JOSE MAURICIO GOMES TEIXEIRA</v>
      </c>
      <c r="E94" s="22">
        <f t="shared" si="11"/>
        <v>-12170.368099713998</v>
      </c>
      <c r="F94" s="9" t="str">
        <f t="shared" si="12"/>
        <v>BLOOMBERG</v>
      </c>
      <c r="G94" s="20">
        <f t="shared" si="13"/>
        <v>46113</v>
      </c>
      <c r="H94" s="23">
        <v>1170</v>
      </c>
      <c r="J94" s="41">
        <v>24156</v>
      </c>
      <c r="K94" s="1" t="s">
        <v>41</v>
      </c>
      <c r="L94" s="1" t="s">
        <v>12</v>
      </c>
      <c r="M94" s="29">
        <v>2439.6359899999998</v>
      </c>
      <c r="O94" s="1"/>
      <c r="P94" s="26"/>
      <c r="Q94" s="27"/>
      <c r="R94" s="27"/>
      <c r="S94" s="27"/>
      <c r="T94" s="26"/>
      <c r="U94" s="27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</row>
    <row r="95" spans="1:78" customFormat="1" ht="15" hidden="1" customHeight="1" x14ac:dyDescent="0.25">
      <c r="A95" s="9" t="str">
        <f t="shared" si="10"/>
        <v>CUSTO MARKET DATA - ABRIL/26-REFINITIV-24156</v>
      </c>
      <c r="B95" s="20">
        <v>46113</v>
      </c>
      <c r="C95" s="21">
        <v>817393</v>
      </c>
      <c r="D95" s="9" t="str">
        <f>IF(J95=57036,"ALEXANDRE DA COSTA SOARES",IF(J95=24157,"JOSE MAURICIO GOMES TEIXEIRA",IF(J95=24203,"JOSE MAURICIO GOMES TEIXEIRA",IF(J95=24149,"CHRISTIANO MARCONDES DE BARROS LIMA",IF(J95=24137,"CHRISTIANO MARCONDES DE BARROS LIMA",IF(J95=135152,"ENRICO BORTPLUZO CASSIANO",IF(J95=136568,"ENRICO BORTPLUZO CASSIANO", IF(J95=130976,"MARYLIA CARVALHO PONCE",IF(J95=136668,"ALEXANDRE DA COSTA SOARES",IF(J95=52340,"OFFSHORE LISTED",IF(J95=158778,"CLAUDIO DE SOUZA PACINI",IF(J95=159800,"CLAUDIO DE SOUZA PACINI",_xlfn.XLOOKUP(J95,[1]!Tabela33[ID ORACLE],[1]!Tabela33[BROKER],0,0,1)))))))))))))</f>
        <v>JOSE MAURICIO GOMES TEIXEIRA</v>
      </c>
      <c r="E95" s="22">
        <f t="shared" si="11"/>
        <v>-141.21536398200001</v>
      </c>
      <c r="F95" s="9" t="str">
        <f t="shared" si="12"/>
        <v>REFINITIV</v>
      </c>
      <c r="G95" s="20">
        <f t="shared" si="13"/>
        <v>46113</v>
      </c>
      <c r="H95" s="23">
        <v>1170</v>
      </c>
      <c r="J95" s="41">
        <v>24156</v>
      </c>
      <c r="K95" s="1" t="s">
        <v>42</v>
      </c>
      <c r="L95" s="1" t="s">
        <v>17</v>
      </c>
      <c r="M95" s="29">
        <v>20.848212</v>
      </c>
      <c r="O95" s="1"/>
      <c r="P95" s="26"/>
      <c r="Q95" s="27"/>
      <c r="R95" s="27"/>
      <c r="S95" s="27"/>
      <c r="T95" s="26"/>
      <c r="U95" s="27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</row>
    <row r="96" spans="1:78" customFormat="1" ht="15" customHeight="1" x14ac:dyDescent="0.25">
      <c r="A96" s="9" t="str">
        <f t="shared" si="10"/>
        <v>CUSTO MARKET DATA - ABRIL/26-BLOOMBERG-24157</v>
      </c>
      <c r="B96" s="20">
        <v>46113</v>
      </c>
      <c r="C96" s="21">
        <v>817393</v>
      </c>
      <c r="D96" s="9" t="str">
        <f>IF(J96=57036,"ALEXANDRE DA COSTA SOARES",IF(J96=24157,"JOSE MAURICIO GOMES TEIXEIRA",IF(J96=24203,"JOSE MAURICIO GOMES TEIXEIRA",IF(J96=24149,"CHRISTIANO MARCONDES DE BARROS LIMA",IF(J96=24137,"CHRISTIANO MARCONDES DE BARROS LIMA",IF(J96=135152,"ENRICO BORTPLUZO CASSIANO",IF(J96=136568,"ENRICO BORTPLUZO CASSIANO", IF(J96=130976,"MARYLIA CARVALHO PONCE",IF(J96=136668,"ALEXANDRE DA COSTA SOARES",IF(J96=52340,"OFFSHORE LISTED",IF(J96=158778,"CLAUDIO DE SOUZA PACINI",IF(J96=159800,"CLAUDIO DE SOUZA PACINI",_xlfn.XLOOKUP(J96,[1]!Tabela33[ID ORACLE],[1]!Tabela33[BROKER],0,0,1)))))))))))))</f>
        <v>JOSE MAURICIO GOMES TEIXEIRA</v>
      </c>
      <c r="E96" s="22">
        <f t="shared" si="11"/>
        <v>-12037.172479714</v>
      </c>
      <c r="F96" s="9" t="str">
        <f t="shared" si="12"/>
        <v>BLOOMBERG</v>
      </c>
      <c r="G96" s="20">
        <f t="shared" si="13"/>
        <v>46113</v>
      </c>
      <c r="H96" s="23">
        <v>1170</v>
      </c>
      <c r="J96" s="41">
        <v>24157</v>
      </c>
      <c r="K96" s="1" t="s">
        <v>41</v>
      </c>
      <c r="L96" s="1" t="s">
        <v>12</v>
      </c>
      <c r="M96" s="29">
        <v>2412.9359899999999</v>
      </c>
      <c r="O96" s="1"/>
      <c r="P96" s="26"/>
      <c r="Q96" s="27"/>
      <c r="R96" s="27"/>
      <c r="S96" s="27"/>
      <c r="T96" s="26"/>
      <c r="U96" s="27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</row>
    <row r="97" spans="1:78" customFormat="1" ht="15" hidden="1" customHeight="1" x14ac:dyDescent="0.25">
      <c r="A97" s="9" t="str">
        <f t="shared" si="10"/>
        <v>CUSTO MARKET DATA - ABRIL/26-REFINITIV-24157</v>
      </c>
      <c r="B97" s="20">
        <v>46113</v>
      </c>
      <c r="C97" s="21">
        <v>817393</v>
      </c>
      <c r="D97" s="9" t="str">
        <f>IF(J97=57036,"ALEXANDRE DA COSTA SOARES",IF(J97=24157,"JOSE MAURICIO GOMES TEIXEIRA",IF(J97=24203,"JOSE MAURICIO GOMES TEIXEIRA",IF(J97=24149,"CHRISTIANO MARCONDES DE BARROS LIMA",IF(J97=24137,"CHRISTIANO MARCONDES DE BARROS LIMA",IF(J97=135152,"ENRICO BORTPLUZO CASSIANO",IF(J97=136568,"ENRICO BORTPLUZO CASSIANO", IF(J97=130976,"MARYLIA CARVALHO PONCE",IF(J97=136668,"ALEXANDRE DA COSTA SOARES",IF(J97=52340,"OFFSHORE LISTED",IF(J97=158778,"CLAUDIO DE SOUZA PACINI",IF(J97=159800,"CLAUDIO DE SOUZA PACINI",_xlfn.XLOOKUP(J97,[1]!Tabela33[ID ORACLE],[1]!Tabela33[BROKER],0,0,1)))))))))))))</f>
        <v>JOSE MAURICIO GOMES TEIXEIRA</v>
      </c>
      <c r="E97" s="22">
        <f t="shared" si="11"/>
        <v>-719.19091875150002</v>
      </c>
      <c r="F97" s="9" t="str">
        <f t="shared" si="12"/>
        <v>REFINITIV</v>
      </c>
      <c r="G97" s="20">
        <f t="shared" si="13"/>
        <v>46113</v>
      </c>
      <c r="H97" s="23">
        <v>1170</v>
      </c>
      <c r="J97" s="41">
        <v>24157</v>
      </c>
      <c r="K97" s="1" t="s">
        <v>42</v>
      </c>
      <c r="L97" s="1" t="s">
        <v>17</v>
      </c>
      <c r="M97" s="29">
        <v>106.177149</v>
      </c>
      <c r="O97" s="1"/>
      <c r="P97" s="26"/>
      <c r="Q97" s="27"/>
      <c r="R97" s="27"/>
      <c r="S97" s="27"/>
      <c r="T97" s="26"/>
      <c r="U97" s="27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</row>
    <row r="98" spans="1:78" customFormat="1" ht="15" hidden="1" customHeight="1" x14ac:dyDescent="0.25">
      <c r="A98" s="9" t="str">
        <f t="shared" si="10"/>
        <v>CUSTO MARKET DATA - ABRIL/26-REFINITIV-24170</v>
      </c>
      <c r="B98" s="20">
        <v>46113</v>
      </c>
      <c r="C98" s="21">
        <v>817393</v>
      </c>
      <c r="D98" s="9" t="str">
        <f>IF(J98=57036,"ALEXANDRE DA COSTA SOARES",IF(J98=24157,"JOSE MAURICIO GOMES TEIXEIRA",IF(J98=24203,"JOSE MAURICIO GOMES TEIXEIRA",IF(J98=24149,"CHRISTIANO MARCONDES DE BARROS LIMA",IF(J98=24137,"CHRISTIANO MARCONDES DE BARROS LIMA",IF(J98=135152,"ENRICO BORTPLUZO CASSIANO",IF(J98=136568,"ENRICO BORTPLUZO CASSIANO", IF(J98=130976,"MARYLIA CARVALHO PONCE",IF(J98=136668,"ALEXANDRE DA COSTA SOARES",IF(J98=52340,"OFFSHORE LISTED",IF(J98=158778,"CLAUDIO DE SOUZA PACINI",IF(J98=159800,"CLAUDIO DE SOUZA PACINI",_xlfn.XLOOKUP(J98,[1]!Tabela33[ID ORACLE],[1]!Tabela33[BROKER],0,0,1)))))))))))))</f>
        <v>ANDREA LICASSIA ALMEIDA SANTOS</v>
      </c>
      <c r="E98" s="22">
        <f t="shared" si="11"/>
        <v>-141.21536398200001</v>
      </c>
      <c r="F98" s="9" t="str">
        <f t="shared" si="12"/>
        <v>REFINITIV</v>
      </c>
      <c r="G98" s="20">
        <f t="shared" si="13"/>
        <v>46113</v>
      </c>
      <c r="H98" s="23">
        <v>1170</v>
      </c>
      <c r="J98" s="41">
        <v>24170</v>
      </c>
      <c r="K98" s="1" t="s">
        <v>42</v>
      </c>
      <c r="L98" s="1" t="s">
        <v>17</v>
      </c>
      <c r="M98" s="29">
        <v>20.848212</v>
      </c>
      <c r="O98" s="1"/>
      <c r="P98" s="26"/>
      <c r="Q98" s="27"/>
      <c r="R98" s="27"/>
      <c r="S98" s="27"/>
      <c r="T98" s="26"/>
      <c r="U98" s="27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</row>
    <row r="99" spans="1:78" customFormat="1" ht="15" customHeight="1" x14ac:dyDescent="0.25">
      <c r="A99" s="9" t="str">
        <f t="shared" si="10"/>
        <v>CUSTO MARKET DATA - ABRIL/26-BLOOMBERG-24182</v>
      </c>
      <c r="B99" s="20">
        <v>46113</v>
      </c>
      <c r="C99" s="21">
        <v>817393</v>
      </c>
      <c r="D99" s="9" t="str">
        <f>IF(J99=57036,"ALEXANDRE DA COSTA SOARES",IF(J99=24157,"JOSE MAURICIO GOMES TEIXEIRA",IF(J99=24203,"JOSE MAURICIO GOMES TEIXEIRA",IF(J99=24149,"CHRISTIANO MARCONDES DE BARROS LIMA",IF(J99=24137,"CHRISTIANO MARCONDES DE BARROS LIMA",IF(J99=135152,"ENRICO BORTPLUZO CASSIANO",IF(J99=136568,"ENRICO BORTPLUZO CASSIANO", IF(J99=130976,"MARYLIA CARVALHO PONCE",IF(J99=136668,"ALEXANDRE DA COSTA SOARES",IF(J99=52340,"OFFSHORE LISTED",IF(J99=158778,"CLAUDIO DE SOUZA PACINI",IF(J99=159800,"CLAUDIO DE SOUZA PACINI",_xlfn.XLOOKUP(J99,[1]!Tabela33[ID ORACLE],[1]!Tabela33[BROKER],0,0,1)))))))))))))</f>
        <v>ANTONIO AGIZ FILHO</v>
      </c>
      <c r="E99" s="22">
        <f t="shared" si="11"/>
        <v>-11115.279199713999</v>
      </c>
      <c r="F99" s="9" t="str">
        <f t="shared" si="12"/>
        <v>BLOOMBERG</v>
      </c>
      <c r="G99" s="20">
        <f t="shared" si="13"/>
        <v>46113</v>
      </c>
      <c r="H99" s="23">
        <v>1170</v>
      </c>
      <c r="J99" s="41">
        <v>24182</v>
      </c>
      <c r="K99" s="1" t="s">
        <v>41</v>
      </c>
      <c r="L99" s="1" t="s">
        <v>12</v>
      </c>
      <c r="M99" s="29">
        <v>2228.1359899999998</v>
      </c>
      <c r="O99" s="1"/>
      <c r="P99" s="26"/>
      <c r="Q99" s="27"/>
      <c r="R99" s="27"/>
      <c r="S99" s="27"/>
      <c r="T99" s="26"/>
      <c r="U99" s="27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</row>
    <row r="100" spans="1:78" customFormat="1" ht="15" hidden="1" customHeight="1" x14ac:dyDescent="0.25">
      <c r="A100" s="9" t="str">
        <f t="shared" si="10"/>
        <v>CUSTO MARKET DATA - ABRIL/26-REFINITIV-24183</v>
      </c>
      <c r="B100" s="20">
        <v>46113</v>
      </c>
      <c r="C100" s="21">
        <v>817393</v>
      </c>
      <c r="D100" s="9" t="str">
        <f>IF(J100=57036,"ALEXANDRE DA COSTA SOARES",IF(J100=24157,"JOSE MAURICIO GOMES TEIXEIRA",IF(J100=24203,"JOSE MAURICIO GOMES TEIXEIRA",IF(J100=24149,"CHRISTIANO MARCONDES DE BARROS LIMA",IF(J100=24137,"CHRISTIANO MARCONDES DE BARROS LIMA",IF(J100=135152,"ENRICO BORTPLUZO CASSIANO",IF(J100=136568,"ENRICO BORTPLUZO CASSIANO", IF(J100=130976,"MARYLIA CARVALHO PONCE",IF(J100=136668,"ALEXANDRE DA COSTA SOARES",IF(J100=52340,"OFFSHORE LISTED",IF(J100=158778,"CLAUDIO DE SOUZA PACINI",IF(J100=159800,"CLAUDIO DE SOUZA PACINI",_xlfn.XLOOKUP(J100,[1]!Tabela33[ID ORACLE],[1]!Tabela33[BROKER],0,0,1)))))))))))))</f>
        <v>CARLA REGINA DE SOUZA CARREIRA</v>
      </c>
      <c r="E100" s="22">
        <f t="shared" si="11"/>
        <v>-141.21536398200001</v>
      </c>
      <c r="F100" s="9" t="str">
        <f t="shared" si="12"/>
        <v>REFINITIV</v>
      </c>
      <c r="G100" s="20">
        <f t="shared" si="13"/>
        <v>46113</v>
      </c>
      <c r="H100" s="23">
        <v>1170</v>
      </c>
      <c r="J100" s="41">
        <v>24183</v>
      </c>
      <c r="K100" s="1" t="s">
        <v>42</v>
      </c>
      <c r="L100" s="1" t="s">
        <v>17</v>
      </c>
      <c r="M100" s="29">
        <v>20.848212</v>
      </c>
      <c r="O100" s="1"/>
      <c r="P100" s="26"/>
      <c r="Q100" s="27"/>
      <c r="R100" s="27"/>
      <c r="S100" s="27"/>
      <c r="T100" s="26"/>
      <c r="U100" s="27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</row>
    <row r="101" spans="1:78" customFormat="1" ht="15" customHeight="1" x14ac:dyDescent="0.25">
      <c r="A101" s="9" t="str">
        <f t="shared" si="10"/>
        <v>CUSTO MARKET DATA - ABRIL/26-BLOOMBERG-24184</v>
      </c>
      <c r="B101" s="20">
        <v>46113</v>
      </c>
      <c r="C101" s="21">
        <v>817393</v>
      </c>
      <c r="D101" s="9" t="str">
        <f>IF(J101=57036,"ALEXANDRE DA COSTA SOARES",IF(J101=24157,"JOSE MAURICIO GOMES TEIXEIRA",IF(J101=24203,"JOSE MAURICIO GOMES TEIXEIRA",IF(J101=24149,"CHRISTIANO MARCONDES DE BARROS LIMA",IF(J101=24137,"CHRISTIANO MARCONDES DE BARROS LIMA",IF(J101=135152,"ENRICO BORTPLUZO CASSIANO",IF(J101=136568,"ENRICO BORTPLUZO CASSIANO", IF(J101=130976,"MARYLIA CARVALHO PONCE",IF(J101=136668,"ALEXANDRE DA COSTA SOARES",IF(J101=52340,"OFFSHORE LISTED",IF(J101=158778,"CLAUDIO DE SOUZA PACINI",IF(J101=159800,"CLAUDIO DE SOUZA PACINI",_xlfn.XLOOKUP(J101,[1]!Tabela33[ID ORACLE],[1]!Tabela33[BROKER],0,0,1)))))))))))))</f>
        <v>CHRISTIANO MARCONDES DE BARROS LIMA</v>
      </c>
      <c r="E101" s="22">
        <f t="shared" si="11"/>
        <v>-12229.233579714</v>
      </c>
      <c r="F101" s="9" t="str">
        <f t="shared" si="12"/>
        <v>BLOOMBERG</v>
      </c>
      <c r="G101" s="20">
        <f t="shared" si="13"/>
        <v>46113</v>
      </c>
      <c r="H101" s="23">
        <v>1170</v>
      </c>
      <c r="J101" s="41">
        <v>24184</v>
      </c>
      <c r="K101" s="1" t="s">
        <v>41</v>
      </c>
      <c r="L101" s="1" t="s">
        <v>12</v>
      </c>
      <c r="M101" s="29">
        <v>2451.4359899999999</v>
      </c>
      <c r="O101" s="1"/>
      <c r="P101" s="26"/>
      <c r="Q101" s="27"/>
      <c r="R101" s="27"/>
      <c r="S101" s="27"/>
      <c r="T101" s="26"/>
      <c r="U101" s="27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</row>
    <row r="102" spans="1:78" customFormat="1" ht="15" hidden="1" customHeight="1" x14ac:dyDescent="0.25">
      <c r="A102" s="9" t="str">
        <f t="shared" si="10"/>
        <v>CUSTO MARKET DATA - ABRIL/26-REFINITIV-24184</v>
      </c>
      <c r="B102" s="20">
        <v>46113</v>
      </c>
      <c r="C102" s="21">
        <v>817393</v>
      </c>
      <c r="D102" s="9" t="str">
        <f>IF(J102=57036,"ALEXANDRE DA COSTA SOARES",IF(J102=24157,"JOSE MAURICIO GOMES TEIXEIRA",IF(J102=24203,"JOSE MAURICIO GOMES TEIXEIRA",IF(J102=24149,"CHRISTIANO MARCONDES DE BARROS LIMA",IF(J102=24137,"CHRISTIANO MARCONDES DE BARROS LIMA",IF(J102=135152,"ENRICO BORTPLUZO CASSIANO",IF(J102=136568,"ENRICO BORTPLUZO CASSIANO", IF(J102=130976,"MARYLIA CARVALHO PONCE",IF(J102=136668,"ALEXANDRE DA COSTA SOARES",IF(J102=52340,"OFFSHORE LISTED",IF(J102=158778,"CLAUDIO DE SOUZA PACINI",IF(J102=159800,"CLAUDIO DE SOUZA PACINI",_xlfn.XLOOKUP(J102,[1]!Tabela33[ID ORACLE],[1]!Tabela33[BROKER],0,0,1)))))))))))))</f>
        <v>CHRISTIANO MARCONDES DE BARROS LIMA</v>
      </c>
      <c r="E102" s="22">
        <f t="shared" si="11"/>
        <v>-141.21536398200001</v>
      </c>
      <c r="F102" s="9" t="str">
        <f t="shared" si="12"/>
        <v>REFINITIV</v>
      </c>
      <c r="G102" s="20">
        <f t="shared" si="13"/>
        <v>46113</v>
      </c>
      <c r="H102" s="23">
        <v>1170</v>
      </c>
      <c r="J102" s="41">
        <v>24184</v>
      </c>
      <c r="K102" s="1" t="s">
        <v>42</v>
      </c>
      <c r="L102" s="1" t="s">
        <v>17</v>
      </c>
      <c r="M102" s="29">
        <v>20.848212</v>
      </c>
      <c r="O102" s="1"/>
      <c r="P102" s="26"/>
      <c r="Q102" s="27"/>
      <c r="R102" s="27"/>
      <c r="S102" s="27"/>
      <c r="T102" s="26"/>
      <c r="U102" s="27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</row>
    <row r="103" spans="1:78" customFormat="1" ht="15" hidden="1" customHeight="1" x14ac:dyDescent="0.25">
      <c r="A103" s="9" t="str">
        <f t="shared" si="10"/>
        <v>CUSTO MARKET DATA - ABRIL/26-REFINITIV-24189</v>
      </c>
      <c r="B103" s="20">
        <v>46113</v>
      </c>
      <c r="C103" s="21">
        <v>817393</v>
      </c>
      <c r="D103" s="9" t="str">
        <f>IF(J103=57036,"ALEXANDRE DA COSTA SOARES",IF(J103=24157,"JOSE MAURICIO GOMES TEIXEIRA",IF(J103=24203,"JOSE MAURICIO GOMES TEIXEIRA",IF(J103=24149,"CHRISTIANO MARCONDES DE BARROS LIMA",IF(J103=24137,"CHRISTIANO MARCONDES DE BARROS LIMA",IF(J103=135152,"ENRICO BORTPLUZO CASSIANO",IF(J103=136568,"ENRICO BORTPLUZO CASSIANO", IF(J103=130976,"MARYLIA CARVALHO PONCE",IF(J103=136668,"ALEXANDRE DA COSTA SOARES",IF(J103=52340,"OFFSHORE LISTED",IF(J103=158778,"CLAUDIO DE SOUZA PACINI",IF(J103=159800,"CLAUDIO DE SOUZA PACINI",_xlfn.XLOOKUP(J103,[1]!Tabela33[ID ORACLE],[1]!Tabela33[BROKER],0,0,1)))))))))))))</f>
        <v>VINICIUS AMARAL DE MOURA</v>
      </c>
      <c r="E103" s="22">
        <f t="shared" si="11"/>
        <v>-141.21536398200001</v>
      </c>
      <c r="F103" s="9" t="str">
        <f t="shared" si="12"/>
        <v>REFINITIV</v>
      </c>
      <c r="G103" s="20">
        <f t="shared" si="13"/>
        <v>46113</v>
      </c>
      <c r="H103" s="23">
        <v>1170</v>
      </c>
      <c r="J103" s="41">
        <v>24189</v>
      </c>
      <c r="K103" s="1" t="s">
        <v>42</v>
      </c>
      <c r="L103" s="1" t="s">
        <v>17</v>
      </c>
      <c r="M103" s="29">
        <v>20.848212</v>
      </c>
      <c r="O103" s="1"/>
      <c r="P103" s="26"/>
      <c r="Q103" s="27"/>
      <c r="R103" s="27"/>
      <c r="S103" s="27"/>
      <c r="T103" s="26"/>
      <c r="U103" s="27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</row>
    <row r="104" spans="1:78" customFormat="1" ht="15" hidden="1" customHeight="1" x14ac:dyDescent="0.25">
      <c r="A104" s="9" t="str">
        <f t="shared" si="10"/>
        <v>CUSTO MARKET DATA - ABRIL/26-REFINITIV-24199</v>
      </c>
      <c r="B104" s="20">
        <v>46113</v>
      </c>
      <c r="C104" s="21">
        <v>817393</v>
      </c>
      <c r="D104" s="9" t="str">
        <f>IF(J104=57036,"ALEXANDRE DA COSTA SOARES",IF(J104=24157,"JOSE MAURICIO GOMES TEIXEIRA",IF(J104=24203,"JOSE MAURICIO GOMES TEIXEIRA",IF(J104=24149,"CHRISTIANO MARCONDES DE BARROS LIMA",IF(J104=24137,"CHRISTIANO MARCONDES DE BARROS LIMA",IF(J104=135152,"ENRICO BORTPLUZO CASSIANO",IF(J104=136568,"ENRICO BORTPLUZO CASSIANO", IF(J104=130976,"MARYLIA CARVALHO PONCE",IF(J104=136668,"ALEXANDRE DA COSTA SOARES",IF(J104=52340,"OFFSHORE LISTED",IF(J104=158778,"CLAUDIO DE SOUZA PACINI",IF(J104=159800,"CLAUDIO DE SOUZA PACINI",_xlfn.XLOOKUP(J104,[1]!Tabela33[ID ORACLE],[1]!Tabela33[BROKER],0,0,1)))))))))))))</f>
        <v>RICARDO FERREIRA DA COSTA</v>
      </c>
      <c r="E104" s="22">
        <f t="shared" si="11"/>
        <v>-141.21536398200001</v>
      </c>
      <c r="F104" s="9" t="str">
        <f t="shared" si="12"/>
        <v>REFINITIV</v>
      </c>
      <c r="G104" s="20">
        <f t="shared" si="13"/>
        <v>46113</v>
      </c>
      <c r="H104" s="23">
        <v>1170</v>
      </c>
      <c r="J104" s="41">
        <v>24199</v>
      </c>
      <c r="K104" s="1" t="s">
        <v>42</v>
      </c>
      <c r="L104" s="1" t="s">
        <v>17</v>
      </c>
      <c r="M104" s="29">
        <v>20.848212</v>
      </c>
      <c r="O104" s="1"/>
      <c r="P104" s="26"/>
      <c r="Q104" s="27"/>
      <c r="R104" s="27"/>
      <c r="S104" s="27"/>
      <c r="T104" s="26"/>
      <c r="U104" s="27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</row>
    <row r="105" spans="1:78" customFormat="1" ht="15" customHeight="1" x14ac:dyDescent="0.25">
      <c r="A105" s="9" t="str">
        <f t="shared" si="10"/>
        <v>CUSTO MARKET DATA - ABRIL/26-BLOOMBERG-24203</v>
      </c>
      <c r="B105" s="20">
        <v>46113</v>
      </c>
      <c r="C105" s="21">
        <v>817393</v>
      </c>
      <c r="D105" s="9" t="str">
        <f>IF(J105=57036,"ALEXANDRE DA COSTA SOARES",IF(J105=24157,"JOSE MAURICIO GOMES TEIXEIRA",IF(J105=24203,"JOSE MAURICIO GOMES TEIXEIRA",IF(J105=24149,"CHRISTIANO MARCONDES DE BARROS LIMA",IF(J105=24137,"CHRISTIANO MARCONDES DE BARROS LIMA",IF(J105=135152,"ENRICO BORTPLUZO CASSIANO",IF(J105=136568,"ENRICO BORTPLUZO CASSIANO", IF(J105=130976,"MARYLIA CARVALHO PONCE",IF(J105=136668,"ALEXANDRE DA COSTA SOARES",IF(J105=52340,"OFFSHORE LISTED",IF(J105=158778,"CLAUDIO DE SOUZA PACINI",IF(J105=159800,"CLAUDIO DE SOUZA PACINI",_xlfn.XLOOKUP(J105,[1]!Tabela33[ID ORACLE],[1]!Tabela33[BROKER],0,0,1)))))))))))))</f>
        <v>JOSE MAURICIO GOMES TEIXEIRA</v>
      </c>
      <c r="E105" s="22">
        <f t="shared" si="11"/>
        <v>-12037.172479714</v>
      </c>
      <c r="F105" s="9" t="str">
        <f t="shared" si="12"/>
        <v>BLOOMBERG</v>
      </c>
      <c r="G105" s="20">
        <f t="shared" si="13"/>
        <v>46113</v>
      </c>
      <c r="H105" s="23">
        <v>1170</v>
      </c>
      <c r="J105" s="41">
        <v>24203</v>
      </c>
      <c r="K105" s="1" t="s">
        <v>41</v>
      </c>
      <c r="L105" s="1" t="s">
        <v>12</v>
      </c>
      <c r="M105" s="29">
        <v>2412.9359899999999</v>
      </c>
      <c r="O105" s="1"/>
      <c r="P105" s="26"/>
      <c r="Q105" s="27"/>
      <c r="R105" s="27"/>
      <c r="S105" s="28"/>
      <c r="T105" s="26"/>
      <c r="U105" s="28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</row>
    <row r="106" spans="1:78" customFormat="1" ht="15" hidden="1" customHeight="1" x14ac:dyDescent="0.25">
      <c r="A106" s="9" t="str">
        <f t="shared" si="10"/>
        <v>CUSTO MARKET DATA - ABRIL/26-REFINITIV-24237</v>
      </c>
      <c r="B106" s="20">
        <v>46113</v>
      </c>
      <c r="C106" s="21">
        <v>817393</v>
      </c>
      <c r="D106" s="9" t="str">
        <f>IF(J106=57036,"ALEXANDRE DA COSTA SOARES",IF(J106=24157,"JOSE MAURICIO GOMES TEIXEIRA",IF(J106=24203,"JOSE MAURICIO GOMES TEIXEIRA",IF(J106=24149,"CHRISTIANO MARCONDES DE BARROS LIMA",IF(J106=24137,"CHRISTIANO MARCONDES DE BARROS LIMA",IF(J106=135152,"ENRICO BORTPLUZO CASSIANO",IF(J106=136568,"ENRICO BORTPLUZO CASSIANO", IF(J106=130976,"MARYLIA CARVALHO PONCE",IF(J106=136668,"ALEXANDRE DA COSTA SOARES",IF(J106=52340,"OFFSHORE LISTED",IF(J106=158778,"CLAUDIO DE SOUZA PACINI",IF(J106=159800,"CLAUDIO DE SOUZA PACINI",_xlfn.XLOOKUP(J106,[1]!Tabela33[ID ORACLE],[1]!Tabela33[BROKER],0,0,1)))))))))))))</f>
        <v>EDUARDO TADEU CARAPIA UTTEMBERG</v>
      </c>
      <c r="E106" s="22">
        <f t="shared" si="11"/>
        <v>-141.21536398200001</v>
      </c>
      <c r="F106" s="9" t="str">
        <f t="shared" si="12"/>
        <v>REFINITIV</v>
      </c>
      <c r="G106" s="20">
        <f t="shared" si="13"/>
        <v>46113</v>
      </c>
      <c r="H106" s="23">
        <v>1170</v>
      </c>
      <c r="J106" s="41">
        <v>24237</v>
      </c>
      <c r="K106" s="1" t="s">
        <v>42</v>
      </c>
      <c r="L106" s="1" t="s">
        <v>17</v>
      </c>
      <c r="M106" s="29">
        <v>20.848212</v>
      </c>
      <c r="O106" s="1"/>
      <c r="P106" s="26"/>
      <c r="Q106" s="27"/>
      <c r="R106" s="27"/>
      <c r="S106" s="28"/>
      <c r="T106" s="26"/>
      <c r="U106" s="28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</row>
    <row r="107" spans="1:78" customFormat="1" ht="15" customHeight="1" x14ac:dyDescent="0.25">
      <c r="A107" s="9" t="str">
        <f t="shared" si="10"/>
        <v>CUSTO MARKET DATA - ABRIL/26-BLOOMBERG-24243</v>
      </c>
      <c r="B107" s="20">
        <v>46113</v>
      </c>
      <c r="C107" s="21">
        <v>817393</v>
      </c>
      <c r="D107" s="9" t="str">
        <f>IF(J107=57036,"ALEXANDRE DA COSTA SOARES",IF(J107=24157,"JOSE MAURICIO GOMES TEIXEIRA",IF(J107=24203,"JOSE MAURICIO GOMES TEIXEIRA",IF(J107=24149,"CHRISTIANO MARCONDES DE BARROS LIMA",IF(J107=24137,"CHRISTIANO MARCONDES DE BARROS LIMA",IF(J107=135152,"ENRICO BORTPLUZO CASSIANO",IF(J107=136568,"ENRICO BORTPLUZO CASSIANO", IF(J107=130976,"MARYLIA CARVALHO PONCE",IF(J107=136668,"ALEXANDRE DA COSTA SOARES",IF(J107=52340,"OFFSHORE LISTED",IF(J107=158778,"CLAUDIO DE SOUZA PACINI",IF(J107=159800,"CLAUDIO DE SOUZA PACINI",_xlfn.XLOOKUP(J107,[1]!Tabela33[ID ORACLE],[1]!Tabela33[BROKER],0,0,1)))))))))))))</f>
        <v>JOSÉ VERGARA</v>
      </c>
      <c r="E107" s="22">
        <f t="shared" si="11"/>
        <v>-11252.465699713999</v>
      </c>
      <c r="F107" s="9" t="str">
        <f t="shared" si="12"/>
        <v>BLOOMBERG</v>
      </c>
      <c r="G107" s="20">
        <f t="shared" si="13"/>
        <v>46113</v>
      </c>
      <c r="H107" s="23">
        <v>1170</v>
      </c>
      <c r="J107" s="41">
        <v>24243</v>
      </c>
      <c r="K107" s="1" t="s">
        <v>41</v>
      </c>
      <c r="L107" s="1" t="s">
        <v>12</v>
      </c>
      <c r="M107" s="29">
        <v>2255.6359899999998</v>
      </c>
      <c r="O107" s="1"/>
      <c r="P107" s="26"/>
      <c r="Q107" s="27"/>
      <c r="R107" s="27"/>
      <c r="S107" s="28"/>
      <c r="T107" s="26"/>
      <c r="U107" s="28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</row>
    <row r="108" spans="1:78" customFormat="1" ht="15" customHeight="1" x14ac:dyDescent="0.25">
      <c r="A108" s="9" t="str">
        <f t="shared" si="10"/>
        <v>CUSTO MARKET DATA - ABRIL/26-BLOOMBERG-36538</v>
      </c>
      <c r="B108" s="20">
        <v>46113</v>
      </c>
      <c r="C108" s="21">
        <v>817393</v>
      </c>
      <c r="D108" s="9" t="str">
        <f>IF(J108=57036,"ALEXANDRE DA COSTA SOARES",IF(J108=24157,"JOSE MAURICIO GOMES TEIXEIRA",IF(J108=24203,"JOSE MAURICIO GOMES TEIXEIRA",IF(J108=24149,"CHRISTIANO MARCONDES DE BARROS LIMA",IF(J108=24137,"CHRISTIANO MARCONDES DE BARROS LIMA",IF(J108=135152,"ENRICO BORTPLUZO CASSIANO",IF(J108=136568,"ENRICO BORTPLUZO CASSIANO", IF(J108=130976,"MARYLIA CARVALHO PONCE",IF(J108=136668,"ALEXANDRE DA COSTA SOARES",IF(J108=52340,"OFFSHORE LISTED",IF(J108=158778,"CLAUDIO DE SOUZA PACINI",IF(J108=159800,"CLAUDIO DE SOUZA PACINI",_xlfn.XLOOKUP(J108,[1]!Tabela33[ID ORACLE],[1]!Tabela33[BROKER],0,0,1)))))))))))))</f>
        <v>CLYBAS PINTO FERRAZ NETO</v>
      </c>
      <c r="E108" s="22">
        <f t="shared" si="11"/>
        <v>-11252.465699713999</v>
      </c>
      <c r="F108" s="9" t="str">
        <f t="shared" si="12"/>
        <v>BLOOMBERG</v>
      </c>
      <c r="G108" s="20">
        <f t="shared" si="13"/>
        <v>46113</v>
      </c>
      <c r="H108" s="23">
        <v>1170</v>
      </c>
      <c r="J108" s="41">
        <v>36538</v>
      </c>
      <c r="K108" s="1" t="s">
        <v>41</v>
      </c>
      <c r="L108" s="1" t="s">
        <v>12</v>
      </c>
      <c r="M108" s="29">
        <v>2255.6359899999998</v>
      </c>
      <c r="O108" s="1"/>
      <c r="P108" s="26"/>
      <c r="Q108" s="27"/>
      <c r="R108" s="27"/>
      <c r="S108" s="28"/>
      <c r="T108" s="26"/>
      <c r="U108" s="28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</row>
    <row r="109" spans="1:78" customFormat="1" ht="15" hidden="1" customHeight="1" x14ac:dyDescent="0.25">
      <c r="A109" s="9" t="str">
        <f t="shared" si="10"/>
        <v>CUSTO MARKET DATA - ABRIL/26-REFINITIV-36538</v>
      </c>
      <c r="B109" s="20">
        <v>46113</v>
      </c>
      <c r="C109" s="21">
        <v>817393</v>
      </c>
      <c r="D109" s="9" t="str">
        <f>IF(J109=57036,"ALEXANDRE DA COSTA SOARES",IF(J109=24157,"JOSE MAURICIO GOMES TEIXEIRA",IF(J109=24203,"JOSE MAURICIO GOMES TEIXEIRA",IF(J109=24149,"CHRISTIANO MARCONDES DE BARROS LIMA",IF(J109=24137,"CHRISTIANO MARCONDES DE BARROS LIMA",IF(J109=135152,"ENRICO BORTPLUZO CASSIANO",IF(J109=136568,"ENRICO BORTPLUZO CASSIANO", IF(J109=130976,"MARYLIA CARVALHO PONCE",IF(J109=136668,"ALEXANDRE DA COSTA SOARES",IF(J109=52340,"OFFSHORE LISTED",IF(J109=158778,"CLAUDIO DE SOUZA PACINI",IF(J109=159800,"CLAUDIO DE SOUZA PACINI",_xlfn.XLOOKUP(J109,[1]!Tabela33[ID ORACLE],[1]!Tabela33[BROKER],0,0,1)))))))))))))</f>
        <v>CLYBAS PINTO FERRAZ NETO</v>
      </c>
      <c r="E109" s="22">
        <f t="shared" si="11"/>
        <v>-141.21536398200001</v>
      </c>
      <c r="F109" s="9" t="str">
        <f t="shared" si="12"/>
        <v>REFINITIV</v>
      </c>
      <c r="G109" s="20">
        <f t="shared" si="13"/>
        <v>46113</v>
      </c>
      <c r="H109" s="23">
        <v>1170</v>
      </c>
      <c r="J109" s="41">
        <v>36538</v>
      </c>
      <c r="K109" s="1" t="s">
        <v>42</v>
      </c>
      <c r="L109" s="1" t="s">
        <v>17</v>
      </c>
      <c r="M109" s="29">
        <v>20.848212</v>
      </c>
      <c r="O109" s="1"/>
      <c r="P109" s="26"/>
      <c r="Q109" s="27"/>
      <c r="R109" s="27"/>
      <c r="S109" s="28"/>
      <c r="T109" s="26"/>
      <c r="U109" s="28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</row>
    <row r="110" spans="1:78" customFormat="1" ht="15" customHeight="1" x14ac:dyDescent="0.25">
      <c r="A110" s="9" t="str">
        <f t="shared" si="10"/>
        <v>CUSTO MARKET DATA - ABRIL/26-BLOOMBERG-52340</v>
      </c>
      <c r="B110" s="20">
        <v>46113</v>
      </c>
      <c r="C110" s="21">
        <v>817393</v>
      </c>
      <c r="D110" s="9" t="str">
        <f>IF(J110=57036,"ALEXANDRE DA COSTA SOARES",IF(J110=24157,"JOSE MAURICIO GOMES TEIXEIRA",IF(J110=24203,"JOSE MAURICIO GOMES TEIXEIRA",IF(J110=24149,"CHRISTIANO MARCONDES DE BARROS LIMA",IF(J110=24137,"CHRISTIANO MARCONDES DE BARROS LIMA",IF(J110=135152,"ENRICO BORTPLUZO CASSIANO",IF(J110=136568,"ENRICO BORTPLUZO CASSIANO", IF(J110=130976,"MARYLIA CARVALHO PONCE",IF(J110=136668,"ALEXANDRE DA COSTA SOARES",IF(J110=52340,"OFFSHORE LISTED",IF(J110=158778,"CLAUDIO DE SOUZA PACINI",IF(J110=159800,"CLAUDIO DE SOUZA PACINI",_xlfn.XLOOKUP(J110,[1]!Tabela33[ID ORACLE],[1]!Tabela33[BROKER],0,0,1)))))))))))))</f>
        <v>OFFSHORE LISTED</v>
      </c>
      <c r="E110" s="22">
        <f t="shared" si="11"/>
        <v>-13254.889739713999</v>
      </c>
      <c r="F110" s="9" t="str">
        <f t="shared" si="12"/>
        <v>BLOOMBERG</v>
      </c>
      <c r="G110" s="20">
        <f t="shared" si="13"/>
        <v>46113</v>
      </c>
      <c r="H110" s="23">
        <v>1170</v>
      </c>
      <c r="J110" s="41">
        <v>52340</v>
      </c>
      <c r="K110" s="1" t="s">
        <v>41</v>
      </c>
      <c r="L110" s="1" t="s">
        <v>12</v>
      </c>
      <c r="M110" s="29">
        <v>2657.0359899999999</v>
      </c>
      <c r="O110" s="1"/>
      <c r="P110" s="26"/>
      <c r="Q110" s="27"/>
      <c r="R110" s="27"/>
      <c r="S110" s="28"/>
      <c r="T110" s="26"/>
      <c r="U110" s="28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</row>
    <row r="111" spans="1:78" customFormat="1" ht="15" hidden="1" customHeight="1" x14ac:dyDescent="0.25">
      <c r="A111" s="9" t="str">
        <f t="shared" si="10"/>
        <v>CUSTO MARKET DATA - ABRIL/26-FIDESSA-52340</v>
      </c>
      <c r="B111" s="20">
        <v>46113</v>
      </c>
      <c r="C111" s="21">
        <v>817393</v>
      </c>
      <c r="D111" s="9" t="str">
        <f>IF(J111=57036,"ALEXANDRE DA COSTA SOARES",IF(J111=24157,"JOSE MAURICIO GOMES TEIXEIRA",IF(J111=24203,"JOSE MAURICIO GOMES TEIXEIRA",IF(J111=24149,"CHRISTIANO MARCONDES DE BARROS LIMA",IF(J111=24137,"CHRISTIANO MARCONDES DE BARROS LIMA",IF(J111=135152,"ENRICO BORTPLUZO CASSIANO",IF(J111=136568,"ENRICO BORTPLUZO CASSIANO", IF(J111=130976,"MARYLIA CARVALHO PONCE",IF(J111=136668,"ALEXANDRE DA COSTA SOARES",IF(J111=52340,"OFFSHORE LISTED",IF(J111=158778,"CLAUDIO DE SOUZA PACINI",IF(J111=159800,"CLAUDIO DE SOUZA PACINI",_xlfn.XLOOKUP(J111,[1]!Tabela33[ID ORACLE],[1]!Tabela33[BROKER],0,0,1)))))))))))))</f>
        <v>OFFSHORE LISTED</v>
      </c>
      <c r="E111" s="22">
        <f t="shared" si="11"/>
        <v>-1735.6927670467999</v>
      </c>
      <c r="F111" s="9" t="str">
        <f t="shared" si="12"/>
        <v>FIDESSA</v>
      </c>
      <c r="G111" s="20">
        <f t="shared" si="13"/>
        <v>46113</v>
      </c>
      <c r="H111" s="23">
        <v>1170</v>
      </c>
      <c r="J111" s="41">
        <v>52340</v>
      </c>
      <c r="K111" s="1" t="s">
        <v>47</v>
      </c>
      <c r="L111" s="1" t="s">
        <v>12</v>
      </c>
      <c r="M111" s="29">
        <v>347.93183799999997</v>
      </c>
      <c r="O111" s="1"/>
      <c r="P111" s="26"/>
      <c r="Q111" s="27"/>
      <c r="R111" s="27"/>
      <c r="S111" s="42"/>
      <c r="T111" s="26"/>
      <c r="U111" s="42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</row>
    <row r="112" spans="1:78" customFormat="1" ht="15" hidden="1" customHeight="1" x14ac:dyDescent="0.25">
      <c r="A112" s="9" t="str">
        <f t="shared" si="10"/>
        <v>CUSTO MARKET DATA - ABRIL/26-NYSE MARKET INC.-52340</v>
      </c>
      <c r="B112" s="20">
        <v>46113</v>
      </c>
      <c r="C112" s="21">
        <v>817393</v>
      </c>
      <c r="D112" s="9" t="str">
        <f>IF(J112=57036,"ALEXANDRE DA COSTA SOARES",IF(J112=24157,"JOSE MAURICIO GOMES TEIXEIRA",IF(J112=24203,"JOSE MAURICIO GOMES TEIXEIRA",IF(J112=24149,"CHRISTIANO MARCONDES DE BARROS LIMA",IF(J112=24137,"CHRISTIANO MARCONDES DE BARROS LIMA",IF(J112=135152,"ENRICO BORTPLUZO CASSIANO",IF(J112=136568,"ENRICO BORTPLUZO CASSIANO", IF(J112=130976,"MARYLIA CARVALHO PONCE",IF(J112=136668,"ALEXANDRE DA COSTA SOARES",IF(J112=52340,"OFFSHORE LISTED",IF(J112=158778,"CLAUDIO DE SOUZA PACINI",IF(J112=159800,"CLAUDIO DE SOUZA PACINI",_xlfn.XLOOKUP(J112,[1]!Tabela33[ID ORACLE],[1]!Tabela33[BROKER],0,0,1)))))))))))))</f>
        <v>OFFSHORE LISTED</v>
      </c>
      <c r="E112" s="22">
        <f t="shared" si="11"/>
        <v>-1819.6791504999999</v>
      </c>
      <c r="F112" s="9" t="str">
        <f t="shared" si="12"/>
        <v>NYSE MARKET INC.</v>
      </c>
      <c r="G112" s="20">
        <f t="shared" si="13"/>
        <v>46113</v>
      </c>
      <c r="H112" s="23">
        <v>1170</v>
      </c>
      <c r="J112" s="41">
        <v>52340</v>
      </c>
      <c r="K112" s="1" t="s">
        <v>44</v>
      </c>
      <c r="L112" s="1" t="s">
        <v>12</v>
      </c>
      <c r="M112" s="29">
        <v>364.76749999999998</v>
      </c>
      <c r="O112" s="1"/>
      <c r="P112" s="26"/>
      <c r="Q112" s="27"/>
      <c r="R112" s="27"/>
      <c r="S112" s="42"/>
      <c r="T112" s="26"/>
      <c r="U112" s="42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</row>
    <row r="113" spans="1:78" customFormat="1" ht="15" hidden="1" customHeight="1" x14ac:dyDescent="0.25">
      <c r="A113" s="9" t="str">
        <f t="shared" si="10"/>
        <v>CUSTO MARKET DATA - ABRIL/26-OPTIONS PRICE REPORTING AUTHORITY (OPRA)-52340</v>
      </c>
      <c r="B113" s="20">
        <v>46113</v>
      </c>
      <c r="C113" s="21">
        <v>817393</v>
      </c>
      <c r="D113" s="9" t="str">
        <f>IF(J113=57036,"ALEXANDRE DA COSTA SOARES",IF(J113=24157,"JOSE MAURICIO GOMES TEIXEIRA",IF(J113=24203,"JOSE MAURICIO GOMES TEIXEIRA",IF(J113=24149,"CHRISTIANO MARCONDES DE BARROS LIMA",IF(J113=24137,"CHRISTIANO MARCONDES DE BARROS LIMA",IF(J113=135152,"ENRICO BORTPLUZO CASSIANO",IF(J113=136568,"ENRICO BORTPLUZO CASSIANO", IF(J113=130976,"MARYLIA CARVALHO PONCE",IF(J113=136668,"ALEXANDRE DA COSTA SOARES",IF(J113=52340,"OFFSHORE LISTED",IF(J113=158778,"CLAUDIO DE SOUZA PACINI",IF(J113=159800,"CLAUDIO DE SOUZA PACINI",_xlfn.XLOOKUP(J113,[1]!Tabela33[ID ORACLE],[1]!Tabela33[BROKER],0,0,1)))))))))))))</f>
        <v>OFFSHORE LISTED</v>
      </c>
      <c r="E113" s="22">
        <f t="shared" si="11"/>
        <v>-157.14089999999999</v>
      </c>
      <c r="F113" s="9" t="str">
        <f t="shared" si="12"/>
        <v>OPTIONS PRICE REPORTING AUTHORITY (OPRA)</v>
      </c>
      <c r="G113" s="20">
        <f t="shared" si="13"/>
        <v>46113</v>
      </c>
      <c r="H113" s="23">
        <v>1170</v>
      </c>
      <c r="J113" s="41">
        <v>52340</v>
      </c>
      <c r="K113" s="1" t="s">
        <v>45</v>
      </c>
      <c r="L113" s="1" t="s">
        <v>12</v>
      </c>
      <c r="M113" s="29">
        <v>31.5</v>
      </c>
      <c r="O113" s="1"/>
      <c r="P113" s="26"/>
      <c r="Q113" s="27"/>
      <c r="R113" s="27"/>
      <c r="S113" s="42"/>
      <c r="T113" s="26"/>
      <c r="U113" s="42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</row>
    <row r="114" spans="1:78" ht="15" customHeight="1" x14ac:dyDescent="0.25">
      <c r="A114" s="9" t="str">
        <f t="shared" si="10"/>
        <v>CUSTO MARKET DATA - ABRIL/26-BLOOMBERG-56258</v>
      </c>
      <c r="B114" s="20">
        <v>46113</v>
      </c>
      <c r="C114" s="21">
        <v>817393</v>
      </c>
      <c r="D114" s="9" t="str">
        <f>IF(J114=57036,"ALEXANDRE DA COSTA SOARES",IF(J114=24157,"JOSE MAURICIO GOMES TEIXEIRA",IF(J114=24203,"JOSE MAURICIO GOMES TEIXEIRA",IF(J114=24149,"CHRISTIANO MARCONDES DE BARROS LIMA",IF(J114=24137,"CHRISTIANO MARCONDES DE BARROS LIMA",IF(J114=135152,"ENRICO BORTPLUZO CASSIANO",IF(J114=136568,"ENRICO BORTPLUZO CASSIANO", IF(J114=130976,"MARYLIA CARVALHO PONCE",IF(J114=136668,"ALEXANDRE DA COSTA SOARES",IF(J114=52340,"OFFSHORE LISTED",IF(J114=158778,"CLAUDIO DE SOUZA PACINI",IF(J114=159800,"CLAUDIO DE SOUZA PACINI",_xlfn.XLOOKUP(J114,[1]!Tabela33[ID ORACLE],[1]!Tabela33[BROKER],0,0,1)))))))))))))</f>
        <v>RAFFAELE SCURTI NETTO</v>
      </c>
      <c r="E114" s="22">
        <f t="shared" si="11"/>
        <v>-9021.768317302598</v>
      </c>
      <c r="F114" s="9" t="str">
        <f t="shared" si="12"/>
        <v>BLOOMBERG</v>
      </c>
      <c r="G114" s="20">
        <f t="shared" si="13"/>
        <v>46113</v>
      </c>
      <c r="H114" s="23">
        <v>1170</v>
      </c>
      <c r="J114" s="41">
        <v>56258</v>
      </c>
      <c r="K114" s="1" t="s">
        <v>41</v>
      </c>
      <c r="L114" s="1" t="s">
        <v>12</v>
      </c>
      <c r="M114" s="29">
        <v>1808.4769909999998</v>
      </c>
      <c r="Q114" s="27"/>
      <c r="R114" s="27"/>
      <c r="S114" s="42"/>
      <c r="U114" s="42"/>
    </row>
    <row r="115" spans="1:78" ht="15" hidden="1" customHeight="1" x14ac:dyDescent="0.25">
      <c r="A115" s="9" t="str">
        <f t="shared" si="10"/>
        <v>CUSTO MARKET DATA - ABRIL/26-REFINITIV-56258</v>
      </c>
      <c r="B115" s="20">
        <v>46113</v>
      </c>
      <c r="C115" s="21">
        <v>817393</v>
      </c>
      <c r="D115" s="9" t="str">
        <f>IF(J115=57036,"ALEXANDRE DA COSTA SOARES",IF(J115=24157,"JOSE MAURICIO GOMES TEIXEIRA",IF(J115=24203,"JOSE MAURICIO GOMES TEIXEIRA",IF(J115=24149,"CHRISTIANO MARCONDES DE BARROS LIMA",IF(J115=24137,"CHRISTIANO MARCONDES DE BARROS LIMA",IF(J115=135152,"ENRICO BORTPLUZO CASSIANO",IF(J115=136568,"ENRICO BORTPLUZO CASSIANO", IF(J115=130976,"MARYLIA CARVALHO PONCE",IF(J115=136668,"ALEXANDRE DA COSTA SOARES",IF(J115=52340,"OFFSHORE LISTED",IF(J115=158778,"CLAUDIO DE SOUZA PACINI",IF(J115=159800,"CLAUDIO DE SOUZA PACINI",_xlfn.XLOOKUP(J115,[1]!Tabela33[ID ORACLE],[1]!Tabela33[BROKER],0,0,1)))))))))))))</f>
        <v>RAFFAELE SCURTI NETTO</v>
      </c>
      <c r="E115" s="22">
        <f t="shared" si="11"/>
        <v>-141.21536398200001</v>
      </c>
      <c r="F115" s="9" t="str">
        <f t="shared" si="12"/>
        <v>REFINITIV</v>
      </c>
      <c r="G115" s="20">
        <f t="shared" si="13"/>
        <v>46113</v>
      </c>
      <c r="H115" s="23">
        <v>1170</v>
      </c>
      <c r="J115" s="41">
        <v>56258</v>
      </c>
      <c r="K115" s="1" t="s">
        <v>42</v>
      </c>
      <c r="L115" s="1" t="s">
        <v>17</v>
      </c>
      <c r="M115" s="29">
        <v>20.848212</v>
      </c>
      <c r="Q115" s="27"/>
      <c r="R115" s="27"/>
      <c r="S115" s="42"/>
      <c r="U115" s="42"/>
    </row>
    <row r="116" spans="1:78" ht="15" customHeight="1" x14ac:dyDescent="0.25">
      <c r="A116" s="9" t="str">
        <f t="shared" si="10"/>
        <v>CUSTO MARKET DATA - ABRIL/26-BLOOMBERG-57036</v>
      </c>
      <c r="B116" s="20">
        <v>46113</v>
      </c>
      <c r="C116" s="21">
        <v>817393</v>
      </c>
      <c r="D116" s="9" t="str">
        <f>IF(J116=57036,"ALEXANDRE DA COSTA SOARES",IF(J116=24157,"JOSE MAURICIO GOMES TEIXEIRA",IF(J116=24203,"JOSE MAURICIO GOMES TEIXEIRA",IF(J116=24149,"CHRISTIANO MARCONDES DE BARROS LIMA",IF(J116=24137,"CHRISTIANO MARCONDES DE BARROS LIMA",IF(J116=135152,"ENRICO BORTPLUZO CASSIANO",IF(J116=136568,"ENRICO BORTPLUZO CASSIANO", IF(J116=130976,"MARYLIA CARVALHO PONCE",IF(J116=136668,"ALEXANDRE DA COSTA SOARES",IF(J116=52340,"OFFSHORE LISTED",IF(J116=158778,"CLAUDIO DE SOUZA PACINI",IF(J116=159800,"CLAUDIO DE SOUZA PACINI",_xlfn.XLOOKUP(J116,[1]!Tabela33[ID ORACLE],[1]!Tabela33[BROKER],0,0,1)))))))))))))</f>
        <v>ALEXANDRE DA COSTA SOARES</v>
      </c>
      <c r="E116" s="22">
        <f t="shared" si="11"/>
        <v>-12830.359879713997</v>
      </c>
      <c r="F116" s="9" t="str">
        <f t="shared" si="12"/>
        <v>BLOOMBERG</v>
      </c>
      <c r="G116" s="20">
        <f t="shared" si="13"/>
        <v>46113</v>
      </c>
      <c r="H116" s="23">
        <v>1170</v>
      </c>
      <c r="J116" s="41">
        <v>57036</v>
      </c>
      <c r="K116" s="1" t="s">
        <v>41</v>
      </c>
      <c r="L116" s="1" t="s">
        <v>12</v>
      </c>
      <c r="M116" s="29">
        <v>2571.9359899999995</v>
      </c>
      <c r="Q116" s="27"/>
      <c r="R116" s="27"/>
      <c r="S116" s="42"/>
      <c r="U116" s="42"/>
    </row>
    <row r="117" spans="1:78" ht="15" hidden="1" customHeight="1" x14ac:dyDescent="0.25">
      <c r="A117" s="9" t="str">
        <f t="shared" si="10"/>
        <v>CUSTO MARKET DATA - ABRIL/26-FIDESSA-57036</v>
      </c>
      <c r="B117" s="20">
        <v>46113</v>
      </c>
      <c r="C117" s="21">
        <v>817393</v>
      </c>
      <c r="D117" s="9" t="str">
        <f>IF(J117=57036,"ALEXANDRE DA COSTA SOARES",IF(J117=24157,"JOSE MAURICIO GOMES TEIXEIRA",IF(J117=24203,"JOSE MAURICIO GOMES TEIXEIRA",IF(J117=24149,"CHRISTIANO MARCONDES DE BARROS LIMA",IF(J117=24137,"CHRISTIANO MARCONDES DE BARROS LIMA",IF(J117=135152,"ENRICO BORTPLUZO CASSIANO",IF(J117=136568,"ENRICO BORTPLUZO CASSIANO", IF(J117=130976,"MARYLIA CARVALHO PONCE",IF(J117=136668,"ALEXANDRE DA COSTA SOARES",IF(J117=52340,"OFFSHORE LISTED",IF(J117=158778,"CLAUDIO DE SOUZA PACINI",IF(J117=159800,"CLAUDIO DE SOUZA PACINI",_xlfn.XLOOKUP(J117,[1]!Tabela33[ID ORACLE],[1]!Tabela33[BROKER],0,0,1)))))))))))))</f>
        <v>ALEXANDRE DA COSTA SOARES</v>
      </c>
      <c r="E117" s="22">
        <f t="shared" si="11"/>
        <v>-2090.1343085926001</v>
      </c>
      <c r="F117" s="9" t="str">
        <f t="shared" si="12"/>
        <v>FIDESSA</v>
      </c>
      <c r="G117" s="20">
        <f t="shared" si="13"/>
        <v>46113</v>
      </c>
      <c r="H117" s="23">
        <v>1170</v>
      </c>
      <c r="J117" s="41">
        <v>57036</v>
      </c>
      <c r="K117" s="1" t="s">
        <v>47</v>
      </c>
      <c r="L117" s="1" t="s">
        <v>12</v>
      </c>
      <c r="M117" s="29">
        <v>418.98214100000001</v>
      </c>
      <c r="Q117" s="27"/>
      <c r="R117" s="27"/>
      <c r="S117" s="42"/>
      <c r="U117" s="42"/>
    </row>
    <row r="118" spans="1:78" ht="15" hidden="1" customHeight="1" x14ac:dyDescent="0.25">
      <c r="A118" s="9" t="str">
        <f t="shared" si="10"/>
        <v>CUSTO MARKET DATA - ABRIL/26-NYSE MARKET INC.-57036</v>
      </c>
      <c r="B118" s="20">
        <v>46113</v>
      </c>
      <c r="C118" s="21">
        <v>817393</v>
      </c>
      <c r="D118" s="9" t="str">
        <f>IF(J118=57036,"ALEXANDRE DA COSTA SOARES",IF(J118=24157,"JOSE MAURICIO GOMES TEIXEIRA",IF(J118=24203,"JOSE MAURICIO GOMES TEIXEIRA",IF(J118=24149,"CHRISTIANO MARCONDES DE BARROS LIMA",IF(J118=24137,"CHRISTIANO MARCONDES DE BARROS LIMA",IF(J118=135152,"ENRICO BORTPLUZO CASSIANO",IF(J118=136568,"ENRICO BORTPLUZO CASSIANO", IF(J118=130976,"MARYLIA CARVALHO PONCE",IF(J118=136668,"ALEXANDRE DA COSTA SOARES",IF(J118=52340,"OFFSHORE LISTED",IF(J118=158778,"CLAUDIO DE SOUZA PACINI",IF(J118=159800,"CLAUDIO DE SOUZA PACINI",_xlfn.XLOOKUP(J118,[1]!Tabela33[ID ORACLE],[1]!Tabela33[BROKER],0,0,1)))))))))))))</f>
        <v>ALEXANDRE DA COSTA SOARES</v>
      </c>
      <c r="E118" s="22">
        <f t="shared" si="11"/>
        <v>-1172.7575025000001</v>
      </c>
      <c r="F118" s="9" t="str">
        <f t="shared" si="12"/>
        <v>NYSE MARKET INC.</v>
      </c>
      <c r="G118" s="20">
        <f t="shared" si="13"/>
        <v>46113</v>
      </c>
      <c r="H118" s="23">
        <v>1170</v>
      </c>
      <c r="J118" s="41">
        <v>57036</v>
      </c>
      <c r="K118" s="1" t="s">
        <v>44</v>
      </c>
      <c r="L118" s="1" t="s">
        <v>12</v>
      </c>
      <c r="M118" s="29">
        <v>235.08750000000001</v>
      </c>
      <c r="Q118" s="27"/>
      <c r="R118" s="27"/>
      <c r="S118" s="42"/>
      <c r="U118" s="42"/>
    </row>
    <row r="119" spans="1:78" ht="15" hidden="1" customHeight="1" x14ac:dyDescent="0.25">
      <c r="A119" s="9" t="str">
        <f t="shared" si="10"/>
        <v>CUSTO MARKET DATA - ABRIL/26-OPTIONS PRICE REPORTING AUTHORITY (OPRA)-57036</v>
      </c>
      <c r="B119" s="20">
        <v>46113</v>
      </c>
      <c r="C119" s="21">
        <v>817393</v>
      </c>
      <c r="D119" s="9" t="str">
        <f>IF(J119=57036,"ALEXANDRE DA COSTA SOARES",IF(J119=24157,"JOSE MAURICIO GOMES TEIXEIRA",IF(J119=24203,"JOSE MAURICIO GOMES TEIXEIRA",IF(J119=24149,"CHRISTIANO MARCONDES DE BARROS LIMA",IF(J119=24137,"CHRISTIANO MARCONDES DE BARROS LIMA",IF(J119=135152,"ENRICO BORTPLUZO CASSIANO",IF(J119=136568,"ENRICO BORTPLUZO CASSIANO", IF(J119=130976,"MARYLIA CARVALHO PONCE",IF(J119=136668,"ALEXANDRE DA COSTA SOARES",IF(J119=52340,"OFFSHORE LISTED",IF(J119=158778,"CLAUDIO DE SOUZA PACINI",IF(J119=159800,"CLAUDIO DE SOUZA PACINI",_xlfn.XLOOKUP(J119,[1]!Tabela33[ID ORACLE],[1]!Tabela33[BROKER],0,0,1)))))))))))))</f>
        <v>ALEXANDRE DA COSTA SOARES</v>
      </c>
      <c r="E119" s="22">
        <f t="shared" si="11"/>
        <v>-328.228054875</v>
      </c>
      <c r="F119" s="9" t="str">
        <f t="shared" si="12"/>
        <v>OPTIONS PRICE REPORTING AUTHORITY (OPRA)</v>
      </c>
      <c r="G119" s="20">
        <f t="shared" si="13"/>
        <v>46113</v>
      </c>
      <c r="H119" s="23">
        <v>1170</v>
      </c>
      <c r="J119" s="41">
        <v>57036</v>
      </c>
      <c r="K119" s="1" t="s">
        <v>45</v>
      </c>
      <c r="L119" s="1" t="s">
        <v>12</v>
      </c>
      <c r="M119" s="29">
        <v>65.795625000000001</v>
      </c>
      <c r="Q119" s="27"/>
      <c r="R119" s="27"/>
      <c r="S119" s="42"/>
      <c r="U119" s="42"/>
    </row>
    <row r="120" spans="1:78" ht="15" hidden="1" customHeight="1" x14ac:dyDescent="0.25">
      <c r="A120" s="9" t="str">
        <f t="shared" si="10"/>
        <v>CUSTO MARKET DATA - ABRIL/26-REFINITIV-57036</v>
      </c>
      <c r="B120" s="20">
        <v>46113</v>
      </c>
      <c r="C120" s="21">
        <v>817393</v>
      </c>
      <c r="D120" s="9" t="str">
        <f>IF(J120=57036,"ALEXANDRE DA COSTA SOARES",IF(J120=24157,"JOSE MAURICIO GOMES TEIXEIRA",IF(J120=24203,"JOSE MAURICIO GOMES TEIXEIRA",IF(J120=24149,"CHRISTIANO MARCONDES DE BARROS LIMA",IF(J120=24137,"CHRISTIANO MARCONDES DE BARROS LIMA",IF(J120=135152,"ENRICO BORTPLUZO CASSIANO",IF(J120=136568,"ENRICO BORTPLUZO CASSIANO", IF(J120=130976,"MARYLIA CARVALHO PONCE",IF(J120=136668,"ALEXANDRE DA COSTA SOARES",IF(J120=52340,"OFFSHORE LISTED",IF(J120=158778,"CLAUDIO DE SOUZA PACINI",IF(J120=159800,"CLAUDIO DE SOUZA PACINI",_xlfn.XLOOKUP(J120,[1]!Tabela33[ID ORACLE],[1]!Tabela33[BROKER],0,0,1)))))))))))))</f>
        <v>ALEXANDRE DA COSTA SOARES</v>
      </c>
      <c r="E120" s="22">
        <f t="shared" si="11"/>
        <v>-141.21536398200001</v>
      </c>
      <c r="F120" s="9" t="str">
        <f t="shared" si="12"/>
        <v>REFINITIV</v>
      </c>
      <c r="G120" s="20">
        <f t="shared" si="13"/>
        <v>46113</v>
      </c>
      <c r="H120" s="23">
        <v>1170</v>
      </c>
      <c r="J120" s="41">
        <v>57036</v>
      </c>
      <c r="K120" s="1" t="s">
        <v>42</v>
      </c>
      <c r="L120" s="1" t="s">
        <v>17</v>
      </c>
      <c r="M120" s="29">
        <v>20.848212</v>
      </c>
      <c r="Q120" s="27"/>
      <c r="R120" s="27"/>
      <c r="S120" s="42"/>
      <c r="U120" s="42"/>
    </row>
    <row r="121" spans="1:78" ht="15" hidden="1" customHeight="1" x14ac:dyDescent="0.25">
      <c r="A121" s="9" t="str">
        <f t="shared" si="10"/>
        <v>CUSTO MARKET DATA - ABRIL/26-TORONTO STOCK EXCHANGE-57036</v>
      </c>
      <c r="B121" s="20">
        <v>46113</v>
      </c>
      <c r="C121" s="21">
        <v>817393</v>
      </c>
      <c r="D121" s="9" t="str">
        <f>IF(J121=57036,"ALEXANDRE DA COSTA SOARES",IF(J121=24157,"JOSE MAURICIO GOMES TEIXEIRA",IF(J121=24203,"JOSE MAURICIO GOMES TEIXEIRA",IF(J121=24149,"CHRISTIANO MARCONDES DE BARROS LIMA",IF(J121=24137,"CHRISTIANO MARCONDES DE BARROS LIMA",IF(J121=135152,"ENRICO BORTPLUZO CASSIANO",IF(J121=136568,"ENRICO BORTPLUZO CASSIANO", IF(J121=130976,"MARYLIA CARVALHO PONCE",IF(J121=136668,"ALEXANDRE DA COSTA SOARES",IF(J121=52340,"OFFSHORE LISTED",IF(J121=158778,"CLAUDIO DE SOUZA PACINI",IF(J121=159800,"CLAUDIO DE SOUZA PACINI",_xlfn.XLOOKUP(J121,[1]!Tabela33[ID ORACLE],[1]!Tabela33[BROKER],0,0,1)))))))))))))</f>
        <v>ALEXANDRE DA COSTA SOARES</v>
      </c>
      <c r="E121" s="22">
        <f t="shared" si="11"/>
        <v>-671.77290265739998</v>
      </c>
      <c r="F121" s="9" t="str">
        <f t="shared" si="12"/>
        <v>TORONTO STOCK EXCHANGE</v>
      </c>
      <c r="G121" s="20">
        <f t="shared" si="13"/>
        <v>46113</v>
      </c>
      <c r="H121" s="23">
        <v>1170</v>
      </c>
      <c r="J121" s="41">
        <v>57036</v>
      </c>
      <c r="K121" s="1" t="s">
        <v>51</v>
      </c>
      <c r="L121" s="1" t="s">
        <v>12</v>
      </c>
      <c r="M121" s="29">
        <v>134.661609</v>
      </c>
      <c r="Q121" s="27"/>
      <c r="R121" s="27"/>
    </row>
    <row r="122" spans="1:78" ht="15" customHeight="1" x14ac:dyDescent="0.25">
      <c r="A122" s="9" t="str">
        <f t="shared" si="10"/>
        <v>CUSTO MARKET DATA - ABRIL/26-BLOOMBERG-61086</v>
      </c>
      <c r="B122" s="20">
        <v>46113</v>
      </c>
      <c r="C122" s="21">
        <v>817393</v>
      </c>
      <c r="D122" s="9" t="str">
        <f>IF(J122=57036,"ALEXANDRE DA COSTA SOARES",IF(J122=24157,"JOSE MAURICIO GOMES TEIXEIRA",IF(J122=24203,"JOSE MAURICIO GOMES TEIXEIRA",IF(J122=24149,"CHRISTIANO MARCONDES DE BARROS LIMA",IF(J122=24137,"CHRISTIANO MARCONDES DE BARROS LIMA",IF(J122=135152,"ENRICO BORTPLUZO CASSIANO",IF(J122=136568,"ENRICO BORTPLUZO CASSIANO", IF(J122=130976,"MARYLIA CARVALHO PONCE",IF(J122=136668,"ALEXANDRE DA COSTA SOARES",IF(J122=52340,"OFFSHORE LISTED",IF(J122=158778,"CLAUDIO DE SOUZA PACINI",IF(J122=159800,"CLAUDIO DE SOUZA PACINI",_xlfn.XLOOKUP(J122,[1]!Tabela33[ID ORACLE],[1]!Tabela33[BROKER],0,0,1)))))))))))))</f>
        <v>ALEXANDRE DA COSTA SOARES</v>
      </c>
      <c r="E122" s="22">
        <f t="shared" si="11"/>
        <v>-13210.491199713997</v>
      </c>
      <c r="F122" s="9" t="str">
        <f t="shared" si="12"/>
        <v>BLOOMBERG</v>
      </c>
      <c r="G122" s="20">
        <f t="shared" si="13"/>
        <v>46113</v>
      </c>
      <c r="H122" s="23">
        <v>1170</v>
      </c>
      <c r="J122" s="41">
        <v>61086</v>
      </c>
      <c r="K122" s="1" t="s">
        <v>41</v>
      </c>
      <c r="L122" s="1" t="s">
        <v>12</v>
      </c>
      <c r="M122" s="29">
        <v>2648.1359899999993</v>
      </c>
      <c r="Q122" s="27"/>
      <c r="R122" s="27"/>
    </row>
    <row r="123" spans="1:78" customFormat="1" ht="15" hidden="1" customHeight="1" x14ac:dyDescent="0.25">
      <c r="A123" s="9" t="str">
        <f t="shared" si="10"/>
        <v>CUSTO MARKET DATA - ABRIL/26-FIDESSA-61086</v>
      </c>
      <c r="B123" s="20">
        <v>46113</v>
      </c>
      <c r="C123" s="21">
        <v>817393</v>
      </c>
      <c r="D123" s="9" t="str">
        <f>IF(J123=57036,"ALEXANDRE DA COSTA SOARES",IF(J123=24157,"JOSE MAURICIO GOMES TEIXEIRA",IF(J123=24203,"JOSE MAURICIO GOMES TEIXEIRA",IF(J123=24149,"CHRISTIANO MARCONDES DE BARROS LIMA",IF(J123=24137,"CHRISTIANO MARCONDES DE BARROS LIMA",IF(J123=135152,"ENRICO BORTPLUZO CASSIANO",IF(J123=136568,"ENRICO BORTPLUZO CASSIANO", IF(J123=130976,"MARYLIA CARVALHO PONCE",IF(J123=136668,"ALEXANDRE DA COSTA SOARES",IF(J123=52340,"OFFSHORE LISTED",IF(J123=158778,"CLAUDIO DE SOUZA PACINI",IF(J123=159800,"CLAUDIO DE SOUZA PACINI",_xlfn.XLOOKUP(J123,[1]!Tabela33[ID ORACLE],[1]!Tabela33[BROKER],0,0,1)))))))))))))</f>
        <v>ALEXANDRE DA COSTA SOARES</v>
      </c>
      <c r="E123" s="22">
        <f t="shared" si="11"/>
        <v>-2114.4743015904</v>
      </c>
      <c r="F123" s="9" t="str">
        <f t="shared" si="12"/>
        <v>FIDESSA</v>
      </c>
      <c r="G123" s="20">
        <f t="shared" si="13"/>
        <v>46113</v>
      </c>
      <c r="H123" s="23">
        <v>1170</v>
      </c>
      <c r="J123" s="41">
        <v>61086</v>
      </c>
      <c r="K123" s="1" t="s">
        <v>47</v>
      </c>
      <c r="L123" s="1" t="s">
        <v>12</v>
      </c>
      <c r="M123" s="29">
        <v>423.86126400000001</v>
      </c>
      <c r="O123" s="1"/>
      <c r="P123" s="26"/>
      <c r="Q123" s="27"/>
      <c r="R123" s="27"/>
      <c r="S123" s="28"/>
      <c r="T123" s="26"/>
      <c r="U123" s="28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</row>
    <row r="124" spans="1:78" ht="15" hidden="1" customHeight="1" x14ac:dyDescent="0.25">
      <c r="A124" s="9" t="str">
        <f t="shared" si="10"/>
        <v>CUSTO MARKET DATA - ABRIL/26-NYSE MARKET INC.-61086</v>
      </c>
      <c r="B124" s="20">
        <v>46113</v>
      </c>
      <c r="C124" s="21">
        <v>817393</v>
      </c>
      <c r="D124" s="9" t="str">
        <f>IF(J124=57036,"ALEXANDRE DA COSTA SOARES",IF(J124=24157,"JOSE MAURICIO GOMES TEIXEIRA",IF(J124=24203,"JOSE MAURICIO GOMES TEIXEIRA",IF(J124=24149,"CHRISTIANO MARCONDES DE BARROS LIMA",IF(J124=24137,"CHRISTIANO MARCONDES DE BARROS LIMA",IF(J124=135152,"ENRICO BORTPLUZO CASSIANO",IF(J124=136568,"ENRICO BORTPLUZO CASSIANO", IF(J124=130976,"MARYLIA CARVALHO PONCE",IF(J124=136668,"ALEXANDRE DA COSTA SOARES",IF(J124=52340,"OFFSHORE LISTED",IF(J124=158778,"CLAUDIO DE SOUZA PACINI",IF(J124=159800,"CLAUDIO DE SOUZA PACINI",_xlfn.XLOOKUP(J124,[1]!Tabela33[ID ORACLE],[1]!Tabela33[BROKER],0,0,1)))))))))))))</f>
        <v>ALEXANDRE DA COSTA SOARES</v>
      </c>
      <c r="E124" s="22">
        <f t="shared" si="11"/>
        <v>-2819.0453884999997</v>
      </c>
      <c r="F124" s="9" t="str">
        <f t="shared" si="12"/>
        <v>NYSE MARKET INC.</v>
      </c>
      <c r="G124" s="20">
        <f t="shared" si="13"/>
        <v>46113</v>
      </c>
      <c r="H124" s="23">
        <v>1170</v>
      </c>
      <c r="J124" s="41">
        <v>61086</v>
      </c>
      <c r="K124" s="1" t="s">
        <v>44</v>
      </c>
      <c r="L124" s="1" t="s">
        <v>12</v>
      </c>
      <c r="M124" s="29">
        <v>565.09749999999997</v>
      </c>
      <c r="Q124" s="27"/>
      <c r="R124" s="27"/>
    </row>
    <row r="125" spans="1:78" ht="15" hidden="1" customHeight="1" x14ac:dyDescent="0.25">
      <c r="A125" s="9" t="str">
        <f t="shared" si="10"/>
        <v>CUSTO MARKET DATA - ABRIL/26-OPTIONS PRICE REPORTING AUTHORITY (OPRA)-61086</v>
      </c>
      <c r="B125" s="20">
        <v>46113</v>
      </c>
      <c r="C125" s="21">
        <v>817393</v>
      </c>
      <c r="D125" s="9" t="str">
        <f>IF(J125=57036,"ALEXANDRE DA COSTA SOARES",IF(J125=24157,"JOSE MAURICIO GOMES TEIXEIRA",IF(J125=24203,"JOSE MAURICIO GOMES TEIXEIRA",IF(J125=24149,"CHRISTIANO MARCONDES DE BARROS LIMA",IF(J125=24137,"CHRISTIANO MARCONDES DE BARROS LIMA",IF(J125=135152,"ENRICO BORTPLUZO CASSIANO",IF(J125=136568,"ENRICO BORTPLUZO CASSIANO", IF(J125=130976,"MARYLIA CARVALHO PONCE",IF(J125=136668,"ALEXANDRE DA COSTA SOARES",IF(J125=52340,"OFFSHORE LISTED",IF(J125=158778,"CLAUDIO DE SOUZA PACINI",IF(J125=159800,"CLAUDIO DE SOUZA PACINI",_xlfn.XLOOKUP(J125,[1]!Tabela33[ID ORACLE],[1]!Tabela33[BROKER],0,0,1)))))))))))))</f>
        <v>ALEXANDRE DA COSTA SOARES</v>
      </c>
      <c r="E125" s="22">
        <f t="shared" si="11"/>
        <v>-328.228054875</v>
      </c>
      <c r="F125" s="9" t="str">
        <f t="shared" si="12"/>
        <v>OPTIONS PRICE REPORTING AUTHORITY (OPRA)</v>
      </c>
      <c r="G125" s="20">
        <f t="shared" si="13"/>
        <v>46113</v>
      </c>
      <c r="H125" s="23">
        <v>1170</v>
      </c>
      <c r="J125" s="41">
        <v>61086</v>
      </c>
      <c r="K125" s="1" t="s">
        <v>45</v>
      </c>
      <c r="L125" s="1" t="s">
        <v>12</v>
      </c>
      <c r="M125" s="29">
        <v>65.795625000000001</v>
      </c>
      <c r="Q125" s="27"/>
      <c r="R125" s="27"/>
    </row>
    <row r="126" spans="1:78" ht="15" hidden="1" customHeight="1" x14ac:dyDescent="0.25">
      <c r="A126" s="9" t="str">
        <f t="shared" si="10"/>
        <v>CUSTO MARKET DATA - ABRIL/26-REFINITIV-61086</v>
      </c>
      <c r="B126" s="20">
        <v>46113</v>
      </c>
      <c r="C126" s="21">
        <v>817393</v>
      </c>
      <c r="D126" s="9" t="str">
        <f>IF(J126=57036,"ALEXANDRE DA COSTA SOARES",IF(J126=24157,"JOSE MAURICIO GOMES TEIXEIRA",IF(J126=24203,"JOSE MAURICIO GOMES TEIXEIRA",IF(J126=24149,"CHRISTIANO MARCONDES DE BARROS LIMA",IF(J126=24137,"CHRISTIANO MARCONDES DE BARROS LIMA",IF(J126=135152,"ENRICO BORTPLUZO CASSIANO",IF(J126=136568,"ENRICO BORTPLUZO CASSIANO", IF(J126=130976,"MARYLIA CARVALHO PONCE",IF(J126=136668,"ALEXANDRE DA COSTA SOARES",IF(J126=52340,"OFFSHORE LISTED",IF(J126=158778,"CLAUDIO DE SOUZA PACINI",IF(J126=159800,"CLAUDIO DE SOUZA PACINI",_xlfn.XLOOKUP(J126,[1]!Tabela33[ID ORACLE],[1]!Tabela33[BROKER],0,0,1)))))))))))))</f>
        <v>ALEXANDRE DA COSTA SOARES</v>
      </c>
      <c r="E126" s="22">
        <f t="shared" si="11"/>
        <v>-141.21536398200001</v>
      </c>
      <c r="F126" s="9" t="str">
        <f t="shared" si="12"/>
        <v>REFINITIV</v>
      </c>
      <c r="G126" s="20">
        <f t="shared" si="13"/>
        <v>46113</v>
      </c>
      <c r="H126" s="23">
        <v>1170</v>
      </c>
      <c r="J126" s="41">
        <v>61086</v>
      </c>
      <c r="K126" s="1" t="s">
        <v>42</v>
      </c>
      <c r="L126" s="1" t="s">
        <v>17</v>
      </c>
      <c r="M126" s="29">
        <v>20.848212</v>
      </c>
      <c r="N126" s="29"/>
      <c r="Q126" s="27"/>
      <c r="R126" s="27"/>
    </row>
    <row r="127" spans="1:78" ht="15" hidden="1" customHeight="1" x14ac:dyDescent="0.25">
      <c r="A127" s="9" t="str">
        <f t="shared" si="10"/>
        <v>CUSTO MARKET DATA - ABRIL/26-TORONTO STOCK EXCHANGE-61086</v>
      </c>
      <c r="B127" s="20">
        <v>46113</v>
      </c>
      <c r="C127" s="21">
        <v>817393</v>
      </c>
      <c r="D127" s="9" t="str">
        <f>IF(J127=57036,"ALEXANDRE DA COSTA SOARES",IF(J127=24157,"JOSE MAURICIO GOMES TEIXEIRA",IF(J127=24203,"JOSE MAURICIO GOMES TEIXEIRA",IF(J127=24149,"CHRISTIANO MARCONDES DE BARROS LIMA",IF(J127=24137,"CHRISTIANO MARCONDES DE BARROS LIMA",IF(J127=135152,"ENRICO BORTPLUZO CASSIANO",IF(J127=136568,"ENRICO BORTPLUZO CASSIANO", IF(J127=130976,"MARYLIA CARVALHO PONCE",IF(J127=136668,"ALEXANDRE DA COSTA SOARES",IF(J127=52340,"OFFSHORE LISTED",IF(J127=158778,"CLAUDIO DE SOUZA PACINI",IF(J127=159800,"CLAUDIO DE SOUZA PACINI",_xlfn.XLOOKUP(J127,[1]!Tabela33[ID ORACLE],[1]!Tabela33[BROKER],0,0,1)))))))))))))</f>
        <v>ALEXANDRE DA COSTA SOARES</v>
      </c>
      <c r="E127" s="22">
        <f t="shared" si="11"/>
        <v>-671.77287771440001</v>
      </c>
      <c r="F127" s="9" t="str">
        <f t="shared" si="12"/>
        <v>TORONTO STOCK EXCHANGE</v>
      </c>
      <c r="G127" s="20">
        <f t="shared" si="13"/>
        <v>46113</v>
      </c>
      <c r="H127" s="23">
        <v>1170</v>
      </c>
      <c r="J127" s="41">
        <v>61086</v>
      </c>
      <c r="K127" s="1" t="s">
        <v>51</v>
      </c>
      <c r="L127" s="1" t="s">
        <v>12</v>
      </c>
      <c r="M127" s="29">
        <v>134.66160400000001</v>
      </c>
      <c r="N127" s="29"/>
      <c r="Q127" s="27"/>
      <c r="R127" s="27"/>
    </row>
    <row r="128" spans="1:78" customFormat="1" ht="15" customHeight="1" x14ac:dyDescent="0.25">
      <c r="A128" s="9" t="str">
        <f t="shared" si="10"/>
        <v>CUSTO MARKET DATA - ABRIL/26-BLOOMBERG-63203</v>
      </c>
      <c r="B128" s="20">
        <v>46113</v>
      </c>
      <c r="C128" s="21">
        <v>817393</v>
      </c>
      <c r="D128" s="9" t="str">
        <f>IF(J128=57036,"ALEXANDRE DA COSTA SOARES",IF(J128=24157,"JOSE MAURICIO GOMES TEIXEIRA",IF(J128=24203,"JOSE MAURICIO GOMES TEIXEIRA",IF(J128=24149,"CHRISTIANO MARCONDES DE BARROS LIMA",IF(J128=24137,"CHRISTIANO MARCONDES DE BARROS LIMA",IF(J128=135152,"ENRICO BORTPLUZO CASSIANO",IF(J128=136568,"ENRICO BORTPLUZO CASSIANO", IF(J128=130976,"MARYLIA CARVALHO PONCE",IF(J128=136668,"ALEXANDRE DA COSTA SOARES",IF(J128=52340,"OFFSHORE LISTED",IF(J128=158778,"CLAUDIO DE SOUZA PACINI",IF(J128=159800,"CLAUDIO DE SOUZA PACINI",_xlfn.XLOOKUP(J128,[1]!Tabela33[ID ORACLE],[1]!Tabela33[BROKER],0,0,1)))))))))))))</f>
        <v>FABIO SOARES PFAENDER</v>
      </c>
      <c r="E128" s="22">
        <f t="shared" si="11"/>
        <v>-12687.187059713999</v>
      </c>
      <c r="F128" s="9" t="str">
        <f t="shared" si="12"/>
        <v>BLOOMBERG</v>
      </c>
      <c r="G128" s="20">
        <f t="shared" si="13"/>
        <v>46113</v>
      </c>
      <c r="H128" s="23">
        <v>1170</v>
      </c>
      <c r="J128" s="41">
        <v>63203</v>
      </c>
      <c r="K128" s="1" t="s">
        <v>41</v>
      </c>
      <c r="L128" s="1" t="s">
        <v>12</v>
      </c>
      <c r="M128" s="29">
        <v>2543.2359899999997</v>
      </c>
      <c r="N128" s="29"/>
      <c r="O128" s="1"/>
      <c r="P128" s="26"/>
      <c r="Q128" s="27"/>
      <c r="R128" s="27"/>
      <c r="S128" s="28"/>
      <c r="T128" s="26"/>
      <c r="U128" s="28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</row>
    <row r="129" spans="1:78" customFormat="1" ht="15" hidden="1" customHeight="1" x14ac:dyDescent="0.25">
      <c r="A129" s="9" t="str">
        <f t="shared" si="10"/>
        <v>CUSTO MARKET DATA - ABRIL/26-REFINITIV-63203</v>
      </c>
      <c r="B129" s="20">
        <v>46113</v>
      </c>
      <c r="C129" s="21">
        <v>817393</v>
      </c>
      <c r="D129" s="9" t="str">
        <f>IF(J129=57036,"ALEXANDRE DA COSTA SOARES",IF(J129=24157,"JOSE MAURICIO GOMES TEIXEIRA",IF(J129=24203,"JOSE MAURICIO GOMES TEIXEIRA",IF(J129=24149,"CHRISTIANO MARCONDES DE BARROS LIMA",IF(J129=24137,"CHRISTIANO MARCONDES DE BARROS LIMA",IF(J129=135152,"ENRICO BORTPLUZO CASSIANO",IF(J129=136568,"ENRICO BORTPLUZO CASSIANO", IF(J129=130976,"MARYLIA CARVALHO PONCE",IF(J129=136668,"ALEXANDRE DA COSTA SOARES",IF(J129=52340,"OFFSHORE LISTED",IF(J129=158778,"CLAUDIO DE SOUZA PACINI",IF(J129=159800,"CLAUDIO DE SOUZA PACINI",_xlfn.XLOOKUP(J129,[1]!Tabela33[ID ORACLE],[1]!Tabela33[BROKER],0,0,1)))))))))))))</f>
        <v>FABIO SOARES PFAENDER</v>
      </c>
      <c r="E129" s="22">
        <f t="shared" si="11"/>
        <v>-719.19091875149991</v>
      </c>
      <c r="F129" s="9" t="str">
        <f t="shared" si="12"/>
        <v>REFINITIV</v>
      </c>
      <c r="G129" s="20">
        <f t="shared" si="13"/>
        <v>46113</v>
      </c>
      <c r="H129" s="23">
        <v>1170</v>
      </c>
      <c r="J129" s="41">
        <v>63203</v>
      </c>
      <c r="K129" s="1" t="s">
        <v>42</v>
      </c>
      <c r="L129" s="1" t="s">
        <v>17</v>
      </c>
      <c r="M129" s="29">
        <v>106.17714899999999</v>
      </c>
      <c r="N129" s="29"/>
      <c r="O129" s="1"/>
      <c r="P129" s="26"/>
      <c r="Q129" s="27"/>
      <c r="R129" s="27"/>
      <c r="S129" s="28"/>
      <c r="T129" s="26"/>
      <c r="U129" s="28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</row>
    <row r="130" spans="1:78" ht="15" customHeight="1" x14ac:dyDescent="0.25">
      <c r="A130" s="9" t="str">
        <f t="shared" si="10"/>
        <v>CUSTO MARKET DATA - ABRIL/26-BLOOMBERG-63705</v>
      </c>
      <c r="B130" s="20">
        <v>46113</v>
      </c>
      <c r="C130" s="21">
        <v>817393</v>
      </c>
      <c r="D130" s="9" t="str">
        <f>IF(J130=57036,"ALEXANDRE DA COSTA SOARES",IF(J130=24157,"JOSE MAURICIO GOMES TEIXEIRA",IF(J130=24203,"JOSE MAURICIO GOMES TEIXEIRA",IF(J130=24149,"CHRISTIANO MARCONDES DE BARROS LIMA",IF(J130=24137,"CHRISTIANO MARCONDES DE BARROS LIMA",IF(J130=135152,"ENRICO BORTPLUZO CASSIANO",IF(J130=136568,"ENRICO BORTPLUZO CASSIANO", IF(J130=130976,"MARYLIA CARVALHO PONCE",IF(J130=136668,"ALEXANDRE DA COSTA SOARES",IF(J130=52340,"OFFSHORE LISTED",IF(J130=158778,"CLAUDIO DE SOUZA PACINI",IF(J130=159800,"CLAUDIO DE SOUZA PACINI",_xlfn.XLOOKUP(J130,[1]!Tabela33[ID ORACLE],[1]!Tabela33[BROKER],0,0,1)))))))))))))</f>
        <v>ALEXANDRE DE CARVALHO GALHARDO</v>
      </c>
      <c r="E130" s="22">
        <f t="shared" si="11"/>
        <v>-12042.161079714</v>
      </c>
      <c r="F130" s="9" t="str">
        <f t="shared" si="12"/>
        <v>BLOOMBERG</v>
      </c>
      <c r="G130" s="20">
        <f t="shared" si="13"/>
        <v>46113</v>
      </c>
      <c r="H130" s="23">
        <v>1170</v>
      </c>
      <c r="J130" s="41">
        <v>63705</v>
      </c>
      <c r="K130" s="1" t="s">
        <v>41</v>
      </c>
      <c r="L130" s="1" t="s">
        <v>12</v>
      </c>
      <c r="M130" s="29">
        <v>2413.9359899999999</v>
      </c>
      <c r="N130" s="29"/>
      <c r="O130" s="41"/>
      <c r="Q130" s="27"/>
      <c r="R130" s="27"/>
    </row>
    <row r="131" spans="1:78" ht="15" hidden="1" customHeight="1" x14ac:dyDescent="0.25">
      <c r="A131" s="9" t="str">
        <f t="shared" si="10"/>
        <v>CUSTO MARKET DATA - ABRIL/26-NYSE MARKET INC.-63705</v>
      </c>
      <c r="B131" s="20">
        <v>46113</v>
      </c>
      <c r="C131" s="21">
        <v>817393</v>
      </c>
      <c r="D131" s="9" t="str">
        <f>IF(J131=57036,"ALEXANDRE DA COSTA SOARES",IF(J131=24157,"JOSE MAURICIO GOMES TEIXEIRA",IF(J131=24203,"JOSE MAURICIO GOMES TEIXEIRA",IF(J131=24149,"CHRISTIANO MARCONDES DE BARROS LIMA",IF(J131=24137,"CHRISTIANO MARCONDES DE BARROS LIMA",IF(J131=135152,"ENRICO BORTPLUZO CASSIANO",IF(J131=136568,"ENRICO BORTPLUZO CASSIANO", IF(J131=130976,"MARYLIA CARVALHO PONCE",IF(J131=136668,"ALEXANDRE DA COSTA SOARES",IF(J131=52340,"OFFSHORE LISTED",IF(J131=158778,"CLAUDIO DE SOUZA PACINI",IF(J131=159800,"CLAUDIO DE SOUZA PACINI",_xlfn.XLOOKUP(J131,[1]!Tabela33[ID ORACLE],[1]!Tabela33[BROKER],0,0,1)))))))))))))</f>
        <v>ALEXANDRE DE CARVALHO GALHARDO</v>
      </c>
      <c r="E131" s="22">
        <f t="shared" si="11"/>
        <v>-134.69219999999999</v>
      </c>
      <c r="F131" s="9" t="str">
        <f t="shared" si="12"/>
        <v>NYSE MARKET INC.</v>
      </c>
      <c r="G131" s="20">
        <f t="shared" si="13"/>
        <v>46113</v>
      </c>
      <c r="H131" s="23">
        <v>1170</v>
      </c>
      <c r="J131" s="41">
        <v>63705</v>
      </c>
      <c r="K131" s="1" t="s">
        <v>44</v>
      </c>
      <c r="L131" s="1" t="s">
        <v>12</v>
      </c>
      <c r="M131" s="29">
        <v>27</v>
      </c>
      <c r="N131" s="29"/>
      <c r="O131" s="41"/>
      <c r="Q131" s="27"/>
      <c r="R131" s="27"/>
    </row>
    <row r="132" spans="1:78" ht="15" hidden="1" customHeight="1" x14ac:dyDescent="0.25">
      <c r="A132" s="9" t="str">
        <f t="shared" si="10"/>
        <v>CUSTO MARKET DATA - ABRIL/26-REFINITIV-63705</v>
      </c>
      <c r="B132" s="20">
        <v>46113</v>
      </c>
      <c r="C132" s="21">
        <v>817393</v>
      </c>
      <c r="D132" s="9" t="str">
        <f>IF(J132=57036,"ALEXANDRE DA COSTA SOARES",IF(J132=24157,"JOSE MAURICIO GOMES TEIXEIRA",IF(J132=24203,"JOSE MAURICIO GOMES TEIXEIRA",IF(J132=24149,"CHRISTIANO MARCONDES DE BARROS LIMA",IF(J132=24137,"CHRISTIANO MARCONDES DE BARROS LIMA",IF(J132=135152,"ENRICO BORTPLUZO CASSIANO",IF(J132=136568,"ENRICO BORTPLUZO CASSIANO", IF(J132=130976,"MARYLIA CARVALHO PONCE",IF(J132=136668,"ALEXANDRE DA COSTA SOARES",IF(J132=52340,"OFFSHORE LISTED",IF(J132=158778,"CLAUDIO DE SOUZA PACINI",IF(J132=159800,"CLAUDIO DE SOUZA PACINI",_xlfn.XLOOKUP(J132,[1]!Tabela33[ID ORACLE],[1]!Tabela33[BROKER],0,0,1)))))))))))))</f>
        <v>ALEXANDRE DE CARVALHO GALHARDO</v>
      </c>
      <c r="E132" s="22">
        <f t="shared" si="11"/>
        <v>-577.97555476950004</v>
      </c>
      <c r="F132" s="9" t="str">
        <f t="shared" si="12"/>
        <v>REFINITIV</v>
      </c>
      <c r="G132" s="20">
        <f t="shared" si="13"/>
        <v>46113</v>
      </c>
      <c r="H132" s="23">
        <v>1170</v>
      </c>
      <c r="J132" s="41">
        <v>63705</v>
      </c>
      <c r="K132" s="1" t="s">
        <v>42</v>
      </c>
      <c r="L132" s="1" t="s">
        <v>17</v>
      </c>
      <c r="M132" s="29">
        <v>85.328936999999996</v>
      </c>
      <c r="N132" s="29"/>
      <c r="O132" s="41"/>
      <c r="Q132" s="27"/>
      <c r="R132" s="27"/>
    </row>
    <row r="133" spans="1:78" ht="15" customHeight="1" x14ac:dyDescent="0.25">
      <c r="A133" s="9" t="str">
        <f t="shared" si="10"/>
        <v>CUSTO MARKET DATA - ABRIL/26-BLOOMBERG-64098</v>
      </c>
      <c r="B133" s="20">
        <v>46113</v>
      </c>
      <c r="C133" s="21">
        <v>817393</v>
      </c>
      <c r="D133" s="9" t="str">
        <f>IF(J133=57036,"ALEXANDRE DA COSTA SOARES",IF(J133=24157,"JOSE MAURICIO GOMES TEIXEIRA",IF(J133=24203,"JOSE MAURICIO GOMES TEIXEIRA",IF(J133=24149,"CHRISTIANO MARCONDES DE BARROS LIMA",IF(J133=24137,"CHRISTIANO MARCONDES DE BARROS LIMA",IF(J133=135152,"ENRICO BORTPLUZO CASSIANO",IF(J133=136568,"ENRICO BORTPLUZO CASSIANO", IF(J133=130976,"MARYLIA CARVALHO PONCE",IF(J133=136668,"ALEXANDRE DA COSTA SOARES",IF(J133=52340,"OFFSHORE LISTED",IF(J133=158778,"CLAUDIO DE SOUZA PACINI",IF(J133=159800,"CLAUDIO DE SOUZA PACINI",_xlfn.XLOOKUP(J133,[1]!Tabela33[ID ORACLE],[1]!Tabela33[BROKER],0,0,1)))))))))))))</f>
        <v>HAMILTON DEL MONACO FILHO</v>
      </c>
      <c r="E133" s="22">
        <f t="shared" si="11"/>
        <v>-12840.337079713998</v>
      </c>
      <c r="F133" s="9" t="str">
        <f t="shared" si="12"/>
        <v>BLOOMBERG</v>
      </c>
      <c r="G133" s="20">
        <f t="shared" si="13"/>
        <v>46113</v>
      </c>
      <c r="H133" s="23">
        <v>1170</v>
      </c>
      <c r="J133" s="41">
        <v>64098</v>
      </c>
      <c r="K133" s="1" t="s">
        <v>41</v>
      </c>
      <c r="L133" s="1" t="s">
        <v>12</v>
      </c>
      <c r="M133" s="29">
        <v>2573.9359899999995</v>
      </c>
      <c r="N133" s="29"/>
      <c r="O133" s="41"/>
      <c r="Q133" s="27"/>
      <c r="R133" s="27"/>
    </row>
    <row r="134" spans="1:78" s="26" customFormat="1" ht="15" hidden="1" customHeight="1" x14ac:dyDescent="0.25">
      <c r="A134" s="9" t="str">
        <f t="shared" si="10"/>
        <v>CUSTO MARKET DATA - ABRIL/26-NYSE MARKET INC.-64098</v>
      </c>
      <c r="B134" s="20">
        <v>46113</v>
      </c>
      <c r="C134" s="21">
        <v>817393</v>
      </c>
      <c r="D134" s="9" t="str">
        <f>IF(J134=57036,"ALEXANDRE DA COSTA SOARES",IF(J134=24157,"JOSE MAURICIO GOMES TEIXEIRA",IF(J134=24203,"JOSE MAURICIO GOMES TEIXEIRA",IF(J134=24149,"CHRISTIANO MARCONDES DE BARROS LIMA",IF(J134=24137,"CHRISTIANO MARCONDES DE BARROS LIMA",IF(J134=135152,"ENRICO BORTPLUZO CASSIANO",IF(J134=136568,"ENRICO BORTPLUZO CASSIANO", IF(J134=130976,"MARYLIA CARVALHO PONCE",IF(J134=136668,"ALEXANDRE DA COSTA SOARES",IF(J134=52340,"OFFSHORE LISTED",IF(J134=158778,"CLAUDIO DE SOUZA PACINI",IF(J134=159800,"CLAUDIO DE SOUZA PACINI",_xlfn.XLOOKUP(J134,[1]!Tabela33[ID ORACLE],[1]!Tabela33[BROKER],0,0,1)))))))))))))</f>
        <v>HAMILTON DEL MONACO FILHO</v>
      </c>
      <c r="E134" s="22">
        <f t="shared" si="11"/>
        <v>-1920.6109999999999</v>
      </c>
      <c r="F134" s="9" t="str">
        <f t="shared" si="12"/>
        <v>NYSE MARKET INC.</v>
      </c>
      <c r="G134" s="20">
        <f t="shared" si="13"/>
        <v>46113</v>
      </c>
      <c r="H134" s="23">
        <v>1170</v>
      </c>
      <c r="I134"/>
      <c r="J134" s="41">
        <v>64098</v>
      </c>
      <c r="K134" s="1" t="s">
        <v>44</v>
      </c>
      <c r="L134" s="1" t="s">
        <v>12</v>
      </c>
      <c r="M134" s="29">
        <v>385</v>
      </c>
      <c r="N134" s="29"/>
      <c r="O134" s="41"/>
      <c r="Q134" s="27"/>
      <c r="R134" s="27"/>
      <c r="S134" s="28"/>
      <c r="U134" s="28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</row>
    <row r="135" spans="1:78" s="26" customFormat="1" ht="15" hidden="1" customHeight="1" x14ac:dyDescent="0.25">
      <c r="A135" s="9" t="str">
        <f t="shared" si="10"/>
        <v>CUSTO MARKET DATA - ABRIL/26-OPTIONS PRICE REPORTING AUTHORITY (OPRA)-64098</v>
      </c>
      <c r="B135" s="20">
        <v>46113</v>
      </c>
      <c r="C135" s="21">
        <v>817393</v>
      </c>
      <c r="D135" s="9" t="str">
        <f>IF(J135=57036,"ALEXANDRE DA COSTA SOARES",IF(J135=24157,"JOSE MAURICIO GOMES TEIXEIRA",IF(J135=24203,"JOSE MAURICIO GOMES TEIXEIRA",IF(J135=24149,"CHRISTIANO MARCONDES DE BARROS LIMA",IF(J135=24137,"CHRISTIANO MARCONDES DE BARROS LIMA",IF(J135=135152,"ENRICO BORTPLUZO CASSIANO",IF(J135=136568,"ENRICO BORTPLUZO CASSIANO", IF(J135=130976,"MARYLIA CARVALHO PONCE",IF(J135=136668,"ALEXANDRE DA COSTA SOARES",IF(J135=52340,"OFFSHORE LISTED",IF(J135=158778,"CLAUDIO DE SOUZA PACINI",IF(J135=159800,"CLAUDIO DE SOUZA PACINI",_xlfn.XLOOKUP(J135,[1]!Tabela33[ID ORACLE],[1]!Tabela33[BROKER],0,0,1)))))))))))))</f>
        <v>HAMILTON DEL MONACO FILHO</v>
      </c>
      <c r="E135" s="22">
        <f t="shared" si="11"/>
        <v>-157.14089999999999</v>
      </c>
      <c r="F135" s="9" t="str">
        <f t="shared" si="12"/>
        <v>OPTIONS PRICE REPORTING AUTHORITY (OPRA)</v>
      </c>
      <c r="G135" s="20">
        <f t="shared" si="13"/>
        <v>46113</v>
      </c>
      <c r="H135" s="23">
        <v>1170</v>
      </c>
      <c r="I135"/>
      <c r="J135" s="41">
        <v>64098</v>
      </c>
      <c r="K135" s="1" t="s">
        <v>45</v>
      </c>
      <c r="L135" s="1" t="s">
        <v>12</v>
      </c>
      <c r="M135" s="29">
        <v>31.5</v>
      </c>
      <c r="N135" s="29"/>
      <c r="O135" s="41"/>
      <c r="Q135" s="27"/>
      <c r="R135" s="27"/>
      <c r="S135" s="28"/>
      <c r="U135" s="28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</row>
    <row r="136" spans="1:78" s="26" customFormat="1" ht="15" hidden="1" customHeight="1" x14ac:dyDescent="0.25">
      <c r="A136" s="9" t="str">
        <f t="shared" si="10"/>
        <v>CUSTO MARKET DATA - ABRIL/26-REFINITIV-64098</v>
      </c>
      <c r="B136" s="20">
        <v>46113</v>
      </c>
      <c r="C136" s="21">
        <v>817393</v>
      </c>
      <c r="D136" s="9" t="str">
        <f>IF(J136=57036,"ALEXANDRE DA COSTA SOARES",IF(J136=24157,"JOSE MAURICIO GOMES TEIXEIRA",IF(J136=24203,"JOSE MAURICIO GOMES TEIXEIRA",IF(J136=24149,"CHRISTIANO MARCONDES DE BARROS LIMA",IF(J136=24137,"CHRISTIANO MARCONDES DE BARROS LIMA",IF(J136=135152,"ENRICO BORTPLUZO CASSIANO",IF(J136=136568,"ENRICO BORTPLUZO CASSIANO", IF(J136=130976,"MARYLIA CARVALHO PONCE",IF(J136=136668,"ALEXANDRE DA COSTA SOARES",IF(J136=52340,"OFFSHORE LISTED",IF(J136=158778,"CLAUDIO DE SOUZA PACINI",IF(J136=159800,"CLAUDIO DE SOUZA PACINI",_xlfn.XLOOKUP(J136,[1]!Tabela33[ID ORACLE],[1]!Tabela33[BROKER],0,0,1)))))))))))))</f>
        <v>HAMILTON DEL MONACO FILHO</v>
      </c>
      <c r="E136" s="22">
        <f t="shared" si="11"/>
        <v>-141.21536398200001</v>
      </c>
      <c r="F136" s="9" t="str">
        <f t="shared" si="12"/>
        <v>REFINITIV</v>
      </c>
      <c r="G136" s="20">
        <f t="shared" si="13"/>
        <v>46113</v>
      </c>
      <c r="H136" s="23">
        <v>1170</v>
      </c>
      <c r="I136"/>
      <c r="J136" s="41">
        <v>64098</v>
      </c>
      <c r="K136" s="1" t="s">
        <v>42</v>
      </c>
      <c r="L136" s="1" t="s">
        <v>17</v>
      </c>
      <c r="M136" s="29">
        <v>20.848212</v>
      </c>
      <c r="N136" s="29"/>
      <c r="O136" s="41"/>
      <c r="Q136" s="27"/>
      <c r="R136" s="27"/>
      <c r="S136" s="28"/>
      <c r="U136" s="28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</row>
    <row r="137" spans="1:78" s="26" customFormat="1" ht="15" hidden="1" customHeight="1" x14ac:dyDescent="0.25">
      <c r="A137" s="9" t="str">
        <f t="shared" si="10"/>
        <v>CUSTO MARKET DATA - ABRIL/26-SYMPHONY COMMUNICATION SERVICES, LLC-64098</v>
      </c>
      <c r="B137" s="20">
        <v>46113</v>
      </c>
      <c r="C137" s="21">
        <v>817393</v>
      </c>
      <c r="D137" s="9" t="str">
        <f>IF(J137=57036,"ALEXANDRE DA COSTA SOARES",IF(J137=24157,"JOSE MAURICIO GOMES TEIXEIRA",IF(J137=24203,"JOSE MAURICIO GOMES TEIXEIRA",IF(J137=24149,"CHRISTIANO MARCONDES DE BARROS LIMA",IF(J137=24137,"CHRISTIANO MARCONDES DE BARROS LIMA",IF(J137=135152,"ENRICO BORTPLUZO CASSIANO",IF(J137=136568,"ENRICO BORTPLUZO CASSIANO", IF(J137=130976,"MARYLIA CARVALHO PONCE",IF(J137=136668,"ALEXANDRE DA COSTA SOARES",IF(J137=52340,"OFFSHORE LISTED",IF(J137=158778,"CLAUDIO DE SOUZA PACINI",IF(J137=159800,"CLAUDIO DE SOUZA PACINI",_xlfn.XLOOKUP(J137,[1]!Tabela33[ID ORACLE],[1]!Tabela33[BROKER],0,0,1)))))))))))))</f>
        <v>HAMILTON DEL MONACO FILHO</v>
      </c>
      <c r="E137" s="22">
        <f t="shared" si="11"/>
        <v>-124.92077975000001</v>
      </c>
      <c r="F137" s="9" t="str">
        <f t="shared" si="12"/>
        <v>SYMPHONY COMMUNICATION SERVICES, LLC</v>
      </c>
      <c r="G137" s="20">
        <f t="shared" si="13"/>
        <v>46113</v>
      </c>
      <c r="H137" s="23">
        <v>1170</v>
      </c>
      <c r="I137"/>
      <c r="J137" s="41">
        <v>64098</v>
      </c>
      <c r="K137" s="1" t="s">
        <v>50</v>
      </c>
      <c r="L137" s="1" t="s">
        <v>12</v>
      </c>
      <c r="M137" s="29">
        <v>25.041250000000002</v>
      </c>
      <c r="N137" s="41"/>
      <c r="O137" s="1"/>
      <c r="Q137" s="27"/>
      <c r="R137" s="27"/>
      <c r="S137" s="28"/>
      <c r="U137" s="28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</row>
    <row r="138" spans="1:78" s="26" customFormat="1" ht="15" customHeight="1" x14ac:dyDescent="0.25">
      <c r="A138" s="9" t="str">
        <f t="shared" si="10"/>
        <v>CUSTO MARKET DATA - ABRIL/26-BLOOMBERG-66546</v>
      </c>
      <c r="B138" s="20">
        <v>46113</v>
      </c>
      <c r="C138" s="21">
        <v>817393</v>
      </c>
      <c r="D138" s="9" t="str">
        <f>IF(J138=57036,"ALEXANDRE DA COSTA SOARES",IF(J138=24157,"JOSE MAURICIO GOMES TEIXEIRA",IF(J138=24203,"JOSE MAURICIO GOMES TEIXEIRA",IF(J138=24149,"CHRISTIANO MARCONDES DE BARROS LIMA",IF(J138=24137,"CHRISTIANO MARCONDES DE BARROS LIMA",IF(J138=135152,"ENRICO BORTPLUZO CASSIANO",IF(J138=136568,"ENRICO BORTPLUZO CASSIANO", IF(J138=130976,"MARYLIA CARVALHO PONCE",IF(J138=136668,"ALEXANDRE DA COSTA SOARES",IF(J138=52340,"OFFSHORE LISTED",IF(J138=158778,"CLAUDIO DE SOUZA PACINI",IF(J138=159800,"CLAUDIO DE SOUZA PACINI",_xlfn.XLOOKUP(J138,[1]!Tabela33[ID ORACLE],[1]!Tabela33[BROKER],0,0,1)))))))))))))</f>
        <v>ERMINIO OLIVI LUCCI</v>
      </c>
      <c r="E138" s="22">
        <f t="shared" si="11"/>
        <v>-11838.626199713999</v>
      </c>
      <c r="F138" s="9" t="str">
        <f t="shared" si="12"/>
        <v>BLOOMBERG</v>
      </c>
      <c r="G138" s="20">
        <f t="shared" si="13"/>
        <v>46113</v>
      </c>
      <c r="H138" s="23">
        <v>1170</v>
      </c>
      <c r="I138"/>
      <c r="J138" s="41">
        <v>66546</v>
      </c>
      <c r="K138" s="1" t="s">
        <v>41</v>
      </c>
      <c r="L138" s="1" t="s">
        <v>12</v>
      </c>
      <c r="M138" s="29">
        <v>2373.1359899999998</v>
      </c>
      <c r="N138" s="41"/>
      <c r="O138" s="1"/>
      <c r="Q138" s="27"/>
      <c r="R138" s="27"/>
      <c r="S138" s="28"/>
      <c r="U138" s="28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</row>
    <row r="139" spans="1:78" s="26" customFormat="1" ht="15" hidden="1" customHeight="1" x14ac:dyDescent="0.25">
      <c r="A139" s="9" t="str">
        <f t="shared" si="10"/>
        <v>CUSTO MARKET DATA - ABRIL/26-REFINITIV-66729</v>
      </c>
      <c r="B139" s="20">
        <v>46113</v>
      </c>
      <c r="C139" s="21">
        <v>817393</v>
      </c>
      <c r="D139" s="9" t="str">
        <f>IF(J139=57036,"ALEXANDRE DA COSTA SOARES",IF(J139=24157,"JOSE MAURICIO GOMES TEIXEIRA",IF(J139=24203,"JOSE MAURICIO GOMES TEIXEIRA",IF(J139=24149,"CHRISTIANO MARCONDES DE BARROS LIMA",IF(J139=24137,"CHRISTIANO MARCONDES DE BARROS LIMA",IF(J139=135152,"ENRICO BORTPLUZO CASSIANO",IF(J139=136568,"ENRICO BORTPLUZO CASSIANO", IF(J139=130976,"MARYLIA CARVALHO PONCE",IF(J139=136668,"ALEXANDRE DA COSTA SOARES",IF(J139=52340,"OFFSHORE LISTED",IF(J139=158778,"CLAUDIO DE SOUZA PACINI",IF(J139=159800,"CLAUDIO DE SOUZA PACINI",_xlfn.XLOOKUP(J139,[1]!Tabela33[ID ORACLE],[1]!Tabela33[BROKER],0,0,1)))))))))))))</f>
        <v>PAOLO FRANCA LIDA</v>
      </c>
      <c r="E139" s="22">
        <f t="shared" si="11"/>
        <v>-577.97555476950004</v>
      </c>
      <c r="F139" s="9" t="str">
        <f t="shared" si="12"/>
        <v>REFINITIV</v>
      </c>
      <c r="G139" s="20">
        <f t="shared" si="13"/>
        <v>46113</v>
      </c>
      <c r="H139" s="23">
        <v>1170</v>
      </c>
      <c r="I139"/>
      <c r="J139" s="41">
        <v>66729</v>
      </c>
      <c r="K139" s="1" t="s">
        <v>42</v>
      </c>
      <c r="L139" s="1" t="s">
        <v>17</v>
      </c>
      <c r="M139" s="29">
        <v>85.328936999999996</v>
      </c>
      <c r="N139" s="41"/>
      <c r="O139" s="1"/>
      <c r="Q139" s="27"/>
      <c r="R139" s="27"/>
      <c r="S139" s="28"/>
      <c r="U139" s="28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</row>
    <row r="140" spans="1:78" s="26" customFormat="1" ht="15" hidden="1" customHeight="1" x14ac:dyDescent="0.25">
      <c r="A140" s="9" t="str">
        <f t="shared" si="10"/>
        <v>CUSTO MARKET DATA - ABRIL/26-REFINITIV-67829</v>
      </c>
      <c r="B140" s="20">
        <v>46113</v>
      </c>
      <c r="C140" s="21">
        <v>817393</v>
      </c>
      <c r="D140" s="9" t="str">
        <f>IF(J140=57036,"ALEXANDRE DA COSTA SOARES",IF(J140=24157,"JOSE MAURICIO GOMES TEIXEIRA",IF(J140=24203,"JOSE MAURICIO GOMES TEIXEIRA",IF(J140=24149,"CHRISTIANO MARCONDES DE BARROS LIMA",IF(J140=24137,"CHRISTIANO MARCONDES DE BARROS LIMA",IF(J140=135152,"ENRICO BORTPLUZO CASSIANO",IF(J140=136568,"ENRICO BORTPLUZO CASSIANO", IF(J140=130976,"MARYLIA CARVALHO PONCE",IF(J140=136668,"ALEXANDRE DA COSTA SOARES",IF(J140=52340,"OFFSHORE LISTED",IF(J140=158778,"CLAUDIO DE SOUZA PACINI",IF(J140=159800,"CLAUDIO DE SOUZA PACINI",_xlfn.XLOOKUP(J140,[1]!Tabela33[ID ORACLE],[1]!Tabela33[BROKER],0,0,1)))))))))))))</f>
        <v>WESLEY MARQUES DA SILVA</v>
      </c>
      <c r="E140" s="22">
        <f t="shared" si="11"/>
        <v>-141.21536398200001</v>
      </c>
      <c r="F140" s="9" t="str">
        <f t="shared" si="12"/>
        <v>REFINITIV</v>
      </c>
      <c r="G140" s="20">
        <f t="shared" si="13"/>
        <v>46113</v>
      </c>
      <c r="H140" s="23">
        <v>1170</v>
      </c>
      <c r="I140"/>
      <c r="J140" s="41">
        <v>67829</v>
      </c>
      <c r="K140" s="1" t="s">
        <v>42</v>
      </c>
      <c r="L140" s="1" t="s">
        <v>17</v>
      </c>
      <c r="M140" s="29">
        <v>20.848212</v>
      </c>
      <c r="N140" s="41"/>
      <c r="O140" s="1"/>
      <c r="Q140" s="27"/>
      <c r="R140" s="27"/>
      <c r="S140" s="28"/>
      <c r="U140" s="28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</row>
    <row r="141" spans="1:78" s="26" customFormat="1" ht="15" customHeight="1" x14ac:dyDescent="0.25">
      <c r="A141" s="9" t="str">
        <f>CONCATENATE($N$1,$I$1,F141,$I$1,J141)</f>
        <v>CUSTO MARKET DATA - ABRIL/26-BLOOMBERG-67841</v>
      </c>
      <c r="B141" s="20">
        <v>46113</v>
      </c>
      <c r="C141" s="21">
        <v>817393</v>
      </c>
      <c r="D141" s="9" t="str">
        <f>IF(J141=57036,"ALEXANDRE DA COSTA SOARES",IF(J141=24157,"JOSE MAURICIO GOMES TEIXEIRA",IF(J141=24203,"JOSE MAURICIO GOMES TEIXEIRA",IF(J141=24149,"CHRISTIANO MARCONDES DE BARROS LIMA",IF(J141=24137,"CHRISTIANO MARCONDES DE BARROS LIMA",IF(J141=135152,"ENRICO BORTPLUZO CASSIANO",IF(J141=136568,"ENRICO BORTPLUZO CASSIANO", IF(J141=130976,"MARYLIA CARVALHO PONCE",IF(J141=136668,"ALEXANDRE DA COSTA SOARES",IF(J141=52340,"OFFSHORE LISTED",IF(J141=158778,"CLAUDIO DE SOUZA PACINI",IF(J141=159800,"CLAUDIO DE SOUZA PACINI",_xlfn.XLOOKUP(J141,[1]!Tabela33[ID ORACLE],[1]!Tabela33[BROKER],0,0,1)))))))))))))</f>
        <v>FERNANDO FERREIRA FEITOSA</v>
      </c>
      <c r="E141" s="22">
        <f>-IF(L141="BRL",M141,IF(L141="GBP",M141*$R$1,IF(L141="CAD",M141*$T$1,M141*$P$1)))</f>
        <v>-49.885999999999996</v>
      </c>
      <c r="F141" s="9" t="str">
        <f>IF(UPPER(K141)="Valor Analytics LLC","VALOR",UPPER(K141))</f>
        <v>BLOOMBERG</v>
      </c>
      <c r="G141" s="20">
        <f>B141</f>
        <v>46113</v>
      </c>
      <c r="H141" s="23">
        <v>1170</v>
      </c>
      <c r="I141"/>
      <c r="J141" s="41">
        <v>67841</v>
      </c>
      <c r="K141" s="1" t="s">
        <v>41</v>
      </c>
      <c r="L141" s="1" t="s">
        <v>12</v>
      </c>
      <c r="M141" s="29">
        <v>10</v>
      </c>
      <c r="N141" s="41"/>
      <c r="O141" s="1"/>
      <c r="Q141" s="27"/>
      <c r="R141" s="27"/>
      <c r="S141" s="28"/>
      <c r="U141" s="28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</row>
    <row r="142" spans="1:78" s="26" customFormat="1" ht="15" hidden="1" customHeight="1" x14ac:dyDescent="0.25">
      <c r="A142" s="9" t="str">
        <f>CONCATENATE($N$1,$I$1,F142,$I$1,J142)</f>
        <v>CUSTO MARKET DATA - ABRIL/26-REFINITIV-67841</v>
      </c>
      <c r="B142" s="20">
        <v>46113</v>
      </c>
      <c r="C142" s="21">
        <v>817393</v>
      </c>
      <c r="D142" s="9" t="str">
        <f>IF(J142=57036,"ALEXANDRE DA COSTA SOARES",IF(J142=24157,"JOSE MAURICIO GOMES TEIXEIRA",IF(J142=24203,"JOSE MAURICIO GOMES TEIXEIRA",IF(J142=24149,"CHRISTIANO MARCONDES DE BARROS LIMA",IF(J142=24137,"CHRISTIANO MARCONDES DE BARROS LIMA",IF(J142=135152,"ENRICO BORTPLUZO CASSIANO",IF(J142=136568,"ENRICO BORTPLUZO CASSIANO", IF(J142=130976,"MARYLIA CARVALHO PONCE",IF(J142=136668,"ALEXANDRE DA COSTA SOARES",IF(J142=52340,"OFFSHORE LISTED",IF(J142=158778,"CLAUDIO DE SOUZA PACINI",IF(J142=159800,"CLAUDIO DE SOUZA PACINI",_xlfn.XLOOKUP(J142,[1]!Tabela33[ID ORACLE],[1]!Tabela33[BROKER],0,0,1)))))))))))))</f>
        <v>FERNANDO FERREIRA FEITOSA</v>
      </c>
      <c r="E142" s="22">
        <f>-IF(L142="BRL",M142,IF(L142="GBP",M142*$R$1,IF(L142="CAD",M142*$T$1,M142*$P$1)))</f>
        <v>-141.21536398200001</v>
      </c>
      <c r="F142" s="9" t="str">
        <f>IF(UPPER(K142)="Valor Analytics LLC","VALOR",UPPER(K142))</f>
        <v>REFINITIV</v>
      </c>
      <c r="G142" s="20">
        <f>B142</f>
        <v>46113</v>
      </c>
      <c r="H142" s="23">
        <v>1170</v>
      </c>
      <c r="I142"/>
      <c r="J142" s="41">
        <v>67841</v>
      </c>
      <c r="K142" s="1" t="s">
        <v>42</v>
      </c>
      <c r="L142" s="1" t="s">
        <v>17</v>
      </c>
      <c r="M142" s="29">
        <v>20.848212</v>
      </c>
      <c r="N142" s="41"/>
      <c r="O142" s="1"/>
      <c r="Q142" s="27"/>
      <c r="R142" s="27"/>
      <c r="S142" s="28"/>
      <c r="U142" s="28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</row>
    <row r="143" spans="1:78" s="26" customFormat="1" ht="15" customHeight="1" x14ac:dyDescent="0.25">
      <c r="A143" s="9" t="str">
        <f>CONCATENATE($N$1,$I$1,F143,$I$1,J143)</f>
        <v>CUSTO MARKET DATA - ABRIL/26-BLOOMBERG-67843</v>
      </c>
      <c r="B143" s="20">
        <v>46113</v>
      </c>
      <c r="C143" s="21">
        <v>817393</v>
      </c>
      <c r="D143" s="9" t="str">
        <f>IF(J143=57036,"ALEXANDRE DA COSTA SOARES",IF(J143=24157,"JOSE MAURICIO GOMES TEIXEIRA",IF(J143=24203,"JOSE MAURICIO GOMES TEIXEIRA",IF(J143=24149,"CHRISTIANO MARCONDES DE BARROS LIMA",IF(J143=24137,"CHRISTIANO MARCONDES DE BARROS LIMA",IF(J143=135152,"ENRICO BORTPLUZO CASSIANO",IF(J143=136568,"ENRICO BORTPLUZO CASSIANO", IF(J143=130976,"MARYLIA CARVALHO PONCE",IF(J143=136668,"ALEXANDRE DA COSTA SOARES",IF(J143=52340,"OFFSHORE LISTED",IF(J143=158778,"CLAUDIO DE SOUZA PACINI",IF(J143=159800,"CLAUDIO DE SOUZA PACINI",_xlfn.XLOOKUP(J143,[1]!Tabela33[ID ORACLE],[1]!Tabela33[BROKER],0,0,1)))))))))))))</f>
        <v>ANTÔNIO MARTINS NETO</v>
      </c>
      <c r="E143" s="22">
        <f>-IF(L143="BRL",M143,IF(L143="GBP",M143*$R$1,IF(L143="CAD",M143*$T$1,M143*$P$1)))</f>
        <v>-11838.626199713999</v>
      </c>
      <c r="F143" s="9" t="str">
        <f>IF(UPPER(K143)="Valor Analytics LLC","VALOR",UPPER(K143))</f>
        <v>BLOOMBERG</v>
      </c>
      <c r="G143" s="20">
        <f>B143</f>
        <v>46113</v>
      </c>
      <c r="H143" s="23">
        <v>1170</v>
      </c>
      <c r="I143"/>
      <c r="J143" s="41">
        <v>67843</v>
      </c>
      <c r="K143" s="1" t="s">
        <v>41</v>
      </c>
      <c r="L143" s="1" t="s">
        <v>12</v>
      </c>
      <c r="M143" s="29">
        <v>2373.1359899999998</v>
      </c>
      <c r="N143" s="41"/>
      <c r="O143" s="1"/>
      <c r="Q143" s="27"/>
      <c r="R143" s="27"/>
      <c r="S143" s="28"/>
      <c r="U143" s="28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</row>
    <row r="144" spans="1:78" s="26" customFormat="1" ht="15" hidden="1" customHeight="1" x14ac:dyDescent="0.25">
      <c r="A144" s="9" t="str">
        <f>CONCATENATE($N$1,$I$1,F144,$I$1,J144)</f>
        <v>CUSTO MARKET DATA - ABRIL/26-REFINITIV-67843</v>
      </c>
      <c r="B144" s="20">
        <v>46113</v>
      </c>
      <c r="C144" s="21">
        <v>817393</v>
      </c>
      <c r="D144" s="9" t="str">
        <f>IF(J144=57036,"ALEXANDRE DA COSTA SOARES",IF(J144=24157,"JOSE MAURICIO GOMES TEIXEIRA",IF(J144=24203,"JOSE MAURICIO GOMES TEIXEIRA",IF(J144=24149,"CHRISTIANO MARCONDES DE BARROS LIMA",IF(J144=24137,"CHRISTIANO MARCONDES DE BARROS LIMA",IF(J144=135152,"ENRICO BORTPLUZO CASSIANO",IF(J144=136568,"ENRICO BORTPLUZO CASSIANO", IF(J144=130976,"MARYLIA CARVALHO PONCE",IF(J144=136668,"ALEXANDRE DA COSTA SOARES",IF(J144=52340,"OFFSHORE LISTED",IF(J144=158778,"CLAUDIO DE SOUZA PACINI",IF(J144=159800,"CLAUDIO DE SOUZA PACINI",_xlfn.XLOOKUP(J144,[1]!Tabela33[ID ORACLE],[1]!Tabela33[BROKER],0,0,1)))))))))))))</f>
        <v>ANTÔNIO MARTINS NETO</v>
      </c>
      <c r="E144" s="22">
        <f>-IF(L144="BRL",M144,IF(L144="GBP",M144*$R$1,IF(L144="CAD",M144*$T$1,M144*$P$1)))</f>
        <v>-141.21536398200001</v>
      </c>
      <c r="F144" s="9" t="str">
        <f>IF(UPPER(K144)="Valor Analytics LLC","VALOR",UPPER(K144))</f>
        <v>REFINITIV</v>
      </c>
      <c r="G144" s="20">
        <f>B144</f>
        <v>46113</v>
      </c>
      <c r="H144" s="23">
        <v>1170</v>
      </c>
      <c r="I144"/>
      <c r="J144" s="1">
        <v>67843</v>
      </c>
      <c r="K144" s="1" t="s">
        <v>42</v>
      </c>
      <c r="L144" s="1" t="s">
        <v>17</v>
      </c>
      <c r="M144" s="2">
        <v>20.848212</v>
      </c>
      <c r="N144"/>
      <c r="O144" s="1"/>
      <c r="Q144" s="27"/>
      <c r="R144" s="27"/>
      <c r="S144" s="28"/>
      <c r="U144" s="28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</row>
    <row r="145" spans="1:18" ht="15" customHeight="1" x14ac:dyDescent="0.25">
      <c r="A145" s="9" t="str">
        <f>CONCATENATE($N$1,$I$1,F145,$I$1,J145)</f>
        <v>CUSTO MARKET DATA - ABRIL/26-BLOOMBERG-70461</v>
      </c>
      <c r="B145" s="20">
        <v>46113</v>
      </c>
      <c r="C145" s="21">
        <v>817393</v>
      </c>
      <c r="D145" s="9" t="str">
        <f>IF(J145=57036,"ALEXANDRE DA COSTA SOARES",IF(J145=24157,"JOSE MAURICIO GOMES TEIXEIRA",IF(J145=24203,"JOSE MAURICIO GOMES TEIXEIRA",IF(J145=24149,"CHRISTIANO MARCONDES DE BARROS LIMA",IF(J145=24137,"CHRISTIANO MARCONDES DE BARROS LIMA",IF(J145=135152,"ENRICO BORTPLUZO CASSIANO",IF(J145=136568,"ENRICO BORTPLUZO CASSIANO", IF(J145=130976,"MARYLIA CARVALHO PONCE",IF(J145=136668,"ALEXANDRE DA COSTA SOARES",IF(J145=52340,"OFFSHORE LISTED",IF(J145=158778,"CLAUDIO DE SOUZA PACINI",IF(J145=159800,"CLAUDIO DE SOUZA PACINI",_xlfn.XLOOKUP(J145,[1]!Tabela33[ID ORACLE],[1]!Tabela33[BROKER],0,0,1)))))))))))))</f>
        <v>ALVARO LUIZ RICOTTA SOARES</v>
      </c>
      <c r="E145" s="22">
        <f>-IF(L145="BRL",M145,IF(L145="GBP",M145*$R$1,IF(L145="CAD",M145*$T$1,M145*$P$1)))</f>
        <v>-9021.768317302598</v>
      </c>
      <c r="F145" s="9" t="str">
        <f>IF(UPPER(K145)="Valor Analytics LLC","VALOR",UPPER(K145))</f>
        <v>BLOOMBERG</v>
      </c>
      <c r="G145" s="20">
        <f>B145</f>
        <v>46113</v>
      </c>
      <c r="H145" s="23">
        <v>1170</v>
      </c>
      <c r="J145" s="1">
        <v>70461</v>
      </c>
      <c r="K145" s="1" t="s">
        <v>41</v>
      </c>
      <c r="L145" s="1" t="s">
        <v>12</v>
      </c>
      <c r="M145" s="2">
        <v>1808.4769909999998</v>
      </c>
      <c r="Q145" s="27"/>
      <c r="R145" s="27"/>
    </row>
    <row r="146" spans="1:18" ht="15" customHeight="1" x14ac:dyDescent="0.25">
      <c r="A146" s="9" t="str">
        <f t="shared" ref="A146:A159" si="14">CONCATENATE($N$1,$I$1,F146,$I$1,J146)</f>
        <v>CUSTO MARKET DATA - ABRIL/26-BLOOMBERG-70953</v>
      </c>
      <c r="B146" s="20">
        <v>46113</v>
      </c>
      <c r="C146" s="21">
        <v>817393</v>
      </c>
      <c r="D146" s="9" t="str">
        <f>IF(J146=57036,"ALEXANDRE DA COSTA SOARES",IF(J146=24157,"JOSE MAURICIO GOMES TEIXEIRA",IF(J146=24203,"JOSE MAURICIO GOMES TEIXEIRA",IF(J146=24149,"CHRISTIANO MARCONDES DE BARROS LIMA",IF(J146=24137,"CHRISTIANO MARCONDES DE BARROS LIMA",IF(J146=135152,"ENRICO BORTPLUZO CASSIANO",IF(J146=136568,"ENRICO BORTPLUZO CASSIANO", IF(J146=130976,"MARYLIA CARVALHO PONCE",IF(J146=136668,"ALEXANDRE DA COSTA SOARES",IF(J146=52340,"OFFSHORE LISTED",IF(J146=158778,"CLAUDIO DE SOUZA PACINI",IF(J146=159800,"CLAUDIO DE SOUZA PACINI",_xlfn.XLOOKUP(J146,[1]!Tabela33[ID ORACLE],[1]!Tabela33[BROKER],0,0,1)))))))))))))</f>
        <v>CARLOS BASILE</v>
      </c>
      <c r="E146" s="22">
        <f t="shared" ref="E146:E159" si="15">-IF(L146="BRL",M146,IF(L146="GBP",M146*$R$1,IF(L146="CAD",M146*$T$1,M146*$P$1)))</f>
        <v>-12170.368099713998</v>
      </c>
      <c r="F146" s="9" t="str">
        <f t="shared" ref="F146:F159" si="16">IF(UPPER(K146)="Valor Analytics LLC","VALOR",UPPER(K146))</f>
        <v>BLOOMBERG</v>
      </c>
      <c r="G146" s="20">
        <f t="shared" ref="G146:G159" si="17">B146</f>
        <v>46113</v>
      </c>
      <c r="H146" s="23">
        <v>1170</v>
      </c>
      <c r="J146" s="1">
        <v>70953</v>
      </c>
      <c r="K146" s="1" t="s">
        <v>41</v>
      </c>
      <c r="L146" s="1" t="s">
        <v>12</v>
      </c>
      <c r="M146" s="2">
        <v>2439.6359899999998</v>
      </c>
      <c r="Q146" s="27"/>
      <c r="R146" s="27"/>
    </row>
    <row r="147" spans="1:18" ht="15" hidden="1" customHeight="1" x14ac:dyDescent="0.25">
      <c r="A147" s="9" t="str">
        <f t="shared" si="14"/>
        <v>CUSTO MARKET DATA - ABRIL/26-REFINITIV-70953</v>
      </c>
      <c r="B147" s="20">
        <v>46113</v>
      </c>
      <c r="C147" s="21">
        <v>817393</v>
      </c>
      <c r="D147" s="9" t="str">
        <f>IF(J147=57036,"ALEXANDRE DA COSTA SOARES",IF(J147=24157,"JOSE MAURICIO GOMES TEIXEIRA",IF(J147=24203,"JOSE MAURICIO GOMES TEIXEIRA",IF(J147=24149,"CHRISTIANO MARCONDES DE BARROS LIMA",IF(J147=24137,"CHRISTIANO MARCONDES DE BARROS LIMA",IF(J147=135152,"ENRICO BORTPLUZO CASSIANO",IF(J147=136568,"ENRICO BORTPLUZO CASSIANO", IF(J147=130976,"MARYLIA CARVALHO PONCE",IF(J147=136668,"ALEXANDRE DA COSTA SOARES",IF(J147=52340,"OFFSHORE LISTED",IF(J147=158778,"CLAUDIO DE SOUZA PACINI",IF(J147=159800,"CLAUDIO DE SOUZA PACINI",_xlfn.XLOOKUP(J147,[1]!Tabela33[ID ORACLE],[1]!Tabela33[BROKER],0,0,1)))))))))))))</f>
        <v>CARLOS BASILE</v>
      </c>
      <c r="E147" s="22">
        <f t="shared" si="15"/>
        <v>-577.97555476950004</v>
      </c>
      <c r="F147" s="9" t="str">
        <f t="shared" si="16"/>
        <v>REFINITIV</v>
      </c>
      <c r="G147" s="20">
        <f t="shared" si="17"/>
        <v>46113</v>
      </c>
      <c r="H147" s="23">
        <v>1170</v>
      </c>
      <c r="J147" s="1">
        <v>70953</v>
      </c>
      <c r="K147" s="1" t="s">
        <v>42</v>
      </c>
      <c r="L147" s="1" t="s">
        <v>17</v>
      </c>
      <c r="M147" s="2">
        <v>85.328936999999996</v>
      </c>
      <c r="Q147" s="27"/>
      <c r="R147" s="27"/>
    </row>
    <row r="148" spans="1:18" ht="15" hidden="1" customHeight="1" x14ac:dyDescent="0.25">
      <c r="A148" s="9" t="str">
        <f t="shared" si="14"/>
        <v>CUSTO MARKET DATA - ABRIL/26-REFINITIV-72574</v>
      </c>
      <c r="B148" s="20">
        <v>46113</v>
      </c>
      <c r="C148" s="21">
        <v>817393</v>
      </c>
      <c r="D148" s="9" t="str">
        <f>IF(J148=57036,"ALEXANDRE DA COSTA SOARES",IF(J148=24157,"JOSE MAURICIO GOMES TEIXEIRA",IF(J148=24203,"JOSE MAURICIO GOMES TEIXEIRA",IF(J148=24149,"CHRISTIANO MARCONDES DE BARROS LIMA",IF(J148=24137,"CHRISTIANO MARCONDES DE BARROS LIMA",IF(J148=135152,"ENRICO BORTPLUZO CASSIANO",IF(J148=136568,"ENRICO BORTPLUZO CASSIANO", IF(J148=130976,"MARYLIA CARVALHO PONCE",IF(J148=136668,"ALEXANDRE DA COSTA SOARES",IF(J148=52340,"OFFSHORE LISTED",IF(J148=158778,"CLAUDIO DE SOUZA PACINI",IF(J148=159800,"CLAUDIO DE SOUZA PACINI",_xlfn.XLOOKUP(J148,[1]!Tabela33[ID ORACLE],[1]!Tabela33[BROKER],0,0,1)))))))))))))</f>
        <v>CARLOS JOSE SEPPE MILANI</v>
      </c>
      <c r="E148" s="22">
        <f t="shared" si="15"/>
        <v>-141.21536398200001</v>
      </c>
      <c r="F148" s="9" t="str">
        <f t="shared" si="16"/>
        <v>REFINITIV</v>
      </c>
      <c r="G148" s="20">
        <f t="shared" si="17"/>
        <v>46113</v>
      </c>
      <c r="H148" s="23">
        <v>1170</v>
      </c>
      <c r="J148" s="1">
        <v>72574</v>
      </c>
      <c r="K148" s="1" t="s">
        <v>42</v>
      </c>
      <c r="L148" s="1" t="s">
        <v>17</v>
      </c>
      <c r="M148" s="2">
        <v>20.848212</v>
      </c>
      <c r="Q148" s="27"/>
      <c r="R148" s="27"/>
    </row>
    <row r="149" spans="1:18" ht="15" customHeight="1" x14ac:dyDescent="0.25">
      <c r="A149" s="9" t="str">
        <f t="shared" si="14"/>
        <v>CUSTO MARKET DATA - ABRIL/26-BLOOMBERG-128550</v>
      </c>
      <c r="B149" s="20">
        <v>46113</v>
      </c>
      <c r="C149" s="21">
        <v>817393</v>
      </c>
      <c r="D149" s="9" t="str">
        <f>IF(J149=57036,"ALEXANDRE DA COSTA SOARES",IF(J149=24157,"JOSE MAURICIO GOMES TEIXEIRA",IF(J149=24203,"JOSE MAURICIO GOMES TEIXEIRA",IF(J149=24149,"CHRISTIANO MARCONDES DE BARROS LIMA",IF(J149=24137,"CHRISTIANO MARCONDES DE BARROS LIMA",IF(J149=135152,"ENRICO BORTPLUZO CASSIANO",IF(J149=136568,"ENRICO BORTPLUZO CASSIANO", IF(J149=130976,"MARYLIA CARVALHO PONCE",IF(J149=136668,"ALEXANDRE DA COSTA SOARES",IF(J149=52340,"OFFSHORE LISTED",IF(J149=158778,"CLAUDIO DE SOUZA PACINI",IF(J149=159800,"CLAUDIO DE SOUZA PACINI",_xlfn.XLOOKUP(J149,[1]!Tabela33[ID ORACLE],[1]!Tabela33[BROKER],0,0,1)))))))))))))</f>
        <v>ALINE FAUSTINI</v>
      </c>
      <c r="E149" s="22">
        <f t="shared" si="15"/>
        <v>-13699.275474863998</v>
      </c>
      <c r="F149" s="9" t="str">
        <f t="shared" si="16"/>
        <v>BLOOMBERG</v>
      </c>
      <c r="G149" s="20">
        <f t="shared" si="17"/>
        <v>46113</v>
      </c>
      <c r="H149" s="23">
        <v>1170</v>
      </c>
      <c r="J149" s="1">
        <v>128550</v>
      </c>
      <c r="K149" s="1" t="s">
        <v>41</v>
      </c>
      <c r="L149" s="1" t="s">
        <v>12</v>
      </c>
      <c r="M149" s="2">
        <v>2746.1162399999998</v>
      </c>
      <c r="Q149" s="27"/>
      <c r="R149" s="27"/>
    </row>
    <row r="150" spans="1:18" ht="15" hidden="1" customHeight="1" x14ac:dyDescent="0.25">
      <c r="A150" s="9" t="str">
        <f t="shared" si="14"/>
        <v>CUSTO MARKET DATA - ABRIL/26-NYSE MARKET INC.-128550</v>
      </c>
      <c r="B150" s="20">
        <v>46113</v>
      </c>
      <c r="C150" s="21">
        <v>817393</v>
      </c>
      <c r="D150" s="9" t="str">
        <f>IF(J150=57036,"ALEXANDRE DA COSTA SOARES",IF(J150=24157,"JOSE MAURICIO GOMES TEIXEIRA",IF(J150=24203,"JOSE MAURICIO GOMES TEIXEIRA",IF(J150=24149,"CHRISTIANO MARCONDES DE BARROS LIMA",IF(J150=24137,"CHRISTIANO MARCONDES DE BARROS LIMA",IF(J150=135152,"ENRICO BORTPLUZO CASSIANO",IF(J150=136568,"ENRICO BORTPLUZO CASSIANO", IF(J150=130976,"MARYLIA CARVALHO PONCE",IF(J150=136668,"ALEXANDRE DA COSTA SOARES",IF(J150=52340,"OFFSHORE LISTED",IF(J150=158778,"CLAUDIO DE SOUZA PACINI",IF(J150=159800,"CLAUDIO DE SOUZA PACINI",_xlfn.XLOOKUP(J150,[1]!Tabela33[ID ORACLE],[1]!Tabela33[BROKER],0,0,1)))))))))))))</f>
        <v>ALINE FAUSTINI</v>
      </c>
      <c r="E150" s="22">
        <f t="shared" si="15"/>
        <v>-146.64613274999999</v>
      </c>
      <c r="F150" s="9" t="str">
        <f t="shared" si="16"/>
        <v>NYSE MARKET INC.</v>
      </c>
      <c r="G150" s="20">
        <f t="shared" si="17"/>
        <v>46113</v>
      </c>
      <c r="H150" s="23">
        <v>1170</v>
      </c>
      <c r="J150" s="1">
        <v>128550</v>
      </c>
      <c r="K150" s="1" t="s">
        <v>44</v>
      </c>
      <c r="L150" s="1" t="s">
        <v>12</v>
      </c>
      <c r="M150" s="2">
        <v>29.396249999999998</v>
      </c>
      <c r="Q150" s="27"/>
      <c r="R150" s="27"/>
    </row>
    <row r="151" spans="1:18" ht="15" hidden="1" customHeight="1" x14ac:dyDescent="0.25">
      <c r="A151" s="9" t="str">
        <f t="shared" si="14"/>
        <v>CUSTO MARKET DATA - ABRIL/26-REFINITIV-128550</v>
      </c>
      <c r="B151" s="20">
        <v>46113</v>
      </c>
      <c r="C151" s="21">
        <v>817393</v>
      </c>
      <c r="D151" s="9" t="str">
        <f>IF(J151=57036,"ALEXANDRE DA COSTA SOARES",IF(J151=24157,"JOSE MAURICIO GOMES TEIXEIRA",IF(J151=24203,"JOSE MAURICIO GOMES TEIXEIRA",IF(J151=24149,"CHRISTIANO MARCONDES DE BARROS LIMA",IF(J151=24137,"CHRISTIANO MARCONDES DE BARROS LIMA",IF(J151=135152,"ENRICO BORTPLUZO CASSIANO",IF(J151=136568,"ENRICO BORTPLUZO CASSIANO", IF(J151=130976,"MARYLIA CARVALHO PONCE",IF(J151=136668,"ALEXANDRE DA COSTA SOARES",IF(J151=52340,"OFFSHORE LISTED",IF(J151=158778,"CLAUDIO DE SOUZA PACINI",IF(J151=159800,"CLAUDIO DE SOUZA PACINI",_xlfn.XLOOKUP(J151,[1]!Tabela33[ID ORACLE],[1]!Tabela33[BROKER],0,0,1)))))))))))))</f>
        <v>ALINE FAUSTINI</v>
      </c>
      <c r="E151" s="22">
        <f t="shared" si="15"/>
        <v>-577.97555476950004</v>
      </c>
      <c r="F151" s="9" t="str">
        <f t="shared" si="16"/>
        <v>REFINITIV</v>
      </c>
      <c r="G151" s="20">
        <f t="shared" si="17"/>
        <v>46113</v>
      </c>
      <c r="H151" s="23">
        <v>1170</v>
      </c>
      <c r="J151" s="1">
        <v>128550</v>
      </c>
      <c r="K151" s="1" t="s">
        <v>42</v>
      </c>
      <c r="L151" s="1" t="s">
        <v>17</v>
      </c>
      <c r="M151" s="2">
        <v>85.328936999999996</v>
      </c>
      <c r="Q151" s="27"/>
      <c r="R151" s="27"/>
    </row>
    <row r="152" spans="1:18" ht="15" customHeight="1" x14ac:dyDescent="0.25">
      <c r="A152" s="9" t="str">
        <f t="shared" si="14"/>
        <v>CUSTO MARKET DATA - ABRIL/26-BLOOMBERG-153754</v>
      </c>
      <c r="B152" s="20">
        <v>46113</v>
      </c>
      <c r="C152" s="21">
        <v>817393</v>
      </c>
      <c r="D152" s="9" t="str">
        <f>IF(J152=57036,"ALEXANDRE DA COSTA SOARES",IF(J152=24157,"JOSE MAURICIO GOMES TEIXEIRA",IF(J152=24203,"JOSE MAURICIO GOMES TEIXEIRA",IF(J152=24149,"CHRISTIANO MARCONDES DE BARROS LIMA",IF(J152=24137,"CHRISTIANO MARCONDES DE BARROS LIMA",IF(J152=135152,"ENRICO BORTPLUZO CASSIANO",IF(J152=136568,"ENRICO BORTPLUZO CASSIANO", IF(J152=130976,"MARYLIA CARVALHO PONCE",IF(J152=136668,"ALEXANDRE DA COSTA SOARES",IF(J152=52340,"OFFSHORE LISTED",IF(J152=158778,"CLAUDIO DE SOUZA PACINI",IF(J152=159800,"CLAUDIO DE SOUZA PACINI",_xlfn.XLOOKUP(J152,[1]!Tabela33[ID ORACLE],[1]!Tabela33[BROKER],0,0,1)))))))))))))</f>
        <v>CLAUDIO DE SOUZA PACINI</v>
      </c>
      <c r="E152" s="22">
        <f t="shared" si="15"/>
        <v>-18721.204535951001</v>
      </c>
      <c r="F152" s="9" t="str">
        <f t="shared" si="16"/>
        <v>BLOOMBERG</v>
      </c>
      <c r="G152" s="20">
        <f t="shared" si="17"/>
        <v>46113</v>
      </c>
      <c r="H152" s="23">
        <v>1170</v>
      </c>
      <c r="J152" s="1">
        <v>153754</v>
      </c>
      <c r="K152" s="1" t="s">
        <v>41</v>
      </c>
      <c r="L152" s="1" t="s">
        <v>12</v>
      </c>
      <c r="M152" s="2">
        <v>3752.7972850000001</v>
      </c>
      <c r="Q152" s="27"/>
      <c r="R152" s="27"/>
    </row>
    <row r="153" spans="1:18" ht="15" hidden="1" customHeight="1" x14ac:dyDescent="0.25">
      <c r="A153" s="9" t="str">
        <f t="shared" si="14"/>
        <v>CUSTO MARKET DATA - ABRIL/26-FIDESSA-153754</v>
      </c>
      <c r="B153" s="20">
        <v>46113</v>
      </c>
      <c r="C153" s="21">
        <v>817393</v>
      </c>
      <c r="D153" s="9" t="str">
        <f>IF(J153=57036,"ALEXANDRE DA COSTA SOARES",IF(J153=24157,"JOSE MAURICIO GOMES TEIXEIRA",IF(J153=24203,"JOSE MAURICIO GOMES TEIXEIRA",IF(J153=24149,"CHRISTIANO MARCONDES DE BARROS LIMA",IF(J153=24137,"CHRISTIANO MARCONDES DE BARROS LIMA",IF(J153=135152,"ENRICO BORTPLUZO CASSIANO",IF(J153=136568,"ENRICO BORTPLUZO CASSIANO", IF(J153=130976,"MARYLIA CARVALHO PONCE",IF(J153=136668,"ALEXANDRE DA COSTA SOARES",IF(J153=52340,"OFFSHORE LISTED",IF(J153=158778,"CLAUDIO DE SOUZA PACINI",IF(J153=159800,"CLAUDIO DE SOUZA PACINI",_xlfn.XLOOKUP(J153,[1]!Tabela33[ID ORACLE],[1]!Tabela33[BROKER],0,0,1)))))))))))))</f>
        <v>CLAUDIO DE SOUZA PACINI</v>
      </c>
      <c r="E153" s="22">
        <f t="shared" si="15"/>
        <v>-1739.9835267586</v>
      </c>
      <c r="F153" s="9" t="str">
        <f t="shared" si="16"/>
        <v>FIDESSA</v>
      </c>
      <c r="G153" s="20">
        <f t="shared" si="17"/>
        <v>46113</v>
      </c>
      <c r="H153" s="23">
        <v>1170</v>
      </c>
      <c r="J153" s="1">
        <v>153754</v>
      </c>
      <c r="K153" s="1" t="s">
        <v>47</v>
      </c>
      <c r="L153" s="1" t="s">
        <v>12</v>
      </c>
      <c r="M153" s="2">
        <v>348.79195099999998</v>
      </c>
      <c r="Q153" s="27"/>
      <c r="R153" s="27"/>
    </row>
    <row r="154" spans="1:18" ht="15" hidden="1" customHeight="1" x14ac:dyDescent="0.25">
      <c r="A154" s="9" t="str">
        <f t="shared" si="14"/>
        <v>CUSTO MARKET DATA - ABRIL/26-NYSE MARKET INC.-153754</v>
      </c>
      <c r="B154" s="20">
        <v>46113</v>
      </c>
      <c r="C154" s="21">
        <v>817393</v>
      </c>
      <c r="D154" s="9" t="str">
        <f>IF(J154=57036,"ALEXANDRE DA COSTA SOARES",IF(J154=24157,"JOSE MAURICIO GOMES TEIXEIRA",IF(J154=24203,"JOSE MAURICIO GOMES TEIXEIRA",IF(J154=24149,"CHRISTIANO MARCONDES DE BARROS LIMA",IF(J154=24137,"CHRISTIANO MARCONDES DE BARROS LIMA",IF(J154=135152,"ENRICO BORTPLUZO CASSIANO",IF(J154=136568,"ENRICO BORTPLUZO CASSIANO", IF(J154=130976,"MARYLIA CARVALHO PONCE",IF(J154=136668,"ALEXANDRE DA COSTA SOARES",IF(J154=52340,"OFFSHORE LISTED",IF(J154=158778,"CLAUDIO DE SOUZA PACINI",IF(J154=159800,"CLAUDIO DE SOUZA PACINI",_xlfn.XLOOKUP(J154,[1]!Tabela33[ID ORACLE],[1]!Tabela33[BROKER],0,0,1)))))))))))))</f>
        <v>CLAUDIO DE SOUZA PACINI</v>
      </c>
      <c r="E154" s="22">
        <f t="shared" si="15"/>
        <v>-1819.6791504999999</v>
      </c>
      <c r="F154" s="9" t="str">
        <f t="shared" si="16"/>
        <v>NYSE MARKET INC.</v>
      </c>
      <c r="G154" s="20">
        <f t="shared" si="17"/>
        <v>46113</v>
      </c>
      <c r="H154" s="23">
        <v>1170</v>
      </c>
      <c r="J154" s="1">
        <v>153754</v>
      </c>
      <c r="K154" s="1" t="s">
        <v>44</v>
      </c>
      <c r="L154" s="1" t="s">
        <v>12</v>
      </c>
      <c r="M154" s="2">
        <v>364.76749999999998</v>
      </c>
      <c r="Q154" s="27"/>
      <c r="R154" s="27"/>
    </row>
    <row r="155" spans="1:18" ht="15" hidden="1" customHeight="1" x14ac:dyDescent="0.25">
      <c r="A155" s="9" t="str">
        <f t="shared" si="14"/>
        <v>CUSTO MARKET DATA - ABRIL/26-OPTIONS PRICE REPORTING AUTHORITY (OPRA)-153754</v>
      </c>
      <c r="B155" s="20">
        <v>46113</v>
      </c>
      <c r="C155" s="21">
        <v>817393</v>
      </c>
      <c r="D155" s="9" t="str">
        <f>IF(J155=57036,"ALEXANDRE DA COSTA SOARES",IF(J155=24157,"JOSE MAURICIO GOMES TEIXEIRA",IF(J155=24203,"JOSE MAURICIO GOMES TEIXEIRA",IF(J155=24149,"CHRISTIANO MARCONDES DE BARROS LIMA",IF(J155=24137,"CHRISTIANO MARCONDES DE BARROS LIMA",IF(J155=135152,"ENRICO BORTPLUZO CASSIANO",IF(J155=136568,"ENRICO BORTPLUZO CASSIANO", IF(J155=130976,"MARYLIA CARVALHO PONCE",IF(J155=136668,"ALEXANDRE DA COSTA SOARES",IF(J155=52340,"OFFSHORE LISTED",IF(J155=158778,"CLAUDIO DE SOUZA PACINI",IF(J155=159800,"CLAUDIO DE SOUZA PACINI",_xlfn.XLOOKUP(J155,[1]!Tabela33[ID ORACLE],[1]!Tabela33[BROKER],0,0,1)))))))))))))</f>
        <v>CLAUDIO DE SOUZA PACINI</v>
      </c>
      <c r="E155" s="22">
        <f t="shared" si="15"/>
        <v>-171.08715487500001</v>
      </c>
      <c r="F155" s="9" t="str">
        <f t="shared" si="16"/>
        <v>OPTIONS PRICE REPORTING AUTHORITY (OPRA)</v>
      </c>
      <c r="G155" s="20">
        <f t="shared" si="17"/>
        <v>46113</v>
      </c>
      <c r="H155" s="23">
        <v>1170</v>
      </c>
      <c r="J155" s="1">
        <v>153754</v>
      </c>
      <c r="K155" s="1" t="s">
        <v>45</v>
      </c>
      <c r="L155" s="1" t="s">
        <v>12</v>
      </c>
      <c r="M155" s="2">
        <v>34.295625000000001</v>
      </c>
      <c r="Q155" s="27"/>
      <c r="R155" s="27"/>
    </row>
    <row r="156" spans="1:18" ht="15" hidden="1" customHeight="1" x14ac:dyDescent="0.25">
      <c r="A156" s="9" t="str">
        <f t="shared" si="14"/>
        <v>CUSTO MARKET DATA - ABRIL/26-TORONTO STOCK EXCHANGE-153754</v>
      </c>
      <c r="B156" s="20">
        <v>46113</v>
      </c>
      <c r="C156" s="21">
        <v>817393</v>
      </c>
      <c r="D156" s="9" t="str">
        <f>IF(J156=57036,"ALEXANDRE DA COSTA SOARES",IF(J156=24157,"JOSE MAURICIO GOMES TEIXEIRA",IF(J156=24203,"JOSE MAURICIO GOMES TEIXEIRA",IF(J156=24149,"CHRISTIANO MARCONDES DE BARROS LIMA",IF(J156=24137,"CHRISTIANO MARCONDES DE BARROS LIMA",IF(J156=135152,"ENRICO BORTPLUZO CASSIANO",IF(J156=136568,"ENRICO BORTPLUZO CASSIANO", IF(J156=130976,"MARYLIA CARVALHO PONCE",IF(J156=136668,"ALEXANDRE DA COSTA SOARES",IF(J156=52340,"OFFSHORE LISTED",IF(J156=158778,"CLAUDIO DE SOUZA PACINI",IF(J156=159800,"CLAUDIO DE SOUZA PACINI",_xlfn.XLOOKUP(J156,[1]!Tabela33[ID ORACLE],[1]!Tabela33[BROKER],0,0,1)))))))))))))</f>
        <v>CLAUDIO DE SOUZA PACINI</v>
      </c>
      <c r="E156" s="22">
        <f t="shared" si="15"/>
        <v>-358.33945399620006</v>
      </c>
      <c r="F156" s="9" t="str">
        <f t="shared" si="16"/>
        <v>TORONTO STOCK EXCHANGE</v>
      </c>
      <c r="G156" s="20">
        <f t="shared" si="17"/>
        <v>46113</v>
      </c>
      <c r="H156" s="23">
        <v>1170</v>
      </c>
      <c r="J156" s="1">
        <v>153754</v>
      </c>
      <c r="K156" s="1" t="s">
        <v>51</v>
      </c>
      <c r="L156" s="1" t="s">
        <v>12</v>
      </c>
      <c r="M156" s="2">
        <v>71.83166700000001</v>
      </c>
      <c r="Q156" s="27"/>
      <c r="R156" s="27"/>
    </row>
    <row r="157" spans="1:18" ht="15" hidden="1" customHeight="1" x14ac:dyDescent="0.25">
      <c r="A157" s="9" t="str">
        <f t="shared" si="14"/>
        <v>CUSTO MARKET DATA - ABRIL/26-TRADE THE NEWS, INC.-153754</v>
      </c>
      <c r="B157" s="20">
        <v>46113</v>
      </c>
      <c r="C157" s="21">
        <v>817393</v>
      </c>
      <c r="D157" s="9" t="str">
        <f>IF(J157=57036,"ALEXANDRE DA COSTA SOARES",IF(J157=24157,"JOSE MAURICIO GOMES TEIXEIRA",IF(J157=24203,"JOSE MAURICIO GOMES TEIXEIRA",IF(J157=24149,"CHRISTIANO MARCONDES DE BARROS LIMA",IF(J157=24137,"CHRISTIANO MARCONDES DE BARROS LIMA",IF(J157=135152,"ENRICO BORTPLUZO CASSIANO",IF(J157=136568,"ENRICO BORTPLUZO CASSIANO", IF(J157=130976,"MARYLIA CARVALHO PONCE",IF(J157=136668,"ALEXANDRE DA COSTA SOARES",IF(J157=52340,"OFFSHORE LISTED",IF(J157=158778,"CLAUDIO DE SOUZA PACINI",IF(J157=159800,"CLAUDIO DE SOUZA PACINI",_xlfn.XLOOKUP(J157,[1]!Tabela33[ID ORACLE],[1]!Tabela33[BROKER],0,0,1)))))))))))))</f>
        <v>CLAUDIO DE SOUZA PACINI</v>
      </c>
      <c r="E157" s="22">
        <f t="shared" si="15"/>
        <v>-1195.26856</v>
      </c>
      <c r="F157" s="9" t="str">
        <f t="shared" si="16"/>
        <v>TRADE THE NEWS, INC.</v>
      </c>
      <c r="G157" s="20">
        <f t="shared" si="17"/>
        <v>46113</v>
      </c>
      <c r="H157" s="23">
        <v>1170</v>
      </c>
      <c r="J157" s="1">
        <v>153754</v>
      </c>
      <c r="K157" s="1" t="s">
        <v>52</v>
      </c>
      <c r="L157" s="1" t="s">
        <v>12</v>
      </c>
      <c r="M157" s="2">
        <v>239.6</v>
      </c>
      <c r="Q157" s="27"/>
      <c r="R157" s="27"/>
    </row>
    <row r="158" spans="1:18" ht="15" customHeight="1" x14ac:dyDescent="0.25">
      <c r="A158" s="9" t="str">
        <f t="shared" si="14"/>
        <v>CUSTO MARKET DATA - ABRIL/26-BLOOMBERG-136667</v>
      </c>
      <c r="B158" s="20">
        <v>46113</v>
      </c>
      <c r="C158" s="21">
        <v>817393</v>
      </c>
      <c r="D158" s="9" t="str">
        <f>IF(J158=57036,"ALEXANDRE DA COSTA SOARES",IF(J158=24157,"JOSE MAURICIO GOMES TEIXEIRA",IF(J158=24203,"JOSE MAURICIO GOMES TEIXEIRA",IF(J158=24149,"CHRISTIANO MARCONDES DE BARROS LIMA",IF(J158=24137,"CHRISTIANO MARCONDES DE BARROS LIMA",IF(J158=135152,"ENRICO BORTPLUZO CASSIANO",IF(J158=136568,"ENRICO BORTPLUZO CASSIANO", IF(J158=130976,"MARYLIA CARVALHO PONCE",IF(J158=136668,"ALEXANDRE DA COSTA SOARES",IF(J158=52340,"OFFSHORE LISTED",IF(J158=158778,"CLAUDIO DE SOUZA PACINI",IF(J158=159800,"CLAUDIO DE SOUZA PACINI",_xlfn.XLOOKUP(J158,[1]!Tabela33[ID ORACLE],[1]!Tabela33[BROKER],0,0,1)))))))))))))</f>
        <v>HUGO BIANCHI RIBEIRO</v>
      </c>
      <c r="E158" s="22">
        <f t="shared" si="15"/>
        <v>-11773.096</v>
      </c>
      <c r="F158" s="9" t="str">
        <f t="shared" si="16"/>
        <v>BLOOMBERG</v>
      </c>
      <c r="G158" s="20">
        <f t="shared" si="17"/>
        <v>46113</v>
      </c>
      <c r="H158" s="23">
        <v>1170</v>
      </c>
      <c r="J158" s="1">
        <v>136667</v>
      </c>
      <c r="K158" s="1" t="s">
        <v>41</v>
      </c>
      <c r="L158" s="1" t="s">
        <v>12</v>
      </c>
      <c r="M158" s="2">
        <v>2360</v>
      </c>
      <c r="Q158" s="27"/>
      <c r="R158" s="27"/>
    </row>
    <row r="159" spans="1:18" ht="15" customHeight="1" x14ac:dyDescent="0.25">
      <c r="A159" s="9" t="str">
        <f t="shared" si="14"/>
        <v>CUSTO MARKET DATA - ABRIL/26-BLOOMBERG-136667</v>
      </c>
      <c r="B159" s="20">
        <v>46113</v>
      </c>
      <c r="C159" s="21">
        <v>817393</v>
      </c>
      <c r="D159" s="9" t="str">
        <f>IF(J159=57036,"ALEXANDRE DA COSTA SOARES",IF(J159=24157,"JOSE MAURICIO GOMES TEIXEIRA",IF(J159=24203,"JOSE MAURICIO GOMES TEIXEIRA",IF(J159=24149,"CHRISTIANO MARCONDES DE BARROS LIMA",IF(J159=24137,"CHRISTIANO MARCONDES DE BARROS LIMA",IF(J159=135152,"ENRICO BORTPLUZO CASSIANO",IF(J159=136568,"ENRICO BORTPLUZO CASSIANO", IF(J159=130976,"MARYLIA CARVALHO PONCE",IF(J159=136668,"ALEXANDRE DA COSTA SOARES",IF(J159=52340,"OFFSHORE LISTED",IF(J159=158778,"CLAUDIO DE SOUZA PACINI",IF(J159=159800,"CLAUDIO DE SOUZA PACINI",_xlfn.XLOOKUP(J159,[1]!Tabela33[ID ORACLE],[1]!Tabela33[BROKER],0,0,1)))))))))))))</f>
        <v>HUGO BIANCHI RIBEIRO</v>
      </c>
      <c r="E159" s="22">
        <f t="shared" si="15"/>
        <v>-198.54628</v>
      </c>
      <c r="F159" s="9" t="str">
        <f t="shared" si="16"/>
        <v>BLOOMBERG</v>
      </c>
      <c r="G159" s="20">
        <f t="shared" si="17"/>
        <v>46113</v>
      </c>
      <c r="H159" s="23">
        <v>1170</v>
      </c>
      <c r="J159" s="1">
        <v>136667</v>
      </c>
      <c r="K159" s="1" t="s">
        <v>41</v>
      </c>
      <c r="L159" s="1" t="s">
        <v>12</v>
      </c>
      <c r="M159" s="2">
        <v>39.799999999999997</v>
      </c>
      <c r="Q159" s="27"/>
      <c r="R159" s="27"/>
    </row>
    <row r="160" spans="1:18" ht="15" customHeight="1" x14ac:dyDescent="0.25">
      <c r="A160" s="9" t="str">
        <f>CONCATENATE($N$1,$I$1,F160,$I$1,J160)</f>
        <v>CUSTO MARKET DATA - ABRIL/26-BLOOMBERG-66729</v>
      </c>
      <c r="B160" s="20">
        <v>46113</v>
      </c>
      <c r="C160" s="21">
        <v>817393</v>
      </c>
      <c r="D160" s="9" t="str">
        <f>IF(J160=57036,"ALEXANDRE DA COSTA SOARES",IF(J160=24157,"JOSE MAURICIO GOMES TEIXEIRA",IF(J160=24203,"JOSE MAURICIO GOMES TEIXEIRA",IF(J160=24149,"CHRISTIANO MARCONDES DE BARROS LIMA",IF(J160=24137,"CHRISTIANO MARCONDES DE BARROS LIMA",IF(J160=135152,"ENRICO BORTPLUZO CASSIANO",IF(J160=136568,"ENRICO BORTPLUZO CASSIANO", IF(J160=130976,"MARYLIA CARVALHO PONCE",IF(J160=136668,"ALEXANDRE DA COSTA SOARES",IF(J160=52340,"OFFSHORE LISTED",IF(J160=158778,"CLAUDIO DE SOUZA PACINI",IF(J160=159800,"CLAUDIO DE SOUZA PACINI",_xlfn.XLOOKUP(J160,[1]!Tabela33[ID ORACLE],[1]!Tabela33[BROKER],0,0,1)))))))))))))</f>
        <v>PAOLO FRANCA LIDA</v>
      </c>
      <c r="E160" s="22">
        <f>-IF(L160="BRL",M160,IF(L160="GBP",M160*$R$1,IF(L160="CAD",M160*$T$1,M160*$P$1)))</f>
        <v>-11049.749</v>
      </c>
      <c r="F160" s="9" t="str">
        <f>IF(UPPER(K160)="Valor Analytics LLC","VALOR",UPPER(K160))</f>
        <v>BLOOMBERG</v>
      </c>
      <c r="G160" s="20">
        <f>B160</f>
        <v>46113</v>
      </c>
      <c r="H160" s="23">
        <v>1170</v>
      </c>
      <c r="J160" s="1">
        <v>66729</v>
      </c>
      <c r="K160" s="1" t="s">
        <v>41</v>
      </c>
      <c r="L160" s="1" t="s">
        <v>12</v>
      </c>
      <c r="M160" s="2">
        <v>2215</v>
      </c>
      <c r="Q160" s="27"/>
      <c r="R160" s="27"/>
    </row>
    <row r="161" spans="1:18" ht="15" customHeight="1" x14ac:dyDescent="0.25">
      <c r="A161" s="9" t="str">
        <f>CONCATENATE($N$1,$I$1,F161,$I$1,J161)</f>
        <v>CUSTO MARKET DATA - ABRIL/26-BLOOMBERG-66729</v>
      </c>
      <c r="B161" s="20">
        <v>46113</v>
      </c>
      <c r="C161" s="21">
        <v>817393</v>
      </c>
      <c r="D161" s="9" t="str">
        <f>IF(J161=57036,"ALEXANDRE DA COSTA SOARES",IF(J161=24157,"JOSE MAURICIO GOMES TEIXEIRA",IF(J161=24203,"JOSE MAURICIO GOMES TEIXEIRA",IF(J161=24149,"CHRISTIANO MARCONDES DE BARROS LIMA",IF(J161=24137,"CHRISTIANO MARCONDES DE BARROS LIMA",IF(J161=135152,"ENRICO BORTPLUZO CASSIANO",IF(J161=136568,"ENRICO BORTPLUZO CASSIANO", IF(J161=130976,"MARYLIA CARVALHO PONCE",IF(J161=136668,"ALEXANDRE DA COSTA SOARES",IF(J161=52340,"OFFSHORE LISTED",IF(J161=158778,"CLAUDIO DE SOUZA PACINI",IF(J161=159800,"CLAUDIO DE SOUZA PACINI",_xlfn.XLOOKUP(J161,[1]!Tabela33[ID ORACLE],[1]!Tabela33[BROKER],0,0,1)))))))))))))</f>
        <v>PAOLO FRANCA LIDA</v>
      </c>
      <c r="E161" s="22">
        <f>-IF(L161="BRL",M161,IF(L161="GBP",M161*$R$1,IF(L161="CAD",M161*$T$1,M161*$P$1)))</f>
        <v>-198.54628</v>
      </c>
      <c r="F161" s="9" t="str">
        <f>IF(UPPER(K161)="Valor Analytics LLC","VALOR",UPPER(K161))</f>
        <v>BLOOMBERG</v>
      </c>
      <c r="G161" s="20">
        <f>B161</f>
        <v>46113</v>
      </c>
      <c r="H161" s="23">
        <v>1170</v>
      </c>
      <c r="J161" s="1">
        <v>66729</v>
      </c>
      <c r="K161" s="1" t="s">
        <v>41</v>
      </c>
      <c r="L161" s="1" t="s">
        <v>12</v>
      </c>
      <c r="M161" s="2">
        <v>39.799999999999997</v>
      </c>
      <c r="Q161" s="27"/>
      <c r="R161" s="27"/>
    </row>
    <row r="162" spans="1:18" ht="15" customHeight="1" x14ac:dyDescent="0.25">
      <c r="A162" s="9" t="str">
        <f>CONCATENATE($N$1,$I$1,F162,$I$1,J162)</f>
        <v>CUSTO MARKET DATA - ABRIL/26-BLOOMBERG-100142</v>
      </c>
      <c r="B162" s="20">
        <v>46113</v>
      </c>
      <c r="C162" s="21">
        <v>817393</v>
      </c>
      <c r="D162" s="9" t="str">
        <f>IF(J162=57036,"ALEXANDRE DA COSTA SOARES",IF(J162=24157,"JOSE MAURICIO GOMES TEIXEIRA",IF(J162=24203,"JOSE MAURICIO GOMES TEIXEIRA",IF(J162=24149,"CHRISTIANO MARCONDES DE BARROS LIMA",IF(J162=24137,"CHRISTIANO MARCONDES DE BARROS LIMA",IF(J162=135152,"ENRICO BORTPLUZO CASSIANO",IF(J162=136568,"ENRICO BORTPLUZO CASSIANO", IF(J162=130976,"MARYLIA CARVALHO PONCE",IF(J162=136668,"ALEXANDRE DA COSTA SOARES",IF(J162=52340,"OFFSHORE LISTED",IF(J162=158778,"CLAUDIO DE SOUZA PACINI",IF(J162=159800,"CLAUDIO DE SOUZA PACINI",_xlfn.XLOOKUP(J162,[1]!Tabela33[ID ORACLE],[1]!Tabela33[BROKER],0,0,1)))))))))))))</f>
        <v>RAFAEL TENORIO CAVALCANTI</v>
      </c>
      <c r="E162" s="22">
        <f>-IF(L162="BRL",M162,IF(L162="GBP",M162*$R$1,IF(L162="CAD",M162*$T$1,M162*$P$1)))</f>
        <v>-11773.096</v>
      </c>
      <c r="F162" s="9" t="str">
        <f>IF(UPPER(K162)="Valor Analytics LLC","VALOR",UPPER(K162))</f>
        <v>BLOOMBERG</v>
      </c>
      <c r="G162" s="20">
        <f>B162</f>
        <v>46113</v>
      </c>
      <c r="H162" s="23">
        <v>1170</v>
      </c>
      <c r="J162" s="1">
        <v>100142</v>
      </c>
      <c r="K162" s="1" t="s">
        <v>41</v>
      </c>
      <c r="L162" s="1" t="s">
        <v>12</v>
      </c>
      <c r="M162" s="2">
        <v>2360</v>
      </c>
      <c r="Q162" s="27"/>
      <c r="R162" s="27"/>
    </row>
    <row r="163" spans="1:18" ht="15" customHeight="1" x14ac:dyDescent="0.25">
      <c r="A163" s="9" t="str">
        <f>CONCATENATE($N$1,$I$1,F163,$I$1,J163)</f>
        <v>CUSTO MARKET DATA - ABRIL/26-BLOOMBERG-100142</v>
      </c>
      <c r="B163" s="20">
        <v>46113</v>
      </c>
      <c r="C163" s="21">
        <v>817393</v>
      </c>
      <c r="D163" s="9" t="str">
        <f>IF(J163=57036,"ALEXANDRE DA COSTA SOARES",IF(J163=24157,"JOSE MAURICIO GOMES TEIXEIRA",IF(J163=24203,"JOSE MAURICIO GOMES TEIXEIRA",IF(J163=24149,"CHRISTIANO MARCONDES DE BARROS LIMA",IF(J163=24137,"CHRISTIANO MARCONDES DE BARROS LIMA",IF(J163=135152,"ENRICO BORTPLUZO CASSIANO",IF(J163=136568,"ENRICO BORTPLUZO CASSIANO", IF(J163=130976,"MARYLIA CARVALHO PONCE",IF(J163=136668,"ALEXANDRE DA COSTA SOARES",IF(J163=52340,"OFFSHORE LISTED",IF(J163=158778,"CLAUDIO DE SOUZA PACINI",IF(J163=159800,"CLAUDIO DE SOUZA PACINI",_xlfn.XLOOKUP(J163,[1]!Tabela33[ID ORACLE],[1]!Tabela33[BROKER],0,0,1)))))))))))))</f>
        <v>RAFAEL TENORIO CAVALCANTI</v>
      </c>
      <c r="E163" s="22">
        <f>-IF(L163="BRL",M163,IF(L163="GBP",M163*$R$1,IF(L163="CAD",M163*$T$1,M163*$P$1)))</f>
        <v>-198.54628</v>
      </c>
      <c r="F163" s="9" t="str">
        <f>IF(UPPER(K163)="Valor Analytics LLC","VALOR",UPPER(K163))</f>
        <v>BLOOMBERG</v>
      </c>
      <c r="G163" s="20">
        <f>B163</f>
        <v>46113</v>
      </c>
      <c r="H163" s="23">
        <v>1170</v>
      </c>
      <c r="J163" s="1">
        <v>100142</v>
      </c>
      <c r="K163" s="1" t="s">
        <v>41</v>
      </c>
      <c r="L163" s="1" t="s">
        <v>12</v>
      </c>
      <c r="M163" s="2">
        <v>39.799999999999997</v>
      </c>
      <c r="Q163" s="27"/>
      <c r="R163" s="27"/>
    </row>
    <row r="164" spans="1:18" ht="15" hidden="1" customHeight="1" x14ac:dyDescent="0.25">
      <c r="Q164" s="27"/>
      <c r="R164" s="27"/>
    </row>
    <row r="1048548" spans="3:3" ht="15" customHeight="1" x14ac:dyDescent="0.25">
      <c r="C1048548" s="21"/>
    </row>
  </sheetData>
  <autoFilter ref="A1:T164" xr:uid="{D70B35B3-77FF-43AD-AE42-8938E8C76D36}">
    <filterColumn colId="5">
      <filters>
        <filter val="BLOOMBERG"/>
      </filters>
    </filterColumn>
  </autoFilter>
  <mergeCells count="11">
    <mergeCell ref="N2:N3"/>
    <mergeCell ref="O2:O3"/>
    <mergeCell ref="N4:N5"/>
    <mergeCell ref="O4:O5"/>
    <mergeCell ref="N6:N7"/>
    <mergeCell ref="O6:O7"/>
    <mergeCell ref="N8:N9"/>
    <mergeCell ref="O8:O9"/>
    <mergeCell ref="N10:N11"/>
    <mergeCell ref="O10:O11"/>
    <mergeCell ref="N12:N23"/>
  </mergeCells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4AB13-E88B-4CC4-BC5F-1F6E1958ED08}">
  <dimension ref="A1:BZ1048548"/>
  <sheetViews>
    <sheetView showGridLines="0" zoomScaleNormal="100" workbookViewId="0">
      <selection activeCell="D29" sqref="D29"/>
    </sheetView>
  </sheetViews>
  <sheetFormatPr defaultRowHeight="15" customHeight="1" x14ac:dyDescent="0.25"/>
  <cols>
    <col min="1" max="1" width="48.85546875" style="1" customWidth="1"/>
    <col min="2" max="2" width="19.140625" style="3" bestFit="1" customWidth="1"/>
    <col min="3" max="3" width="8.42578125" style="4" customWidth="1"/>
    <col min="4" max="4" width="34.7109375" style="1" bestFit="1" customWidth="1"/>
    <col min="5" max="5" width="10" style="2" bestFit="1" customWidth="1"/>
    <col min="6" max="6" width="17.42578125" style="1" bestFit="1" customWidth="1"/>
    <col min="7" max="7" width="19.140625" style="3" bestFit="1" customWidth="1"/>
    <col min="8" max="8" width="16.28515625" style="19" bestFit="1" customWidth="1"/>
    <col min="9" max="9" width="2.7109375" customWidth="1"/>
    <col min="10" max="10" width="14" style="1" customWidth="1"/>
    <col min="11" max="11" width="28.28515625" style="1" bestFit="1" customWidth="1"/>
    <col min="12" max="12" width="8.7109375" style="1" customWidth="1"/>
    <col min="13" max="13" width="23.28515625" style="2" bestFit="1" customWidth="1"/>
    <col min="14" max="14" width="53.5703125" bestFit="1" customWidth="1"/>
    <col min="15" max="15" width="6.140625" style="1" bestFit="1" customWidth="1"/>
    <col min="16" max="16" width="11.5703125" style="26" bestFit="1" customWidth="1"/>
    <col min="17" max="17" width="21.42578125" style="28" customWidth="1"/>
    <col min="18" max="18" width="31.85546875" style="26" bestFit="1" customWidth="1"/>
    <col min="19" max="19" width="9.140625" style="28" bestFit="1" customWidth="1"/>
    <col min="20" max="20" width="11.5703125" style="26" bestFit="1" customWidth="1"/>
    <col min="21" max="21" width="9.140625" style="28"/>
    <col min="22" max="16384" width="9.140625" style="1"/>
  </cols>
  <sheetData>
    <row r="1" spans="1:21" ht="15" customHeight="1" x14ac:dyDescent="0.2">
      <c r="A1" s="33" t="s">
        <v>0</v>
      </c>
      <c r="B1" s="30" t="s">
        <v>7</v>
      </c>
      <c r="C1" s="33" t="s">
        <v>1</v>
      </c>
      <c r="D1" s="33" t="s">
        <v>2</v>
      </c>
      <c r="E1" s="34" t="s">
        <v>3</v>
      </c>
      <c r="F1" s="33" t="s">
        <v>4</v>
      </c>
      <c r="G1" s="30" t="s">
        <v>5</v>
      </c>
      <c r="H1" s="33" t="s">
        <v>6</v>
      </c>
      <c r="I1" s="33" t="s">
        <v>16</v>
      </c>
      <c r="J1" s="35" t="s">
        <v>8</v>
      </c>
      <c r="K1" s="35" t="s">
        <v>9</v>
      </c>
      <c r="L1" s="35" t="s">
        <v>10</v>
      </c>
      <c r="M1" s="36" t="s">
        <v>11</v>
      </c>
      <c r="N1" s="32" t="s">
        <v>60</v>
      </c>
      <c r="P1" s="37">
        <v>5.0568999999999997</v>
      </c>
      <c r="Q1" s="38" t="s">
        <v>12</v>
      </c>
      <c r="R1" s="39">
        <v>6.8147000000000002</v>
      </c>
      <c r="S1" s="38" t="s">
        <v>17</v>
      </c>
      <c r="T1" s="37">
        <v>3.6686999999999999</v>
      </c>
      <c r="U1" s="38" t="s">
        <v>23</v>
      </c>
    </row>
    <row r="2" spans="1:21" ht="15" customHeight="1" x14ac:dyDescent="0.25">
      <c r="A2" s="5" t="str">
        <f t="shared" ref="A2:A7" si="0">CONCATENATE($N$1,$I$1,F2,$I$1,J2)</f>
        <v>CUSTO MARKET DATA - MAIO/26-BLOOMBERG-67829</v>
      </c>
      <c r="B2" s="6">
        <v>46143</v>
      </c>
      <c r="C2" s="7">
        <v>817393</v>
      </c>
      <c r="D2" s="5" t="s">
        <v>15</v>
      </c>
      <c r="E2" s="8">
        <f>-IF(L2="BRL",M2,M2*$P$1)/2</f>
        <v>-6094.3634573301497</v>
      </c>
      <c r="F2" s="5" t="str">
        <f>UPPER(K2)</f>
        <v>BLOOMBERG</v>
      </c>
      <c r="G2" s="6">
        <f>B2</f>
        <v>46143</v>
      </c>
      <c r="H2" s="16">
        <v>1170</v>
      </c>
      <c r="J2" s="18">
        <v>67829</v>
      </c>
      <c r="K2" s="14" t="s">
        <v>41</v>
      </c>
      <c r="L2" s="15" t="s">
        <v>12</v>
      </c>
      <c r="M2" s="8">
        <v>2410.315987</v>
      </c>
      <c r="N2" s="47" t="s">
        <v>26</v>
      </c>
      <c r="O2" s="49">
        <v>67829</v>
      </c>
      <c r="Q2" s="27"/>
      <c r="R2" s="27"/>
      <c r="S2" s="27"/>
      <c r="U2" s="27"/>
    </row>
    <row r="3" spans="1:21" ht="15" customHeight="1" x14ac:dyDescent="0.25">
      <c r="A3" s="10" t="str">
        <f t="shared" si="0"/>
        <v>CUSTO MARKET DATA - MAIO/26-BLOOMBERG-67829</v>
      </c>
      <c r="B3" s="24">
        <v>46143</v>
      </c>
      <c r="C3" s="11">
        <v>817393</v>
      </c>
      <c r="D3" s="10" t="s">
        <v>24</v>
      </c>
      <c r="E3" s="12">
        <f>-IF(L3="BRL",M3,M3*$P$1)/2</f>
        <v>-6094.3634573301497</v>
      </c>
      <c r="F3" s="10" t="str">
        <f t="shared" ref="F3:F11" si="1">UPPER(K3)</f>
        <v>BLOOMBERG</v>
      </c>
      <c r="G3" s="24">
        <f t="shared" ref="G3:G66" si="2">B3</f>
        <v>46143</v>
      </c>
      <c r="H3" s="17">
        <v>1170</v>
      </c>
      <c r="J3" s="17">
        <v>67829</v>
      </c>
      <c r="K3" s="17" t="s">
        <v>41</v>
      </c>
      <c r="L3" s="13" t="s">
        <v>12</v>
      </c>
      <c r="M3" s="12">
        <v>2410.315987</v>
      </c>
      <c r="N3" s="48"/>
      <c r="O3" s="50"/>
      <c r="Q3" s="27"/>
      <c r="R3" s="27"/>
      <c r="S3" s="27"/>
      <c r="U3" s="27"/>
    </row>
    <row r="4" spans="1:21" ht="15" customHeight="1" x14ac:dyDescent="0.25">
      <c r="A4" s="5" t="str">
        <f t="shared" si="0"/>
        <v>CUSTO MARKET DATA - MAIO/26-BLOOMBERG-67825</v>
      </c>
      <c r="B4" s="6">
        <v>46143</v>
      </c>
      <c r="C4" s="7">
        <v>817393</v>
      </c>
      <c r="D4" s="5" t="s">
        <v>28</v>
      </c>
      <c r="E4" s="8">
        <f>-IF(L4="BRL",M4,M4*$P$1)/2</f>
        <v>-6125.4633923301499</v>
      </c>
      <c r="F4" s="5" t="str">
        <f t="shared" si="1"/>
        <v>BLOOMBERG</v>
      </c>
      <c r="G4" s="6">
        <f t="shared" si="2"/>
        <v>46143</v>
      </c>
      <c r="H4" s="16">
        <v>1170</v>
      </c>
      <c r="J4" s="18">
        <v>67825</v>
      </c>
      <c r="K4" s="18" t="s">
        <v>41</v>
      </c>
      <c r="L4" s="15" t="s">
        <v>12</v>
      </c>
      <c r="M4" s="8">
        <v>2422.6159870000001</v>
      </c>
      <c r="N4" s="47" t="s">
        <v>25</v>
      </c>
      <c r="O4" s="49">
        <v>67825</v>
      </c>
      <c r="Q4" s="27"/>
      <c r="R4" s="27"/>
      <c r="S4" s="27"/>
      <c r="U4" s="27"/>
    </row>
    <row r="5" spans="1:21" ht="15" customHeight="1" x14ac:dyDescent="0.25">
      <c r="A5" s="10" t="str">
        <f t="shared" si="0"/>
        <v>CUSTO MARKET DATA - MAIO/26-BLOOMBERG-67825</v>
      </c>
      <c r="B5" s="24">
        <v>46143</v>
      </c>
      <c r="C5" s="11">
        <v>817393</v>
      </c>
      <c r="D5" s="10" t="s">
        <v>27</v>
      </c>
      <c r="E5" s="12">
        <f>-IF(L5="BRL",M5,M5*$P$1)/2</f>
        <v>-6125.4633923301499</v>
      </c>
      <c r="F5" s="10" t="str">
        <f t="shared" si="1"/>
        <v>BLOOMBERG</v>
      </c>
      <c r="G5" s="24">
        <f t="shared" si="2"/>
        <v>46143</v>
      </c>
      <c r="H5" s="17">
        <v>1170</v>
      </c>
      <c r="J5" s="17">
        <v>67825</v>
      </c>
      <c r="K5" s="17" t="s">
        <v>41</v>
      </c>
      <c r="L5" s="13" t="s">
        <v>12</v>
      </c>
      <c r="M5" s="12">
        <v>2422.6159870000001</v>
      </c>
      <c r="N5" s="48"/>
      <c r="O5" s="50"/>
      <c r="Q5" s="27"/>
      <c r="R5" s="27"/>
      <c r="S5" s="27"/>
      <c r="U5" s="27"/>
    </row>
    <row r="6" spans="1:21" ht="15" customHeight="1" x14ac:dyDescent="0.25">
      <c r="A6" s="5" t="str">
        <f t="shared" si="0"/>
        <v>CUSTO MARKET DATA - MAIO/26-REFINITIV-103090</v>
      </c>
      <c r="B6" s="6">
        <v>46143</v>
      </c>
      <c r="C6" s="7">
        <v>817393</v>
      </c>
      <c r="D6" s="5" t="s">
        <v>13</v>
      </c>
      <c r="E6" s="8">
        <f>-IF(L6="BRL",M6,IF(L6="GBP",M6*R1,M6*$P$1))/2</f>
        <v>-71.04000711015</v>
      </c>
      <c r="F6" s="5" t="str">
        <f t="shared" si="1"/>
        <v>REFINITIV</v>
      </c>
      <c r="G6" s="6">
        <f t="shared" si="2"/>
        <v>46143</v>
      </c>
      <c r="H6" s="16">
        <v>1170</v>
      </c>
      <c r="J6" s="18">
        <v>103090</v>
      </c>
      <c r="K6" s="18" t="s">
        <v>42</v>
      </c>
      <c r="L6" s="15" t="s">
        <v>17</v>
      </c>
      <c r="M6" s="8">
        <v>20.849049000000001</v>
      </c>
      <c r="N6" s="47" t="s">
        <v>18</v>
      </c>
      <c r="O6" s="49">
        <v>103090</v>
      </c>
      <c r="Q6" s="27"/>
      <c r="R6" s="27"/>
      <c r="S6" s="27"/>
      <c r="U6" s="27"/>
    </row>
    <row r="7" spans="1:21" ht="15" customHeight="1" x14ac:dyDescent="0.25">
      <c r="A7" s="10" t="str">
        <f t="shared" si="0"/>
        <v>CUSTO MARKET DATA - MAIO/26-REFINITIV-103090</v>
      </c>
      <c r="B7" s="24">
        <v>46143</v>
      </c>
      <c r="C7" s="11">
        <v>817393</v>
      </c>
      <c r="D7" s="10" t="s">
        <v>14</v>
      </c>
      <c r="E7" s="12">
        <f>-IF(L7="BRL",M7,IF(L7="GBP",M7*R1,M7*$P$1))/2</f>
        <v>-71.04000711015</v>
      </c>
      <c r="F7" s="10" t="str">
        <f t="shared" si="1"/>
        <v>REFINITIV</v>
      </c>
      <c r="G7" s="24">
        <f t="shared" si="2"/>
        <v>46143</v>
      </c>
      <c r="H7" s="17">
        <v>1170</v>
      </c>
      <c r="J7" s="17">
        <v>103090</v>
      </c>
      <c r="K7" s="17" t="s">
        <v>42</v>
      </c>
      <c r="L7" s="13" t="s">
        <v>17</v>
      </c>
      <c r="M7" s="12">
        <v>20.849049000000001</v>
      </c>
      <c r="N7" s="48"/>
      <c r="O7" s="50"/>
      <c r="Q7" s="27"/>
      <c r="R7" s="27"/>
      <c r="S7" s="27"/>
      <c r="U7" s="27"/>
    </row>
    <row r="8" spans="1:21" ht="15" customHeight="1" x14ac:dyDescent="0.25">
      <c r="A8" s="5" t="str">
        <f t="shared" ref="A8:A71" si="3">CONCATENATE($N$1,$I$1,F8,$I$1,J8)</f>
        <v>CUSTO MARKET DATA - MAIO/26-BLOOMBERG-72574</v>
      </c>
      <c r="B8" s="6">
        <v>46143</v>
      </c>
      <c r="C8" s="7">
        <v>817393</v>
      </c>
      <c r="D8" s="5" t="s">
        <v>43</v>
      </c>
      <c r="E8" s="8">
        <f>-IF(L8="BRL",M8,IF(L8="GBP",M8*#REF!,M8*$P$1))/2</f>
        <v>-6100.1788923301501</v>
      </c>
      <c r="F8" s="5" t="str">
        <f t="shared" si="1"/>
        <v>BLOOMBERG</v>
      </c>
      <c r="G8" s="6">
        <f t="shared" si="2"/>
        <v>46143</v>
      </c>
      <c r="H8" s="16">
        <v>1170</v>
      </c>
      <c r="J8" s="18">
        <v>72574</v>
      </c>
      <c r="K8" s="18" t="s">
        <v>41</v>
      </c>
      <c r="L8" s="15" t="s">
        <v>12</v>
      </c>
      <c r="M8" s="8">
        <v>2412.6159870000001</v>
      </c>
      <c r="N8" s="47" t="s">
        <v>21</v>
      </c>
      <c r="O8" s="49"/>
      <c r="Q8" s="27"/>
      <c r="R8" s="27"/>
      <c r="S8" s="27"/>
      <c r="U8" s="27"/>
    </row>
    <row r="9" spans="1:21" ht="15" customHeight="1" x14ac:dyDescent="0.25">
      <c r="A9" s="10" t="str">
        <f t="shared" si="3"/>
        <v>CUSTO MARKET DATA - MAIO/26-BLOOMBERG-72574</v>
      </c>
      <c r="B9" s="24">
        <v>46143</v>
      </c>
      <c r="C9" s="11">
        <v>817393</v>
      </c>
      <c r="D9" s="10" t="s">
        <v>20</v>
      </c>
      <c r="E9" s="12">
        <f>-IF(L9="BRL",M9,IF(L9="GBP",M9*#REF!,M9*$P$1))/2</f>
        <v>-6100.1788923301501</v>
      </c>
      <c r="F9" s="10" t="str">
        <f t="shared" si="1"/>
        <v>BLOOMBERG</v>
      </c>
      <c r="G9" s="24">
        <f t="shared" si="2"/>
        <v>46143</v>
      </c>
      <c r="H9" s="17">
        <v>1170</v>
      </c>
      <c r="J9" s="17">
        <v>72574</v>
      </c>
      <c r="K9" s="17" t="s">
        <v>41</v>
      </c>
      <c r="L9" s="13" t="s">
        <v>12</v>
      </c>
      <c r="M9" s="12">
        <v>2412.6159870000001</v>
      </c>
      <c r="N9" s="48"/>
      <c r="O9" s="50"/>
      <c r="Q9" s="27"/>
      <c r="R9" s="27"/>
      <c r="S9" s="27"/>
      <c r="U9" s="27"/>
    </row>
    <row r="10" spans="1:21" ht="15" customHeight="1" x14ac:dyDescent="0.25">
      <c r="A10" s="5" t="str">
        <f t="shared" si="3"/>
        <v>CUSTO MARKET DATA - MAIO/26-BLOOMBERG-135064</v>
      </c>
      <c r="B10" s="6">
        <v>46143</v>
      </c>
      <c r="C10" s="7">
        <v>817393</v>
      </c>
      <c r="D10" s="5" t="s">
        <v>29</v>
      </c>
      <c r="E10" s="8">
        <f>-IF(L10="BRL",M10,IF(L10="GBP",M10*#REF!,M10*$P$1))/2</f>
        <v>-6069.0789573301499</v>
      </c>
      <c r="F10" s="5" t="str">
        <f t="shared" si="1"/>
        <v>BLOOMBERG</v>
      </c>
      <c r="G10" s="6">
        <f t="shared" si="2"/>
        <v>46143</v>
      </c>
      <c r="H10" s="16">
        <v>1170</v>
      </c>
      <c r="J10" s="18">
        <v>135064</v>
      </c>
      <c r="K10" s="18" t="s">
        <v>41</v>
      </c>
      <c r="L10" s="15" t="s">
        <v>12</v>
      </c>
      <c r="M10" s="8">
        <v>2400.315987</v>
      </c>
      <c r="N10" s="47" t="s">
        <v>30</v>
      </c>
      <c r="O10" s="49"/>
      <c r="Q10" s="27"/>
      <c r="R10" s="27"/>
      <c r="S10" s="27"/>
      <c r="U10" s="27"/>
    </row>
    <row r="11" spans="1:21" ht="15" customHeight="1" x14ac:dyDescent="0.25">
      <c r="A11" s="10" t="str">
        <f t="shared" si="3"/>
        <v>CUSTO MARKET DATA - MAIO/26-BLOOMBERG-135064</v>
      </c>
      <c r="B11" s="24">
        <v>46143</v>
      </c>
      <c r="C11" s="11">
        <v>817393</v>
      </c>
      <c r="D11" s="10" t="s">
        <v>22</v>
      </c>
      <c r="E11" s="12">
        <f>-IF(L11="BRL",M11,IF(L11="GBP",M11*#REF!,M11*$P$1))/2</f>
        <v>-6069.0789573301499</v>
      </c>
      <c r="F11" s="10" t="str">
        <f t="shared" si="1"/>
        <v>BLOOMBERG</v>
      </c>
      <c r="G11" s="24">
        <f t="shared" si="2"/>
        <v>46143</v>
      </c>
      <c r="H11" s="17">
        <v>1170</v>
      </c>
      <c r="J11" s="17">
        <v>135064</v>
      </c>
      <c r="K11" s="17" t="s">
        <v>41</v>
      </c>
      <c r="L11" s="13" t="s">
        <v>12</v>
      </c>
      <c r="M11" s="12">
        <v>2400.315987</v>
      </c>
      <c r="N11" s="48"/>
      <c r="O11" s="50"/>
      <c r="Q11" s="27"/>
      <c r="R11" s="27"/>
      <c r="S11" s="27"/>
      <c r="U11" s="27"/>
    </row>
    <row r="12" spans="1:21" ht="15" customHeight="1" x14ac:dyDescent="0.25">
      <c r="A12" s="5" t="str">
        <f t="shared" si="3"/>
        <v>CUSTO MARKET DATA - MAIO/26-BLOOMBERG-151474</v>
      </c>
      <c r="B12" s="30">
        <v>46143</v>
      </c>
      <c r="C12" s="7">
        <v>817393</v>
      </c>
      <c r="D12" s="5" t="s">
        <v>32</v>
      </c>
      <c r="E12" s="8">
        <f>-IF(L12="BRL",M12,IF(L12="GBP",M12*$R$1,IF(L12="CAD",M12*$T$1,M12*$P$1)))/12</f>
        <v>-4.214083333333333</v>
      </c>
      <c r="F12" s="5" t="str">
        <f>UPPER(K12)</f>
        <v>BLOOMBERG</v>
      </c>
      <c r="G12" s="30">
        <f t="shared" si="2"/>
        <v>46143</v>
      </c>
      <c r="H12" s="16">
        <v>1170</v>
      </c>
      <c r="J12" s="16">
        <v>151474</v>
      </c>
      <c r="K12" s="16" t="s">
        <v>41</v>
      </c>
      <c r="L12" s="31" t="s">
        <v>12</v>
      </c>
      <c r="M12" s="8">
        <v>10</v>
      </c>
      <c r="N12" s="47" t="s">
        <v>31</v>
      </c>
      <c r="O12" s="26"/>
      <c r="Q12" s="27"/>
      <c r="R12" s="27"/>
      <c r="S12" s="27"/>
      <c r="U12" s="27"/>
    </row>
    <row r="13" spans="1:21" ht="15" customHeight="1" x14ac:dyDescent="0.25">
      <c r="A13" s="5" t="str">
        <f>CONCATENATE($N$1,$I$1,F13,$I$1,J13)</f>
        <v>CUSTO MARKET DATA - MAIO/26-BLOOMBERG-151474</v>
      </c>
      <c r="B13" s="30">
        <v>46143</v>
      </c>
      <c r="C13" s="7">
        <v>817393</v>
      </c>
      <c r="D13" s="5" t="s">
        <v>24</v>
      </c>
      <c r="E13" s="8">
        <f t="shared" ref="E13:E23" si="4">-IF(L13="BRL",M13,IF(L13="GBP",M13*$R$1,IF(L13="CAD",M13*$T$1,M13*$P$1)))/12</f>
        <v>-4.214083333333333</v>
      </c>
      <c r="F13" s="5" t="str">
        <f t="shared" ref="F13:F23" si="5">UPPER(K13)</f>
        <v>BLOOMBERG</v>
      </c>
      <c r="G13" s="30">
        <f t="shared" si="2"/>
        <v>46143</v>
      </c>
      <c r="H13" s="16">
        <v>1170</v>
      </c>
      <c r="J13" s="16">
        <v>151474</v>
      </c>
      <c r="K13" s="16" t="s">
        <v>41</v>
      </c>
      <c r="L13" s="31" t="s">
        <v>12</v>
      </c>
      <c r="M13" s="8">
        <v>10</v>
      </c>
      <c r="N13" s="51"/>
      <c r="O13" s="26"/>
      <c r="Q13" s="27"/>
      <c r="R13" s="27"/>
      <c r="S13" s="27"/>
      <c r="U13" s="27"/>
    </row>
    <row r="14" spans="1:21" ht="15" customHeight="1" x14ac:dyDescent="0.25">
      <c r="A14" s="5" t="str">
        <f t="shared" si="3"/>
        <v>CUSTO MARKET DATA - MAIO/26-BLOOMBERG-151474</v>
      </c>
      <c r="B14" s="30">
        <v>46143</v>
      </c>
      <c r="C14" s="7">
        <v>817393</v>
      </c>
      <c r="D14" s="5" t="s">
        <v>33</v>
      </c>
      <c r="E14" s="8">
        <f t="shared" si="4"/>
        <v>-4.214083333333333</v>
      </c>
      <c r="F14" s="5" t="str">
        <f t="shared" si="5"/>
        <v>BLOOMBERG</v>
      </c>
      <c r="G14" s="30">
        <f t="shared" si="2"/>
        <v>46143</v>
      </c>
      <c r="H14" s="16">
        <v>1170</v>
      </c>
      <c r="J14" s="16">
        <v>151474</v>
      </c>
      <c r="K14" s="16" t="s">
        <v>41</v>
      </c>
      <c r="L14" s="31" t="s">
        <v>12</v>
      </c>
      <c r="M14" s="8">
        <v>10</v>
      </c>
      <c r="N14" s="51"/>
      <c r="O14" s="26"/>
      <c r="Q14" s="27"/>
      <c r="R14" s="27"/>
      <c r="S14" s="27"/>
      <c r="U14" s="27"/>
    </row>
    <row r="15" spans="1:21" ht="15" customHeight="1" x14ac:dyDescent="0.25">
      <c r="A15" s="5" t="str">
        <f t="shared" si="3"/>
        <v>CUSTO MARKET DATA - MAIO/26-BLOOMBERG-151474</v>
      </c>
      <c r="B15" s="30">
        <v>46143</v>
      </c>
      <c r="C15" s="7">
        <v>817393</v>
      </c>
      <c r="D15" s="5" t="s">
        <v>34</v>
      </c>
      <c r="E15" s="8">
        <f t="shared" si="4"/>
        <v>-4.214083333333333</v>
      </c>
      <c r="F15" s="5" t="str">
        <f t="shared" si="5"/>
        <v>BLOOMBERG</v>
      </c>
      <c r="G15" s="30">
        <f t="shared" si="2"/>
        <v>46143</v>
      </c>
      <c r="H15" s="16">
        <v>1170</v>
      </c>
      <c r="J15" s="16">
        <v>151474</v>
      </c>
      <c r="K15" s="16" t="s">
        <v>41</v>
      </c>
      <c r="L15" s="31" t="s">
        <v>12</v>
      </c>
      <c r="M15" s="8">
        <v>10</v>
      </c>
      <c r="N15" s="51"/>
      <c r="O15" s="26"/>
      <c r="Q15" s="27"/>
      <c r="R15" s="27"/>
      <c r="S15" s="27"/>
      <c r="U15" s="27"/>
    </row>
    <row r="16" spans="1:21" ht="15" customHeight="1" x14ac:dyDescent="0.25">
      <c r="A16" s="5" t="str">
        <f t="shared" si="3"/>
        <v>CUSTO MARKET DATA - MAIO/26-BLOOMBERG-151474</v>
      </c>
      <c r="B16" s="30">
        <v>46143</v>
      </c>
      <c r="C16" s="7">
        <v>817393</v>
      </c>
      <c r="D16" s="5" t="s">
        <v>15</v>
      </c>
      <c r="E16" s="8">
        <f t="shared" si="4"/>
        <v>-4.214083333333333</v>
      </c>
      <c r="F16" s="5" t="str">
        <f t="shared" si="5"/>
        <v>BLOOMBERG</v>
      </c>
      <c r="G16" s="30">
        <f t="shared" si="2"/>
        <v>46143</v>
      </c>
      <c r="H16" s="16">
        <v>1170</v>
      </c>
      <c r="J16" s="16">
        <v>151474</v>
      </c>
      <c r="K16" s="16" t="s">
        <v>41</v>
      </c>
      <c r="L16" s="31" t="s">
        <v>12</v>
      </c>
      <c r="M16" s="8">
        <v>10</v>
      </c>
      <c r="N16" s="51"/>
      <c r="O16" s="26"/>
      <c r="Q16" s="27"/>
      <c r="R16" s="27"/>
      <c r="S16" s="27"/>
      <c r="U16" s="27"/>
    </row>
    <row r="17" spans="1:21" ht="15" customHeight="1" x14ac:dyDescent="0.25">
      <c r="A17" s="5" t="str">
        <f t="shared" si="3"/>
        <v>CUSTO MARKET DATA - MAIO/26-BLOOMBERG-151474</v>
      </c>
      <c r="B17" s="30">
        <v>46143</v>
      </c>
      <c r="C17" s="7">
        <v>817393</v>
      </c>
      <c r="D17" s="5" t="s">
        <v>27</v>
      </c>
      <c r="E17" s="8">
        <f t="shared" si="4"/>
        <v>-4.214083333333333</v>
      </c>
      <c r="F17" s="5" t="str">
        <f t="shared" si="5"/>
        <v>BLOOMBERG</v>
      </c>
      <c r="G17" s="30">
        <f t="shared" si="2"/>
        <v>46143</v>
      </c>
      <c r="H17" s="16">
        <v>1170</v>
      </c>
      <c r="J17" s="16">
        <v>151474</v>
      </c>
      <c r="K17" s="16" t="s">
        <v>41</v>
      </c>
      <c r="L17" s="31" t="s">
        <v>12</v>
      </c>
      <c r="M17" s="8">
        <v>10</v>
      </c>
      <c r="N17" s="51"/>
      <c r="O17" s="26"/>
      <c r="Q17" s="27"/>
      <c r="R17" s="27"/>
      <c r="S17" s="27"/>
      <c r="U17" s="27"/>
    </row>
    <row r="18" spans="1:21" ht="15" customHeight="1" x14ac:dyDescent="0.25">
      <c r="A18" s="5" t="str">
        <f t="shared" si="3"/>
        <v>CUSTO MARKET DATA - MAIO/26-BLOOMBERG-151474</v>
      </c>
      <c r="B18" s="30">
        <v>46143</v>
      </c>
      <c r="C18" s="7">
        <v>817393</v>
      </c>
      <c r="D18" s="5" t="s">
        <v>28</v>
      </c>
      <c r="E18" s="8">
        <f t="shared" si="4"/>
        <v>-4.214083333333333</v>
      </c>
      <c r="F18" s="5" t="str">
        <f t="shared" si="5"/>
        <v>BLOOMBERG</v>
      </c>
      <c r="G18" s="30">
        <f t="shared" si="2"/>
        <v>46143</v>
      </c>
      <c r="H18" s="16">
        <v>1170</v>
      </c>
      <c r="J18" s="16">
        <v>151474</v>
      </c>
      <c r="K18" s="16" t="s">
        <v>41</v>
      </c>
      <c r="L18" s="31" t="s">
        <v>12</v>
      </c>
      <c r="M18" s="8">
        <v>10</v>
      </c>
      <c r="N18" s="51"/>
      <c r="O18" s="26"/>
      <c r="Q18" s="27"/>
      <c r="R18" s="27"/>
      <c r="S18" s="27"/>
      <c r="U18" s="27"/>
    </row>
    <row r="19" spans="1:21" ht="15" customHeight="1" x14ac:dyDescent="0.25">
      <c r="A19" s="5" t="str">
        <f t="shared" si="3"/>
        <v>CUSTO MARKET DATA - MAIO/26-BLOOMBERG-151474</v>
      </c>
      <c r="B19" s="30">
        <v>46143</v>
      </c>
      <c r="C19" s="7">
        <v>817393</v>
      </c>
      <c r="D19" s="5" t="s">
        <v>35</v>
      </c>
      <c r="E19" s="8">
        <f t="shared" si="4"/>
        <v>-4.214083333333333</v>
      </c>
      <c r="F19" s="5" t="str">
        <f t="shared" si="5"/>
        <v>BLOOMBERG</v>
      </c>
      <c r="G19" s="30">
        <f t="shared" si="2"/>
        <v>46143</v>
      </c>
      <c r="H19" s="16">
        <v>1170</v>
      </c>
      <c r="J19" s="16">
        <v>151474</v>
      </c>
      <c r="K19" s="16" t="s">
        <v>41</v>
      </c>
      <c r="L19" s="31" t="s">
        <v>12</v>
      </c>
      <c r="M19" s="8">
        <v>10</v>
      </c>
      <c r="N19" s="51"/>
      <c r="O19" s="26"/>
      <c r="Q19" s="27"/>
      <c r="R19" s="27"/>
      <c r="S19" s="27"/>
      <c r="U19" s="27"/>
    </row>
    <row r="20" spans="1:21" ht="15" customHeight="1" x14ac:dyDescent="0.25">
      <c r="A20" s="5" t="str">
        <f t="shared" si="3"/>
        <v>CUSTO MARKET DATA - MAIO/26-BLOOMBERG-151474</v>
      </c>
      <c r="B20" s="30">
        <v>46143</v>
      </c>
      <c r="C20" s="7">
        <v>817393</v>
      </c>
      <c r="D20" s="5" t="s">
        <v>20</v>
      </c>
      <c r="E20" s="8">
        <f t="shared" si="4"/>
        <v>-4.214083333333333</v>
      </c>
      <c r="F20" s="5" t="str">
        <f t="shared" si="5"/>
        <v>BLOOMBERG</v>
      </c>
      <c r="G20" s="30">
        <f t="shared" si="2"/>
        <v>46143</v>
      </c>
      <c r="H20" s="16">
        <v>1170</v>
      </c>
      <c r="J20" s="16">
        <v>151474</v>
      </c>
      <c r="K20" s="16" t="s">
        <v>41</v>
      </c>
      <c r="L20" s="31" t="s">
        <v>12</v>
      </c>
      <c r="M20" s="8">
        <v>10</v>
      </c>
      <c r="N20" s="51"/>
      <c r="O20" s="26"/>
      <c r="Q20" s="27"/>
      <c r="R20" s="27"/>
      <c r="S20" s="27"/>
      <c r="U20" s="27"/>
    </row>
    <row r="21" spans="1:21" ht="15" customHeight="1" x14ac:dyDescent="0.25">
      <c r="A21" s="5" t="str">
        <f t="shared" si="3"/>
        <v>CUSTO MARKET DATA - MAIO/26-BLOOMBERG-151474</v>
      </c>
      <c r="B21" s="30">
        <v>46143</v>
      </c>
      <c r="C21" s="7">
        <v>817393</v>
      </c>
      <c r="D21" s="5" t="s">
        <v>43</v>
      </c>
      <c r="E21" s="8">
        <f t="shared" si="4"/>
        <v>-4.214083333333333</v>
      </c>
      <c r="F21" s="5" t="str">
        <f t="shared" si="5"/>
        <v>BLOOMBERG</v>
      </c>
      <c r="G21" s="30">
        <f t="shared" si="2"/>
        <v>46143</v>
      </c>
      <c r="H21" s="16">
        <v>1170</v>
      </c>
      <c r="J21" s="16">
        <v>151474</v>
      </c>
      <c r="K21" s="16" t="s">
        <v>41</v>
      </c>
      <c r="L21" s="31" t="s">
        <v>12</v>
      </c>
      <c r="M21" s="8">
        <v>10</v>
      </c>
      <c r="N21" s="51"/>
      <c r="O21" s="26"/>
      <c r="Q21" s="27"/>
      <c r="R21" s="27"/>
      <c r="S21" s="27"/>
      <c r="U21" s="27"/>
    </row>
    <row r="22" spans="1:21" ht="15" customHeight="1" x14ac:dyDescent="0.25">
      <c r="A22" s="5" t="str">
        <f t="shared" si="3"/>
        <v>CUSTO MARKET DATA - MAIO/26-BLOOMBERG-151474</v>
      </c>
      <c r="B22" s="30">
        <v>46143</v>
      </c>
      <c r="C22" s="7">
        <v>817393</v>
      </c>
      <c r="D22" s="5" t="s">
        <v>36</v>
      </c>
      <c r="E22" s="8">
        <f t="shared" si="4"/>
        <v>-4.214083333333333</v>
      </c>
      <c r="F22" s="5" t="str">
        <f t="shared" si="5"/>
        <v>BLOOMBERG</v>
      </c>
      <c r="G22" s="30">
        <f t="shared" si="2"/>
        <v>46143</v>
      </c>
      <c r="H22" s="16">
        <v>1170</v>
      </c>
      <c r="J22" s="16">
        <v>151474</v>
      </c>
      <c r="K22" s="16" t="s">
        <v>41</v>
      </c>
      <c r="L22" s="31" t="s">
        <v>12</v>
      </c>
      <c r="M22" s="8">
        <v>10</v>
      </c>
      <c r="N22" s="51"/>
      <c r="O22" s="26"/>
      <c r="Q22" s="27"/>
      <c r="R22" s="27"/>
      <c r="S22" s="27"/>
      <c r="U22" s="27"/>
    </row>
    <row r="23" spans="1:21" ht="15" customHeight="1" x14ac:dyDescent="0.25">
      <c r="A23" s="10" t="str">
        <f t="shared" si="3"/>
        <v>CUSTO MARKET DATA - MAIO/26-BLOOMBERG-151474</v>
      </c>
      <c r="B23" s="24">
        <v>46143</v>
      </c>
      <c r="C23" s="11">
        <v>817393</v>
      </c>
      <c r="D23" s="10" t="s">
        <v>37</v>
      </c>
      <c r="E23" s="12">
        <f t="shared" si="4"/>
        <v>-4.214083333333333</v>
      </c>
      <c r="F23" s="5" t="str">
        <f t="shared" si="5"/>
        <v>BLOOMBERG</v>
      </c>
      <c r="G23" s="24">
        <f t="shared" si="2"/>
        <v>46143</v>
      </c>
      <c r="H23" s="17">
        <v>1170</v>
      </c>
      <c r="J23" s="17">
        <v>151474</v>
      </c>
      <c r="K23" s="17" t="s">
        <v>41</v>
      </c>
      <c r="L23" s="13" t="s">
        <v>12</v>
      </c>
      <c r="M23" s="12">
        <v>10</v>
      </c>
      <c r="N23" s="48"/>
      <c r="Q23" s="27"/>
      <c r="R23" s="27"/>
      <c r="S23" s="27"/>
      <c r="U23" s="27"/>
    </row>
    <row r="24" spans="1:21" ht="15" customHeight="1" x14ac:dyDescent="0.25">
      <c r="A24" s="10" t="str">
        <f t="shared" si="3"/>
        <v>CUSTO MARKET DATA - MAIO/26-BLOOMBERG-133472</v>
      </c>
      <c r="B24" s="24">
        <v>46143</v>
      </c>
      <c r="C24" s="11">
        <v>817393</v>
      </c>
      <c r="D24" s="10" t="s">
        <v>38</v>
      </c>
      <c r="E24" s="12">
        <f>-IF(L24="BRL",M24,IF(L24="GBP",M24*$R$1,IF(L24="CAD",M24*$T$1,M24*$P$1)))</f>
        <v>0</v>
      </c>
      <c r="F24" s="10" t="str">
        <f>UPPER(K24)</f>
        <v>BLOOMBERG</v>
      </c>
      <c r="G24" s="24">
        <f t="shared" si="2"/>
        <v>46143</v>
      </c>
      <c r="H24" s="17">
        <v>1170</v>
      </c>
      <c r="J24" s="17">
        <v>133472</v>
      </c>
      <c r="K24" s="17" t="s">
        <v>41</v>
      </c>
      <c r="L24" s="13" t="s">
        <v>12</v>
      </c>
      <c r="M24" s="43"/>
      <c r="N24" s="40" t="s">
        <v>39</v>
      </c>
      <c r="Q24" s="27"/>
      <c r="R24" s="27"/>
      <c r="S24" s="27"/>
      <c r="U24" s="27"/>
    </row>
    <row r="25" spans="1:21" ht="15" customHeight="1" x14ac:dyDescent="0.25">
      <c r="A25" s="10" t="str">
        <f>CONCATENATE($N$1,$I$1,F25,$I$1,J25)</f>
        <v>CUSTO MARKET DATA - MAIO/26-BLOOMBERG-161123</v>
      </c>
      <c r="B25" s="24">
        <v>46143</v>
      </c>
      <c r="C25" s="11">
        <v>817393</v>
      </c>
      <c r="D25" s="10" t="s">
        <v>38</v>
      </c>
      <c r="E25" s="12">
        <f>-IF(L25="BRL",M25,IF(L25="GBP",M25*$R$1,IF(L25="CAD",M25*$T$1,M25*$P$1)))</f>
        <v>-50.568999999999996</v>
      </c>
      <c r="F25" s="10" t="str">
        <f>IF(UPPER(K25)="Valor Analytics LLC","VALOR",UPPER(K25))</f>
        <v>BLOOMBERG</v>
      </c>
      <c r="G25" s="24">
        <f>B25</f>
        <v>46143</v>
      </c>
      <c r="H25" s="17">
        <v>1170</v>
      </c>
      <c r="J25" s="17">
        <v>161123</v>
      </c>
      <c r="K25" s="17" t="s">
        <v>41</v>
      </c>
      <c r="L25" s="13" t="s">
        <v>12</v>
      </c>
      <c r="M25" s="12">
        <v>10</v>
      </c>
      <c r="N25" s="40" t="s">
        <v>56</v>
      </c>
      <c r="Q25" s="27"/>
      <c r="R25" s="27"/>
      <c r="S25" s="27"/>
      <c r="U25" s="27"/>
    </row>
    <row r="26" spans="1:21" ht="15" customHeight="1" x14ac:dyDescent="0.25">
      <c r="A26" s="10" t="str">
        <f>CONCATENATE($N$1,$I$1,F26,$I$1,J26)</f>
        <v>CUSTO MARKET DATA - MAIO/26-REFINITIV-133472</v>
      </c>
      <c r="B26" s="24">
        <v>46143</v>
      </c>
      <c r="C26" s="11">
        <v>817393</v>
      </c>
      <c r="D26" s="10" t="s">
        <v>38</v>
      </c>
      <c r="E26" s="12">
        <f>-IF(L26="BRL",M26,IF(L26="GBP",M26*$R$1,IF(L26="CAD",M26*$T$1,M26*$P$1)))</f>
        <v>-402.35034174980001</v>
      </c>
      <c r="F26" s="10" t="str">
        <f>UPPER(K26)</f>
        <v>REFINITIV</v>
      </c>
      <c r="G26" s="24">
        <f>B26</f>
        <v>46143</v>
      </c>
      <c r="H26" s="17">
        <v>1170</v>
      </c>
      <c r="J26" s="17">
        <v>133472</v>
      </c>
      <c r="K26" s="17" t="s">
        <v>42</v>
      </c>
      <c r="L26" s="13" t="s">
        <v>17</v>
      </c>
      <c r="M26" s="43">
        <v>59.041533999999999</v>
      </c>
      <c r="N26" s="40" t="s">
        <v>39</v>
      </c>
      <c r="Q26" s="27"/>
      <c r="R26" s="27"/>
      <c r="S26" s="27"/>
      <c r="U26" s="27"/>
    </row>
    <row r="27" spans="1:21" ht="15" customHeight="1" x14ac:dyDescent="0.25">
      <c r="A27" s="5" t="s">
        <v>57</v>
      </c>
      <c r="B27" s="30">
        <v>46143</v>
      </c>
      <c r="C27" s="7">
        <v>817393</v>
      </c>
      <c r="D27" s="5" t="s">
        <v>38</v>
      </c>
      <c r="E27" s="12">
        <f>-IF(L27="BRL",M27,IF(L27="GBP",M27*$R$1,IF(L27="CAD",M27*$T$1,M27*$P$1)))</f>
        <v>-50.568999999999996</v>
      </c>
      <c r="F27" s="5" t="s">
        <v>58</v>
      </c>
      <c r="G27" s="30">
        <v>46113</v>
      </c>
      <c r="H27" s="16">
        <v>1170</v>
      </c>
      <c r="J27" s="16">
        <v>161932</v>
      </c>
      <c r="K27" s="16" t="s">
        <v>41</v>
      </c>
      <c r="L27" s="31" t="s">
        <v>12</v>
      </c>
      <c r="M27" s="8">
        <v>10</v>
      </c>
      <c r="N27" s="44" t="s">
        <v>59</v>
      </c>
      <c r="Q27" s="27"/>
      <c r="R27" s="27"/>
      <c r="S27" s="27"/>
      <c r="U27" s="27"/>
    </row>
    <row r="28" spans="1:21" ht="15" customHeight="1" x14ac:dyDescent="0.25">
      <c r="A28" s="9" t="str">
        <f t="shared" si="3"/>
        <v>CUSTO MARKET DATA - MAIO/26-REFINITIV-100142</v>
      </c>
      <c r="B28" s="20">
        <v>46143</v>
      </c>
      <c r="C28" s="21">
        <v>817393</v>
      </c>
      <c r="D28" s="9" t="str">
        <f>IF(J28=57036,"ALEXANDRE DA COSTA SOARES",IF(J28=24157,"JOSE MAURICIO GOMES TEIXEIRA",IF(J28=24203,"JOSE MAURICIO GOMES TEIXEIRA",IF(J28=24149,"CHRISTIANO MARCONDES DE BARROS LIMA",IF(J28=24137,"CHRISTIANO MARCONDES DE BARROS LIMA",IF(J28=135152,"ENRICO BORTPLUZO CASSIANO",IF(J28=136568,"ENRICO BORTPLUZO CASSIANO", IF(J28=130976,"MARYLIA CARVALHO PONCE",IF(J28=136668,"ALEXANDRE DA COSTA SOARES",IF(J28=52340,"OFFSHORE LISTED",IF(J28=158778,"CLAUDIO DE SOUZA PACINI",IF(J28=159800,"CLAUDIO DE SOUZA PACINI",_xlfn.XLOOKUP(J28,[1]!Tabela33[ID ORACLE],[1]!Tabela33[BROKER],0,0,1)))))))))))))</f>
        <v>RAFAEL TENORIO CAVALCANTI</v>
      </c>
      <c r="E28" s="22">
        <f>-IF(L28="BRL",M28,IF(L28="GBP",M28*$R$1,IF(L28="CAD",M28*$T$1,M28*$P$1)))</f>
        <v>-590.62264142110007</v>
      </c>
      <c r="F28" s="9" t="str">
        <f>IF(UPPER(K28)="Valor Analytics LLC","VALOR",UPPER(K28))</f>
        <v>REFINITIV</v>
      </c>
      <c r="G28" s="20">
        <f t="shared" si="2"/>
        <v>46143</v>
      </c>
      <c r="H28" s="23">
        <v>1170</v>
      </c>
      <c r="J28" s="41">
        <v>100142</v>
      </c>
      <c r="K28" s="1" t="s">
        <v>42</v>
      </c>
      <c r="L28" s="1" t="s">
        <v>17</v>
      </c>
      <c r="M28" s="29">
        <v>86.668913000000003</v>
      </c>
      <c r="N28" s="2"/>
      <c r="Q28" s="27"/>
      <c r="R28" s="27"/>
      <c r="S28" s="27"/>
      <c r="U28" s="27"/>
    </row>
    <row r="29" spans="1:21" ht="15" customHeight="1" x14ac:dyDescent="0.25">
      <c r="A29" s="9" t="str">
        <f t="shared" si="3"/>
        <v>CUSTO MARKET DATA - MAIO/26-REFINITIV-105071</v>
      </c>
      <c r="B29" s="20">
        <v>46143</v>
      </c>
      <c r="C29" s="21">
        <v>817393</v>
      </c>
      <c r="D29" s="9" t="str">
        <f>IF(J29=57036,"ALEXANDRE DA COSTA SOARES",IF(J29=24157,"JOSE MAURICIO GOMES TEIXEIRA",IF(J29=24203,"JOSE MAURICIO GOMES TEIXEIRA",IF(J29=24149,"CHRISTIANO MARCONDES DE BARROS LIMA",IF(J29=24137,"CHRISTIANO MARCONDES DE BARROS LIMA",IF(J29=135152,"ENRICO BORTPLUZO CASSIANO",IF(J29=136568,"ENRICO BORTPLUZO CASSIANO", IF(J29=130976,"MARYLIA CARVALHO PONCE",IF(J29=136668,"ALEXANDRE DA COSTA SOARES",IF(J29=52340,"OFFSHORE LISTED",IF(J29=158778,"CLAUDIO DE SOUZA PACINI",IF(J29=159800,"CLAUDIO DE SOUZA PACINI",_xlfn.XLOOKUP(J29,[1]!Tabela33[ID ORACLE],[1]!Tabela33[BROKER],0,0,1)))))))))))))</f>
        <v>RODRIGO MOURA MARQUES</v>
      </c>
      <c r="E29" s="22">
        <f t="shared" ref="E29:E92" si="6">-IF(L29="BRL",M29,IF(L29="GBP",M29*$R$1,IF(L29="CAD",M29*$T$1,M29*$P$1)))</f>
        <v>-142.0800142203</v>
      </c>
      <c r="F29" s="9" t="str">
        <f t="shared" ref="F29:F92" si="7">IF(UPPER(K29)="Valor Analytics LLC","VALOR",UPPER(K29))</f>
        <v>REFINITIV</v>
      </c>
      <c r="G29" s="20">
        <f t="shared" si="2"/>
        <v>46143</v>
      </c>
      <c r="H29" s="23">
        <v>1170</v>
      </c>
      <c r="J29" s="41">
        <v>105071</v>
      </c>
      <c r="K29" s="1" t="s">
        <v>42</v>
      </c>
      <c r="L29" s="1" t="s">
        <v>17</v>
      </c>
      <c r="M29" s="29">
        <v>20.849049000000001</v>
      </c>
      <c r="N29" s="2"/>
      <c r="Q29" s="27"/>
      <c r="R29" s="27"/>
      <c r="S29" s="27"/>
      <c r="U29" s="27"/>
    </row>
    <row r="30" spans="1:21" ht="15" customHeight="1" x14ac:dyDescent="0.25">
      <c r="A30" s="9" t="str">
        <f t="shared" si="3"/>
        <v>CUSTO MARKET DATA - MAIO/26-BLOOMBERG-106970</v>
      </c>
      <c r="B30" s="20">
        <v>46143</v>
      </c>
      <c r="C30" s="21">
        <v>817393</v>
      </c>
      <c r="D30" s="9" t="str">
        <f>IF(J30=57036,"ALEXANDRE DA COSTA SOARES",IF(J30=24157,"JOSE MAURICIO GOMES TEIXEIRA",IF(J30=24203,"JOSE MAURICIO GOMES TEIXEIRA",IF(J30=24149,"CHRISTIANO MARCONDES DE BARROS LIMA",IF(J30=24137,"CHRISTIANO MARCONDES DE BARROS LIMA",IF(J30=135152,"ENRICO BORTPLUZO CASSIANO",IF(J30=136568,"ENRICO BORTPLUZO CASSIANO", IF(J30=130976,"MARYLIA CARVALHO PONCE",IF(J30=136668,"ALEXANDRE DA COSTA SOARES",IF(J30=52340,"OFFSHORE LISTED",IF(J30=158778,"CLAUDIO DE SOUZA PACINI",IF(J30=159800,"CLAUDIO DE SOUZA PACINI",_xlfn.XLOOKUP(J30,[1]!Tabela33[ID ORACLE],[1]!Tabela33[BROKER],0,0,1)))))))))))))</f>
        <v>CESAR MARIANO SCARAMBONE MENEZES</v>
      </c>
      <c r="E30" s="22">
        <f t="shared" si="6"/>
        <v>-11999.093164660298</v>
      </c>
      <c r="F30" s="9" t="str">
        <f t="shared" si="7"/>
        <v>BLOOMBERG</v>
      </c>
      <c r="G30" s="20">
        <f t="shared" si="2"/>
        <v>46143</v>
      </c>
      <c r="H30" s="23">
        <v>1170</v>
      </c>
      <c r="J30" s="41">
        <v>106970</v>
      </c>
      <c r="K30" s="1" t="s">
        <v>41</v>
      </c>
      <c r="L30" s="1" t="s">
        <v>12</v>
      </c>
      <c r="M30" s="29">
        <v>2372.815987</v>
      </c>
      <c r="N30" s="2"/>
      <c r="Q30" s="27"/>
      <c r="R30" s="27"/>
      <c r="S30" s="27"/>
      <c r="U30" s="27"/>
    </row>
    <row r="31" spans="1:21" ht="15" customHeight="1" x14ac:dyDescent="0.25">
      <c r="A31" s="9" t="str">
        <f t="shared" si="3"/>
        <v>CUSTO MARKET DATA - MAIO/26-REFINITIV-106970</v>
      </c>
      <c r="B31" s="20">
        <v>46143</v>
      </c>
      <c r="C31" s="21">
        <v>817393</v>
      </c>
      <c r="D31" s="9" t="str">
        <f>IF(J31=57036,"ALEXANDRE DA COSTA SOARES",IF(J31=24157,"JOSE MAURICIO GOMES TEIXEIRA",IF(J31=24203,"JOSE MAURICIO GOMES TEIXEIRA",IF(J31=24149,"CHRISTIANO MARCONDES DE BARROS LIMA",IF(J31=24137,"CHRISTIANO MARCONDES DE BARROS LIMA",IF(J31=135152,"ENRICO BORTPLUZO CASSIANO",IF(J31=136568,"ENRICO BORTPLUZO CASSIANO", IF(J31=130976,"MARYLIA CARVALHO PONCE",IF(J31=136668,"ALEXANDRE DA COSTA SOARES",IF(J31=52340,"OFFSHORE LISTED",IF(J31=158778,"CLAUDIO DE SOUZA PACINI",IF(J31=159800,"CLAUDIO DE SOUZA PACINI",_xlfn.XLOOKUP(J31,[1]!Tabela33[ID ORACLE],[1]!Tabela33[BROKER],0,0,1)))))))))))))</f>
        <v>CESAR MARIANO SCARAMBONE MENEZES</v>
      </c>
      <c r="E31" s="22">
        <f t="shared" si="6"/>
        <v>-142.0800142203</v>
      </c>
      <c r="F31" s="9" t="str">
        <f t="shared" si="7"/>
        <v>REFINITIV</v>
      </c>
      <c r="G31" s="20">
        <f t="shared" si="2"/>
        <v>46143</v>
      </c>
      <c r="H31" s="23">
        <v>1170</v>
      </c>
      <c r="J31" s="41">
        <v>106970</v>
      </c>
      <c r="K31" s="1" t="s">
        <v>42</v>
      </c>
      <c r="L31" s="1" t="s">
        <v>17</v>
      </c>
      <c r="M31" s="29">
        <v>20.849049000000001</v>
      </c>
      <c r="N31" s="2"/>
      <c r="Q31" s="27"/>
      <c r="R31" s="27"/>
      <c r="S31" s="27"/>
      <c r="U31" s="27"/>
    </row>
    <row r="32" spans="1:21" ht="15" customHeight="1" x14ac:dyDescent="0.25">
      <c r="A32" s="9" t="str">
        <f t="shared" si="3"/>
        <v>CUSTO MARKET DATA - MAIO/26-REFINITIV-108911</v>
      </c>
      <c r="B32" s="20">
        <v>46143</v>
      </c>
      <c r="C32" s="21">
        <v>817393</v>
      </c>
      <c r="D32" s="9" t="str">
        <f>IF(J32=57036,"ALEXANDRE DA COSTA SOARES",IF(J32=24157,"JOSE MAURICIO GOMES TEIXEIRA",IF(J32=24203,"JOSE MAURICIO GOMES TEIXEIRA",IF(J32=24149,"CHRISTIANO MARCONDES DE BARROS LIMA",IF(J32=24137,"CHRISTIANO MARCONDES DE BARROS LIMA",IF(J32=135152,"ENRICO BORTPLUZO CASSIANO",IF(J32=136568,"ENRICO BORTPLUZO CASSIANO", IF(J32=130976,"MARYLIA CARVALHO PONCE",IF(J32=136668,"ALEXANDRE DA COSTA SOARES",IF(J32=52340,"OFFSHORE LISTED",IF(J32=158778,"CLAUDIO DE SOUZA PACINI",IF(J32=159800,"CLAUDIO DE SOUZA PACINI",_xlfn.XLOOKUP(J32,[1]!Tabela33[ID ORACLE],[1]!Tabela33[BROKER],0,0,1)))))))))))))</f>
        <v>ALI MOHAMAD KANSAOU</v>
      </c>
      <c r="E32" s="22">
        <f t="shared" si="6"/>
        <v>-142.0800142203</v>
      </c>
      <c r="F32" s="9" t="str">
        <f t="shared" si="7"/>
        <v>REFINITIV</v>
      </c>
      <c r="G32" s="20">
        <f t="shared" si="2"/>
        <v>46143</v>
      </c>
      <c r="H32" s="23">
        <v>1170</v>
      </c>
      <c r="J32" s="41">
        <v>108911</v>
      </c>
      <c r="K32" s="1" t="s">
        <v>42</v>
      </c>
      <c r="L32" s="1" t="s">
        <v>17</v>
      </c>
      <c r="M32" s="29">
        <v>20.849049000000001</v>
      </c>
      <c r="N32" s="2"/>
      <c r="Q32" s="27"/>
      <c r="R32" s="27"/>
      <c r="S32" s="27"/>
      <c r="U32" s="27"/>
    </row>
    <row r="33" spans="1:78" ht="15" customHeight="1" x14ac:dyDescent="0.25">
      <c r="A33" s="9" t="str">
        <f t="shared" si="3"/>
        <v>CUSTO MARKET DATA - MAIO/26-BLOOMBERG-113487</v>
      </c>
      <c r="B33" s="20">
        <v>46143</v>
      </c>
      <c r="C33" s="21">
        <v>817393</v>
      </c>
      <c r="D33" s="9" t="str">
        <f>IF(J33=57036,"ALEXANDRE DA COSTA SOARES",IF(J33=24157,"JOSE MAURICIO GOMES TEIXEIRA",IF(J33=24203,"JOSE MAURICIO GOMES TEIXEIRA",IF(J33=24149,"CHRISTIANO MARCONDES DE BARROS LIMA",IF(J33=24137,"CHRISTIANO MARCONDES DE BARROS LIMA",IF(J33=135152,"ENRICO BORTPLUZO CASSIANO",IF(J33=136568,"ENRICO BORTPLUZO CASSIANO", IF(J33=130976,"MARYLIA CARVALHO PONCE",IF(J33=136668,"ALEXANDRE DA COSTA SOARES",IF(J33=52340,"OFFSHORE LISTED",IF(J33=158778,"CLAUDIO DE SOUZA PACINI",IF(J33=159800,"CLAUDIO DE SOUZA PACINI",_xlfn.XLOOKUP(J33,[1]!Tabela33[ID ORACLE],[1]!Tabela33[BROKER],0,0,1)))))))))))))</f>
        <v>MARYLIA CARVALHO PONCE</v>
      </c>
      <c r="E33" s="22">
        <f t="shared" si="6"/>
        <v>-11999.093164660298</v>
      </c>
      <c r="F33" s="9" t="str">
        <f t="shared" si="7"/>
        <v>BLOOMBERG</v>
      </c>
      <c r="G33" s="20">
        <f t="shared" si="2"/>
        <v>46143</v>
      </c>
      <c r="H33" s="23">
        <v>1170</v>
      </c>
      <c r="J33" s="41">
        <v>113487</v>
      </c>
      <c r="K33" s="1" t="s">
        <v>41</v>
      </c>
      <c r="L33" s="1" t="s">
        <v>12</v>
      </c>
      <c r="M33" s="29">
        <v>2372.815987</v>
      </c>
      <c r="N33" s="2"/>
      <c r="Q33" s="27"/>
      <c r="R33" s="27"/>
      <c r="S33" s="27"/>
      <c r="U33" s="27"/>
    </row>
    <row r="34" spans="1:78" ht="15" customHeight="1" x14ac:dyDescent="0.25">
      <c r="A34" s="9" t="str">
        <f t="shared" si="3"/>
        <v>CUSTO MARKET DATA - MAIO/26-REFINITIV-113487</v>
      </c>
      <c r="B34" s="20">
        <v>46143</v>
      </c>
      <c r="C34" s="21">
        <v>817393</v>
      </c>
      <c r="D34" s="9" t="str">
        <f>IF(J34=57036,"ALEXANDRE DA COSTA SOARES",IF(J34=24157,"JOSE MAURICIO GOMES TEIXEIRA",IF(J34=24203,"JOSE MAURICIO GOMES TEIXEIRA",IF(J34=24149,"CHRISTIANO MARCONDES DE BARROS LIMA",IF(J34=24137,"CHRISTIANO MARCONDES DE BARROS LIMA",IF(J34=135152,"ENRICO BORTPLUZO CASSIANO",IF(J34=136568,"ENRICO BORTPLUZO CASSIANO", IF(J34=130976,"MARYLIA CARVALHO PONCE",IF(J34=136668,"ALEXANDRE DA COSTA SOARES",IF(J34=52340,"OFFSHORE LISTED",IF(J34=158778,"CLAUDIO DE SOUZA PACINI",IF(J34=159800,"CLAUDIO DE SOUZA PACINI",_xlfn.XLOOKUP(J34,[1]!Tabela33[ID ORACLE],[1]!Tabela33[BROKER],0,0,1)))))))))))))</f>
        <v>MARYLIA CARVALHO PONCE</v>
      </c>
      <c r="E34" s="22">
        <f t="shared" si="6"/>
        <v>-142.0800142203</v>
      </c>
      <c r="F34" s="9" t="str">
        <f t="shared" si="7"/>
        <v>REFINITIV</v>
      </c>
      <c r="G34" s="20">
        <f t="shared" si="2"/>
        <v>46143</v>
      </c>
      <c r="H34" s="23">
        <v>1170</v>
      </c>
      <c r="J34" s="41">
        <v>113487</v>
      </c>
      <c r="K34" s="1" t="s">
        <v>42</v>
      </c>
      <c r="L34" s="1" t="s">
        <v>17</v>
      </c>
      <c r="M34" s="29">
        <v>20.849049000000001</v>
      </c>
      <c r="N34" s="2"/>
      <c r="Q34" s="27"/>
      <c r="R34" s="27"/>
      <c r="S34" s="27"/>
      <c r="U34" s="27"/>
    </row>
    <row r="35" spans="1:78" ht="15" customHeight="1" x14ac:dyDescent="0.25">
      <c r="A35" s="9" t="str">
        <f t="shared" si="3"/>
        <v>CUSTO MARKET DATA - MAIO/26-CBOE GLOBAL MARKETS-115154</v>
      </c>
      <c r="B35" s="20">
        <v>46143</v>
      </c>
      <c r="C35" s="21">
        <v>817393</v>
      </c>
      <c r="D35" s="9" t="str">
        <f>IF(J35=57036,"ALEXANDRE DA COSTA SOARES",IF(J35=24157,"JOSE MAURICIO GOMES TEIXEIRA",IF(J35=24203,"JOSE MAURICIO GOMES TEIXEIRA",IF(J35=24149,"CHRISTIANO MARCONDES DE BARROS LIMA",IF(J35=24137,"CHRISTIANO MARCONDES DE BARROS LIMA",IF(J35=135152,"ENRICO BORTPLUZO CASSIANO",IF(J35=136568,"ENRICO BORTPLUZO CASSIANO", IF(J35=130976,"MARYLIA CARVALHO PONCE",IF(J35=136668,"ALEXANDRE DA COSTA SOARES",IF(J35=52340,"OFFSHORE LISTED",IF(J35=158778,"CLAUDIO DE SOUZA PACINI",IF(J35=159800,"CLAUDIO DE SOUZA PACINI",_xlfn.XLOOKUP(J35,[1]!Tabela33[ID ORACLE],[1]!Tabela33[BROKER],0,0,1)))))))))))))</f>
        <v>FELIPE DE ANDRADE BASILE</v>
      </c>
      <c r="E35" s="22">
        <f t="shared" si="6"/>
        <v>-1761.8408146476997</v>
      </c>
      <c r="F35" s="9" t="str">
        <f t="shared" si="7"/>
        <v>CBOE GLOBAL MARKETS</v>
      </c>
      <c r="G35" s="20">
        <f t="shared" si="2"/>
        <v>46143</v>
      </c>
      <c r="H35" s="23">
        <v>1170</v>
      </c>
      <c r="J35" s="41">
        <v>115154</v>
      </c>
      <c r="K35" s="1" t="s">
        <v>46</v>
      </c>
      <c r="L35" s="1" t="s">
        <v>12</v>
      </c>
      <c r="M35" s="29">
        <v>348.40333299999998</v>
      </c>
      <c r="N35" s="2"/>
      <c r="Q35" s="27"/>
      <c r="R35" s="27"/>
      <c r="S35" s="27"/>
      <c r="U35" s="27"/>
    </row>
    <row r="36" spans="1:78" ht="15" customHeight="1" x14ac:dyDescent="0.25">
      <c r="A36" s="9" t="str">
        <f t="shared" si="3"/>
        <v>CUSTO MARKET DATA - MAIO/26-FIDESSA-115154</v>
      </c>
      <c r="B36" s="20">
        <v>46143</v>
      </c>
      <c r="C36" s="21">
        <v>817393</v>
      </c>
      <c r="D36" s="9" t="str">
        <f>IF(J36=57036,"ALEXANDRE DA COSTA SOARES",IF(J36=24157,"JOSE MAURICIO GOMES TEIXEIRA",IF(J36=24203,"JOSE MAURICIO GOMES TEIXEIRA",IF(J36=24149,"CHRISTIANO MARCONDES DE BARROS LIMA",IF(J36=24137,"CHRISTIANO MARCONDES DE BARROS LIMA",IF(J36=135152,"ENRICO BORTPLUZO CASSIANO",IF(J36=136568,"ENRICO BORTPLUZO CASSIANO", IF(J36=130976,"MARYLIA CARVALHO PONCE",IF(J36=136668,"ALEXANDRE DA COSTA SOARES",IF(J36=52340,"OFFSHORE LISTED",IF(J36=158778,"CLAUDIO DE SOUZA PACINI",IF(J36=159800,"CLAUDIO DE SOUZA PACINI",_xlfn.XLOOKUP(J36,[1]!Tabela33[ID ORACLE],[1]!Tabela33[BROKER],0,0,1)))))))))))))</f>
        <v>FELIPE DE ANDRADE BASILE</v>
      </c>
      <c r="E36" s="22">
        <f t="shared" si="6"/>
        <v>2143.4176339999999</v>
      </c>
      <c r="F36" s="9" t="str">
        <f t="shared" si="7"/>
        <v>FIDESSA</v>
      </c>
      <c r="G36" s="20">
        <f t="shared" si="2"/>
        <v>46143</v>
      </c>
      <c r="H36" s="23">
        <v>1170</v>
      </c>
      <c r="J36" s="41">
        <v>115154</v>
      </c>
      <c r="K36" s="1" t="s">
        <v>47</v>
      </c>
      <c r="L36" s="1" t="s">
        <v>12</v>
      </c>
      <c r="M36" s="29">
        <v>-423.86</v>
      </c>
      <c r="N36" s="2"/>
      <c r="Q36" s="27"/>
      <c r="R36" s="27"/>
      <c r="S36" s="27"/>
      <c r="T36" s="27"/>
      <c r="U36" s="27"/>
    </row>
    <row r="37" spans="1:78" customFormat="1" ht="15" customHeight="1" x14ac:dyDescent="0.25">
      <c r="A37" s="9" t="str">
        <f t="shared" si="3"/>
        <v>CUSTO MARKET DATA - MAIO/26-OPTIONS PRICE REPORTING AUTHORITY (OPRA)-115154</v>
      </c>
      <c r="B37" s="20">
        <v>46143</v>
      </c>
      <c r="C37" s="21">
        <v>817393</v>
      </c>
      <c r="D37" s="9" t="str">
        <f>IF(J37=57036,"ALEXANDRE DA COSTA SOARES",IF(J37=24157,"JOSE MAURICIO GOMES TEIXEIRA",IF(J37=24203,"JOSE MAURICIO GOMES TEIXEIRA",IF(J37=24149,"CHRISTIANO MARCONDES DE BARROS LIMA",IF(J37=24137,"CHRISTIANO MARCONDES DE BARROS LIMA",IF(J37=135152,"ENRICO BORTPLUZO CASSIANO",IF(J37=136568,"ENRICO BORTPLUZO CASSIANO", IF(J37=130976,"MARYLIA CARVALHO PONCE",IF(J37=136668,"ALEXANDRE DA COSTA SOARES",IF(J37=52340,"OFFSHORE LISTED",IF(J37=158778,"CLAUDIO DE SOUZA PACINI",IF(J37=159800,"CLAUDIO DE SOUZA PACINI",_xlfn.XLOOKUP(J37,[1]!Tabela33[ID ORACLE],[1]!Tabela33[BROKER],0,0,1)))))))))))))</f>
        <v>FELIPE DE ANDRADE BASILE</v>
      </c>
      <c r="E37" s="22">
        <f t="shared" si="6"/>
        <v>-332.68126387099994</v>
      </c>
      <c r="F37" s="9" t="str">
        <f t="shared" si="7"/>
        <v>OPTIONS PRICE REPORTING AUTHORITY (OPRA)</v>
      </c>
      <c r="G37" s="20">
        <f t="shared" si="2"/>
        <v>46143</v>
      </c>
      <c r="H37" s="23">
        <v>1170</v>
      </c>
      <c r="J37" s="41">
        <v>115154</v>
      </c>
      <c r="K37" s="1" t="s">
        <v>45</v>
      </c>
      <c r="L37" s="1" t="s">
        <v>12</v>
      </c>
      <c r="M37" s="29">
        <v>65.787589999999994</v>
      </c>
      <c r="N37" s="2"/>
      <c r="O37" s="1"/>
      <c r="P37" s="26"/>
      <c r="Q37" s="27"/>
      <c r="R37" s="27"/>
      <c r="S37" s="27"/>
      <c r="T37" s="26"/>
      <c r="U37" s="27"/>
    </row>
    <row r="38" spans="1:78" customFormat="1" ht="15" customHeight="1" x14ac:dyDescent="0.25">
      <c r="A38" s="9" t="str">
        <f t="shared" si="3"/>
        <v>CUSTO MARKET DATA - MAIO/26-REFINITIV-115154</v>
      </c>
      <c r="B38" s="20">
        <v>46143</v>
      </c>
      <c r="C38" s="21">
        <v>817393</v>
      </c>
      <c r="D38" s="9" t="str">
        <f>IF(J38=57036,"ALEXANDRE DA COSTA SOARES",IF(J38=24157,"JOSE MAURICIO GOMES TEIXEIRA",IF(J38=24203,"JOSE MAURICIO GOMES TEIXEIRA",IF(J38=24149,"CHRISTIANO MARCONDES DE BARROS LIMA",IF(J38=24137,"CHRISTIANO MARCONDES DE BARROS LIMA",IF(J38=135152,"ENRICO BORTPLUZO CASSIANO",IF(J38=136568,"ENRICO BORTPLUZO CASSIANO", IF(J38=130976,"MARYLIA CARVALHO PONCE",IF(J38=136668,"ALEXANDRE DA COSTA SOARES",IF(J38=52340,"OFFSHORE LISTED",IF(J38=158778,"CLAUDIO DE SOUZA PACINI",IF(J38=159800,"CLAUDIO DE SOUZA PACINI",_xlfn.XLOOKUP(J38,[1]!Tabela33[ID ORACLE],[1]!Tabela33[BROKER],0,0,1)))))))))))))</f>
        <v>FELIPE DE ANDRADE BASILE</v>
      </c>
      <c r="E38" s="22">
        <f t="shared" si="6"/>
        <v>-142.0800142203</v>
      </c>
      <c r="F38" s="9" t="str">
        <f t="shared" si="7"/>
        <v>REFINITIV</v>
      </c>
      <c r="G38" s="20">
        <f t="shared" si="2"/>
        <v>46143</v>
      </c>
      <c r="H38" s="23">
        <v>1170</v>
      </c>
      <c r="J38" s="41">
        <v>115154</v>
      </c>
      <c r="K38" s="1" t="s">
        <v>42</v>
      </c>
      <c r="L38" s="1" t="s">
        <v>17</v>
      </c>
      <c r="M38" s="29">
        <v>20.849049000000001</v>
      </c>
      <c r="N38" s="2"/>
      <c r="O38" s="1"/>
      <c r="P38" s="26"/>
      <c r="Q38" s="27"/>
      <c r="R38" s="27"/>
      <c r="S38" s="27"/>
      <c r="T38" s="26"/>
      <c r="U38" s="27"/>
    </row>
    <row r="39" spans="1:78" customFormat="1" ht="15" customHeight="1" x14ac:dyDescent="0.25">
      <c r="A39" s="9" t="str">
        <f t="shared" si="3"/>
        <v>CUSTO MARKET DATA - MAIO/26-BLOOMBERG-119734</v>
      </c>
      <c r="B39" s="20">
        <v>46143</v>
      </c>
      <c r="C39" s="21">
        <v>817393</v>
      </c>
      <c r="D39" s="9" t="str">
        <f>IF(J39=57036,"ALEXANDRE DA COSTA SOARES",IF(J39=24157,"JOSE MAURICIO GOMES TEIXEIRA",IF(J39=24203,"JOSE MAURICIO GOMES TEIXEIRA",IF(J39=24149,"CHRISTIANO MARCONDES DE BARROS LIMA",IF(J39=24137,"CHRISTIANO MARCONDES DE BARROS LIMA",IF(J39=135152,"ENRICO BORTPLUZO CASSIANO",IF(J39=136568,"ENRICO BORTPLUZO CASSIANO", IF(J39=130976,"MARYLIA CARVALHO PONCE",IF(J39=136668,"ALEXANDRE DA COSTA SOARES",IF(J39=52340,"OFFSHORE LISTED",IF(J39=158778,"CLAUDIO DE SOUZA PACINI",IF(J39=159800,"CLAUDIO DE SOUZA PACINI",_xlfn.XLOOKUP(J39,[1]!Tabela33[ID ORACLE],[1]!Tabela33[BROKER],0,0,1)))))))))))))</f>
        <v>RAFAEL MARQUES MOREIRA DA COSTA</v>
      </c>
      <c r="E39" s="22">
        <f t="shared" si="6"/>
        <v>-50.568999999999996</v>
      </c>
      <c r="F39" s="9" t="str">
        <f t="shared" si="7"/>
        <v>BLOOMBERG</v>
      </c>
      <c r="G39" s="20">
        <f t="shared" si="2"/>
        <v>46143</v>
      </c>
      <c r="H39" s="23">
        <v>1170</v>
      </c>
      <c r="J39" s="41">
        <v>119734</v>
      </c>
      <c r="K39" s="1" t="s">
        <v>41</v>
      </c>
      <c r="L39" s="1" t="s">
        <v>12</v>
      </c>
      <c r="M39" s="29">
        <v>10</v>
      </c>
      <c r="N39" s="2"/>
      <c r="O39" s="1"/>
      <c r="P39" s="26"/>
      <c r="Q39" s="27"/>
      <c r="R39" s="27"/>
      <c r="S39" s="27"/>
      <c r="T39" s="26"/>
      <c r="U39" s="27"/>
    </row>
    <row r="40" spans="1:78" customFormat="1" ht="15" customHeight="1" x14ac:dyDescent="0.25">
      <c r="A40" s="9" t="str">
        <f t="shared" si="3"/>
        <v>CUSTO MARKET DATA - MAIO/26-BROADCAST-119734</v>
      </c>
      <c r="B40" s="20">
        <v>46143</v>
      </c>
      <c r="C40" s="21">
        <v>817393</v>
      </c>
      <c r="D40" s="9" t="str">
        <f>IF(J40=57036,"ALEXANDRE DA COSTA SOARES",IF(J40=24157,"JOSE MAURICIO GOMES TEIXEIRA",IF(J40=24203,"JOSE MAURICIO GOMES TEIXEIRA",IF(J40=24149,"CHRISTIANO MARCONDES DE BARROS LIMA",IF(J40=24137,"CHRISTIANO MARCONDES DE BARROS LIMA",IF(J40=135152,"ENRICO BORTPLUZO CASSIANO",IF(J40=136568,"ENRICO BORTPLUZO CASSIANO", IF(J40=130976,"MARYLIA CARVALHO PONCE",IF(J40=136668,"ALEXANDRE DA COSTA SOARES",IF(J40=52340,"OFFSHORE LISTED",IF(J40=158778,"CLAUDIO DE SOUZA PACINI",IF(J40=159800,"CLAUDIO DE SOUZA PACINI",_xlfn.XLOOKUP(J40,[1]!Tabela33[ID ORACLE],[1]!Tabela33[BROKER],0,0,1)))))))))))))</f>
        <v>RAFAEL MARQUES MOREIRA DA COSTA</v>
      </c>
      <c r="E40" s="22">
        <f t="shared" si="6"/>
        <v>-2598.001197</v>
      </c>
      <c r="F40" s="9" t="str">
        <f t="shared" si="7"/>
        <v>BROADCAST</v>
      </c>
      <c r="G40" s="20">
        <f t="shared" si="2"/>
        <v>46143</v>
      </c>
      <c r="H40" s="23">
        <v>1170</v>
      </c>
      <c r="J40" s="41">
        <v>119734</v>
      </c>
      <c r="K40" s="1" t="s">
        <v>48</v>
      </c>
      <c r="L40" s="1" t="s">
        <v>49</v>
      </c>
      <c r="M40" s="29">
        <v>2598.001197</v>
      </c>
      <c r="N40" s="2"/>
      <c r="O40" s="1"/>
      <c r="P40" s="26"/>
      <c r="Q40" s="27"/>
      <c r="R40" s="27"/>
      <c r="S40" s="27"/>
      <c r="T40" s="26"/>
      <c r="U40" s="27"/>
    </row>
    <row r="41" spans="1:78" customFormat="1" ht="15" customHeight="1" x14ac:dyDescent="0.25">
      <c r="A41" s="9" t="str">
        <f t="shared" si="3"/>
        <v>CUSTO MARKET DATA - MAIO/26-BLOOMBERG-122758</v>
      </c>
      <c r="B41" s="20">
        <v>46143</v>
      </c>
      <c r="C41" s="21">
        <v>817393</v>
      </c>
      <c r="D41" s="9" t="str">
        <f>IF(J41=57036,"ALEXANDRE DA COSTA SOARES",IF(J41=24157,"JOSE MAURICIO GOMES TEIXEIRA",IF(J41=24203,"JOSE MAURICIO GOMES TEIXEIRA",IF(J41=24149,"CHRISTIANO MARCONDES DE BARROS LIMA",IF(J41=24137,"CHRISTIANO MARCONDES DE BARROS LIMA",IF(J41=135152,"ENRICO BORTPLUZO CASSIANO",IF(J41=136568,"ENRICO BORTPLUZO CASSIANO", IF(J41=130976,"MARYLIA CARVALHO PONCE",IF(J41=136668,"ALEXANDRE DA COSTA SOARES",IF(J41=52340,"OFFSHORE LISTED",IF(J41=158778,"CLAUDIO DE SOUZA PACINI",IF(J41=159800,"CLAUDIO DE SOUZA PACINI",_xlfn.XLOOKUP(J41,[1]!Tabela33[ID ORACLE],[1]!Tabela33[BROKER],0,0,1)))))))))))))</f>
        <v>ANDRE FERREIRA DOS SANTOS</v>
      </c>
      <c r="E41" s="22">
        <f t="shared" si="6"/>
        <v>-6069.0789699723991</v>
      </c>
      <c r="F41" s="9" t="str">
        <f t="shared" si="7"/>
        <v>BLOOMBERG</v>
      </c>
      <c r="G41" s="20">
        <f t="shared" si="2"/>
        <v>46143</v>
      </c>
      <c r="H41" s="23">
        <v>1170</v>
      </c>
      <c r="J41" s="41">
        <v>122758</v>
      </c>
      <c r="K41" s="1" t="s">
        <v>41</v>
      </c>
      <c r="L41" s="1" t="s">
        <v>12</v>
      </c>
      <c r="M41" s="29">
        <v>1200.1579959999999</v>
      </c>
      <c r="N41" s="2"/>
      <c r="O41" s="1"/>
      <c r="P41" s="26"/>
      <c r="Q41" s="27"/>
      <c r="R41" s="27"/>
      <c r="S41" s="27"/>
      <c r="T41" s="26"/>
      <c r="U41" s="27"/>
    </row>
    <row r="42" spans="1:78" customFormat="1" ht="15" customHeight="1" x14ac:dyDescent="0.25">
      <c r="A42" s="9" t="str">
        <f t="shared" si="3"/>
        <v>CUSTO MARKET DATA - MAIO/26-REFINITIV-122758</v>
      </c>
      <c r="B42" s="20">
        <v>46143</v>
      </c>
      <c r="C42" s="21">
        <v>817393</v>
      </c>
      <c r="D42" s="9" t="str">
        <f>IF(J42=57036,"ALEXANDRE DA COSTA SOARES",IF(J42=24157,"JOSE MAURICIO GOMES TEIXEIRA",IF(J42=24203,"JOSE MAURICIO GOMES TEIXEIRA",IF(J42=24149,"CHRISTIANO MARCONDES DE BARROS LIMA",IF(J42=24137,"CHRISTIANO MARCONDES DE BARROS LIMA",IF(J42=135152,"ENRICO BORTPLUZO CASSIANO",IF(J42=136568,"ENRICO BORTPLUZO CASSIANO", IF(J42=130976,"MARYLIA CARVALHO PONCE",IF(J42=136668,"ALEXANDRE DA COSTA SOARES",IF(J42=52340,"OFFSHORE LISTED",IF(J42=158778,"CLAUDIO DE SOUZA PACINI",IF(J42=159800,"CLAUDIO DE SOUZA PACINI",_xlfn.XLOOKUP(J42,[1]!Tabela33[ID ORACLE],[1]!Tabela33[BROKER],0,0,1)))))))))))))</f>
        <v>ANDRE FERREIRA DOS SANTOS</v>
      </c>
      <c r="E42" s="22">
        <f t="shared" si="6"/>
        <v>-142.0800142203</v>
      </c>
      <c r="F42" s="9" t="str">
        <f t="shared" si="7"/>
        <v>REFINITIV</v>
      </c>
      <c r="G42" s="20">
        <f t="shared" si="2"/>
        <v>46143</v>
      </c>
      <c r="H42" s="23">
        <v>1170</v>
      </c>
      <c r="J42" s="41">
        <v>122758</v>
      </c>
      <c r="K42" s="1" t="s">
        <v>42</v>
      </c>
      <c r="L42" s="1" t="s">
        <v>17</v>
      </c>
      <c r="M42" s="29">
        <v>20.849049000000001</v>
      </c>
      <c r="N42" s="2"/>
      <c r="O42" s="1"/>
      <c r="P42" s="26"/>
      <c r="Q42" s="27"/>
      <c r="R42" s="27"/>
      <c r="S42" s="27"/>
      <c r="T42" s="26"/>
      <c r="U42" s="27"/>
    </row>
    <row r="43" spans="1:78" customFormat="1" ht="15" customHeight="1" x14ac:dyDescent="0.25">
      <c r="A43" s="9" t="str">
        <f t="shared" si="3"/>
        <v>CUSTO MARKET DATA - MAIO/26-REFINITIV-125254</v>
      </c>
      <c r="B43" s="20">
        <v>46143</v>
      </c>
      <c r="C43" s="21">
        <v>817393</v>
      </c>
      <c r="D43" s="9" t="str">
        <f>IF(J43=57036,"ALEXANDRE DA COSTA SOARES",IF(J43=24157,"JOSE MAURICIO GOMES TEIXEIRA",IF(J43=24203,"JOSE MAURICIO GOMES TEIXEIRA",IF(J43=24149,"CHRISTIANO MARCONDES DE BARROS LIMA",IF(J43=24137,"CHRISTIANO MARCONDES DE BARROS LIMA",IF(J43=135152,"ENRICO BORTPLUZO CASSIANO",IF(J43=136568,"ENRICO BORTPLUZO CASSIANO", IF(J43=130976,"MARYLIA CARVALHO PONCE",IF(J43=136668,"ALEXANDRE DA COSTA SOARES",IF(J43=52340,"OFFSHORE LISTED",IF(J43=158778,"CLAUDIO DE SOUZA PACINI",IF(J43=159800,"CLAUDIO DE SOUZA PACINI",_xlfn.XLOOKUP(J43,[1]!Tabela33[ID ORACLE],[1]!Tabela33[BROKER],0,0,1)))))))))))))</f>
        <v>GUSTAVO D ELBOUX FERRIELLO</v>
      </c>
      <c r="E43" s="22">
        <f t="shared" si="6"/>
        <v>-142.0800142203</v>
      </c>
      <c r="F43" s="9" t="str">
        <f t="shared" si="7"/>
        <v>REFINITIV</v>
      </c>
      <c r="G43" s="20">
        <f t="shared" si="2"/>
        <v>46143</v>
      </c>
      <c r="H43" s="23">
        <v>1170</v>
      </c>
      <c r="J43" s="41">
        <v>125254</v>
      </c>
      <c r="K43" s="1" t="s">
        <v>42</v>
      </c>
      <c r="L43" s="1" t="s">
        <v>17</v>
      </c>
      <c r="M43" s="29">
        <v>20.849049000000001</v>
      </c>
      <c r="N43" s="2"/>
      <c r="O43" s="1"/>
      <c r="P43" s="26"/>
      <c r="Q43" s="27"/>
      <c r="R43" s="27"/>
      <c r="S43" s="27"/>
      <c r="T43" s="26"/>
      <c r="U43" s="27"/>
    </row>
    <row r="44" spans="1:78" customFormat="1" ht="15" customHeight="1" x14ac:dyDescent="0.25">
      <c r="A44" s="9" t="str">
        <f t="shared" si="3"/>
        <v>CUSTO MARKET DATA - MAIO/26-FIDESSA-125412</v>
      </c>
      <c r="B44" s="20">
        <v>46143</v>
      </c>
      <c r="C44" s="21">
        <v>817393</v>
      </c>
      <c r="D44" s="9" t="str">
        <f>IF(J44=57036,"ALEXANDRE DA COSTA SOARES",IF(J44=24157,"JOSE MAURICIO GOMES TEIXEIRA",IF(J44=24203,"JOSE MAURICIO GOMES TEIXEIRA",IF(J44=24149,"CHRISTIANO MARCONDES DE BARROS LIMA",IF(J44=24137,"CHRISTIANO MARCONDES DE BARROS LIMA",IF(J44=135152,"ENRICO BORTPLUZO CASSIANO",IF(J44=136568,"ENRICO BORTPLUZO CASSIANO", IF(J44=130976,"MARYLIA CARVALHO PONCE",IF(J44=136668,"ALEXANDRE DA COSTA SOARES",IF(J44=52340,"OFFSHORE LISTED",IF(J44=158778,"CLAUDIO DE SOUZA PACINI",IF(J44=159800,"CLAUDIO DE SOUZA PACINI",_xlfn.XLOOKUP(J44,[1]!Tabela33[ID ORACLE],[1]!Tabela33[BROKER],0,0,1)))))))))))))</f>
        <v>GUSTAVO VALERIO FERREIRA DE ALBUQUERQUE</v>
      </c>
      <c r="E44" s="22">
        <f t="shared" si="6"/>
        <v>-1759.4565115821997</v>
      </c>
      <c r="F44" s="9" t="str">
        <f t="shared" si="7"/>
        <v>FIDESSA</v>
      </c>
      <c r="G44" s="20">
        <f t="shared" si="2"/>
        <v>46143</v>
      </c>
      <c r="H44" s="23">
        <v>1170</v>
      </c>
      <c r="J44" s="41">
        <v>125412</v>
      </c>
      <c r="K44" s="1" t="s">
        <v>47</v>
      </c>
      <c r="L44" s="1" t="s">
        <v>12</v>
      </c>
      <c r="M44" s="29">
        <v>347.93183799999997</v>
      </c>
      <c r="N44" s="2"/>
      <c r="O44" s="1"/>
      <c r="P44" s="26"/>
      <c r="Q44" s="27"/>
      <c r="R44" s="27"/>
      <c r="S44" s="27"/>
      <c r="T44" s="26"/>
      <c r="U44" s="27"/>
    </row>
    <row r="45" spans="1:78" ht="15" customHeight="1" x14ac:dyDescent="0.25">
      <c r="A45" s="9" t="str">
        <f t="shared" si="3"/>
        <v>CUSTO MARKET DATA - MAIO/26-NYSE MARKET INC.-125412</v>
      </c>
      <c r="B45" s="20">
        <v>46143</v>
      </c>
      <c r="C45" s="21">
        <v>817393</v>
      </c>
      <c r="D45" s="9" t="str">
        <f>IF(J45=57036,"ALEXANDRE DA COSTA SOARES",IF(J45=24157,"JOSE MAURICIO GOMES TEIXEIRA",IF(J45=24203,"JOSE MAURICIO GOMES TEIXEIRA",IF(J45=24149,"CHRISTIANO MARCONDES DE BARROS LIMA",IF(J45=24137,"CHRISTIANO MARCONDES DE BARROS LIMA",IF(J45=135152,"ENRICO BORTPLUZO CASSIANO",IF(J45=136568,"ENRICO BORTPLUZO CASSIANO", IF(J45=130976,"MARYLIA CARVALHO PONCE",IF(J45=136668,"ALEXANDRE DA COSTA SOARES",IF(J45=52340,"OFFSHORE LISTED",IF(J45=158778,"CLAUDIO DE SOUZA PACINI",IF(J45=159800,"CLAUDIO DE SOUZA PACINI",_xlfn.XLOOKUP(J45,[1]!Tabela33[ID ORACLE],[1]!Tabela33[BROKER],0,0,1)))))))))))))</f>
        <v>GUSTAVO VALERIO FERREIRA DE ALBUQUERQUE</v>
      </c>
      <c r="E45" s="22">
        <f t="shared" si="6"/>
        <v>-1288.3337707499998</v>
      </c>
      <c r="F45" s="9" t="str">
        <f t="shared" si="7"/>
        <v>NYSE MARKET INC.</v>
      </c>
      <c r="G45" s="20">
        <f t="shared" si="2"/>
        <v>46143</v>
      </c>
      <c r="H45" s="23">
        <v>1170</v>
      </c>
      <c r="J45" s="41">
        <v>125412</v>
      </c>
      <c r="K45" s="1" t="s">
        <v>44</v>
      </c>
      <c r="L45" s="1" t="s">
        <v>12</v>
      </c>
      <c r="M45" s="29">
        <v>254.76749999999998</v>
      </c>
      <c r="N45" s="2"/>
      <c r="Q45" s="27"/>
      <c r="R45" s="27"/>
      <c r="S45" s="27"/>
      <c r="U45" s="27"/>
    </row>
    <row r="46" spans="1:78" s="25" customFormat="1" ht="15" customHeight="1" x14ac:dyDescent="0.25">
      <c r="A46" s="9" t="str">
        <f t="shared" si="3"/>
        <v>CUSTO MARKET DATA - MAIO/26-REFINITIV-125412</v>
      </c>
      <c r="B46" s="20">
        <v>46143</v>
      </c>
      <c r="C46" s="21">
        <v>817393</v>
      </c>
      <c r="D46" s="9" t="str">
        <f>IF(J46=57036,"ALEXANDRE DA COSTA SOARES",IF(J46=24157,"JOSE MAURICIO GOMES TEIXEIRA",IF(J46=24203,"JOSE MAURICIO GOMES TEIXEIRA",IF(J46=24149,"CHRISTIANO MARCONDES DE BARROS LIMA",IF(J46=24137,"CHRISTIANO MARCONDES DE BARROS LIMA",IF(J46=135152,"ENRICO BORTPLUZO CASSIANO",IF(J46=136568,"ENRICO BORTPLUZO CASSIANO", IF(J46=130976,"MARYLIA CARVALHO PONCE",IF(J46=136668,"ALEXANDRE DA COSTA SOARES",IF(J46=52340,"OFFSHORE LISTED",IF(J46=158778,"CLAUDIO DE SOUZA PACINI",IF(J46=159800,"CLAUDIO DE SOUZA PACINI",_xlfn.XLOOKUP(J46,[1]!Tabela33[ID ORACLE],[1]!Tabela33[BROKER],0,0,1)))))))))))))</f>
        <v>GUSTAVO VALERIO FERREIRA DE ALBUQUERQUE</v>
      </c>
      <c r="E46" s="22">
        <f t="shared" si="6"/>
        <v>-142.0800142203</v>
      </c>
      <c r="F46" s="9" t="str">
        <f t="shared" si="7"/>
        <v>REFINITIV</v>
      </c>
      <c r="G46" s="20">
        <f t="shared" si="2"/>
        <v>46143</v>
      </c>
      <c r="H46" s="23">
        <v>1170</v>
      </c>
      <c r="I46"/>
      <c r="J46" s="41">
        <v>125412</v>
      </c>
      <c r="K46" s="1" t="s">
        <v>42</v>
      </c>
      <c r="L46" s="1" t="s">
        <v>17</v>
      </c>
      <c r="M46" s="29">
        <v>20.849049000000001</v>
      </c>
      <c r="N46" s="2"/>
      <c r="O46" s="1"/>
      <c r="P46" s="26"/>
      <c r="Q46" s="27"/>
      <c r="R46" s="27"/>
      <c r="S46" s="27"/>
      <c r="T46" s="26"/>
      <c r="U46" s="27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s="25" customFormat="1" ht="15" customHeight="1" x14ac:dyDescent="0.25">
      <c r="A47" s="9" t="str">
        <f t="shared" si="3"/>
        <v>CUSTO MARKET DATA - MAIO/26-REFINITIV-125524</v>
      </c>
      <c r="B47" s="20">
        <v>46143</v>
      </c>
      <c r="C47" s="21">
        <v>817393</v>
      </c>
      <c r="D47" s="9" t="str">
        <f>IF(J47=57036,"ALEXANDRE DA COSTA SOARES",IF(J47=24157,"JOSE MAURICIO GOMES TEIXEIRA",IF(J47=24203,"JOSE MAURICIO GOMES TEIXEIRA",IF(J47=24149,"CHRISTIANO MARCONDES DE BARROS LIMA",IF(J47=24137,"CHRISTIANO MARCONDES DE BARROS LIMA",IF(J47=135152,"ENRICO BORTPLUZO CASSIANO",IF(J47=136568,"ENRICO BORTPLUZO CASSIANO", IF(J47=130976,"MARYLIA CARVALHO PONCE",IF(J47=136668,"ALEXANDRE DA COSTA SOARES",IF(J47=52340,"OFFSHORE LISTED",IF(J47=158778,"CLAUDIO DE SOUZA PACINI",IF(J47=159800,"CLAUDIO DE SOUZA PACINI",_xlfn.XLOOKUP(J47,[1]!Tabela33[ID ORACLE],[1]!Tabela33[BROKER],0,0,1)))))))))))))</f>
        <v>JUAREZ JOAQUIM DE LACERDA</v>
      </c>
      <c r="E47" s="22">
        <f t="shared" si="6"/>
        <v>-142.0800142203</v>
      </c>
      <c r="F47" s="9" t="str">
        <f t="shared" si="7"/>
        <v>REFINITIV</v>
      </c>
      <c r="G47" s="20">
        <f t="shared" si="2"/>
        <v>46143</v>
      </c>
      <c r="H47" s="23">
        <v>1170</v>
      </c>
      <c r="I47"/>
      <c r="J47" s="41">
        <v>125524</v>
      </c>
      <c r="K47" s="1" t="s">
        <v>42</v>
      </c>
      <c r="L47" s="1" t="s">
        <v>17</v>
      </c>
      <c r="M47" s="29">
        <v>20.849049000000001</v>
      </c>
      <c r="N47" s="2"/>
      <c r="O47" s="1"/>
      <c r="P47" s="26"/>
      <c r="Q47" s="27"/>
      <c r="R47" s="27"/>
      <c r="S47" s="27"/>
      <c r="T47" s="26"/>
      <c r="U47" s="27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s="25" customFormat="1" ht="15" customHeight="1" x14ac:dyDescent="0.25">
      <c r="A48" s="9" t="str">
        <f t="shared" si="3"/>
        <v>CUSTO MARKET DATA - MAIO/26-BLOOMBERG-127165</v>
      </c>
      <c r="B48" s="20">
        <v>46143</v>
      </c>
      <c r="C48" s="21">
        <v>817393</v>
      </c>
      <c r="D48" s="9" t="str">
        <f>IF(J48=57036,"ALEXANDRE DA COSTA SOARES",IF(J48=24157,"JOSE MAURICIO GOMES TEIXEIRA",IF(J48=24203,"JOSE MAURICIO GOMES TEIXEIRA",IF(J48=24149,"CHRISTIANO MARCONDES DE BARROS LIMA",IF(J48=24137,"CHRISTIANO MARCONDES DE BARROS LIMA",IF(J48=135152,"ENRICO BORTPLUZO CASSIANO",IF(J48=136568,"ENRICO BORTPLUZO CASSIANO", IF(J48=130976,"MARYLIA CARVALHO PONCE",IF(J48=136668,"ALEXANDRE DA COSTA SOARES",IF(J48=52340,"OFFSHORE LISTED",IF(J48=158778,"CLAUDIO DE SOUZA PACINI",IF(J48=159800,"CLAUDIO DE SOUZA PACINI",_xlfn.XLOOKUP(J48,[1]!Tabela33[ID ORACLE],[1]!Tabela33[BROKER],0,0,1)))))))))))))</f>
        <v>RODRIGO PENTAGNA</v>
      </c>
      <c r="E48" s="22">
        <f t="shared" si="6"/>
        <v>-12382.9118746603</v>
      </c>
      <c r="F48" s="9" t="str">
        <f t="shared" si="7"/>
        <v>BLOOMBERG</v>
      </c>
      <c r="G48" s="20">
        <f t="shared" si="2"/>
        <v>46143</v>
      </c>
      <c r="H48" s="23">
        <v>1170</v>
      </c>
      <c r="I48"/>
      <c r="J48" s="41">
        <v>127165</v>
      </c>
      <c r="K48" s="1" t="s">
        <v>41</v>
      </c>
      <c r="L48" s="1" t="s">
        <v>12</v>
      </c>
      <c r="M48" s="29">
        <v>2448.715987</v>
      </c>
      <c r="N48" s="2"/>
      <c r="O48" s="1"/>
      <c r="P48" s="26"/>
      <c r="Q48" s="27"/>
      <c r="R48" s="27"/>
      <c r="S48" s="27"/>
      <c r="T48" s="26"/>
      <c r="U48" s="27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customFormat="1" ht="15" customHeight="1" x14ac:dyDescent="0.25">
      <c r="A49" s="9" t="str">
        <f t="shared" si="3"/>
        <v>CUSTO MARKET DATA - MAIO/26-OPTIONS PRICE REPORTING AUTHORITY (OPRA)-127165</v>
      </c>
      <c r="B49" s="20">
        <v>46143</v>
      </c>
      <c r="C49" s="21">
        <v>817393</v>
      </c>
      <c r="D49" s="9" t="str">
        <f>IF(J49=57036,"ALEXANDRE DA COSTA SOARES",IF(J49=24157,"JOSE MAURICIO GOMES TEIXEIRA",IF(J49=24203,"JOSE MAURICIO GOMES TEIXEIRA",IF(J49=24149,"CHRISTIANO MARCONDES DE BARROS LIMA",IF(J49=24137,"CHRISTIANO MARCONDES DE BARROS LIMA",IF(J49=135152,"ENRICO BORTPLUZO CASSIANO",IF(J49=136568,"ENRICO BORTPLUZO CASSIANO", IF(J49=130976,"MARYLIA CARVALHO PONCE",IF(J49=136668,"ALEXANDRE DA COSTA SOARES",IF(J49=52340,"OFFSHORE LISTED",IF(J49=158778,"CLAUDIO DE SOUZA PACINI",IF(J49=159800,"CLAUDIO DE SOUZA PACINI",_xlfn.XLOOKUP(J49,[1]!Tabela33[ID ORACLE],[1]!Tabela33[BROKER],0,0,1)))))))))))))</f>
        <v>RODRIGO PENTAGNA</v>
      </c>
      <c r="E49" s="22">
        <f t="shared" si="6"/>
        <v>-159.29235</v>
      </c>
      <c r="F49" s="9" t="str">
        <f t="shared" si="7"/>
        <v>OPTIONS PRICE REPORTING AUTHORITY (OPRA)</v>
      </c>
      <c r="G49" s="20">
        <f t="shared" si="2"/>
        <v>46143</v>
      </c>
      <c r="H49" s="23">
        <v>1170</v>
      </c>
      <c r="J49" s="41">
        <v>127165</v>
      </c>
      <c r="K49" s="1" t="s">
        <v>45</v>
      </c>
      <c r="L49" s="1" t="s">
        <v>12</v>
      </c>
      <c r="M49" s="29">
        <v>31.5</v>
      </c>
      <c r="N49" s="2"/>
      <c r="O49" s="1"/>
      <c r="P49" s="26"/>
      <c r="Q49" s="27"/>
      <c r="R49" s="27"/>
      <c r="S49" s="27"/>
      <c r="T49" s="26"/>
      <c r="U49" s="27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customFormat="1" ht="15" customHeight="1" x14ac:dyDescent="0.25">
      <c r="A50" s="9" t="str">
        <f t="shared" si="3"/>
        <v>CUSTO MARKET DATA - MAIO/26-REFINITIV-127165</v>
      </c>
      <c r="B50" s="20">
        <v>46143</v>
      </c>
      <c r="C50" s="21">
        <v>817393</v>
      </c>
      <c r="D50" s="9" t="str">
        <f>IF(J50=57036,"ALEXANDRE DA COSTA SOARES",IF(J50=24157,"JOSE MAURICIO GOMES TEIXEIRA",IF(J50=24203,"JOSE MAURICIO GOMES TEIXEIRA",IF(J50=24149,"CHRISTIANO MARCONDES DE BARROS LIMA",IF(J50=24137,"CHRISTIANO MARCONDES DE BARROS LIMA",IF(J50=135152,"ENRICO BORTPLUZO CASSIANO",IF(J50=136568,"ENRICO BORTPLUZO CASSIANO", IF(J50=130976,"MARYLIA CARVALHO PONCE",IF(J50=136668,"ALEXANDRE DA COSTA SOARES",IF(J50=52340,"OFFSHORE LISTED",IF(J50=158778,"CLAUDIO DE SOUZA PACINI",IF(J50=159800,"CLAUDIO DE SOUZA PACINI",_xlfn.XLOOKUP(J50,[1]!Tabela33[ID ORACLE],[1]!Tabela33[BROKER],0,0,1)))))))))))))</f>
        <v>RODRIGO PENTAGNA</v>
      </c>
      <c r="E50" s="22">
        <f t="shared" si="6"/>
        <v>-142.0800142203</v>
      </c>
      <c r="F50" s="9" t="str">
        <f t="shared" si="7"/>
        <v>REFINITIV</v>
      </c>
      <c r="G50" s="20">
        <f t="shared" si="2"/>
        <v>46143</v>
      </c>
      <c r="H50" s="23">
        <v>1170</v>
      </c>
      <c r="J50" s="41">
        <v>127165</v>
      </c>
      <c r="K50" s="1" t="s">
        <v>42</v>
      </c>
      <c r="L50" s="1" t="s">
        <v>17</v>
      </c>
      <c r="M50" s="29">
        <v>20.849049000000001</v>
      </c>
      <c r="N50" s="2"/>
      <c r="O50" s="1"/>
      <c r="P50" s="26"/>
      <c r="Q50" s="27"/>
      <c r="R50" s="27"/>
      <c r="S50" s="27"/>
      <c r="T50" s="26"/>
      <c r="U50" s="27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customFormat="1" ht="15" customHeight="1" x14ac:dyDescent="0.25">
      <c r="A51" s="9" t="str">
        <f t="shared" si="3"/>
        <v>CUSTO MARKET DATA - MAIO/26-BLOOMBERG-128628</v>
      </c>
      <c r="B51" s="20">
        <v>46143</v>
      </c>
      <c r="C51" s="21">
        <v>817393</v>
      </c>
      <c r="D51" s="9" t="str">
        <f>IF(J51=57036,"ALEXANDRE DA COSTA SOARES",IF(J51=24157,"JOSE MAURICIO GOMES TEIXEIRA",IF(J51=24203,"JOSE MAURICIO GOMES TEIXEIRA",IF(J51=24149,"CHRISTIANO MARCONDES DE BARROS LIMA",IF(J51=24137,"CHRISTIANO MARCONDES DE BARROS LIMA",IF(J51=135152,"ENRICO BORTPLUZO CASSIANO",IF(J51=136568,"ENRICO BORTPLUZO CASSIANO", IF(J51=130976,"MARYLIA CARVALHO PONCE",IF(J51=136668,"ALEXANDRE DA COSTA SOARES",IF(J51=52340,"OFFSHORE LISTED",IF(J51=158778,"CLAUDIO DE SOUZA PACINI",IF(J51=159800,"CLAUDIO DE SOUZA PACINI",_xlfn.XLOOKUP(J51,[1]!Tabela33[ID ORACLE],[1]!Tabela33[BROKER],0,0,1)))))))))))))</f>
        <v>MARCELLE DA SILVEIRA GIL CADILHE</v>
      </c>
      <c r="E51" s="22">
        <f t="shared" si="6"/>
        <v>-50.568999999999996</v>
      </c>
      <c r="F51" s="9" t="str">
        <f t="shared" si="7"/>
        <v>BLOOMBERG</v>
      </c>
      <c r="G51" s="20">
        <f t="shared" si="2"/>
        <v>46143</v>
      </c>
      <c r="H51" s="23">
        <v>1170</v>
      </c>
      <c r="J51" s="41">
        <v>128628</v>
      </c>
      <c r="K51" s="1" t="s">
        <v>41</v>
      </c>
      <c r="L51" s="1" t="s">
        <v>12</v>
      </c>
      <c r="M51" s="29">
        <v>10</v>
      </c>
      <c r="N51" s="2"/>
      <c r="O51" s="1"/>
      <c r="P51" s="26"/>
      <c r="Q51" s="27"/>
      <c r="R51" s="27"/>
      <c r="S51" s="27"/>
      <c r="T51" s="26"/>
      <c r="U51" s="27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customFormat="1" ht="15" customHeight="1" x14ac:dyDescent="0.25">
      <c r="A52" s="9" t="str">
        <f t="shared" si="3"/>
        <v>CUSTO MARKET DATA - MAIO/26-REFINITIV-128628</v>
      </c>
      <c r="B52" s="20">
        <v>46143</v>
      </c>
      <c r="C52" s="21">
        <v>817393</v>
      </c>
      <c r="D52" s="9" t="str">
        <f>IF(J52=57036,"ALEXANDRE DA COSTA SOARES",IF(J52=24157,"JOSE MAURICIO GOMES TEIXEIRA",IF(J52=24203,"JOSE MAURICIO GOMES TEIXEIRA",IF(J52=24149,"CHRISTIANO MARCONDES DE BARROS LIMA",IF(J52=24137,"CHRISTIANO MARCONDES DE BARROS LIMA",IF(J52=135152,"ENRICO BORTPLUZO CASSIANO",IF(J52=136568,"ENRICO BORTPLUZO CASSIANO", IF(J52=130976,"MARYLIA CARVALHO PONCE",IF(J52=136668,"ALEXANDRE DA COSTA SOARES",IF(J52=52340,"OFFSHORE LISTED",IF(J52=158778,"CLAUDIO DE SOUZA PACINI",IF(J52=159800,"CLAUDIO DE SOUZA PACINI",_xlfn.XLOOKUP(J52,[1]!Tabela33[ID ORACLE],[1]!Tabela33[BROKER],0,0,1)))))))))))))</f>
        <v>MARCELLE DA SILVEIRA GIL CADILHE</v>
      </c>
      <c r="E52" s="22">
        <f t="shared" si="6"/>
        <v>-5.7039038999999996E-3</v>
      </c>
      <c r="F52" s="9" t="str">
        <f t="shared" si="7"/>
        <v>REFINITIV</v>
      </c>
      <c r="G52" s="20">
        <f t="shared" si="2"/>
        <v>46143</v>
      </c>
      <c r="H52" s="23">
        <v>1170</v>
      </c>
      <c r="J52" s="41">
        <v>128628</v>
      </c>
      <c r="K52" s="1" t="s">
        <v>42</v>
      </c>
      <c r="L52" s="1" t="s">
        <v>17</v>
      </c>
      <c r="M52" s="29">
        <v>8.3699999999999996E-4</v>
      </c>
      <c r="N52" s="2"/>
      <c r="O52" s="1"/>
      <c r="P52" s="26"/>
      <c r="Q52" s="27"/>
      <c r="R52" s="27"/>
      <c r="S52" s="27"/>
      <c r="T52" s="26"/>
      <c r="U52" s="27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customFormat="1" ht="15" customHeight="1" x14ac:dyDescent="0.25">
      <c r="A53" s="9" t="str">
        <f t="shared" si="3"/>
        <v>CUSTO MARKET DATA - MAIO/26-REFINITIV-130976</v>
      </c>
      <c r="B53" s="20">
        <v>46143</v>
      </c>
      <c r="C53" s="21">
        <v>817393</v>
      </c>
      <c r="D53" s="9" t="str">
        <f>IF(J53=57036,"ALEXANDRE DA COSTA SOARES",IF(J53=24157,"JOSE MAURICIO GOMES TEIXEIRA",IF(J53=24203,"JOSE MAURICIO GOMES TEIXEIRA",IF(J53=24149,"CHRISTIANO MARCONDES DE BARROS LIMA",IF(J53=24137,"CHRISTIANO MARCONDES DE BARROS LIMA",IF(J53=135152,"ENRICO BORTPLUZO CASSIANO",IF(J53=136568,"ENRICO BORTPLUZO CASSIANO", IF(J53=130976,"MARYLIA CARVALHO PONCE",IF(J53=136668,"ALEXANDRE DA COSTA SOARES",IF(J53=52340,"OFFSHORE LISTED",IF(J53=158778,"CLAUDIO DE SOUZA PACINI",IF(J53=159800,"CLAUDIO DE SOUZA PACINI",_xlfn.XLOOKUP(J53,[1]!Tabela33[ID ORACLE],[1]!Tabela33[BROKER],0,0,1)))))))))))))</f>
        <v>MARYLIA CARVALHO PONCE</v>
      </c>
      <c r="E53" s="22">
        <f t="shared" si="6"/>
        <v>-142.0800142203</v>
      </c>
      <c r="F53" s="9" t="str">
        <f t="shared" si="7"/>
        <v>REFINITIV</v>
      </c>
      <c r="G53" s="20">
        <f t="shared" si="2"/>
        <v>46143</v>
      </c>
      <c r="H53" s="23">
        <v>1170</v>
      </c>
      <c r="J53" s="41">
        <v>130976</v>
      </c>
      <c r="K53" s="1" t="s">
        <v>42</v>
      </c>
      <c r="L53" s="1" t="s">
        <v>17</v>
      </c>
      <c r="M53" s="29">
        <v>20.849049000000001</v>
      </c>
      <c r="N53" s="2"/>
      <c r="O53" s="1"/>
      <c r="P53" s="26"/>
      <c r="Q53" s="27"/>
      <c r="R53" s="27"/>
      <c r="S53" s="27"/>
      <c r="T53" s="26"/>
      <c r="U53" s="27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customFormat="1" ht="15" customHeight="1" x14ac:dyDescent="0.25">
      <c r="A54" s="9" t="str">
        <f t="shared" si="3"/>
        <v>CUSTO MARKET DATA - MAIO/26-BLOOMBERG-131299</v>
      </c>
      <c r="B54" s="20">
        <v>46143</v>
      </c>
      <c r="C54" s="21">
        <v>817393</v>
      </c>
      <c r="D54" s="9" t="str">
        <f>IF(J54=57036,"ALEXANDRE DA COSTA SOARES",IF(J54=24157,"JOSE MAURICIO GOMES TEIXEIRA",IF(J54=24203,"JOSE MAURICIO GOMES TEIXEIRA",IF(J54=24149,"CHRISTIANO MARCONDES DE BARROS LIMA",IF(J54=24137,"CHRISTIANO MARCONDES DE BARROS LIMA",IF(J54=135152,"ENRICO BORTPLUZO CASSIANO",IF(J54=136568,"ENRICO BORTPLUZO CASSIANO", IF(J54=130976,"MARYLIA CARVALHO PONCE",IF(J54=136668,"ALEXANDRE DA COSTA SOARES",IF(J54=52340,"OFFSHORE LISTED",IF(J54=158778,"CLAUDIO DE SOUZA PACINI",IF(J54=159800,"CLAUDIO DE SOUZA PACINI",_xlfn.XLOOKUP(J54,[1]!Tabela33[ID ORACLE],[1]!Tabela33[BROKER],0,0,1)))))))))))))</f>
        <v>RODRIGO BETTI MARQUES</v>
      </c>
      <c r="E54" s="22">
        <f t="shared" si="6"/>
        <v>-12921.4717246603</v>
      </c>
      <c r="F54" s="9" t="str">
        <f t="shared" si="7"/>
        <v>BLOOMBERG</v>
      </c>
      <c r="G54" s="20">
        <f t="shared" si="2"/>
        <v>46143</v>
      </c>
      <c r="H54" s="23">
        <v>1170</v>
      </c>
      <c r="J54" s="41">
        <v>131299</v>
      </c>
      <c r="K54" s="1" t="s">
        <v>41</v>
      </c>
      <c r="L54" s="1" t="s">
        <v>12</v>
      </c>
      <c r="M54" s="29">
        <v>2555.215987</v>
      </c>
      <c r="N54" s="2"/>
      <c r="O54" s="1"/>
      <c r="P54" s="26"/>
      <c r="Q54" s="27"/>
      <c r="R54" s="27"/>
      <c r="S54" s="27"/>
      <c r="T54" s="26"/>
      <c r="U54" s="27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customFormat="1" ht="15" customHeight="1" x14ac:dyDescent="0.25">
      <c r="A55" s="9" t="str">
        <f t="shared" si="3"/>
        <v>CUSTO MARKET DATA - MAIO/26-REFINITIV-131299</v>
      </c>
      <c r="B55" s="20">
        <v>46143</v>
      </c>
      <c r="C55" s="21">
        <v>817393</v>
      </c>
      <c r="D55" s="9" t="str">
        <f>IF(J55=57036,"ALEXANDRE DA COSTA SOARES",IF(J55=24157,"JOSE MAURICIO GOMES TEIXEIRA",IF(J55=24203,"JOSE MAURICIO GOMES TEIXEIRA",IF(J55=24149,"CHRISTIANO MARCONDES DE BARROS LIMA",IF(J55=24137,"CHRISTIANO MARCONDES DE BARROS LIMA",IF(J55=135152,"ENRICO BORTPLUZO CASSIANO",IF(J55=136568,"ENRICO BORTPLUZO CASSIANO", IF(J55=130976,"MARYLIA CARVALHO PONCE",IF(J55=136668,"ALEXANDRE DA COSTA SOARES",IF(J55=52340,"OFFSHORE LISTED",IF(J55=158778,"CLAUDIO DE SOUZA PACINI",IF(J55=159800,"CLAUDIO DE SOUZA PACINI",_xlfn.XLOOKUP(J55,[1]!Tabela33[ID ORACLE],[1]!Tabela33[BROKER],0,0,1)))))))))))))</f>
        <v>RODRIGO BETTI MARQUES</v>
      </c>
      <c r="E55" s="22">
        <f t="shared" si="6"/>
        <v>-590.62264142110007</v>
      </c>
      <c r="F55" s="9" t="str">
        <f t="shared" si="7"/>
        <v>REFINITIV</v>
      </c>
      <c r="G55" s="20">
        <f t="shared" si="2"/>
        <v>46143</v>
      </c>
      <c r="H55" s="23">
        <v>1170</v>
      </c>
      <c r="J55" s="41">
        <v>131299</v>
      </c>
      <c r="K55" s="1" t="s">
        <v>42</v>
      </c>
      <c r="L55" s="1" t="s">
        <v>17</v>
      </c>
      <c r="M55" s="29">
        <v>86.668913000000003</v>
      </c>
      <c r="N55" s="2"/>
      <c r="O55" s="1"/>
      <c r="P55" s="26"/>
      <c r="Q55" s="27"/>
      <c r="R55" s="27"/>
      <c r="S55" s="27"/>
      <c r="T55" s="26"/>
      <c r="U55" s="27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customFormat="1" ht="15" customHeight="1" x14ac:dyDescent="0.25">
      <c r="A56" s="9" t="str">
        <f t="shared" si="3"/>
        <v>CUSTO MARKET DATA - MAIO/26-BLOOMBERG-132975</v>
      </c>
      <c r="B56" s="20">
        <v>46143</v>
      </c>
      <c r="C56" s="21">
        <v>817393</v>
      </c>
      <c r="D56" s="9" t="str">
        <f>IF(J56=57036,"ALEXANDRE DA COSTA SOARES",IF(J56=24157,"JOSE MAURICIO GOMES TEIXEIRA",IF(J56=24203,"JOSE MAURICIO GOMES TEIXEIRA",IF(J56=24149,"CHRISTIANO MARCONDES DE BARROS LIMA",IF(J56=24137,"CHRISTIANO MARCONDES DE BARROS LIMA",IF(J56=135152,"ENRICO BORTPLUZO CASSIANO",IF(J56=136568,"ENRICO BORTPLUZO CASSIANO", IF(J56=130976,"MARYLIA CARVALHO PONCE",IF(J56=136668,"ALEXANDRE DA COSTA SOARES",IF(J56=52340,"OFFSHORE LISTED",IF(J56=158778,"CLAUDIO DE SOUZA PACINI",IF(J56=159800,"CLAUDIO DE SOUZA PACINI",_xlfn.XLOOKUP(J56,[1]!Tabela33[ID ORACLE],[1]!Tabela33[BROKER],0,0,1)))))))))))))</f>
        <v>MATHEUS NACIF NESRALLAH</v>
      </c>
      <c r="E56" s="22">
        <f t="shared" si="6"/>
        <v>-50.568999999999996</v>
      </c>
      <c r="F56" s="9" t="str">
        <f t="shared" si="7"/>
        <v>BLOOMBERG</v>
      </c>
      <c r="G56" s="20">
        <f t="shared" si="2"/>
        <v>46143</v>
      </c>
      <c r="H56" s="23">
        <v>1170</v>
      </c>
      <c r="J56" s="41">
        <v>132975</v>
      </c>
      <c r="K56" s="1" t="s">
        <v>41</v>
      </c>
      <c r="L56" s="1" t="s">
        <v>12</v>
      </c>
      <c r="M56" s="29">
        <v>10</v>
      </c>
      <c r="N56" s="2"/>
      <c r="O56" s="1"/>
      <c r="P56" s="26"/>
      <c r="Q56" s="27"/>
      <c r="R56" s="27"/>
      <c r="S56" s="27"/>
      <c r="T56" s="26"/>
      <c r="U56" s="27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customFormat="1" ht="15" customHeight="1" x14ac:dyDescent="0.25">
      <c r="A57" s="9" t="str">
        <f t="shared" si="3"/>
        <v>CUSTO MARKET DATA - MAIO/26-REFINITIV-132975</v>
      </c>
      <c r="B57" s="20">
        <v>46143</v>
      </c>
      <c r="C57" s="21">
        <v>817393</v>
      </c>
      <c r="D57" s="9" t="str">
        <f>IF(J57=57036,"ALEXANDRE DA COSTA SOARES",IF(J57=24157,"JOSE MAURICIO GOMES TEIXEIRA",IF(J57=24203,"JOSE MAURICIO GOMES TEIXEIRA",IF(J57=24149,"CHRISTIANO MARCONDES DE BARROS LIMA",IF(J57=24137,"CHRISTIANO MARCONDES DE BARROS LIMA",IF(J57=135152,"ENRICO BORTPLUZO CASSIANO",IF(J57=136568,"ENRICO BORTPLUZO CASSIANO", IF(J57=130976,"MARYLIA CARVALHO PONCE",IF(J57=136668,"ALEXANDRE DA COSTA SOARES",IF(J57=52340,"OFFSHORE LISTED",IF(J57=158778,"CLAUDIO DE SOUZA PACINI",IF(J57=159800,"CLAUDIO DE SOUZA PACINI",_xlfn.XLOOKUP(J57,[1]!Tabela33[ID ORACLE],[1]!Tabela33[BROKER],0,0,1)))))))))))))</f>
        <v>MATHEUS NACIF NESRALLAH</v>
      </c>
      <c r="E57" s="22">
        <f t="shared" si="6"/>
        <v>-142.0800142203</v>
      </c>
      <c r="F57" s="9" t="str">
        <f t="shared" si="7"/>
        <v>REFINITIV</v>
      </c>
      <c r="G57" s="20">
        <f t="shared" si="2"/>
        <v>46143</v>
      </c>
      <c r="H57" s="23">
        <v>1170</v>
      </c>
      <c r="J57" s="41">
        <v>132975</v>
      </c>
      <c r="K57" s="1" t="s">
        <v>42</v>
      </c>
      <c r="L57" s="1" t="s">
        <v>17</v>
      </c>
      <c r="M57" s="29">
        <v>20.849049000000001</v>
      </c>
      <c r="N57" s="2"/>
      <c r="O57" s="1"/>
      <c r="P57" s="26"/>
      <c r="Q57" s="27"/>
      <c r="R57" s="27"/>
      <c r="S57" s="27"/>
      <c r="T57" s="26"/>
      <c r="U57" s="27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customFormat="1" ht="15" customHeight="1" x14ac:dyDescent="0.25">
      <c r="A58" s="9" t="str">
        <f t="shared" si="3"/>
        <v>CUSTO MARKET DATA - MAIO/26-BLOOMBERG-133842</v>
      </c>
      <c r="B58" s="20">
        <v>46143</v>
      </c>
      <c r="C58" s="21">
        <v>817393</v>
      </c>
      <c r="D58" s="9" t="str">
        <f>IF(J58=57036,"ALEXANDRE DA COSTA SOARES",IF(J58=24157,"JOSE MAURICIO GOMES TEIXEIRA",IF(J58=24203,"JOSE MAURICIO GOMES TEIXEIRA",IF(J58=24149,"CHRISTIANO MARCONDES DE BARROS LIMA",IF(J58=24137,"CHRISTIANO MARCONDES DE BARROS LIMA",IF(J58=135152,"ENRICO BORTPLUZO CASSIANO",IF(J58=136568,"ENRICO BORTPLUZO CASSIANO", IF(J58=130976,"MARYLIA CARVALHO PONCE",IF(J58=136668,"ALEXANDRE DA COSTA SOARES",IF(J58=52340,"OFFSHORE LISTED",IF(J58=158778,"CLAUDIO DE SOUZA PACINI",IF(J58=159800,"CLAUDIO DE SOUZA PACINI",_xlfn.XLOOKUP(J58,[1]!Tabela33[ID ORACLE],[1]!Tabela33[BROKER],0,0,1)))))))))))))</f>
        <v>FELIPE GOMES BASILE</v>
      </c>
      <c r="E58" s="22">
        <f t="shared" si="6"/>
        <v>-11400.861894660298</v>
      </c>
      <c r="F58" s="9" t="str">
        <f t="shared" si="7"/>
        <v>BLOOMBERG</v>
      </c>
      <c r="G58" s="20">
        <f t="shared" si="2"/>
        <v>46143</v>
      </c>
      <c r="H58" s="23">
        <v>1170</v>
      </c>
      <c r="J58" s="41">
        <v>133842</v>
      </c>
      <c r="K58" s="1" t="s">
        <v>41</v>
      </c>
      <c r="L58" s="1" t="s">
        <v>12</v>
      </c>
      <c r="M58" s="29">
        <v>2254.5159869999998</v>
      </c>
      <c r="N58" s="2"/>
      <c r="O58" s="1"/>
      <c r="P58" s="26"/>
      <c r="Q58" s="27"/>
      <c r="R58" s="27"/>
      <c r="S58" s="27"/>
      <c r="T58" s="26"/>
      <c r="U58" s="27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25">
      <c r="A59" s="9" t="str">
        <f t="shared" si="3"/>
        <v>CUSTO MARKET DATA - MAIO/26-REFINITIV-133842</v>
      </c>
      <c r="B59" s="20">
        <v>46143</v>
      </c>
      <c r="C59" s="21">
        <v>817393</v>
      </c>
      <c r="D59" s="9" t="str">
        <f>IF(J59=57036,"ALEXANDRE DA COSTA SOARES",IF(J59=24157,"JOSE MAURICIO GOMES TEIXEIRA",IF(J59=24203,"JOSE MAURICIO GOMES TEIXEIRA",IF(J59=24149,"CHRISTIANO MARCONDES DE BARROS LIMA",IF(J59=24137,"CHRISTIANO MARCONDES DE BARROS LIMA",IF(J59=135152,"ENRICO BORTPLUZO CASSIANO",IF(J59=136568,"ENRICO BORTPLUZO CASSIANO", IF(J59=130976,"MARYLIA CARVALHO PONCE",IF(J59=136668,"ALEXANDRE DA COSTA SOARES",IF(J59=52340,"OFFSHORE LISTED",IF(J59=158778,"CLAUDIO DE SOUZA PACINI",IF(J59=159800,"CLAUDIO DE SOUZA PACINI",_xlfn.XLOOKUP(J59,[1]!Tabela33[ID ORACLE],[1]!Tabela33[BROKER],0,0,1)))))))))))))</f>
        <v>FELIPE GOMES BASILE</v>
      </c>
      <c r="E59" s="22">
        <f t="shared" si="6"/>
        <v>-142.0800142203</v>
      </c>
      <c r="F59" s="9" t="str">
        <f t="shared" si="7"/>
        <v>REFINITIV</v>
      </c>
      <c r="G59" s="20">
        <f t="shared" si="2"/>
        <v>46143</v>
      </c>
      <c r="H59" s="23">
        <v>1170</v>
      </c>
      <c r="J59" s="41">
        <v>133842</v>
      </c>
      <c r="K59" s="1" t="s">
        <v>42</v>
      </c>
      <c r="L59" s="1" t="s">
        <v>17</v>
      </c>
      <c r="M59" s="29">
        <v>20.849049000000001</v>
      </c>
      <c r="N59" s="2"/>
      <c r="Q59" s="27"/>
      <c r="R59" s="27"/>
      <c r="S59" s="27"/>
      <c r="U59" s="27"/>
    </row>
    <row r="60" spans="1:78" ht="15" customHeight="1" x14ac:dyDescent="0.25">
      <c r="A60" s="9" t="str">
        <f t="shared" si="3"/>
        <v>CUSTO MARKET DATA - MAIO/26-BLOOMBERG-134703</v>
      </c>
      <c r="B60" s="20">
        <v>46143</v>
      </c>
      <c r="C60" s="21">
        <v>817393</v>
      </c>
      <c r="D60" s="9" t="str">
        <f>IF(J60=57036,"ALEXANDRE DA COSTA SOARES",IF(J60=24157,"JOSE MAURICIO GOMES TEIXEIRA",IF(J60=24203,"JOSE MAURICIO GOMES TEIXEIRA",IF(J60=24149,"CHRISTIANO MARCONDES DE BARROS LIMA",IF(J60=24137,"CHRISTIANO MARCONDES DE BARROS LIMA",IF(J60=135152,"ENRICO BORTPLUZO CASSIANO",IF(J60=136568,"ENRICO BORTPLUZO CASSIANO", IF(J60=130976,"MARYLIA CARVALHO PONCE",IF(J60=136668,"ALEXANDRE DA COSTA SOARES",IF(J60=52340,"OFFSHORE LISTED",IF(J60=158778,"CLAUDIO DE SOUZA PACINI",IF(J60=159800,"CLAUDIO DE SOUZA PACINI",_xlfn.XLOOKUP(J60,[1]!Tabela33[ID ORACLE],[1]!Tabela33[BROKER],0,0,1)))))))))))))</f>
        <v>DANIELA VODOVOZ</v>
      </c>
      <c r="E60" s="22">
        <f t="shared" si="6"/>
        <v>-11999.093164660298</v>
      </c>
      <c r="F60" s="9" t="str">
        <f t="shared" si="7"/>
        <v>BLOOMBERG</v>
      </c>
      <c r="G60" s="20">
        <f t="shared" si="2"/>
        <v>46143</v>
      </c>
      <c r="H60" s="23">
        <v>1170</v>
      </c>
      <c r="J60" s="41">
        <v>134703</v>
      </c>
      <c r="K60" s="1" t="s">
        <v>41</v>
      </c>
      <c r="L60" s="1" t="s">
        <v>12</v>
      </c>
      <c r="M60" s="29">
        <v>2372.815987</v>
      </c>
      <c r="N60" s="2"/>
      <c r="Q60" s="27"/>
      <c r="R60" s="27"/>
      <c r="S60" s="27"/>
      <c r="U60" s="27"/>
    </row>
    <row r="61" spans="1:78" ht="15" customHeight="1" x14ac:dyDescent="0.25">
      <c r="A61" s="9" t="str">
        <f t="shared" si="3"/>
        <v>CUSTO MARKET DATA - MAIO/26-FIDESSA-134703</v>
      </c>
      <c r="B61" s="20">
        <v>46143</v>
      </c>
      <c r="C61" s="21">
        <v>817393</v>
      </c>
      <c r="D61" s="9" t="str">
        <f>IF(J61=57036,"ALEXANDRE DA COSTA SOARES",IF(J61=24157,"JOSE MAURICIO GOMES TEIXEIRA",IF(J61=24203,"JOSE MAURICIO GOMES TEIXEIRA",IF(J61=24149,"CHRISTIANO MARCONDES DE BARROS LIMA",IF(J61=24137,"CHRISTIANO MARCONDES DE BARROS LIMA",IF(J61=135152,"ENRICO BORTPLUZO CASSIANO",IF(J61=136568,"ENRICO BORTPLUZO CASSIANO", IF(J61=130976,"MARYLIA CARVALHO PONCE",IF(J61=136668,"ALEXANDRE DA COSTA SOARES",IF(J61=52340,"OFFSHORE LISTED",IF(J61=158778,"CLAUDIO DE SOUZA PACINI",IF(J61=159800,"CLAUDIO DE SOUZA PACINI",_xlfn.XLOOKUP(J61,[1]!Tabela33[ID ORACLE],[1]!Tabela33[BROKER],0,0,1)))))))))))))</f>
        <v>DANIELA VODOVOZ</v>
      </c>
      <c r="E61" s="22">
        <f t="shared" si="6"/>
        <v>-4.3495054296999998</v>
      </c>
      <c r="F61" s="9" t="str">
        <f t="shared" si="7"/>
        <v>FIDESSA</v>
      </c>
      <c r="G61" s="20">
        <f t="shared" si="2"/>
        <v>46143</v>
      </c>
      <c r="H61" s="23">
        <v>1170</v>
      </c>
      <c r="J61" s="41">
        <v>134703</v>
      </c>
      <c r="K61" s="1" t="s">
        <v>47</v>
      </c>
      <c r="L61" s="1" t="s">
        <v>12</v>
      </c>
      <c r="M61" s="29">
        <v>0.86011300000000002</v>
      </c>
      <c r="N61" s="2"/>
      <c r="Q61" s="27"/>
      <c r="R61" s="27"/>
      <c r="S61" s="27"/>
      <c r="U61" s="27"/>
    </row>
    <row r="62" spans="1:78" ht="15" customHeight="1" x14ac:dyDescent="0.25">
      <c r="A62" s="9" t="str">
        <f t="shared" si="3"/>
        <v>CUSTO MARKET DATA - MAIO/26-NYSE MARKET INC.-134703</v>
      </c>
      <c r="B62" s="20">
        <v>46143</v>
      </c>
      <c r="C62" s="21">
        <v>817393</v>
      </c>
      <c r="D62" s="9" t="str">
        <f>IF(J62=57036,"ALEXANDRE DA COSTA SOARES",IF(J62=24157,"JOSE MAURICIO GOMES TEIXEIRA",IF(J62=24203,"JOSE MAURICIO GOMES TEIXEIRA",IF(J62=24149,"CHRISTIANO MARCONDES DE BARROS LIMA",IF(J62=24137,"CHRISTIANO MARCONDES DE BARROS LIMA",IF(J62=135152,"ENRICO BORTPLUZO CASSIANO",IF(J62=136568,"ENRICO BORTPLUZO CASSIANO", IF(J62=130976,"MARYLIA CARVALHO PONCE",IF(J62=136668,"ALEXANDRE DA COSTA SOARES",IF(J62=52340,"OFFSHORE LISTED",IF(J62=158778,"CLAUDIO DE SOUZA PACINI",IF(J62=159800,"CLAUDIO DE SOUZA PACINI",_xlfn.XLOOKUP(J62,[1]!Tabela33[ID ORACLE],[1]!Tabela33[BROKER],0,0,1)))))))))))))</f>
        <v>DANIELA VODOVOZ</v>
      </c>
      <c r="E62" s="22">
        <f t="shared" si="6"/>
        <v>-55.056998750000012</v>
      </c>
      <c r="F62" s="9" t="str">
        <f t="shared" si="7"/>
        <v>NYSE MARKET INC.</v>
      </c>
      <c r="G62" s="20">
        <f t="shared" si="2"/>
        <v>46143</v>
      </c>
      <c r="H62" s="23">
        <v>1170</v>
      </c>
      <c r="J62" s="41">
        <v>134703</v>
      </c>
      <c r="K62" s="1" t="s">
        <v>44</v>
      </c>
      <c r="L62" s="1" t="s">
        <v>12</v>
      </c>
      <c r="M62" s="29">
        <v>10.887500000000003</v>
      </c>
      <c r="N62" s="2"/>
      <c r="Q62" s="27"/>
      <c r="R62" s="27"/>
      <c r="S62" s="27"/>
      <c r="U62" s="27"/>
    </row>
    <row r="63" spans="1:78" ht="15" customHeight="1" x14ac:dyDescent="0.25">
      <c r="A63" s="9" t="str">
        <f t="shared" si="3"/>
        <v>CUSTO MARKET DATA - MAIO/26-OPTIONS PRICE REPORTING AUTHORITY (OPRA)-134703</v>
      </c>
      <c r="B63" s="20">
        <v>46143</v>
      </c>
      <c r="C63" s="21">
        <v>817393</v>
      </c>
      <c r="D63" s="9" t="str">
        <f>IF(J63=57036,"ALEXANDRE DA COSTA SOARES",IF(J63=24157,"JOSE MAURICIO GOMES TEIXEIRA",IF(J63=24203,"JOSE MAURICIO GOMES TEIXEIRA",IF(J63=24149,"CHRISTIANO MARCONDES DE BARROS LIMA",IF(J63=24137,"CHRISTIANO MARCONDES DE BARROS LIMA",IF(J63=135152,"ENRICO BORTPLUZO CASSIANO",IF(J63=136568,"ENRICO BORTPLUZO CASSIANO", IF(J63=130976,"MARYLIA CARVALHO PONCE",IF(J63=136668,"ALEXANDRE DA COSTA SOARES",IF(J63=52340,"OFFSHORE LISTED",IF(J63=158778,"CLAUDIO DE SOUZA PACINI",IF(J63=159800,"CLAUDIO DE SOUZA PACINI",_xlfn.XLOOKUP(J63,[1]!Tabela33[ID ORACLE],[1]!Tabela33[BROKER],0,0,1)))))))))))))</f>
        <v>DANIELA VODOVOZ</v>
      </c>
      <c r="E63" s="22">
        <f t="shared" si="6"/>
        <v>-346.77782774199994</v>
      </c>
      <c r="F63" s="9" t="str">
        <f t="shared" si="7"/>
        <v>OPTIONS PRICE REPORTING AUTHORITY (OPRA)</v>
      </c>
      <c r="G63" s="20">
        <f t="shared" si="2"/>
        <v>46143</v>
      </c>
      <c r="H63" s="23">
        <v>1170</v>
      </c>
      <c r="J63" s="41">
        <v>134703</v>
      </c>
      <c r="K63" s="1" t="s">
        <v>45</v>
      </c>
      <c r="L63" s="1" t="s">
        <v>12</v>
      </c>
      <c r="M63" s="29">
        <v>68.575179999999989</v>
      </c>
      <c r="N63" s="2"/>
      <c r="Q63" s="27"/>
      <c r="R63" s="27"/>
      <c r="S63" s="27"/>
      <c r="U63" s="27"/>
    </row>
    <row r="64" spans="1:78" ht="15" customHeight="1" x14ac:dyDescent="0.25">
      <c r="A64" s="9" t="str">
        <f t="shared" si="3"/>
        <v>CUSTO MARKET DATA - MAIO/26-REFINITIV-135064</v>
      </c>
      <c r="B64" s="20">
        <v>46143</v>
      </c>
      <c r="C64" s="21">
        <v>817393</v>
      </c>
      <c r="D64" s="9" t="str">
        <f>IF(J64=57036,"ALEXANDRE DA COSTA SOARES",IF(J64=24157,"JOSE MAURICIO GOMES TEIXEIRA",IF(J64=24203,"JOSE MAURICIO GOMES TEIXEIRA",IF(J64=24149,"CHRISTIANO MARCONDES DE BARROS LIMA",IF(J64=24137,"CHRISTIANO MARCONDES DE BARROS LIMA",IF(J64=135152,"ENRICO BORTPLUZO CASSIANO",IF(J64=136568,"ENRICO BORTPLUZO CASSIANO", IF(J64=130976,"MARYLIA CARVALHO PONCE",IF(J64=136668,"ALEXANDRE DA COSTA SOARES",IF(J64=52340,"OFFSHORE LISTED",IF(J64=158778,"CLAUDIO DE SOUZA PACINI",IF(J64=159800,"CLAUDIO DE SOUZA PACINI",_xlfn.XLOOKUP(J64,[1]!Tabela33[ID ORACLE],[1]!Tabela33[BROKER],0,0,1)))))))))))))</f>
        <v>ENRICO BORTPLUZO CASSIANO</v>
      </c>
      <c r="E64" s="22">
        <f t="shared" si="6"/>
        <v>-142.0800142203</v>
      </c>
      <c r="F64" s="9" t="str">
        <f t="shared" si="7"/>
        <v>REFINITIV</v>
      </c>
      <c r="G64" s="20">
        <f t="shared" si="2"/>
        <v>46143</v>
      </c>
      <c r="H64" s="23">
        <v>1170</v>
      </c>
      <c r="J64" s="41">
        <v>135064</v>
      </c>
      <c r="K64" s="1" t="s">
        <v>42</v>
      </c>
      <c r="L64" s="1" t="s">
        <v>17</v>
      </c>
      <c r="M64" s="29">
        <v>20.849049000000001</v>
      </c>
      <c r="N64" s="2"/>
      <c r="Q64" s="27"/>
      <c r="R64" s="27"/>
      <c r="S64" s="27"/>
      <c r="U64" s="27"/>
    </row>
    <row r="65" spans="1:78" s="4" customFormat="1" ht="15" customHeight="1" x14ac:dyDescent="0.25">
      <c r="A65" s="9" t="str">
        <f t="shared" si="3"/>
        <v>CUSTO MARKET DATA - MAIO/26-BLOOMBERG-135152</v>
      </c>
      <c r="B65" s="20">
        <v>46143</v>
      </c>
      <c r="C65" s="21">
        <v>817393</v>
      </c>
      <c r="D65" s="9" t="str">
        <f>IF(J65=57036,"ALEXANDRE DA COSTA SOARES",IF(J65=24157,"JOSE MAURICIO GOMES TEIXEIRA",IF(J65=24203,"JOSE MAURICIO GOMES TEIXEIRA",IF(J65=24149,"CHRISTIANO MARCONDES DE BARROS LIMA",IF(J65=24137,"CHRISTIANO MARCONDES DE BARROS LIMA",IF(J65=135152,"ENRICO BORTPLUZO CASSIANO",IF(J65=136568,"ENRICO BORTPLUZO CASSIANO", IF(J65=130976,"MARYLIA CARVALHO PONCE",IF(J65=136668,"ALEXANDRE DA COSTA SOARES",IF(J65=52340,"OFFSHORE LISTED",IF(J65=158778,"CLAUDIO DE SOUZA PACINI",IF(J65=159800,"CLAUDIO DE SOUZA PACINI",_xlfn.XLOOKUP(J65,[1]!Tabela33[ID ORACLE],[1]!Tabela33[BROKER],0,0,1)))))))))))))</f>
        <v>ENRICO BORTPLUZO CASSIANO</v>
      </c>
      <c r="E65" s="22">
        <f t="shared" si="6"/>
        <v>-12138.1579146603</v>
      </c>
      <c r="F65" s="9" t="str">
        <f t="shared" si="7"/>
        <v>BLOOMBERG</v>
      </c>
      <c r="G65" s="20">
        <f t="shared" si="2"/>
        <v>46143</v>
      </c>
      <c r="H65" s="23">
        <v>1170</v>
      </c>
      <c r="I65"/>
      <c r="J65" s="41">
        <v>135152</v>
      </c>
      <c r="K65" s="1" t="s">
        <v>41</v>
      </c>
      <c r="L65" s="1" t="s">
        <v>12</v>
      </c>
      <c r="M65" s="29">
        <v>2400.315987</v>
      </c>
      <c r="N65" s="2"/>
      <c r="O65" s="1"/>
      <c r="P65" s="26"/>
      <c r="Q65" s="27"/>
      <c r="R65" s="27"/>
      <c r="S65" s="27"/>
      <c r="T65" s="26"/>
      <c r="U65" s="27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s="4" customFormat="1" ht="15" customHeight="1" x14ac:dyDescent="0.25">
      <c r="A66" s="9" t="str">
        <f t="shared" si="3"/>
        <v>CUSTO MARKET DATA - MAIO/26-REFINITIV-136568</v>
      </c>
      <c r="B66" s="20">
        <v>46143</v>
      </c>
      <c r="C66" s="21">
        <v>817393</v>
      </c>
      <c r="D66" s="9" t="str">
        <f>IF(J66=57036,"ALEXANDRE DA COSTA SOARES",IF(J66=24157,"JOSE MAURICIO GOMES TEIXEIRA",IF(J66=24203,"JOSE MAURICIO GOMES TEIXEIRA",IF(J66=24149,"CHRISTIANO MARCONDES DE BARROS LIMA",IF(J66=24137,"CHRISTIANO MARCONDES DE BARROS LIMA",IF(J66=135152,"ENRICO BORTPLUZO CASSIANO",IF(J66=136568,"ENRICO BORTPLUZO CASSIANO", IF(J66=130976,"MARYLIA CARVALHO PONCE",IF(J66=136668,"ALEXANDRE DA COSTA SOARES",IF(J66=52340,"OFFSHORE LISTED",IF(J66=158778,"CLAUDIO DE SOUZA PACINI",IF(J66=159800,"CLAUDIO DE SOUZA PACINI",_xlfn.XLOOKUP(J66,[1]!Tabela33[ID ORACLE],[1]!Tabela33[BROKER],0,0,1)))))))))))))</f>
        <v>ENRICO BORTPLUZO CASSIANO</v>
      </c>
      <c r="E66" s="22">
        <f t="shared" si="6"/>
        <v>-142.0800142203</v>
      </c>
      <c r="F66" s="9" t="str">
        <f t="shared" si="7"/>
        <v>REFINITIV</v>
      </c>
      <c r="G66" s="20">
        <f t="shared" si="2"/>
        <v>46143</v>
      </c>
      <c r="H66" s="23">
        <v>1170</v>
      </c>
      <c r="I66"/>
      <c r="J66" s="41">
        <v>136568</v>
      </c>
      <c r="K66" s="1" t="s">
        <v>42</v>
      </c>
      <c r="L66" s="1" t="s">
        <v>17</v>
      </c>
      <c r="M66" s="29">
        <v>20.849049000000001</v>
      </c>
      <c r="N66" s="2"/>
      <c r="O66" s="1"/>
      <c r="P66" s="26"/>
      <c r="Q66" s="27"/>
      <c r="R66" s="27"/>
      <c r="S66" s="27"/>
      <c r="T66" s="26"/>
      <c r="U66" s="27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25">
      <c r="A67" s="9" t="str">
        <f t="shared" si="3"/>
        <v>CUSTO MARKET DATA - MAIO/26-REFINITIV-136667</v>
      </c>
      <c r="B67" s="20">
        <v>46143</v>
      </c>
      <c r="C67" s="21">
        <v>817393</v>
      </c>
      <c r="D67" s="9" t="str">
        <f>IF(J67=57036,"ALEXANDRE DA COSTA SOARES",IF(J67=24157,"JOSE MAURICIO GOMES TEIXEIRA",IF(J67=24203,"JOSE MAURICIO GOMES TEIXEIRA",IF(J67=24149,"CHRISTIANO MARCONDES DE BARROS LIMA",IF(J67=24137,"CHRISTIANO MARCONDES DE BARROS LIMA",IF(J67=135152,"ENRICO BORTPLUZO CASSIANO",IF(J67=136568,"ENRICO BORTPLUZO CASSIANO", IF(J67=130976,"MARYLIA CARVALHO PONCE",IF(J67=136668,"ALEXANDRE DA COSTA SOARES",IF(J67=52340,"OFFSHORE LISTED",IF(J67=158778,"CLAUDIO DE SOUZA PACINI",IF(J67=159800,"CLAUDIO DE SOUZA PACINI",_xlfn.XLOOKUP(J67,[1]!Tabela33[ID ORACLE],[1]!Tabela33[BROKER],0,0,1)))))))))))))</f>
        <v>HUGO BIANCHI RIBEIRO</v>
      </c>
      <c r="E67" s="22">
        <f t="shared" si="6"/>
        <v>-590.62264142110007</v>
      </c>
      <c r="F67" s="9" t="str">
        <f t="shared" si="7"/>
        <v>REFINITIV</v>
      </c>
      <c r="G67" s="20">
        <f t="shared" ref="G67:G130" si="8">B67</f>
        <v>46143</v>
      </c>
      <c r="H67" s="23">
        <v>1170</v>
      </c>
      <c r="J67" s="41">
        <v>136667</v>
      </c>
      <c r="K67" s="1" t="s">
        <v>42</v>
      </c>
      <c r="L67" s="1" t="s">
        <v>17</v>
      </c>
      <c r="M67" s="29">
        <v>86.668913000000003</v>
      </c>
      <c r="N67" s="2"/>
      <c r="Q67" s="27"/>
      <c r="R67" s="27"/>
      <c r="S67" s="27"/>
      <c r="U67" s="27"/>
    </row>
    <row r="68" spans="1:78" ht="15" customHeight="1" x14ac:dyDescent="0.25">
      <c r="A68" s="9" t="str">
        <f t="shared" si="3"/>
        <v>CUSTO MARKET DATA - MAIO/26-OPTIONS PRICE REPORTING AUTHORITY (OPRA)-136668</v>
      </c>
      <c r="B68" s="20">
        <v>46143</v>
      </c>
      <c r="C68" s="21">
        <v>817393</v>
      </c>
      <c r="D68" s="9" t="str">
        <f>IF(J68=57036,"ALEXANDRE DA COSTA SOARES",IF(J68=24157,"JOSE MAURICIO GOMES TEIXEIRA",IF(J68=24203,"JOSE MAURICIO GOMES TEIXEIRA",IF(J68=24149,"CHRISTIANO MARCONDES DE BARROS LIMA",IF(J68=24137,"CHRISTIANO MARCONDES DE BARROS LIMA",IF(J68=135152,"ENRICO BORTPLUZO CASSIANO",IF(J68=136568,"ENRICO BORTPLUZO CASSIANO", IF(J68=130976,"MARYLIA CARVALHO PONCE",IF(J68=136668,"ALEXANDRE DA COSTA SOARES",IF(J68=52340,"OFFSHORE LISTED",IF(J68=158778,"CLAUDIO DE SOUZA PACINI",IF(J68=159800,"CLAUDIO DE SOUZA PACINI",_xlfn.XLOOKUP(J68,[1]!Tabela33[ID ORACLE],[1]!Tabela33[BROKER],0,0,1)))))))))))))</f>
        <v>ALEXANDRE DA COSTA SOARES</v>
      </c>
      <c r="E68" s="22">
        <f t="shared" si="6"/>
        <v>-159.29235</v>
      </c>
      <c r="F68" s="9" t="str">
        <f t="shared" si="7"/>
        <v>OPTIONS PRICE REPORTING AUTHORITY (OPRA)</v>
      </c>
      <c r="G68" s="20">
        <f t="shared" si="8"/>
        <v>46143</v>
      </c>
      <c r="H68" s="23">
        <v>1170</v>
      </c>
      <c r="J68" s="41">
        <v>136668</v>
      </c>
      <c r="K68" s="1" t="s">
        <v>45</v>
      </c>
      <c r="L68" s="1" t="s">
        <v>12</v>
      </c>
      <c r="M68" s="29">
        <v>31.5</v>
      </c>
      <c r="N68" s="2"/>
      <c r="Q68" s="27"/>
      <c r="R68" s="27"/>
      <c r="S68" s="27"/>
      <c r="U68" s="27"/>
    </row>
    <row r="69" spans="1:78" ht="15" customHeight="1" x14ac:dyDescent="0.25">
      <c r="A69" s="9" t="str">
        <f t="shared" si="3"/>
        <v>CUSTO MARKET DATA - MAIO/26-REFINITIV-136668</v>
      </c>
      <c r="B69" s="20">
        <v>46143</v>
      </c>
      <c r="C69" s="21">
        <v>817393</v>
      </c>
      <c r="D69" s="9" t="str">
        <f>IF(J69=57036,"ALEXANDRE DA COSTA SOARES",IF(J69=24157,"JOSE MAURICIO GOMES TEIXEIRA",IF(J69=24203,"JOSE MAURICIO GOMES TEIXEIRA",IF(J69=24149,"CHRISTIANO MARCONDES DE BARROS LIMA",IF(J69=24137,"CHRISTIANO MARCONDES DE BARROS LIMA",IF(J69=135152,"ENRICO BORTPLUZO CASSIANO",IF(J69=136568,"ENRICO BORTPLUZO CASSIANO", IF(J69=130976,"MARYLIA CARVALHO PONCE",IF(J69=136668,"ALEXANDRE DA COSTA SOARES",IF(J69=52340,"OFFSHORE LISTED",IF(J69=158778,"CLAUDIO DE SOUZA PACINI",IF(J69=159800,"CLAUDIO DE SOUZA PACINI",_xlfn.XLOOKUP(J69,[1]!Tabela33[ID ORACLE],[1]!Tabela33[BROKER],0,0,1)))))))))))))</f>
        <v>ALEXANDRE DA COSTA SOARES</v>
      </c>
      <c r="E69" s="22">
        <f t="shared" si="6"/>
        <v>-142.0800142203</v>
      </c>
      <c r="F69" s="9" t="str">
        <f t="shared" si="7"/>
        <v>REFINITIV</v>
      </c>
      <c r="G69" s="20">
        <f t="shared" si="8"/>
        <v>46143</v>
      </c>
      <c r="H69" s="23">
        <v>1170</v>
      </c>
      <c r="J69" s="41">
        <v>136668</v>
      </c>
      <c r="K69" s="1" t="s">
        <v>42</v>
      </c>
      <c r="L69" s="1" t="s">
        <v>17</v>
      </c>
      <c r="M69" s="29">
        <v>20.849049000000001</v>
      </c>
      <c r="N69" s="2"/>
      <c r="Q69" s="27"/>
      <c r="R69" s="27"/>
      <c r="S69" s="27"/>
      <c r="U69" s="27"/>
    </row>
    <row r="70" spans="1:78" ht="15" customHeight="1" x14ac:dyDescent="0.25">
      <c r="A70" s="9" t="str">
        <f t="shared" si="3"/>
        <v>CUSTO MARKET DATA - MAIO/26-SYMPHONY COMMUNICATION SERVICES, LLC-136668</v>
      </c>
      <c r="B70" s="20">
        <v>46143</v>
      </c>
      <c r="C70" s="21">
        <v>817393</v>
      </c>
      <c r="D70" s="9" t="str">
        <f>IF(J70=57036,"ALEXANDRE DA COSTA SOARES",IF(J70=24157,"JOSE MAURICIO GOMES TEIXEIRA",IF(J70=24203,"JOSE MAURICIO GOMES TEIXEIRA",IF(J70=24149,"CHRISTIANO MARCONDES DE BARROS LIMA",IF(J70=24137,"CHRISTIANO MARCONDES DE BARROS LIMA",IF(J70=135152,"ENRICO BORTPLUZO CASSIANO",IF(J70=136568,"ENRICO BORTPLUZO CASSIANO", IF(J70=130976,"MARYLIA CARVALHO PONCE",IF(J70=136668,"ALEXANDRE DA COSTA SOARES",IF(J70=52340,"OFFSHORE LISTED",IF(J70=158778,"CLAUDIO DE SOUZA PACINI",IF(J70=159800,"CLAUDIO DE SOUZA PACINI",_xlfn.XLOOKUP(J70,[1]!Tabela33[ID ORACLE],[1]!Tabela33[BROKER],0,0,1)))))))))))))</f>
        <v>ALEXANDRE DA COSTA SOARES</v>
      </c>
      <c r="E70" s="22">
        <f t="shared" si="6"/>
        <v>-126.631097125</v>
      </c>
      <c r="F70" s="9" t="str">
        <f t="shared" si="7"/>
        <v>SYMPHONY COMMUNICATION SERVICES, LLC</v>
      </c>
      <c r="G70" s="20">
        <f t="shared" si="8"/>
        <v>46143</v>
      </c>
      <c r="H70" s="23">
        <v>1170</v>
      </c>
      <c r="J70" s="41">
        <v>136668</v>
      </c>
      <c r="K70" s="1" t="s">
        <v>50</v>
      </c>
      <c r="L70" s="1" t="s">
        <v>12</v>
      </c>
      <c r="M70" s="29">
        <v>25.041250000000002</v>
      </c>
      <c r="N70" s="2"/>
      <c r="Q70" s="27"/>
      <c r="R70" s="27"/>
      <c r="S70" s="27"/>
      <c r="U70" s="27"/>
    </row>
    <row r="71" spans="1:78" ht="15" customHeight="1" x14ac:dyDescent="0.25">
      <c r="A71" s="9" t="str">
        <f t="shared" si="3"/>
        <v>CUSTO MARKET DATA - MAIO/26-BLOOMBERG-137478</v>
      </c>
      <c r="B71" s="20">
        <v>46143</v>
      </c>
      <c r="C71" s="21">
        <v>817393</v>
      </c>
      <c r="D71" s="9" t="str">
        <f>IF(J71=57036,"ALEXANDRE DA COSTA SOARES",IF(J71=24157,"JOSE MAURICIO GOMES TEIXEIRA",IF(J71=24203,"JOSE MAURICIO GOMES TEIXEIRA",IF(J71=24149,"CHRISTIANO MARCONDES DE BARROS LIMA",IF(J71=24137,"CHRISTIANO MARCONDES DE BARROS LIMA",IF(J71=135152,"ENRICO BORTPLUZO CASSIANO",IF(J71=136568,"ENRICO BORTPLUZO CASSIANO", IF(J71=130976,"MARYLIA CARVALHO PONCE",IF(J71=136668,"ALEXANDRE DA COSTA SOARES",IF(J71=52340,"OFFSHORE LISTED",IF(J71=158778,"CLAUDIO DE SOUZA PACINI",IF(J71=159800,"CLAUDIO DE SOUZA PACINI",_xlfn.XLOOKUP(J71,[1]!Tabela33[ID ORACLE],[1]!Tabela33[BROKER],0,0,1)))))))))))))</f>
        <v>ALEXANDRE BRENO STEVENS</v>
      </c>
      <c r="E71" s="22">
        <f t="shared" si="6"/>
        <v>-9144.0736701293008</v>
      </c>
      <c r="F71" s="9" t="str">
        <f t="shared" si="7"/>
        <v>BLOOMBERG</v>
      </c>
      <c r="G71" s="20">
        <f t="shared" si="8"/>
        <v>46143</v>
      </c>
      <c r="H71" s="23">
        <v>1170</v>
      </c>
      <c r="J71" s="41">
        <v>137478</v>
      </c>
      <c r="K71" s="1" t="s">
        <v>41</v>
      </c>
      <c r="L71" s="1" t="s">
        <v>12</v>
      </c>
      <c r="M71" s="29">
        <v>1808.2369970000002</v>
      </c>
      <c r="N71" s="2"/>
      <c r="Q71" s="27"/>
      <c r="R71" s="27"/>
      <c r="S71" s="27"/>
      <c r="U71" s="27"/>
    </row>
    <row r="72" spans="1:78" ht="15" customHeight="1" x14ac:dyDescent="0.25">
      <c r="A72" s="9" t="str">
        <f t="shared" ref="A72:A135" si="9">CONCATENATE($N$1,$I$1,F72,$I$1,J72)</f>
        <v>CUSTO MARKET DATA - MAIO/26-BLOOMBERG-139345</v>
      </c>
      <c r="B72" s="20">
        <v>46143</v>
      </c>
      <c r="C72" s="21">
        <v>817393</v>
      </c>
      <c r="D72" s="9" t="str">
        <f>IF(J72=57036,"ALEXANDRE DA COSTA SOARES",IF(J72=24157,"JOSE MAURICIO GOMES TEIXEIRA",IF(J72=24203,"JOSE MAURICIO GOMES TEIXEIRA",IF(J72=24149,"CHRISTIANO MARCONDES DE BARROS LIMA",IF(J72=24137,"CHRISTIANO MARCONDES DE BARROS LIMA",IF(J72=135152,"ENRICO BORTPLUZO CASSIANO",IF(J72=136568,"ENRICO BORTPLUZO CASSIANO", IF(J72=130976,"MARYLIA CARVALHO PONCE",IF(J72=136668,"ALEXANDRE DA COSTA SOARES",IF(J72=52340,"OFFSHORE LISTED",IF(J72=158778,"CLAUDIO DE SOUZA PACINI",IF(J72=159800,"CLAUDIO DE SOUZA PACINI",_xlfn.XLOOKUP(J72,[1]!Tabela33[ID ORACLE],[1]!Tabela33[BROKER],0,0,1)))))))))))))</f>
        <v>FELIPE MEIRELLES RACCAH</v>
      </c>
      <c r="E72" s="22">
        <f t="shared" si="6"/>
        <v>-11999.093164660298</v>
      </c>
      <c r="F72" s="9" t="str">
        <f t="shared" si="7"/>
        <v>BLOOMBERG</v>
      </c>
      <c r="G72" s="20">
        <f t="shared" si="8"/>
        <v>46143</v>
      </c>
      <c r="H72" s="23">
        <v>1170</v>
      </c>
      <c r="J72" s="41">
        <v>139345</v>
      </c>
      <c r="K72" s="1" t="s">
        <v>41</v>
      </c>
      <c r="L72" s="1" t="s">
        <v>12</v>
      </c>
      <c r="M72" s="29">
        <v>2372.815987</v>
      </c>
      <c r="N72" s="2"/>
      <c r="Q72" s="27"/>
      <c r="R72" s="27"/>
      <c r="S72" s="27"/>
      <c r="U72" s="27"/>
    </row>
    <row r="73" spans="1:78" ht="15" customHeight="1" x14ac:dyDescent="0.25">
      <c r="A73" s="9" t="str">
        <f t="shared" si="9"/>
        <v>CUSTO MARKET DATA - MAIO/26-BLOOMBERG-141745</v>
      </c>
      <c r="B73" s="20">
        <v>46143</v>
      </c>
      <c r="C73" s="21">
        <v>817393</v>
      </c>
      <c r="D73" s="9" t="str">
        <f>IF(J73=57036,"ALEXANDRE DA COSTA SOARES",IF(J73=24157,"JOSE MAURICIO GOMES TEIXEIRA",IF(J73=24203,"JOSE MAURICIO GOMES TEIXEIRA",IF(J73=24149,"CHRISTIANO MARCONDES DE BARROS LIMA",IF(J73=24137,"CHRISTIANO MARCONDES DE BARROS LIMA",IF(J73=135152,"ENRICO BORTPLUZO CASSIANO",IF(J73=136568,"ENRICO BORTPLUZO CASSIANO", IF(J73=130976,"MARYLIA CARVALHO PONCE",IF(J73=136668,"ALEXANDRE DA COSTA SOARES",IF(J73=52340,"OFFSHORE LISTED",IF(J73=158778,"CLAUDIO DE SOUZA PACINI",IF(J73=159800,"CLAUDIO DE SOUZA PACINI",_xlfn.XLOOKUP(J73,[1]!Tabela33[ID ORACLE],[1]!Tabela33[BROKER],0,0,1)))))))))))))</f>
        <v>EDRAS DURAES D ANUNCIACAO</v>
      </c>
      <c r="E73" s="22">
        <f t="shared" si="6"/>
        <v>-11265.842664660298</v>
      </c>
      <c r="F73" s="9" t="str">
        <f t="shared" si="7"/>
        <v>BLOOMBERG</v>
      </c>
      <c r="G73" s="20">
        <f t="shared" si="8"/>
        <v>46143</v>
      </c>
      <c r="H73" s="23">
        <v>1170</v>
      </c>
      <c r="J73" s="41">
        <v>141745</v>
      </c>
      <c r="K73" s="1" t="s">
        <v>41</v>
      </c>
      <c r="L73" s="1" t="s">
        <v>12</v>
      </c>
      <c r="M73" s="29">
        <v>2227.815987</v>
      </c>
      <c r="N73" s="2"/>
      <c r="Q73" s="27"/>
      <c r="R73" s="27"/>
      <c r="S73" s="27"/>
      <c r="U73" s="27"/>
    </row>
    <row r="74" spans="1:78" ht="15" customHeight="1" x14ac:dyDescent="0.25">
      <c r="A74" s="9" t="str">
        <f t="shared" si="9"/>
        <v>CUSTO MARKET DATA - MAIO/26-BLOOMBERG-142760</v>
      </c>
      <c r="B74" s="20">
        <v>46143</v>
      </c>
      <c r="C74" s="21">
        <v>817393</v>
      </c>
      <c r="D74" s="9" t="str">
        <f>IF(J74=57036,"ALEXANDRE DA COSTA SOARES",IF(J74=24157,"JOSE MAURICIO GOMES TEIXEIRA",IF(J74=24203,"JOSE MAURICIO GOMES TEIXEIRA",IF(J74=24149,"CHRISTIANO MARCONDES DE BARROS LIMA",IF(J74=24137,"CHRISTIANO MARCONDES DE BARROS LIMA",IF(J74=135152,"ENRICO BORTPLUZO CASSIANO",IF(J74=136568,"ENRICO BORTPLUZO CASSIANO", IF(J74=130976,"MARYLIA CARVALHO PONCE",IF(J74=136668,"ALEXANDRE DA COSTA SOARES",IF(J74=52340,"OFFSHORE LISTED",IF(J74=158778,"CLAUDIO DE SOUZA PACINI",IF(J74=159800,"CLAUDIO DE SOUZA PACINI",_xlfn.XLOOKUP(J74,[1]!Tabela33[ID ORACLE],[1]!Tabela33[BROKER],0,0,1)))))))))))))</f>
        <v>CARLOS THADEU DE FREITAS GOMES FILHO</v>
      </c>
      <c r="E74" s="22">
        <f t="shared" si="6"/>
        <v>-12138.1579146603</v>
      </c>
      <c r="F74" s="9" t="str">
        <f t="shared" si="7"/>
        <v>BLOOMBERG</v>
      </c>
      <c r="G74" s="20">
        <f t="shared" si="8"/>
        <v>46143</v>
      </c>
      <c r="H74" s="23">
        <v>1170</v>
      </c>
      <c r="J74" s="41">
        <v>142760</v>
      </c>
      <c r="K74" s="1" t="s">
        <v>41</v>
      </c>
      <c r="L74" s="1" t="s">
        <v>12</v>
      </c>
      <c r="M74" s="29">
        <v>2400.315987</v>
      </c>
      <c r="N74" s="2"/>
      <c r="Q74" s="27"/>
      <c r="R74" s="27"/>
      <c r="S74" s="27"/>
      <c r="U74" s="27"/>
    </row>
    <row r="75" spans="1:78" ht="15" customHeight="1" x14ac:dyDescent="0.25">
      <c r="A75" s="9" t="str">
        <f t="shared" si="9"/>
        <v>CUSTO MARKET DATA - MAIO/26-BLOOMBERG-150588</v>
      </c>
      <c r="B75" s="20">
        <v>46143</v>
      </c>
      <c r="C75" s="21">
        <v>817393</v>
      </c>
      <c r="D75" s="9" t="str">
        <f>IF(J75=57036,"ALEXANDRE DA COSTA SOARES",IF(J75=24157,"JOSE MAURICIO GOMES TEIXEIRA",IF(J75=24203,"JOSE MAURICIO GOMES TEIXEIRA",IF(J75=24149,"CHRISTIANO MARCONDES DE BARROS LIMA",IF(J75=24137,"CHRISTIANO MARCONDES DE BARROS LIMA",IF(J75=135152,"ENRICO BORTPLUZO CASSIANO",IF(J75=136568,"ENRICO BORTPLUZO CASSIANO", IF(J75=130976,"MARYLIA CARVALHO PONCE",IF(J75=136668,"ALEXANDRE DA COSTA SOARES",IF(J75=52340,"OFFSHORE LISTED",IF(J75=158778,"CLAUDIO DE SOUZA PACINI",IF(J75=159800,"CLAUDIO DE SOUZA PACINI",_xlfn.XLOOKUP(J75,[1]!Tabela33[ID ORACLE],[1]!Tabela33[BROKER],0,0,1)))))))))))))</f>
        <v>PAULO GUILHERME MENEZES FELIX</v>
      </c>
      <c r="E75" s="22">
        <f t="shared" si="6"/>
        <v>-50.568999999999996</v>
      </c>
      <c r="F75" s="9" t="str">
        <f t="shared" si="7"/>
        <v>BLOOMBERG</v>
      </c>
      <c r="G75" s="20">
        <f t="shared" si="8"/>
        <v>46143</v>
      </c>
      <c r="H75" s="23">
        <v>1170</v>
      </c>
      <c r="J75" s="41">
        <v>150588</v>
      </c>
      <c r="K75" s="1" t="s">
        <v>41</v>
      </c>
      <c r="L75" s="1" t="s">
        <v>12</v>
      </c>
      <c r="M75" s="29">
        <v>10</v>
      </c>
      <c r="N75" s="2"/>
      <c r="Q75" s="27"/>
      <c r="R75" s="27"/>
      <c r="S75" s="27"/>
      <c r="U75" s="27"/>
    </row>
    <row r="76" spans="1:78" ht="15" customHeight="1" x14ac:dyDescent="0.25">
      <c r="A76" s="9" t="str">
        <f t="shared" si="9"/>
        <v>CUSTO MARKET DATA - MAIO/26-BLOOMBERG-152836</v>
      </c>
      <c r="B76" s="20">
        <v>46143</v>
      </c>
      <c r="C76" s="21">
        <v>817393</v>
      </c>
      <c r="D76" s="9" t="str">
        <f>IF(J76=57036,"ALEXANDRE DA COSTA SOARES",IF(J76=24157,"JOSE MAURICIO GOMES TEIXEIRA",IF(J76=24203,"JOSE MAURICIO GOMES TEIXEIRA",IF(J76=24149,"CHRISTIANO MARCONDES DE BARROS LIMA",IF(J76=24137,"CHRISTIANO MARCONDES DE BARROS LIMA",IF(J76=135152,"ENRICO BORTPLUZO CASSIANO",IF(J76=136568,"ENRICO BORTPLUZO CASSIANO", IF(J76=130976,"MARYLIA CARVALHO PONCE",IF(J76=136668,"ALEXANDRE DA COSTA SOARES",IF(J76=52340,"OFFSHORE LISTED",IF(J76=158778,"CLAUDIO DE SOUZA PACINI",IF(J76=159800,"CLAUDIO DE SOUZA PACINI",_xlfn.XLOOKUP(J76,[1]!Tabela33[ID ORACLE],[1]!Tabela33[BROKER],0,0,1)))))))))))))</f>
        <v>FELIPE DE SA TAVARES</v>
      </c>
      <c r="E76" s="22">
        <f t="shared" si="6"/>
        <v>-12138.1579146603</v>
      </c>
      <c r="F76" s="9" t="str">
        <f t="shared" si="7"/>
        <v>BLOOMBERG</v>
      </c>
      <c r="G76" s="20">
        <f t="shared" si="8"/>
        <v>46143</v>
      </c>
      <c r="H76" s="23">
        <v>1170</v>
      </c>
      <c r="J76" s="41">
        <v>152836</v>
      </c>
      <c r="K76" s="1" t="s">
        <v>41</v>
      </c>
      <c r="L76" s="1" t="s">
        <v>12</v>
      </c>
      <c r="M76" s="29">
        <v>2400.315987</v>
      </c>
      <c r="N76" s="2"/>
      <c r="Q76" s="27"/>
      <c r="R76" s="27"/>
      <c r="S76" s="27"/>
      <c r="U76" s="27"/>
    </row>
    <row r="77" spans="1:78" ht="15" customHeight="1" x14ac:dyDescent="0.25">
      <c r="A77" s="9" t="str">
        <f t="shared" si="9"/>
        <v>CUSTO MARKET DATA - MAIO/26-BLOOMBERG-153595</v>
      </c>
      <c r="B77" s="20">
        <v>46143</v>
      </c>
      <c r="C77" s="21">
        <v>817393</v>
      </c>
      <c r="D77" s="9" t="str">
        <f>IF(J77=57036,"ALEXANDRE DA COSTA SOARES",IF(J77=24157,"JOSE MAURICIO GOMES TEIXEIRA",IF(J77=24203,"JOSE MAURICIO GOMES TEIXEIRA",IF(J77=24149,"CHRISTIANO MARCONDES DE BARROS LIMA",IF(J77=24137,"CHRISTIANO MARCONDES DE BARROS LIMA",IF(J77=135152,"ENRICO BORTPLUZO CASSIANO",IF(J77=136568,"ENRICO BORTPLUZO CASSIANO", IF(J77=130976,"MARYLIA CARVALHO PONCE",IF(J77=136668,"ALEXANDRE DA COSTA SOARES",IF(J77=52340,"OFFSHORE LISTED",IF(J77=158778,"CLAUDIO DE SOUZA PACINI",IF(J77=159800,"CLAUDIO DE SOUZA PACINI",_xlfn.XLOOKUP(J77,[1]!Tabela33[ID ORACLE],[1]!Tabela33[BROKER],0,0,1)))))))))))))</f>
        <v>REINALDO ANDRE URBANO FILHO</v>
      </c>
      <c r="E77" s="22">
        <f t="shared" si="6"/>
        <v>-12200.3577846603</v>
      </c>
      <c r="F77" s="9" t="str">
        <f t="shared" si="7"/>
        <v>BLOOMBERG</v>
      </c>
      <c r="G77" s="20">
        <f t="shared" si="8"/>
        <v>46143</v>
      </c>
      <c r="H77" s="23">
        <v>1170</v>
      </c>
      <c r="J77" s="41">
        <v>153595</v>
      </c>
      <c r="K77" s="1" t="s">
        <v>41</v>
      </c>
      <c r="L77" s="1" t="s">
        <v>12</v>
      </c>
      <c r="M77" s="29">
        <v>2412.6159870000001</v>
      </c>
      <c r="N77" s="2"/>
      <c r="Q77" s="27"/>
      <c r="R77" s="27"/>
      <c r="S77" s="27"/>
      <c r="U77" s="27"/>
    </row>
    <row r="78" spans="1:78" ht="15" customHeight="1" x14ac:dyDescent="0.25">
      <c r="A78" s="9" t="str">
        <f t="shared" si="9"/>
        <v>CUSTO MARKET DATA - MAIO/26-BLOOMBERG-158778</v>
      </c>
      <c r="B78" s="20">
        <v>46143</v>
      </c>
      <c r="C78" s="21">
        <v>817393</v>
      </c>
      <c r="D78" s="9" t="str">
        <f>IF(J78=57036,"ALEXANDRE DA COSTA SOARES",IF(J78=24157,"JOSE MAURICIO GOMES TEIXEIRA",IF(J78=24203,"JOSE MAURICIO GOMES TEIXEIRA",IF(J78=24149,"CHRISTIANO MARCONDES DE BARROS LIMA",IF(J78=24137,"CHRISTIANO MARCONDES DE BARROS LIMA",IF(J78=135152,"ENRICO BORTPLUZO CASSIANO",IF(J78=136568,"ENRICO BORTPLUZO CASSIANO", IF(J78=130976,"MARYLIA CARVALHO PONCE",IF(J78=136668,"ALEXANDRE DA COSTA SOARES",IF(J78=52340,"OFFSHORE LISTED",IF(J78=158778,"CLAUDIO DE SOUZA PACINI",IF(J78=159800,"CLAUDIO DE SOUZA PACINI",_xlfn.XLOOKUP(J78,[1]!Tabela33[ID ORACLE],[1]!Tabela33[BROKER],0,0,1)))))))))))))</f>
        <v>CLAUDIO DE SOUZA PACINI</v>
      </c>
      <c r="E78" s="22">
        <f t="shared" si="6"/>
        <v>-12193.783814660299</v>
      </c>
      <c r="F78" s="9" t="str">
        <f t="shared" si="7"/>
        <v>BLOOMBERG</v>
      </c>
      <c r="G78" s="20">
        <f t="shared" si="8"/>
        <v>46143</v>
      </c>
      <c r="H78" s="23">
        <v>1170</v>
      </c>
      <c r="J78" s="41">
        <v>158778</v>
      </c>
      <c r="K78" s="1" t="s">
        <v>41</v>
      </c>
      <c r="L78" s="1" t="s">
        <v>12</v>
      </c>
      <c r="M78" s="29">
        <v>2411.315987</v>
      </c>
      <c r="N78" s="2"/>
      <c r="Q78" s="27"/>
      <c r="R78" s="27"/>
      <c r="S78" s="27"/>
      <c r="U78" s="27"/>
    </row>
    <row r="79" spans="1:78" customFormat="1" ht="15" customHeight="1" x14ac:dyDescent="0.25">
      <c r="A79" s="9" t="str">
        <f t="shared" si="9"/>
        <v>CUSTO MARKET DATA - MAIO/26-FIDESSA-158778</v>
      </c>
      <c r="B79" s="20">
        <v>46143</v>
      </c>
      <c r="C79" s="21">
        <v>817393</v>
      </c>
      <c r="D79" s="9" t="str">
        <f>IF(J79=57036,"ALEXANDRE DA COSTA SOARES",IF(J79=24157,"JOSE MAURICIO GOMES TEIXEIRA",IF(J79=24203,"JOSE MAURICIO GOMES TEIXEIRA",IF(J79=24149,"CHRISTIANO MARCONDES DE BARROS LIMA",IF(J79=24137,"CHRISTIANO MARCONDES DE BARROS LIMA",IF(J79=135152,"ENRICO BORTPLUZO CASSIANO",IF(J79=136568,"ENRICO BORTPLUZO CASSIANO", IF(J79=130976,"MARYLIA CARVALHO PONCE",IF(J79=136668,"ALEXANDRE DA COSTA SOARES",IF(J79=52340,"OFFSHORE LISTED",IF(J79=158778,"CLAUDIO DE SOUZA PACINI",IF(J79=159800,"CLAUDIO DE SOUZA PACINI",_xlfn.XLOOKUP(J79,[1]!Tabela33[ID ORACLE],[1]!Tabela33[BROKER],0,0,1)))))))))))))</f>
        <v>CLAUDIO DE SOUZA PACINI</v>
      </c>
      <c r="E79" s="22">
        <f t="shared" si="6"/>
        <v>-1763.8060170118997</v>
      </c>
      <c r="F79" s="9" t="str">
        <f t="shared" si="7"/>
        <v>FIDESSA</v>
      </c>
      <c r="G79" s="20">
        <f t="shared" si="8"/>
        <v>46143</v>
      </c>
      <c r="H79" s="23">
        <v>1170</v>
      </c>
      <c r="J79" s="41">
        <v>158778</v>
      </c>
      <c r="K79" s="1" t="s">
        <v>47</v>
      </c>
      <c r="L79" s="1" t="s">
        <v>12</v>
      </c>
      <c r="M79" s="29">
        <v>348.79195099999998</v>
      </c>
      <c r="N79" s="2"/>
      <c r="O79" s="1"/>
      <c r="P79" s="26"/>
      <c r="Q79" s="27"/>
      <c r="R79" s="27"/>
      <c r="S79" s="27"/>
      <c r="T79" s="26"/>
      <c r="U79" s="27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</row>
    <row r="80" spans="1:78" customFormat="1" ht="15" customHeight="1" x14ac:dyDescent="0.25">
      <c r="A80" s="9" t="str">
        <f t="shared" si="9"/>
        <v>CUSTO MARKET DATA - MAIO/26-NYSE MARKET INC.-158778</v>
      </c>
      <c r="B80" s="20">
        <v>46143</v>
      </c>
      <c r="C80" s="21">
        <v>817393</v>
      </c>
      <c r="D80" s="9" t="str">
        <f>IF(J80=57036,"ALEXANDRE DA COSTA SOARES",IF(J80=24157,"JOSE MAURICIO GOMES TEIXEIRA",IF(J80=24203,"JOSE MAURICIO GOMES TEIXEIRA",IF(J80=24149,"CHRISTIANO MARCONDES DE BARROS LIMA",IF(J80=24137,"CHRISTIANO MARCONDES DE BARROS LIMA",IF(J80=135152,"ENRICO BORTPLUZO CASSIANO",IF(J80=136568,"ENRICO BORTPLUZO CASSIANO", IF(J80=130976,"MARYLIA CARVALHO PONCE",IF(J80=136668,"ALEXANDRE DA COSTA SOARES",IF(J80=52340,"OFFSHORE LISTED",IF(J80=158778,"CLAUDIO DE SOUZA PACINI",IF(J80=159800,"CLAUDIO DE SOUZA PACINI",_xlfn.XLOOKUP(J80,[1]!Tabela33[ID ORACLE],[1]!Tabela33[BROKER],0,0,1)))))))))))))</f>
        <v>CLAUDIO DE SOUZA PACINI</v>
      </c>
      <c r="E80" s="22">
        <f t="shared" si="6"/>
        <v>-3314.3807557499999</v>
      </c>
      <c r="F80" s="9" t="str">
        <f t="shared" si="7"/>
        <v>NYSE MARKET INC.</v>
      </c>
      <c r="G80" s="20">
        <f t="shared" si="8"/>
        <v>46143</v>
      </c>
      <c r="H80" s="23">
        <v>1170</v>
      </c>
      <c r="J80" s="41">
        <v>158778</v>
      </c>
      <c r="K80" s="1" t="s">
        <v>44</v>
      </c>
      <c r="L80" s="1" t="s">
        <v>12</v>
      </c>
      <c r="M80" s="29">
        <v>655.41750000000002</v>
      </c>
      <c r="N80" s="2"/>
      <c r="O80" s="1"/>
      <c r="P80" s="26"/>
      <c r="Q80" s="27"/>
      <c r="R80" s="27"/>
      <c r="S80" s="27"/>
      <c r="T80" s="26"/>
      <c r="U80" s="27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</row>
    <row r="81" spans="1:78" customFormat="1" ht="15" customHeight="1" x14ac:dyDescent="0.25">
      <c r="A81" s="9" t="str">
        <f t="shared" si="9"/>
        <v>CUSTO MARKET DATA - MAIO/26-OPTIONS PRICE REPORTING AUTHORITY (OPRA)-158778</v>
      </c>
      <c r="B81" s="20">
        <v>46143</v>
      </c>
      <c r="C81" s="21">
        <v>817393</v>
      </c>
      <c r="D81" s="9" t="str">
        <f>IF(J81=57036,"ALEXANDRE DA COSTA SOARES",IF(J81=24157,"JOSE MAURICIO GOMES TEIXEIRA",IF(J81=24203,"JOSE MAURICIO GOMES TEIXEIRA",IF(J81=24149,"CHRISTIANO MARCONDES DE BARROS LIMA",IF(J81=24137,"CHRISTIANO MARCONDES DE BARROS LIMA",IF(J81=135152,"ENRICO BORTPLUZO CASSIANO",IF(J81=136568,"ENRICO BORTPLUZO CASSIANO", IF(J81=130976,"MARYLIA CARVALHO PONCE",IF(J81=136668,"ALEXANDRE DA COSTA SOARES",IF(J81=52340,"OFFSHORE LISTED",IF(J81=158778,"CLAUDIO DE SOUZA PACINI",IF(J81=159800,"CLAUDIO DE SOUZA PACINI",_xlfn.XLOOKUP(J81,[1]!Tabela33[ID ORACLE],[1]!Tabela33[BROKER],0,0,1)))))))))))))</f>
        <v>CLAUDIO DE SOUZA PACINI</v>
      </c>
      <c r="E81" s="22">
        <f t="shared" si="6"/>
        <v>-173.388913871</v>
      </c>
      <c r="F81" s="9" t="str">
        <f t="shared" si="7"/>
        <v>OPTIONS PRICE REPORTING AUTHORITY (OPRA)</v>
      </c>
      <c r="G81" s="20">
        <f t="shared" si="8"/>
        <v>46143</v>
      </c>
      <c r="H81" s="23">
        <v>1170</v>
      </c>
      <c r="J81" s="41">
        <v>158778</v>
      </c>
      <c r="K81" s="1" t="s">
        <v>45</v>
      </c>
      <c r="L81" s="1" t="s">
        <v>12</v>
      </c>
      <c r="M81" s="29">
        <v>34.287590000000002</v>
      </c>
      <c r="N81" s="2"/>
      <c r="O81" s="1"/>
      <c r="P81" s="26"/>
      <c r="Q81" s="27"/>
      <c r="R81" s="27"/>
      <c r="S81" s="27"/>
      <c r="T81" s="26"/>
      <c r="U81" s="27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</row>
    <row r="82" spans="1:78" customFormat="1" ht="15" customHeight="1" x14ac:dyDescent="0.25">
      <c r="A82" s="9" t="str">
        <f t="shared" si="9"/>
        <v>CUSTO MARKET DATA - MAIO/26-BLOOMBERG-159800</v>
      </c>
      <c r="B82" s="20">
        <v>46143</v>
      </c>
      <c r="C82" s="21">
        <v>817393</v>
      </c>
      <c r="D82" s="9" t="str">
        <f>IF(J82=57036,"ALEXANDRE DA COSTA SOARES",IF(J82=24157,"JOSE MAURICIO GOMES TEIXEIRA",IF(J82=24203,"JOSE MAURICIO GOMES TEIXEIRA",IF(J82=24149,"CHRISTIANO MARCONDES DE BARROS LIMA",IF(J82=24137,"CHRISTIANO MARCONDES DE BARROS LIMA",IF(J82=135152,"ENRICO BORTPLUZO CASSIANO",IF(J82=136568,"ENRICO BORTPLUZO CASSIANO", IF(J82=130976,"MARYLIA CARVALHO PONCE",IF(J82=136668,"ALEXANDRE DA COSTA SOARES",IF(J82=52340,"OFFSHORE LISTED",IF(J82=158778,"CLAUDIO DE SOUZA PACINI",IF(J82=159800,"CLAUDIO DE SOUZA PACINI",_xlfn.XLOOKUP(J82,[1]!Tabela33[ID ORACLE],[1]!Tabela33[BROKER],0,0,1)))))))))))))</f>
        <v>CLAUDIO DE SOUZA PACINI</v>
      </c>
      <c r="E82" s="22">
        <f t="shared" si="6"/>
        <v>-13718.944854660298</v>
      </c>
      <c r="F82" s="9" t="str">
        <f t="shared" si="7"/>
        <v>BLOOMBERG</v>
      </c>
      <c r="G82" s="20">
        <f t="shared" si="8"/>
        <v>46143</v>
      </c>
      <c r="H82" s="23">
        <v>1170</v>
      </c>
      <c r="J82" s="41">
        <v>159800</v>
      </c>
      <c r="K82" s="1" t="s">
        <v>41</v>
      </c>
      <c r="L82" s="1" t="s">
        <v>12</v>
      </c>
      <c r="M82" s="29">
        <v>2712.9159869999999</v>
      </c>
      <c r="N82" s="2"/>
      <c r="O82" s="1"/>
      <c r="P82" s="26"/>
      <c r="Q82" s="27"/>
      <c r="R82" s="27"/>
      <c r="S82" s="27"/>
      <c r="T82" s="26"/>
      <c r="U82" s="27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</row>
    <row r="83" spans="1:78" customFormat="1" ht="15" customHeight="1" x14ac:dyDescent="0.25">
      <c r="A83" s="9" t="str">
        <f t="shared" si="9"/>
        <v>CUSTO MARKET DATA - MAIO/26-FIDESSA-159800</v>
      </c>
      <c r="B83" s="20">
        <v>46143</v>
      </c>
      <c r="C83" s="21">
        <v>817393</v>
      </c>
      <c r="D83" s="9" t="str">
        <f>IF(J83=57036,"ALEXANDRE DA COSTA SOARES",IF(J83=24157,"JOSE MAURICIO GOMES TEIXEIRA",IF(J83=24203,"JOSE MAURICIO GOMES TEIXEIRA",IF(J83=24149,"CHRISTIANO MARCONDES DE BARROS LIMA",IF(J83=24137,"CHRISTIANO MARCONDES DE BARROS LIMA",IF(J83=135152,"ENRICO BORTPLUZO CASSIANO",IF(J83=136568,"ENRICO BORTPLUZO CASSIANO", IF(J83=130976,"MARYLIA CARVALHO PONCE",IF(J83=136668,"ALEXANDRE DA COSTA SOARES",IF(J83=52340,"OFFSHORE LISTED",IF(J83=158778,"CLAUDIO DE SOUZA PACINI",IF(J83=159800,"CLAUDIO DE SOUZA PACINI",_xlfn.XLOOKUP(J83,[1]!Tabela33[ID ORACLE],[1]!Tabela33[BROKER],0,0,1)))))))))))))</f>
        <v>CLAUDIO DE SOUZA PACINI</v>
      </c>
      <c r="E83" s="22">
        <f t="shared" si="6"/>
        <v>-3636.2847492840997</v>
      </c>
      <c r="F83" s="9" t="str">
        <f t="shared" si="7"/>
        <v>FIDESSA</v>
      </c>
      <c r="G83" s="20">
        <f t="shared" si="8"/>
        <v>46143</v>
      </c>
      <c r="H83" s="23">
        <v>1170</v>
      </c>
      <c r="J83" s="41">
        <v>159800</v>
      </c>
      <c r="K83" s="1" t="s">
        <v>47</v>
      </c>
      <c r="L83" s="1" t="s">
        <v>12</v>
      </c>
      <c r="M83" s="29">
        <v>719.07388900000001</v>
      </c>
      <c r="N83" s="2"/>
      <c r="O83" s="1"/>
      <c r="P83" s="26"/>
      <c r="Q83" s="27"/>
      <c r="R83" s="27"/>
      <c r="S83" s="27"/>
      <c r="T83" s="26"/>
      <c r="U83" s="27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</row>
    <row r="84" spans="1:78" customFormat="1" ht="15" customHeight="1" x14ac:dyDescent="0.25">
      <c r="A84" s="9" t="str">
        <f t="shared" si="9"/>
        <v>CUSTO MARKET DATA - MAIO/26-NYSE MARKET INC.-159800</v>
      </c>
      <c r="B84" s="20">
        <v>46143</v>
      </c>
      <c r="C84" s="21">
        <v>817393</v>
      </c>
      <c r="D84" s="9" t="str">
        <f>IF(J84=57036,"ALEXANDRE DA COSTA SOARES",IF(J84=24157,"JOSE MAURICIO GOMES TEIXEIRA",IF(J84=24203,"JOSE MAURICIO GOMES TEIXEIRA",IF(J84=24149,"CHRISTIANO MARCONDES DE BARROS LIMA",IF(J84=24137,"CHRISTIANO MARCONDES DE BARROS LIMA",IF(J84=135152,"ENRICO BORTPLUZO CASSIANO",IF(J84=136568,"ENRICO BORTPLUZO CASSIANO", IF(J84=130976,"MARYLIA CARVALHO PONCE",IF(J84=136668,"ALEXANDRE DA COSTA SOARES",IF(J84=52340,"OFFSHORE LISTED",IF(J84=158778,"CLAUDIO DE SOUZA PACINI",IF(J84=159800,"CLAUDIO DE SOUZA PACINI",_xlfn.XLOOKUP(J84,[1]!Tabela33[ID ORACLE],[1]!Tabela33[BROKER],0,0,1)))))))))))))</f>
        <v>CLAUDIO DE SOUZA PACINI</v>
      </c>
      <c r="E84" s="22">
        <f t="shared" si="6"/>
        <v>-2554.1769787499998</v>
      </c>
      <c r="F84" s="9" t="str">
        <f t="shared" si="7"/>
        <v>NYSE MARKET INC.</v>
      </c>
      <c r="G84" s="20">
        <f t="shared" si="8"/>
        <v>46143</v>
      </c>
      <c r="H84" s="23">
        <v>1170</v>
      </c>
      <c r="J84" s="41">
        <v>159800</v>
      </c>
      <c r="K84" s="1" t="s">
        <v>44</v>
      </c>
      <c r="L84" s="1" t="s">
        <v>12</v>
      </c>
      <c r="M84" s="29">
        <v>505.08749999999998</v>
      </c>
      <c r="N84" s="2"/>
      <c r="O84" s="1"/>
      <c r="P84" s="26"/>
      <c r="Q84" s="27"/>
      <c r="R84" s="27"/>
      <c r="S84" s="27"/>
      <c r="T84" s="26"/>
      <c r="U84" s="27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</row>
    <row r="85" spans="1:78" customFormat="1" ht="15" customHeight="1" x14ac:dyDescent="0.25">
      <c r="A85" s="9" t="str">
        <f t="shared" si="9"/>
        <v>CUSTO MARKET DATA - MAIO/26-OPTIONS PRICE REPORTING AUTHORITY (OPRA)-159800</v>
      </c>
      <c r="B85" s="20">
        <v>46143</v>
      </c>
      <c r="C85" s="21">
        <v>817393</v>
      </c>
      <c r="D85" s="9" t="str">
        <f>IF(J85=57036,"ALEXANDRE DA COSTA SOARES",IF(J85=24157,"JOSE MAURICIO GOMES TEIXEIRA",IF(J85=24203,"JOSE MAURICIO GOMES TEIXEIRA",IF(J85=24149,"CHRISTIANO MARCONDES DE BARROS LIMA",IF(J85=24137,"CHRISTIANO MARCONDES DE BARROS LIMA",IF(J85=135152,"ENRICO BORTPLUZO CASSIANO",IF(J85=136568,"ENRICO BORTPLUZO CASSIANO", IF(J85=130976,"MARYLIA CARVALHO PONCE",IF(J85=136668,"ALEXANDRE DA COSTA SOARES",IF(J85=52340,"OFFSHORE LISTED",IF(J85=158778,"CLAUDIO DE SOUZA PACINI",IF(J85=159800,"CLAUDIO DE SOUZA PACINI",_xlfn.XLOOKUP(J85,[1]!Tabela33[ID ORACLE],[1]!Tabela33[BROKER],0,0,1)))))))))))))</f>
        <v>CLAUDIO DE SOUZA PACINI</v>
      </c>
      <c r="E85" s="22">
        <f t="shared" si="6"/>
        <v>-491.97361387099994</v>
      </c>
      <c r="F85" s="9" t="str">
        <f t="shared" si="7"/>
        <v>OPTIONS PRICE REPORTING AUTHORITY (OPRA)</v>
      </c>
      <c r="G85" s="20">
        <f t="shared" si="8"/>
        <v>46143</v>
      </c>
      <c r="H85" s="23">
        <v>1170</v>
      </c>
      <c r="J85" s="41">
        <v>159800</v>
      </c>
      <c r="K85" s="1" t="s">
        <v>45</v>
      </c>
      <c r="L85" s="1" t="s">
        <v>12</v>
      </c>
      <c r="M85" s="29">
        <v>97.287589999999994</v>
      </c>
      <c r="N85" s="2"/>
      <c r="O85" s="1"/>
      <c r="P85" s="26"/>
      <c r="Q85" s="27"/>
      <c r="R85" s="27"/>
      <c r="S85" s="27"/>
      <c r="T85" s="26"/>
      <c r="U85" s="27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</row>
    <row r="86" spans="1:78" customFormat="1" ht="15" customHeight="1" x14ac:dyDescent="0.25">
      <c r="A86" s="9" t="str">
        <f t="shared" si="9"/>
        <v>CUSTO MARKET DATA - MAIO/26-TORONTO STOCK EXCHANGE-159800</v>
      </c>
      <c r="B86" s="20">
        <v>46143</v>
      </c>
      <c r="C86" s="21">
        <v>817393</v>
      </c>
      <c r="D86" s="9" t="str">
        <f>IF(J86=57036,"ALEXANDRE DA COSTA SOARES",IF(J86=24157,"JOSE MAURICIO GOMES TEIXEIRA",IF(J86=24203,"JOSE MAURICIO GOMES TEIXEIRA",IF(J86=24149,"CHRISTIANO MARCONDES DE BARROS LIMA",IF(J86=24137,"CHRISTIANO MARCONDES DE BARROS LIMA",IF(J86=135152,"ENRICO BORTPLUZO CASSIANO",IF(J86=136568,"ENRICO BORTPLUZO CASSIANO", IF(J86=130976,"MARYLIA CARVALHO PONCE",IF(J86=136668,"ALEXANDRE DA COSTA SOARES",IF(J86=52340,"OFFSHORE LISTED",IF(J86=158778,"CLAUDIO DE SOUZA PACINI",IF(J86=159800,"CLAUDIO DE SOUZA PACINI",_xlfn.XLOOKUP(J86,[1]!Tabela33[ID ORACLE],[1]!Tabela33[BROKER],0,0,1)))))))))))))</f>
        <v>CLAUDIO DE SOUZA PACINI</v>
      </c>
      <c r="E86" s="22">
        <f t="shared" si="6"/>
        <v>-333.24970999999999</v>
      </c>
      <c r="F86" s="9" t="str">
        <f t="shared" si="7"/>
        <v>TORONTO STOCK EXCHANGE</v>
      </c>
      <c r="G86" s="20">
        <f t="shared" si="8"/>
        <v>46143</v>
      </c>
      <c r="H86" s="23">
        <v>1170</v>
      </c>
      <c r="J86" s="41">
        <v>159800</v>
      </c>
      <c r="K86" s="1" t="s">
        <v>51</v>
      </c>
      <c r="L86" s="1" t="s">
        <v>12</v>
      </c>
      <c r="M86" s="29">
        <v>65.900000000000006</v>
      </c>
      <c r="N86" s="2"/>
      <c r="O86" s="1"/>
      <c r="P86" s="26"/>
      <c r="Q86" s="27"/>
      <c r="R86" s="27"/>
      <c r="S86" s="27"/>
      <c r="T86" s="26"/>
      <c r="U86" s="27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</row>
    <row r="87" spans="1:78" customFormat="1" ht="15" customHeight="1" x14ac:dyDescent="0.25">
      <c r="A87" s="9" t="str">
        <f t="shared" si="9"/>
        <v>CUSTO MARKET DATA - MAIO/26-BLOOMBERG-22361</v>
      </c>
      <c r="B87" s="20">
        <v>46143</v>
      </c>
      <c r="C87" s="21">
        <v>817393</v>
      </c>
      <c r="D87" s="9" t="str">
        <f>IF(J87=57036,"ALEXANDRE DA COSTA SOARES",IF(J87=24157,"JOSE MAURICIO GOMES TEIXEIRA",IF(J87=24203,"JOSE MAURICIO GOMES TEIXEIRA",IF(J87=24149,"CHRISTIANO MARCONDES DE BARROS LIMA",IF(J87=24137,"CHRISTIANO MARCONDES DE BARROS LIMA",IF(J87=135152,"ENRICO BORTPLUZO CASSIANO",IF(J87=136568,"ENRICO BORTPLUZO CASSIANO", IF(J87=130976,"MARYLIA CARVALHO PONCE",IF(J87=136668,"ALEXANDRE DA COSTA SOARES",IF(J87=52340,"OFFSHORE LISTED",IF(J87=158778,"CLAUDIO DE SOUZA PACINI",IF(J87=159800,"CLAUDIO DE SOUZA PACINI",_xlfn.XLOOKUP(J87,[1]!Tabela33[ID ORACLE],[1]!Tabela33[BROKER],0,0,1)))))))))))))</f>
        <v>DANIEL TEIXEIRA SIQUEIRA GONÇALVES</v>
      </c>
      <c r="E87" s="22">
        <f t="shared" si="6"/>
        <v>-6069.0789699723991</v>
      </c>
      <c r="F87" s="9" t="str">
        <f t="shared" si="7"/>
        <v>BLOOMBERG</v>
      </c>
      <c r="G87" s="20">
        <f t="shared" si="8"/>
        <v>46143</v>
      </c>
      <c r="H87" s="23">
        <v>1170</v>
      </c>
      <c r="J87" s="41">
        <v>22361</v>
      </c>
      <c r="K87" s="1" t="s">
        <v>41</v>
      </c>
      <c r="L87" s="1" t="s">
        <v>12</v>
      </c>
      <c r="M87" s="29">
        <v>1200.1579959999999</v>
      </c>
      <c r="N87" s="2"/>
      <c r="O87" s="1"/>
      <c r="P87" s="26"/>
      <c r="Q87" s="27"/>
      <c r="R87" s="27"/>
      <c r="S87" s="27"/>
      <c r="T87" s="26"/>
      <c r="U87" s="27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</row>
    <row r="88" spans="1:78" customFormat="1" ht="15" customHeight="1" x14ac:dyDescent="0.25">
      <c r="A88" s="9" t="str">
        <f t="shared" si="9"/>
        <v>CUSTO MARKET DATA - MAIO/26-REFINITIV-22361</v>
      </c>
      <c r="B88" s="20">
        <v>46143</v>
      </c>
      <c r="C88" s="21">
        <v>817393</v>
      </c>
      <c r="D88" s="9" t="str">
        <f>IF(J88=57036,"ALEXANDRE DA COSTA SOARES",IF(J88=24157,"JOSE MAURICIO GOMES TEIXEIRA",IF(J88=24203,"JOSE MAURICIO GOMES TEIXEIRA",IF(J88=24149,"CHRISTIANO MARCONDES DE BARROS LIMA",IF(J88=24137,"CHRISTIANO MARCONDES DE BARROS LIMA",IF(J88=135152,"ENRICO BORTPLUZO CASSIANO",IF(J88=136568,"ENRICO BORTPLUZO CASSIANO", IF(J88=130976,"MARYLIA CARVALHO PONCE",IF(J88=136668,"ALEXANDRE DA COSTA SOARES",IF(J88=52340,"OFFSHORE LISTED",IF(J88=158778,"CLAUDIO DE SOUZA PACINI",IF(J88=159800,"CLAUDIO DE SOUZA PACINI",_xlfn.XLOOKUP(J88,[1]!Tabela33[ID ORACLE],[1]!Tabela33[BROKER],0,0,1)))))))))))))</f>
        <v>DANIEL TEIXEIRA SIQUEIRA GONÇALVES</v>
      </c>
      <c r="E88" s="22">
        <f t="shared" si="6"/>
        <v>-142.0800142203</v>
      </c>
      <c r="F88" s="9" t="str">
        <f t="shared" si="7"/>
        <v>REFINITIV</v>
      </c>
      <c r="G88" s="20">
        <f t="shared" si="8"/>
        <v>46143</v>
      </c>
      <c r="H88" s="23">
        <v>1170</v>
      </c>
      <c r="J88" s="41">
        <v>22361</v>
      </c>
      <c r="K88" s="1" t="s">
        <v>42</v>
      </c>
      <c r="L88" s="1" t="s">
        <v>17</v>
      </c>
      <c r="M88" s="29">
        <v>20.849049000000001</v>
      </c>
      <c r="N88" s="2"/>
      <c r="O88" s="1"/>
      <c r="P88" s="26"/>
      <c r="Q88" s="27"/>
      <c r="R88" s="27"/>
      <c r="S88" s="27"/>
      <c r="T88" s="26"/>
      <c r="U88" s="27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</row>
    <row r="89" spans="1:78" ht="15" customHeight="1" x14ac:dyDescent="0.25">
      <c r="A89" s="9" t="str">
        <f t="shared" si="9"/>
        <v>CUSTO MARKET DATA - MAIO/26-BLOOMBERG-24137</v>
      </c>
      <c r="B89" s="20">
        <v>46143</v>
      </c>
      <c r="C89" s="21">
        <v>817393</v>
      </c>
      <c r="D89" s="9" t="str">
        <f>IF(J89=57036,"ALEXANDRE DA COSTA SOARES",IF(J89=24157,"JOSE MAURICIO GOMES TEIXEIRA",IF(J89=24203,"JOSE MAURICIO GOMES TEIXEIRA",IF(J89=24149,"CHRISTIANO MARCONDES DE BARROS LIMA",IF(J89=24137,"CHRISTIANO MARCONDES DE BARROS LIMA",IF(J89=135152,"ENRICO BORTPLUZO CASSIANO",IF(J89=136568,"ENRICO BORTPLUZO CASSIANO", IF(J89=130976,"MARYLIA CARVALHO PONCE",IF(J89=136668,"ALEXANDRE DA COSTA SOARES",IF(J89=52340,"OFFSHORE LISTED",IF(J89=158778,"CLAUDIO DE SOUZA PACINI",IF(J89=159800,"CLAUDIO DE SOUZA PACINI",_xlfn.XLOOKUP(J89,[1]!Tabela33[ID ORACLE],[1]!Tabela33[BROKER],0,0,1)))))))))))))</f>
        <v>CHRISTIANO MARCONDES DE BARROS LIMA</v>
      </c>
      <c r="E89" s="22">
        <f t="shared" si="6"/>
        <v>-12395.048434660301</v>
      </c>
      <c r="F89" s="9" t="str">
        <f t="shared" si="7"/>
        <v>BLOOMBERG</v>
      </c>
      <c r="G89" s="20">
        <f t="shared" si="8"/>
        <v>46143</v>
      </c>
      <c r="H89" s="23">
        <v>1170</v>
      </c>
      <c r="J89" s="41">
        <v>24137</v>
      </c>
      <c r="K89" s="1" t="s">
        <v>41</v>
      </c>
      <c r="L89" s="1" t="s">
        <v>12</v>
      </c>
      <c r="M89" s="29">
        <v>2451.1159870000001</v>
      </c>
      <c r="Q89" s="27"/>
      <c r="R89" s="27"/>
      <c r="S89" s="27"/>
      <c r="U89" s="27"/>
    </row>
    <row r="90" spans="1:78" ht="15" customHeight="1" x14ac:dyDescent="0.25">
      <c r="A90" s="9" t="str">
        <f t="shared" si="9"/>
        <v>CUSTO MARKET DATA - MAIO/26-BLOOMBERG-24140</v>
      </c>
      <c r="B90" s="20">
        <v>46143</v>
      </c>
      <c r="C90" s="21">
        <v>817393</v>
      </c>
      <c r="D90" s="9" t="str">
        <f>IF(J90=57036,"ALEXANDRE DA COSTA SOARES",IF(J90=24157,"JOSE MAURICIO GOMES TEIXEIRA",IF(J90=24203,"JOSE MAURICIO GOMES TEIXEIRA",IF(J90=24149,"CHRISTIANO MARCONDES DE BARROS LIMA",IF(J90=24137,"CHRISTIANO MARCONDES DE BARROS LIMA",IF(J90=135152,"ENRICO BORTPLUZO CASSIANO",IF(J90=136568,"ENRICO BORTPLUZO CASSIANO", IF(J90=130976,"MARYLIA CARVALHO PONCE",IF(J90=136668,"ALEXANDRE DA COSTA SOARES",IF(J90=52340,"OFFSHORE LISTED",IF(J90=158778,"CLAUDIO DE SOUZA PACINI",IF(J90=159800,"CLAUDIO DE SOUZA PACINI",_xlfn.XLOOKUP(J90,[1]!Tabela33[ID ORACLE],[1]!Tabela33[BROKER],0,0,1)))))))))))))</f>
        <v>FRANCISCO JOSE DIAS CARVALHO</v>
      </c>
      <c r="E90" s="22">
        <f t="shared" si="6"/>
        <v>-9144.0736701293008</v>
      </c>
      <c r="F90" s="9" t="str">
        <f t="shared" si="7"/>
        <v>BLOOMBERG</v>
      </c>
      <c r="G90" s="20">
        <f t="shared" si="8"/>
        <v>46143</v>
      </c>
      <c r="H90" s="23">
        <v>1170</v>
      </c>
      <c r="J90" s="41">
        <v>24140</v>
      </c>
      <c r="K90" s="1" t="s">
        <v>41</v>
      </c>
      <c r="L90" s="1" t="s">
        <v>12</v>
      </c>
      <c r="M90" s="29">
        <v>1808.2369970000002</v>
      </c>
      <c r="Q90" s="27"/>
      <c r="R90" s="27"/>
      <c r="S90" s="27"/>
      <c r="U90" s="27"/>
    </row>
    <row r="91" spans="1:78" ht="15" customHeight="1" x14ac:dyDescent="0.25">
      <c r="A91" s="9" t="str">
        <f t="shared" si="9"/>
        <v>CUSTO MARKET DATA - MAIO/26-REFINITIV-24140</v>
      </c>
      <c r="B91" s="20">
        <v>46143</v>
      </c>
      <c r="C91" s="21">
        <v>817393</v>
      </c>
      <c r="D91" s="9" t="str">
        <f>IF(J91=57036,"ALEXANDRE DA COSTA SOARES",IF(J91=24157,"JOSE MAURICIO GOMES TEIXEIRA",IF(J91=24203,"JOSE MAURICIO GOMES TEIXEIRA",IF(J91=24149,"CHRISTIANO MARCONDES DE BARROS LIMA",IF(J91=24137,"CHRISTIANO MARCONDES DE BARROS LIMA",IF(J91=135152,"ENRICO BORTPLUZO CASSIANO",IF(J91=136568,"ENRICO BORTPLUZO CASSIANO", IF(J91=130976,"MARYLIA CARVALHO PONCE",IF(J91=136668,"ALEXANDRE DA COSTA SOARES",IF(J91=52340,"OFFSHORE LISTED",IF(J91=158778,"CLAUDIO DE SOUZA PACINI",IF(J91=159800,"CLAUDIO DE SOUZA PACINI",_xlfn.XLOOKUP(J91,[1]!Tabela33[ID ORACLE],[1]!Tabela33[BROKER],0,0,1)))))))))))))</f>
        <v>FRANCISCO JOSE DIAS CARVALHO</v>
      </c>
      <c r="E91" s="22">
        <f t="shared" si="6"/>
        <v>-142.0800142203</v>
      </c>
      <c r="F91" s="9" t="str">
        <f t="shared" si="7"/>
        <v>REFINITIV</v>
      </c>
      <c r="G91" s="20">
        <f t="shared" si="8"/>
        <v>46143</v>
      </c>
      <c r="H91" s="23">
        <v>1170</v>
      </c>
      <c r="J91" s="41">
        <v>24140</v>
      </c>
      <c r="K91" s="1" t="s">
        <v>42</v>
      </c>
      <c r="L91" s="1" t="s">
        <v>17</v>
      </c>
      <c r="M91" s="29">
        <v>20.849049000000001</v>
      </c>
      <c r="Q91" s="27"/>
      <c r="R91" s="27"/>
      <c r="S91" s="27"/>
      <c r="U91" s="27"/>
    </row>
    <row r="92" spans="1:78" ht="15" customHeight="1" x14ac:dyDescent="0.25">
      <c r="A92" s="9" t="str">
        <f t="shared" si="9"/>
        <v>CUSTO MARKET DATA - MAIO/26-BLOOMBERG-24141</v>
      </c>
      <c r="B92" s="20">
        <v>46143</v>
      </c>
      <c r="C92" s="21">
        <v>817393</v>
      </c>
      <c r="D92" s="9" t="str">
        <f>IF(J92=57036,"ALEXANDRE DA COSTA SOARES",IF(J92=24157,"JOSE MAURICIO GOMES TEIXEIRA",IF(J92=24203,"JOSE MAURICIO GOMES TEIXEIRA",IF(J92=24149,"CHRISTIANO MARCONDES DE BARROS LIMA",IF(J92=24137,"CHRISTIANO MARCONDES DE BARROS LIMA",IF(J92=135152,"ENRICO BORTPLUZO CASSIANO",IF(J92=136568,"ENRICO BORTPLUZO CASSIANO", IF(J92=130976,"MARYLIA CARVALHO PONCE",IF(J92=136668,"ALEXANDRE DA COSTA SOARES",IF(J92=52340,"OFFSHORE LISTED",IF(J92=158778,"CLAUDIO DE SOUZA PACINI",IF(J92=159800,"CLAUDIO DE SOUZA PACINI",_xlfn.XLOOKUP(J92,[1]!Tabela33[ID ORACLE],[1]!Tabela33[BROKER],0,0,1)))))))))))))</f>
        <v>ANTONIO AUGUSTO DAS CHAGAS CARVALHO</v>
      </c>
      <c r="E92" s="22">
        <f t="shared" si="6"/>
        <v>-12200.3577846603</v>
      </c>
      <c r="F92" s="9" t="str">
        <f t="shared" si="7"/>
        <v>BLOOMBERG</v>
      </c>
      <c r="G92" s="20">
        <f t="shared" si="8"/>
        <v>46143</v>
      </c>
      <c r="H92" s="23">
        <v>1170</v>
      </c>
      <c r="J92" s="41">
        <v>24141</v>
      </c>
      <c r="K92" s="1" t="s">
        <v>41</v>
      </c>
      <c r="L92" s="1" t="s">
        <v>12</v>
      </c>
      <c r="M92" s="29">
        <v>2412.6159870000001</v>
      </c>
      <c r="Q92" s="27"/>
      <c r="R92" s="27"/>
      <c r="S92" s="27"/>
      <c r="U92" s="27"/>
    </row>
    <row r="93" spans="1:78" customFormat="1" ht="15" customHeight="1" x14ac:dyDescent="0.25">
      <c r="A93" s="9" t="str">
        <f t="shared" si="9"/>
        <v>CUSTO MARKET DATA - MAIO/26-REFINITIV-24141</v>
      </c>
      <c r="B93" s="20">
        <v>46143</v>
      </c>
      <c r="C93" s="21">
        <v>817393</v>
      </c>
      <c r="D93" s="9" t="str">
        <f>IF(J93=57036,"ALEXANDRE DA COSTA SOARES",IF(J93=24157,"JOSE MAURICIO GOMES TEIXEIRA",IF(J93=24203,"JOSE MAURICIO GOMES TEIXEIRA",IF(J93=24149,"CHRISTIANO MARCONDES DE BARROS LIMA",IF(J93=24137,"CHRISTIANO MARCONDES DE BARROS LIMA",IF(J93=135152,"ENRICO BORTPLUZO CASSIANO",IF(J93=136568,"ENRICO BORTPLUZO CASSIANO", IF(J93=130976,"MARYLIA CARVALHO PONCE",IF(J93=136668,"ALEXANDRE DA COSTA SOARES",IF(J93=52340,"OFFSHORE LISTED",IF(J93=158778,"CLAUDIO DE SOUZA PACINI",IF(J93=159800,"CLAUDIO DE SOUZA PACINI",_xlfn.XLOOKUP(J93,[1]!Tabela33[ID ORACLE],[1]!Tabela33[BROKER],0,0,1)))))))))))))</f>
        <v>ANTONIO AUGUSTO DAS CHAGAS CARVALHO</v>
      </c>
      <c r="E93" s="22">
        <f t="shared" ref="E93:E156" si="10">-IF(L93="BRL",M93,IF(L93="GBP",M93*$R$1,IF(L93="CAD",M93*$T$1,M93*$P$1)))</f>
        <v>-142.0800142203</v>
      </c>
      <c r="F93" s="9" t="str">
        <f t="shared" ref="F93:F156" si="11">IF(UPPER(K93)="Valor Analytics LLC","VALOR",UPPER(K93))</f>
        <v>REFINITIV</v>
      </c>
      <c r="G93" s="20">
        <f t="shared" si="8"/>
        <v>46143</v>
      </c>
      <c r="H93" s="23">
        <v>1170</v>
      </c>
      <c r="J93" s="41">
        <v>24141</v>
      </c>
      <c r="K93" s="1" t="s">
        <v>42</v>
      </c>
      <c r="L93" s="1" t="s">
        <v>17</v>
      </c>
      <c r="M93" s="29">
        <v>20.849049000000001</v>
      </c>
      <c r="O93" s="1"/>
      <c r="P93" s="26"/>
      <c r="Q93" s="27"/>
      <c r="R93" s="27"/>
      <c r="S93" s="27"/>
      <c r="T93" s="26"/>
      <c r="U93" s="27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</row>
    <row r="94" spans="1:78" customFormat="1" ht="15" customHeight="1" x14ac:dyDescent="0.25">
      <c r="A94" s="9" t="str">
        <f t="shared" si="9"/>
        <v>CUSTO MARKET DATA - MAIO/26-BLOOMBERG-24156</v>
      </c>
      <c r="B94" s="20">
        <v>46143</v>
      </c>
      <c r="C94" s="21">
        <v>817393</v>
      </c>
      <c r="D94" s="9" t="str">
        <f>IF(J94=57036,"ALEXANDRE DA COSTA SOARES",IF(J94=24157,"JOSE MAURICIO GOMES TEIXEIRA",IF(J94=24203,"JOSE MAURICIO GOMES TEIXEIRA",IF(J94=24149,"CHRISTIANO MARCONDES DE BARROS LIMA",IF(J94=24137,"CHRISTIANO MARCONDES DE BARROS LIMA",IF(J94=135152,"ENRICO BORTPLUZO CASSIANO",IF(J94=136568,"ENRICO BORTPLUZO CASSIANO", IF(J94=130976,"MARYLIA CARVALHO PONCE",IF(J94=136668,"ALEXANDRE DA COSTA SOARES",IF(J94=52340,"OFFSHORE LISTED",IF(J94=158778,"CLAUDIO DE SOUZA PACINI",IF(J94=159800,"CLAUDIO DE SOUZA PACINI",_xlfn.XLOOKUP(J94,[1]!Tabela33[ID ORACLE],[1]!Tabela33[BROKER],0,0,1)))))))))))))</f>
        <v>JOSE MAURICIO GOMES TEIXEIRA</v>
      </c>
      <c r="E94" s="22">
        <f t="shared" si="10"/>
        <v>-12335.377014660298</v>
      </c>
      <c r="F94" s="9" t="str">
        <f t="shared" si="11"/>
        <v>BLOOMBERG</v>
      </c>
      <c r="G94" s="20">
        <f t="shared" si="8"/>
        <v>46143</v>
      </c>
      <c r="H94" s="23">
        <v>1170</v>
      </c>
      <c r="J94" s="41">
        <v>24156</v>
      </c>
      <c r="K94" s="1" t="s">
        <v>41</v>
      </c>
      <c r="L94" s="1" t="s">
        <v>12</v>
      </c>
      <c r="M94" s="29">
        <v>2439.315987</v>
      </c>
      <c r="O94" s="1"/>
      <c r="P94" s="26"/>
      <c r="Q94" s="27"/>
      <c r="R94" s="27"/>
      <c r="S94" s="27"/>
      <c r="T94" s="26"/>
      <c r="U94" s="27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</row>
    <row r="95" spans="1:78" customFormat="1" ht="15" customHeight="1" x14ac:dyDescent="0.25">
      <c r="A95" s="9" t="str">
        <f t="shared" si="9"/>
        <v>CUSTO MARKET DATA - MAIO/26-REFINITIV-24156</v>
      </c>
      <c r="B95" s="20">
        <v>46143</v>
      </c>
      <c r="C95" s="21">
        <v>817393</v>
      </c>
      <c r="D95" s="9" t="str">
        <f>IF(J95=57036,"ALEXANDRE DA COSTA SOARES",IF(J95=24157,"JOSE MAURICIO GOMES TEIXEIRA",IF(J95=24203,"JOSE MAURICIO GOMES TEIXEIRA",IF(J95=24149,"CHRISTIANO MARCONDES DE BARROS LIMA",IF(J95=24137,"CHRISTIANO MARCONDES DE BARROS LIMA",IF(J95=135152,"ENRICO BORTPLUZO CASSIANO",IF(J95=136568,"ENRICO BORTPLUZO CASSIANO", IF(J95=130976,"MARYLIA CARVALHO PONCE",IF(J95=136668,"ALEXANDRE DA COSTA SOARES",IF(J95=52340,"OFFSHORE LISTED",IF(J95=158778,"CLAUDIO DE SOUZA PACINI",IF(J95=159800,"CLAUDIO DE SOUZA PACINI",_xlfn.XLOOKUP(J95,[1]!Tabela33[ID ORACLE],[1]!Tabela33[BROKER],0,0,1)))))))))))))</f>
        <v>JOSE MAURICIO GOMES TEIXEIRA</v>
      </c>
      <c r="E95" s="22">
        <f t="shared" si="10"/>
        <v>-142.0800142203</v>
      </c>
      <c r="F95" s="9" t="str">
        <f t="shared" si="11"/>
        <v>REFINITIV</v>
      </c>
      <c r="G95" s="20">
        <f t="shared" si="8"/>
        <v>46143</v>
      </c>
      <c r="H95" s="23">
        <v>1170</v>
      </c>
      <c r="J95" s="41">
        <v>24156</v>
      </c>
      <c r="K95" s="1" t="s">
        <v>42</v>
      </c>
      <c r="L95" s="1" t="s">
        <v>17</v>
      </c>
      <c r="M95" s="29">
        <v>20.849049000000001</v>
      </c>
      <c r="O95" s="1"/>
      <c r="P95" s="26"/>
      <c r="Q95" s="27"/>
      <c r="R95" s="27"/>
      <c r="S95" s="27"/>
      <c r="T95" s="26"/>
      <c r="U95" s="27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</row>
    <row r="96" spans="1:78" customFormat="1" ht="15" customHeight="1" x14ac:dyDescent="0.25">
      <c r="A96" s="9" t="str">
        <f t="shared" si="9"/>
        <v>CUSTO MARKET DATA - MAIO/26-BLOOMBERG-24157</v>
      </c>
      <c r="B96" s="20">
        <v>46143</v>
      </c>
      <c r="C96" s="21">
        <v>817393</v>
      </c>
      <c r="D96" s="9" t="str">
        <f>IF(J96=57036,"ALEXANDRE DA COSTA SOARES",IF(J96=24157,"JOSE MAURICIO GOMES TEIXEIRA",IF(J96=24203,"JOSE MAURICIO GOMES TEIXEIRA",IF(J96=24149,"CHRISTIANO MARCONDES DE BARROS LIMA",IF(J96=24137,"CHRISTIANO MARCONDES DE BARROS LIMA",IF(J96=135152,"ENRICO BORTPLUZO CASSIANO",IF(J96=136568,"ENRICO BORTPLUZO CASSIANO", IF(J96=130976,"MARYLIA CARVALHO PONCE",IF(J96=136668,"ALEXANDRE DA COSTA SOARES",IF(J96=52340,"OFFSHORE LISTED",IF(J96=158778,"CLAUDIO DE SOUZA PACINI",IF(J96=159800,"CLAUDIO DE SOUZA PACINI",_xlfn.XLOOKUP(J96,[1]!Tabela33[ID ORACLE],[1]!Tabela33[BROKER],0,0,1)))))))))))))</f>
        <v>JOSE MAURICIO GOMES TEIXEIRA</v>
      </c>
      <c r="E96" s="22">
        <f t="shared" si="10"/>
        <v>-12200.3577846603</v>
      </c>
      <c r="F96" s="9" t="str">
        <f t="shared" si="11"/>
        <v>BLOOMBERG</v>
      </c>
      <c r="G96" s="20">
        <f t="shared" si="8"/>
        <v>46143</v>
      </c>
      <c r="H96" s="23">
        <v>1170</v>
      </c>
      <c r="J96" s="41">
        <v>24157</v>
      </c>
      <c r="K96" s="1" t="s">
        <v>41</v>
      </c>
      <c r="L96" s="1" t="s">
        <v>12</v>
      </c>
      <c r="M96" s="29">
        <v>2412.6159870000001</v>
      </c>
      <c r="O96" s="1"/>
      <c r="P96" s="26"/>
      <c r="Q96" s="27"/>
      <c r="R96" s="27"/>
      <c r="S96" s="27"/>
      <c r="T96" s="26"/>
      <c r="U96" s="27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</row>
    <row r="97" spans="1:78" customFormat="1" ht="15" customHeight="1" x14ac:dyDescent="0.25">
      <c r="A97" s="9" t="str">
        <f t="shared" si="9"/>
        <v>CUSTO MARKET DATA - MAIO/26-REFINITIV-24157</v>
      </c>
      <c r="B97" s="20">
        <v>46143</v>
      </c>
      <c r="C97" s="21">
        <v>817393</v>
      </c>
      <c r="D97" s="9" t="str">
        <f>IF(J97=57036,"ALEXANDRE DA COSTA SOARES",IF(J97=24157,"JOSE MAURICIO GOMES TEIXEIRA",IF(J97=24203,"JOSE MAURICIO GOMES TEIXEIRA",IF(J97=24149,"CHRISTIANO MARCONDES DE BARROS LIMA",IF(J97=24137,"CHRISTIANO MARCONDES DE BARROS LIMA",IF(J97=135152,"ENRICO BORTPLUZO CASSIANO",IF(J97=136568,"ENRICO BORTPLUZO CASSIANO", IF(J97=130976,"MARYLIA CARVALHO PONCE",IF(J97=136668,"ALEXANDRE DA COSTA SOARES",IF(J97=52340,"OFFSHORE LISTED",IF(J97=158778,"CLAUDIO DE SOUZA PACINI",IF(J97=159800,"CLAUDIO DE SOUZA PACINI",_xlfn.XLOOKUP(J97,[1]!Tabela33[ID ORACLE],[1]!Tabela33[BROKER],0,0,1)))))))))))))</f>
        <v>JOSE MAURICIO GOMES TEIXEIRA</v>
      </c>
      <c r="E97" s="22">
        <f t="shared" si="10"/>
        <v>-732.70265564140004</v>
      </c>
      <c r="F97" s="9" t="str">
        <f t="shared" si="11"/>
        <v>REFINITIV</v>
      </c>
      <c r="G97" s="20">
        <f t="shared" si="8"/>
        <v>46143</v>
      </c>
      <c r="H97" s="23">
        <v>1170</v>
      </c>
      <c r="J97" s="41">
        <v>24157</v>
      </c>
      <c r="K97" s="1" t="s">
        <v>42</v>
      </c>
      <c r="L97" s="1" t="s">
        <v>17</v>
      </c>
      <c r="M97" s="29">
        <v>107.51796200000001</v>
      </c>
      <c r="O97" s="1"/>
      <c r="P97" s="26"/>
      <c r="Q97" s="27"/>
      <c r="R97" s="27"/>
      <c r="S97" s="27"/>
      <c r="T97" s="26"/>
      <c r="U97" s="27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</row>
    <row r="98" spans="1:78" customFormat="1" ht="15" customHeight="1" x14ac:dyDescent="0.25">
      <c r="A98" s="9" t="str">
        <f t="shared" si="9"/>
        <v>CUSTO MARKET DATA - MAIO/26-REFINITIV-24170</v>
      </c>
      <c r="B98" s="20">
        <v>46143</v>
      </c>
      <c r="C98" s="21">
        <v>817393</v>
      </c>
      <c r="D98" s="9" t="str">
        <f>IF(J98=57036,"ALEXANDRE DA COSTA SOARES",IF(J98=24157,"JOSE MAURICIO GOMES TEIXEIRA",IF(J98=24203,"JOSE MAURICIO GOMES TEIXEIRA",IF(J98=24149,"CHRISTIANO MARCONDES DE BARROS LIMA",IF(J98=24137,"CHRISTIANO MARCONDES DE BARROS LIMA",IF(J98=135152,"ENRICO BORTPLUZO CASSIANO",IF(J98=136568,"ENRICO BORTPLUZO CASSIANO", IF(J98=130976,"MARYLIA CARVALHO PONCE",IF(J98=136668,"ALEXANDRE DA COSTA SOARES",IF(J98=52340,"OFFSHORE LISTED",IF(J98=158778,"CLAUDIO DE SOUZA PACINI",IF(J98=159800,"CLAUDIO DE SOUZA PACINI",_xlfn.XLOOKUP(J98,[1]!Tabela33[ID ORACLE],[1]!Tabela33[BROKER],0,0,1)))))))))))))</f>
        <v>ANDREA LICASSIA ALMEIDA SANTOS</v>
      </c>
      <c r="E98" s="22">
        <f t="shared" si="10"/>
        <v>-142.0800142203</v>
      </c>
      <c r="F98" s="9" t="str">
        <f t="shared" si="11"/>
        <v>REFINITIV</v>
      </c>
      <c r="G98" s="20">
        <f t="shared" si="8"/>
        <v>46143</v>
      </c>
      <c r="H98" s="23">
        <v>1170</v>
      </c>
      <c r="J98" s="41">
        <v>24170</v>
      </c>
      <c r="K98" s="1" t="s">
        <v>42</v>
      </c>
      <c r="L98" s="1" t="s">
        <v>17</v>
      </c>
      <c r="M98" s="29">
        <v>20.849049000000001</v>
      </c>
      <c r="O98" s="1"/>
      <c r="P98" s="26"/>
      <c r="Q98" s="27"/>
      <c r="R98" s="27"/>
      <c r="S98" s="27"/>
      <c r="T98" s="26"/>
      <c r="U98" s="27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</row>
    <row r="99" spans="1:78" customFormat="1" ht="15" customHeight="1" x14ac:dyDescent="0.25">
      <c r="A99" s="9" t="str">
        <f t="shared" si="9"/>
        <v>CUSTO MARKET DATA - MAIO/26-BLOOMBERG-24182</v>
      </c>
      <c r="B99" s="20">
        <v>46143</v>
      </c>
      <c r="C99" s="21">
        <v>817393</v>
      </c>
      <c r="D99" s="9" t="str">
        <f>IF(J99=57036,"ALEXANDRE DA COSTA SOARES",IF(J99=24157,"JOSE MAURICIO GOMES TEIXEIRA",IF(J99=24203,"JOSE MAURICIO GOMES TEIXEIRA",IF(J99=24149,"CHRISTIANO MARCONDES DE BARROS LIMA",IF(J99=24137,"CHRISTIANO MARCONDES DE BARROS LIMA",IF(J99=135152,"ENRICO BORTPLUZO CASSIANO",IF(J99=136568,"ENRICO BORTPLUZO CASSIANO", IF(J99=130976,"MARYLIA CARVALHO PONCE",IF(J99=136668,"ALEXANDRE DA COSTA SOARES",IF(J99=52340,"OFFSHORE LISTED",IF(J99=158778,"CLAUDIO DE SOUZA PACINI",IF(J99=159800,"CLAUDIO DE SOUZA PACINI",_xlfn.XLOOKUP(J99,[1]!Tabela33[ID ORACLE],[1]!Tabela33[BROKER],0,0,1)))))))))))))</f>
        <v>ANTONIO AGIZ FILHO</v>
      </c>
      <c r="E99" s="22">
        <f t="shared" si="10"/>
        <v>-11265.842664660298</v>
      </c>
      <c r="F99" s="9" t="str">
        <f t="shared" si="11"/>
        <v>BLOOMBERG</v>
      </c>
      <c r="G99" s="20">
        <f t="shared" si="8"/>
        <v>46143</v>
      </c>
      <c r="H99" s="23">
        <v>1170</v>
      </c>
      <c r="J99" s="41">
        <v>24182</v>
      </c>
      <c r="K99" s="1" t="s">
        <v>41</v>
      </c>
      <c r="L99" s="1" t="s">
        <v>12</v>
      </c>
      <c r="M99" s="29">
        <v>2227.815987</v>
      </c>
      <c r="O99" s="1"/>
      <c r="P99" s="26"/>
      <c r="Q99" s="27"/>
      <c r="R99" s="27"/>
      <c r="S99" s="27"/>
      <c r="T99" s="26"/>
      <c r="U99" s="27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</row>
    <row r="100" spans="1:78" customFormat="1" ht="15" customHeight="1" x14ac:dyDescent="0.25">
      <c r="A100" s="9" t="str">
        <f t="shared" si="9"/>
        <v>CUSTO MARKET DATA - MAIO/26-REFINITIV-24183</v>
      </c>
      <c r="B100" s="20">
        <v>46143</v>
      </c>
      <c r="C100" s="21">
        <v>817393</v>
      </c>
      <c r="D100" s="9" t="str">
        <f>IF(J100=57036,"ALEXANDRE DA COSTA SOARES",IF(J100=24157,"JOSE MAURICIO GOMES TEIXEIRA",IF(J100=24203,"JOSE MAURICIO GOMES TEIXEIRA",IF(J100=24149,"CHRISTIANO MARCONDES DE BARROS LIMA",IF(J100=24137,"CHRISTIANO MARCONDES DE BARROS LIMA",IF(J100=135152,"ENRICO BORTPLUZO CASSIANO",IF(J100=136568,"ENRICO BORTPLUZO CASSIANO", IF(J100=130976,"MARYLIA CARVALHO PONCE",IF(J100=136668,"ALEXANDRE DA COSTA SOARES",IF(J100=52340,"OFFSHORE LISTED",IF(J100=158778,"CLAUDIO DE SOUZA PACINI",IF(J100=159800,"CLAUDIO DE SOUZA PACINI",_xlfn.XLOOKUP(J100,[1]!Tabela33[ID ORACLE],[1]!Tabela33[BROKER],0,0,1)))))))))))))</f>
        <v>CARLA REGINA DE SOUZA CARREIRA</v>
      </c>
      <c r="E100" s="22">
        <f t="shared" si="10"/>
        <v>-142.0800142203</v>
      </c>
      <c r="F100" s="9" t="str">
        <f t="shared" si="11"/>
        <v>REFINITIV</v>
      </c>
      <c r="G100" s="20">
        <f t="shared" si="8"/>
        <v>46143</v>
      </c>
      <c r="H100" s="23">
        <v>1170</v>
      </c>
      <c r="J100" s="41">
        <v>24183</v>
      </c>
      <c r="K100" s="1" t="s">
        <v>42</v>
      </c>
      <c r="L100" s="1" t="s">
        <v>17</v>
      </c>
      <c r="M100" s="29">
        <v>20.849049000000001</v>
      </c>
      <c r="O100" s="1"/>
      <c r="P100" s="26"/>
      <c r="Q100" s="27"/>
      <c r="R100" s="27"/>
      <c r="S100" s="27"/>
      <c r="T100" s="26"/>
      <c r="U100" s="27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</row>
    <row r="101" spans="1:78" customFormat="1" ht="15" customHeight="1" x14ac:dyDescent="0.25">
      <c r="A101" s="9" t="str">
        <f t="shared" si="9"/>
        <v>CUSTO MARKET DATA - MAIO/26-BLOOMBERG-24184</v>
      </c>
      <c r="B101" s="20">
        <v>46143</v>
      </c>
      <c r="C101" s="21">
        <v>817393</v>
      </c>
      <c r="D101" s="9" t="str">
        <f>IF(J101=57036,"ALEXANDRE DA COSTA SOARES",IF(J101=24157,"JOSE MAURICIO GOMES TEIXEIRA",IF(J101=24203,"JOSE MAURICIO GOMES TEIXEIRA",IF(J101=24149,"CHRISTIANO MARCONDES DE BARROS LIMA",IF(J101=24137,"CHRISTIANO MARCONDES DE BARROS LIMA",IF(J101=135152,"ENRICO BORTPLUZO CASSIANO",IF(J101=136568,"ENRICO BORTPLUZO CASSIANO", IF(J101=130976,"MARYLIA CARVALHO PONCE",IF(J101=136668,"ALEXANDRE DA COSTA SOARES",IF(J101=52340,"OFFSHORE LISTED",IF(J101=158778,"CLAUDIO DE SOUZA PACINI",IF(J101=159800,"CLAUDIO DE SOUZA PACINI",_xlfn.XLOOKUP(J101,[1]!Tabela33[ID ORACLE],[1]!Tabela33[BROKER],0,0,1)))))))))))))</f>
        <v>CHRISTIANO MARCONDES DE BARROS LIMA</v>
      </c>
      <c r="E101" s="22">
        <f t="shared" si="10"/>
        <v>-12395.048434660301</v>
      </c>
      <c r="F101" s="9" t="str">
        <f t="shared" si="11"/>
        <v>BLOOMBERG</v>
      </c>
      <c r="G101" s="20">
        <f t="shared" si="8"/>
        <v>46143</v>
      </c>
      <c r="H101" s="23">
        <v>1170</v>
      </c>
      <c r="J101" s="41">
        <v>24184</v>
      </c>
      <c r="K101" s="1" t="s">
        <v>41</v>
      </c>
      <c r="L101" s="1" t="s">
        <v>12</v>
      </c>
      <c r="M101" s="29">
        <v>2451.1159870000001</v>
      </c>
      <c r="O101" s="1"/>
      <c r="P101" s="26"/>
      <c r="Q101" s="27"/>
      <c r="R101" s="27"/>
      <c r="S101" s="27"/>
      <c r="T101" s="26"/>
      <c r="U101" s="27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</row>
    <row r="102" spans="1:78" customFormat="1" ht="15" customHeight="1" x14ac:dyDescent="0.25">
      <c r="A102" s="9" t="str">
        <f t="shared" si="9"/>
        <v>CUSTO MARKET DATA - MAIO/26-REFINITIV-24184</v>
      </c>
      <c r="B102" s="20">
        <v>46143</v>
      </c>
      <c r="C102" s="21">
        <v>817393</v>
      </c>
      <c r="D102" s="9" t="str">
        <f>IF(J102=57036,"ALEXANDRE DA COSTA SOARES",IF(J102=24157,"JOSE MAURICIO GOMES TEIXEIRA",IF(J102=24203,"JOSE MAURICIO GOMES TEIXEIRA",IF(J102=24149,"CHRISTIANO MARCONDES DE BARROS LIMA",IF(J102=24137,"CHRISTIANO MARCONDES DE BARROS LIMA",IF(J102=135152,"ENRICO BORTPLUZO CASSIANO",IF(J102=136568,"ENRICO BORTPLUZO CASSIANO", IF(J102=130976,"MARYLIA CARVALHO PONCE",IF(J102=136668,"ALEXANDRE DA COSTA SOARES",IF(J102=52340,"OFFSHORE LISTED",IF(J102=158778,"CLAUDIO DE SOUZA PACINI",IF(J102=159800,"CLAUDIO DE SOUZA PACINI",_xlfn.XLOOKUP(J102,[1]!Tabela33[ID ORACLE],[1]!Tabela33[BROKER],0,0,1)))))))))))))</f>
        <v>CHRISTIANO MARCONDES DE BARROS LIMA</v>
      </c>
      <c r="E102" s="22">
        <f t="shared" si="10"/>
        <v>-142.0800142203</v>
      </c>
      <c r="F102" s="9" t="str">
        <f t="shared" si="11"/>
        <v>REFINITIV</v>
      </c>
      <c r="G102" s="20">
        <f t="shared" si="8"/>
        <v>46143</v>
      </c>
      <c r="H102" s="23">
        <v>1170</v>
      </c>
      <c r="J102" s="41">
        <v>24184</v>
      </c>
      <c r="K102" s="1" t="s">
        <v>42</v>
      </c>
      <c r="L102" s="1" t="s">
        <v>17</v>
      </c>
      <c r="M102" s="29">
        <v>20.849049000000001</v>
      </c>
      <c r="O102" s="1"/>
      <c r="P102" s="26"/>
      <c r="Q102" s="27"/>
      <c r="R102" s="27"/>
      <c r="S102" s="27"/>
      <c r="T102" s="26"/>
      <c r="U102" s="27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</row>
    <row r="103" spans="1:78" customFormat="1" ht="15" customHeight="1" x14ac:dyDescent="0.25">
      <c r="A103" s="9" t="str">
        <f t="shared" si="9"/>
        <v>CUSTO MARKET DATA - MAIO/26-REFINITIV-24189</v>
      </c>
      <c r="B103" s="20">
        <v>46143</v>
      </c>
      <c r="C103" s="21">
        <v>817393</v>
      </c>
      <c r="D103" s="9" t="str">
        <f>IF(J103=57036,"ALEXANDRE DA COSTA SOARES",IF(J103=24157,"JOSE MAURICIO GOMES TEIXEIRA",IF(J103=24203,"JOSE MAURICIO GOMES TEIXEIRA",IF(J103=24149,"CHRISTIANO MARCONDES DE BARROS LIMA",IF(J103=24137,"CHRISTIANO MARCONDES DE BARROS LIMA",IF(J103=135152,"ENRICO BORTPLUZO CASSIANO",IF(J103=136568,"ENRICO BORTPLUZO CASSIANO", IF(J103=130976,"MARYLIA CARVALHO PONCE",IF(J103=136668,"ALEXANDRE DA COSTA SOARES",IF(J103=52340,"OFFSHORE LISTED",IF(J103=158778,"CLAUDIO DE SOUZA PACINI",IF(J103=159800,"CLAUDIO DE SOUZA PACINI",_xlfn.XLOOKUP(J103,[1]!Tabela33[ID ORACLE],[1]!Tabela33[BROKER],0,0,1)))))))))))))</f>
        <v>VINICIUS AMARAL DE MOURA</v>
      </c>
      <c r="E103" s="22">
        <f t="shared" si="10"/>
        <v>-142.0800142203</v>
      </c>
      <c r="F103" s="9" t="str">
        <f t="shared" si="11"/>
        <v>REFINITIV</v>
      </c>
      <c r="G103" s="20">
        <f t="shared" si="8"/>
        <v>46143</v>
      </c>
      <c r="H103" s="23">
        <v>1170</v>
      </c>
      <c r="J103" s="41">
        <v>24189</v>
      </c>
      <c r="K103" s="1" t="s">
        <v>42</v>
      </c>
      <c r="L103" s="1" t="s">
        <v>17</v>
      </c>
      <c r="M103" s="29">
        <v>20.849049000000001</v>
      </c>
      <c r="O103" s="1"/>
      <c r="P103" s="26"/>
      <c r="Q103" s="27"/>
      <c r="R103" s="27"/>
      <c r="S103" s="27"/>
      <c r="T103" s="26"/>
      <c r="U103" s="27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</row>
    <row r="104" spans="1:78" customFormat="1" ht="15" customHeight="1" x14ac:dyDescent="0.25">
      <c r="A104" s="9" t="str">
        <f t="shared" si="9"/>
        <v>CUSTO MARKET DATA - MAIO/26-REFINITIV-24199</v>
      </c>
      <c r="B104" s="20">
        <v>46143</v>
      </c>
      <c r="C104" s="21">
        <v>817393</v>
      </c>
      <c r="D104" s="9" t="str">
        <f>IF(J104=57036,"ALEXANDRE DA COSTA SOARES",IF(J104=24157,"JOSE MAURICIO GOMES TEIXEIRA",IF(J104=24203,"JOSE MAURICIO GOMES TEIXEIRA",IF(J104=24149,"CHRISTIANO MARCONDES DE BARROS LIMA",IF(J104=24137,"CHRISTIANO MARCONDES DE BARROS LIMA",IF(J104=135152,"ENRICO BORTPLUZO CASSIANO",IF(J104=136568,"ENRICO BORTPLUZO CASSIANO", IF(J104=130976,"MARYLIA CARVALHO PONCE",IF(J104=136668,"ALEXANDRE DA COSTA SOARES",IF(J104=52340,"OFFSHORE LISTED",IF(J104=158778,"CLAUDIO DE SOUZA PACINI",IF(J104=159800,"CLAUDIO DE SOUZA PACINI",_xlfn.XLOOKUP(J104,[1]!Tabela33[ID ORACLE],[1]!Tabela33[BROKER],0,0,1)))))))))))))</f>
        <v>RICARDO FERREIRA DA COSTA</v>
      </c>
      <c r="E104" s="22">
        <f t="shared" si="10"/>
        <v>-142.0800142203</v>
      </c>
      <c r="F104" s="9" t="str">
        <f t="shared" si="11"/>
        <v>REFINITIV</v>
      </c>
      <c r="G104" s="20">
        <f t="shared" si="8"/>
        <v>46143</v>
      </c>
      <c r="H104" s="23">
        <v>1170</v>
      </c>
      <c r="J104" s="41">
        <v>24199</v>
      </c>
      <c r="K104" s="1" t="s">
        <v>42</v>
      </c>
      <c r="L104" s="1" t="s">
        <v>17</v>
      </c>
      <c r="M104" s="29">
        <v>20.849049000000001</v>
      </c>
      <c r="O104" s="1"/>
      <c r="P104" s="26"/>
      <c r="Q104" s="27"/>
      <c r="R104" s="27"/>
      <c r="S104" s="27"/>
      <c r="T104" s="26"/>
      <c r="U104" s="27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</row>
    <row r="105" spans="1:78" customFormat="1" ht="15" customHeight="1" x14ac:dyDescent="0.25">
      <c r="A105" s="9" t="str">
        <f t="shared" si="9"/>
        <v>CUSTO MARKET DATA - MAIO/26-BLOOMBERG-24203</v>
      </c>
      <c r="B105" s="20">
        <v>46143</v>
      </c>
      <c r="C105" s="21">
        <v>817393</v>
      </c>
      <c r="D105" s="9" t="str">
        <f>IF(J105=57036,"ALEXANDRE DA COSTA SOARES",IF(J105=24157,"JOSE MAURICIO GOMES TEIXEIRA",IF(J105=24203,"JOSE MAURICIO GOMES TEIXEIRA",IF(J105=24149,"CHRISTIANO MARCONDES DE BARROS LIMA",IF(J105=24137,"CHRISTIANO MARCONDES DE BARROS LIMA",IF(J105=135152,"ENRICO BORTPLUZO CASSIANO",IF(J105=136568,"ENRICO BORTPLUZO CASSIANO", IF(J105=130976,"MARYLIA CARVALHO PONCE",IF(J105=136668,"ALEXANDRE DA COSTA SOARES",IF(J105=52340,"OFFSHORE LISTED",IF(J105=158778,"CLAUDIO DE SOUZA PACINI",IF(J105=159800,"CLAUDIO DE SOUZA PACINI",_xlfn.XLOOKUP(J105,[1]!Tabela33[ID ORACLE],[1]!Tabela33[BROKER],0,0,1)))))))))))))</f>
        <v>JOSE MAURICIO GOMES TEIXEIRA</v>
      </c>
      <c r="E105" s="22">
        <f t="shared" si="10"/>
        <v>-12200.3577846603</v>
      </c>
      <c r="F105" s="9" t="str">
        <f t="shared" si="11"/>
        <v>BLOOMBERG</v>
      </c>
      <c r="G105" s="20">
        <f t="shared" si="8"/>
        <v>46143</v>
      </c>
      <c r="H105" s="23">
        <v>1170</v>
      </c>
      <c r="J105" s="41">
        <v>24203</v>
      </c>
      <c r="K105" s="1" t="s">
        <v>41</v>
      </c>
      <c r="L105" s="1" t="s">
        <v>12</v>
      </c>
      <c r="M105" s="29">
        <v>2412.6159870000001</v>
      </c>
      <c r="O105" s="1"/>
      <c r="P105" s="26"/>
      <c r="Q105" s="27"/>
      <c r="R105" s="27"/>
      <c r="S105" s="28"/>
      <c r="T105" s="26"/>
      <c r="U105" s="28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</row>
    <row r="106" spans="1:78" customFormat="1" ht="15" customHeight="1" x14ac:dyDescent="0.25">
      <c r="A106" s="9" t="str">
        <f t="shared" si="9"/>
        <v>CUSTO MARKET DATA - MAIO/26-REFINITIV-24237</v>
      </c>
      <c r="B106" s="20">
        <v>46143</v>
      </c>
      <c r="C106" s="21">
        <v>817393</v>
      </c>
      <c r="D106" s="9" t="str">
        <f>IF(J106=57036,"ALEXANDRE DA COSTA SOARES",IF(J106=24157,"JOSE MAURICIO GOMES TEIXEIRA",IF(J106=24203,"JOSE MAURICIO GOMES TEIXEIRA",IF(J106=24149,"CHRISTIANO MARCONDES DE BARROS LIMA",IF(J106=24137,"CHRISTIANO MARCONDES DE BARROS LIMA",IF(J106=135152,"ENRICO BORTPLUZO CASSIANO",IF(J106=136568,"ENRICO BORTPLUZO CASSIANO", IF(J106=130976,"MARYLIA CARVALHO PONCE",IF(J106=136668,"ALEXANDRE DA COSTA SOARES",IF(J106=52340,"OFFSHORE LISTED",IF(J106=158778,"CLAUDIO DE SOUZA PACINI",IF(J106=159800,"CLAUDIO DE SOUZA PACINI",_xlfn.XLOOKUP(J106,[1]!Tabela33[ID ORACLE],[1]!Tabela33[BROKER],0,0,1)))))))))))))</f>
        <v>EDUARDO TADEU CARAPIA UTTEMBERG</v>
      </c>
      <c r="E106" s="22">
        <f t="shared" si="10"/>
        <v>-142.0800142203</v>
      </c>
      <c r="F106" s="9" t="str">
        <f t="shared" si="11"/>
        <v>REFINITIV</v>
      </c>
      <c r="G106" s="20">
        <f t="shared" si="8"/>
        <v>46143</v>
      </c>
      <c r="H106" s="23">
        <v>1170</v>
      </c>
      <c r="J106" s="41">
        <v>24237</v>
      </c>
      <c r="K106" s="1" t="s">
        <v>42</v>
      </c>
      <c r="L106" s="1" t="s">
        <v>17</v>
      </c>
      <c r="M106" s="29">
        <v>20.849049000000001</v>
      </c>
      <c r="O106" s="1"/>
      <c r="P106" s="26"/>
      <c r="Q106" s="27"/>
      <c r="R106" s="27"/>
      <c r="S106" s="28"/>
      <c r="T106" s="26"/>
      <c r="U106" s="28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</row>
    <row r="107" spans="1:78" customFormat="1" ht="15" customHeight="1" x14ac:dyDescent="0.25">
      <c r="A107" s="9" t="str">
        <f t="shared" si="9"/>
        <v>CUSTO MARKET DATA - MAIO/26-BLOOMBERG-24243</v>
      </c>
      <c r="B107" s="20">
        <v>46143</v>
      </c>
      <c r="C107" s="21">
        <v>817393</v>
      </c>
      <c r="D107" s="9" t="str">
        <f>IF(J107=57036,"ALEXANDRE DA COSTA SOARES",IF(J107=24157,"JOSE MAURICIO GOMES TEIXEIRA",IF(J107=24203,"JOSE MAURICIO GOMES TEIXEIRA",IF(J107=24149,"CHRISTIANO MARCONDES DE BARROS LIMA",IF(J107=24137,"CHRISTIANO MARCONDES DE BARROS LIMA",IF(J107=135152,"ENRICO BORTPLUZO CASSIANO",IF(J107=136568,"ENRICO BORTPLUZO CASSIANO", IF(J107=130976,"MARYLIA CARVALHO PONCE",IF(J107=136668,"ALEXANDRE DA COSTA SOARES",IF(J107=52340,"OFFSHORE LISTED",IF(J107=158778,"CLAUDIO DE SOUZA PACINI",IF(J107=159800,"CLAUDIO DE SOUZA PACINI",_xlfn.XLOOKUP(J107,[1]!Tabela33[ID ORACLE],[1]!Tabela33[BROKER],0,0,1)))))))))))))</f>
        <v>JOSÉ VERGARA</v>
      </c>
      <c r="E107" s="22">
        <f t="shared" si="10"/>
        <v>-11404.9074146603</v>
      </c>
      <c r="F107" s="9" t="str">
        <f t="shared" si="11"/>
        <v>BLOOMBERG</v>
      </c>
      <c r="G107" s="20">
        <f t="shared" si="8"/>
        <v>46143</v>
      </c>
      <c r="H107" s="23">
        <v>1170</v>
      </c>
      <c r="J107" s="41">
        <v>24243</v>
      </c>
      <c r="K107" s="1" t="s">
        <v>41</v>
      </c>
      <c r="L107" s="1" t="s">
        <v>12</v>
      </c>
      <c r="M107" s="29">
        <v>2255.315987</v>
      </c>
      <c r="O107" s="1"/>
      <c r="P107" s="26"/>
      <c r="Q107" s="27"/>
      <c r="R107" s="27"/>
      <c r="S107" s="28"/>
      <c r="T107" s="26"/>
      <c r="U107" s="28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</row>
    <row r="108" spans="1:78" customFormat="1" ht="15" customHeight="1" x14ac:dyDescent="0.25">
      <c r="A108" s="9" t="str">
        <f t="shared" si="9"/>
        <v>CUSTO MARKET DATA - MAIO/26-BLOOMBERG-36538</v>
      </c>
      <c r="B108" s="20">
        <v>46143</v>
      </c>
      <c r="C108" s="21">
        <v>817393</v>
      </c>
      <c r="D108" s="9" t="str">
        <f>IF(J108=57036,"ALEXANDRE DA COSTA SOARES",IF(J108=24157,"JOSE MAURICIO GOMES TEIXEIRA",IF(J108=24203,"JOSE MAURICIO GOMES TEIXEIRA",IF(J108=24149,"CHRISTIANO MARCONDES DE BARROS LIMA",IF(J108=24137,"CHRISTIANO MARCONDES DE BARROS LIMA",IF(J108=135152,"ENRICO BORTPLUZO CASSIANO",IF(J108=136568,"ENRICO BORTPLUZO CASSIANO", IF(J108=130976,"MARYLIA CARVALHO PONCE",IF(J108=136668,"ALEXANDRE DA COSTA SOARES",IF(J108=52340,"OFFSHORE LISTED",IF(J108=158778,"CLAUDIO DE SOUZA PACINI",IF(J108=159800,"CLAUDIO DE SOUZA PACINI",_xlfn.XLOOKUP(J108,[1]!Tabela33[ID ORACLE],[1]!Tabela33[BROKER],0,0,1)))))))))))))</f>
        <v>CLYBAS PINTO FERRAZ NETO</v>
      </c>
      <c r="E108" s="22">
        <f t="shared" si="10"/>
        <v>-11404.9074146603</v>
      </c>
      <c r="F108" s="9" t="str">
        <f t="shared" si="11"/>
        <v>BLOOMBERG</v>
      </c>
      <c r="G108" s="20">
        <f t="shared" si="8"/>
        <v>46143</v>
      </c>
      <c r="H108" s="23">
        <v>1170</v>
      </c>
      <c r="J108" s="41">
        <v>36538</v>
      </c>
      <c r="K108" s="1" t="s">
        <v>41</v>
      </c>
      <c r="L108" s="1" t="s">
        <v>12</v>
      </c>
      <c r="M108" s="29">
        <v>2255.315987</v>
      </c>
      <c r="O108" s="1"/>
      <c r="P108" s="26"/>
      <c r="Q108" s="27"/>
      <c r="R108" s="27"/>
      <c r="S108" s="28"/>
      <c r="T108" s="26"/>
      <c r="U108" s="28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</row>
    <row r="109" spans="1:78" customFormat="1" ht="15" customHeight="1" x14ac:dyDescent="0.25">
      <c r="A109" s="9" t="str">
        <f t="shared" si="9"/>
        <v>CUSTO MARKET DATA - MAIO/26-REFINITIV-36538</v>
      </c>
      <c r="B109" s="20">
        <v>46143</v>
      </c>
      <c r="C109" s="21">
        <v>817393</v>
      </c>
      <c r="D109" s="9" t="str">
        <f>IF(J109=57036,"ALEXANDRE DA COSTA SOARES",IF(J109=24157,"JOSE MAURICIO GOMES TEIXEIRA",IF(J109=24203,"JOSE MAURICIO GOMES TEIXEIRA",IF(J109=24149,"CHRISTIANO MARCONDES DE BARROS LIMA",IF(J109=24137,"CHRISTIANO MARCONDES DE BARROS LIMA",IF(J109=135152,"ENRICO BORTPLUZO CASSIANO",IF(J109=136568,"ENRICO BORTPLUZO CASSIANO", IF(J109=130976,"MARYLIA CARVALHO PONCE",IF(J109=136668,"ALEXANDRE DA COSTA SOARES",IF(J109=52340,"OFFSHORE LISTED",IF(J109=158778,"CLAUDIO DE SOUZA PACINI",IF(J109=159800,"CLAUDIO DE SOUZA PACINI",_xlfn.XLOOKUP(J109,[1]!Tabela33[ID ORACLE],[1]!Tabela33[BROKER],0,0,1)))))))))))))</f>
        <v>CLYBAS PINTO FERRAZ NETO</v>
      </c>
      <c r="E109" s="22">
        <f t="shared" si="10"/>
        <v>-142.0800142203</v>
      </c>
      <c r="F109" s="9" t="str">
        <f t="shared" si="11"/>
        <v>REFINITIV</v>
      </c>
      <c r="G109" s="20">
        <f t="shared" si="8"/>
        <v>46143</v>
      </c>
      <c r="H109" s="23">
        <v>1170</v>
      </c>
      <c r="J109" s="41">
        <v>36538</v>
      </c>
      <c r="K109" s="1" t="s">
        <v>42</v>
      </c>
      <c r="L109" s="1" t="s">
        <v>17</v>
      </c>
      <c r="M109" s="29">
        <v>20.849049000000001</v>
      </c>
      <c r="O109" s="1"/>
      <c r="P109" s="26"/>
      <c r="Q109" s="27"/>
      <c r="R109" s="27"/>
      <c r="S109" s="28"/>
      <c r="T109" s="26"/>
      <c r="U109" s="28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</row>
    <row r="110" spans="1:78" customFormat="1" ht="15" customHeight="1" x14ac:dyDescent="0.25">
      <c r="A110" s="9" t="str">
        <f t="shared" si="9"/>
        <v>CUSTO MARKET DATA - MAIO/26-BLOOMBERG-52340</v>
      </c>
      <c r="B110" s="20">
        <v>46143</v>
      </c>
      <c r="C110" s="21">
        <v>817393</v>
      </c>
      <c r="D110" s="9" t="str">
        <f>IF(J110=57036,"ALEXANDRE DA COSTA SOARES",IF(J110=24157,"JOSE MAURICIO GOMES TEIXEIRA",IF(J110=24203,"JOSE MAURICIO GOMES TEIXEIRA",IF(J110=24149,"CHRISTIANO MARCONDES DE BARROS LIMA",IF(J110=24137,"CHRISTIANO MARCONDES DE BARROS LIMA",IF(J110=135152,"ENRICO BORTPLUZO CASSIANO",IF(J110=136568,"ENRICO BORTPLUZO CASSIANO", IF(J110=130976,"MARYLIA CARVALHO PONCE",IF(J110=136668,"ALEXANDRE DA COSTA SOARES",IF(J110=52340,"OFFSHORE LISTED",IF(J110=158778,"CLAUDIO DE SOUZA PACINI",IF(J110=159800,"CLAUDIO DE SOUZA PACINI",_xlfn.XLOOKUP(J110,[1]!Tabela33[ID ORACLE],[1]!Tabela33[BROKER],0,0,1)))))))))))))</f>
        <v>OFFSHORE LISTED</v>
      </c>
      <c r="E110" s="22">
        <f t="shared" si="10"/>
        <v>-13434.747074660299</v>
      </c>
      <c r="F110" s="9" t="str">
        <f t="shared" si="11"/>
        <v>BLOOMBERG</v>
      </c>
      <c r="G110" s="20">
        <f t="shared" si="8"/>
        <v>46143</v>
      </c>
      <c r="H110" s="23">
        <v>1170</v>
      </c>
      <c r="J110" s="41">
        <v>52340</v>
      </c>
      <c r="K110" s="1" t="s">
        <v>41</v>
      </c>
      <c r="L110" s="1" t="s">
        <v>12</v>
      </c>
      <c r="M110" s="29">
        <v>2656.715987</v>
      </c>
      <c r="O110" s="1"/>
      <c r="P110" s="26"/>
      <c r="Q110" s="27"/>
      <c r="R110" s="27"/>
      <c r="S110" s="28"/>
      <c r="T110" s="26"/>
      <c r="U110" s="28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</row>
    <row r="111" spans="1:78" customFormat="1" ht="15" customHeight="1" x14ac:dyDescent="0.25">
      <c r="A111" s="9" t="str">
        <f t="shared" si="9"/>
        <v>CUSTO MARKET DATA - MAIO/26-FIDESSA-52340</v>
      </c>
      <c r="B111" s="20">
        <v>46143</v>
      </c>
      <c r="C111" s="21">
        <v>817393</v>
      </c>
      <c r="D111" s="9" t="str">
        <f>IF(J111=57036,"ALEXANDRE DA COSTA SOARES",IF(J111=24157,"JOSE MAURICIO GOMES TEIXEIRA",IF(J111=24203,"JOSE MAURICIO GOMES TEIXEIRA",IF(J111=24149,"CHRISTIANO MARCONDES DE BARROS LIMA",IF(J111=24137,"CHRISTIANO MARCONDES DE BARROS LIMA",IF(J111=135152,"ENRICO BORTPLUZO CASSIANO",IF(J111=136568,"ENRICO BORTPLUZO CASSIANO", IF(J111=130976,"MARYLIA CARVALHO PONCE",IF(J111=136668,"ALEXANDRE DA COSTA SOARES",IF(J111=52340,"OFFSHORE LISTED",IF(J111=158778,"CLAUDIO DE SOUZA PACINI",IF(J111=159800,"CLAUDIO DE SOUZA PACINI",_xlfn.XLOOKUP(J111,[1]!Tabela33[ID ORACLE],[1]!Tabela33[BROKER],0,0,1)))))))))))))</f>
        <v>OFFSHORE LISTED</v>
      </c>
      <c r="E111" s="22">
        <f t="shared" si="10"/>
        <v>-1759.4565115821997</v>
      </c>
      <c r="F111" s="9" t="str">
        <f t="shared" si="11"/>
        <v>FIDESSA</v>
      </c>
      <c r="G111" s="20">
        <f t="shared" si="8"/>
        <v>46143</v>
      </c>
      <c r="H111" s="23">
        <v>1170</v>
      </c>
      <c r="J111" s="41">
        <v>52340</v>
      </c>
      <c r="K111" s="1" t="s">
        <v>47</v>
      </c>
      <c r="L111" s="1" t="s">
        <v>12</v>
      </c>
      <c r="M111" s="29">
        <v>347.93183799999997</v>
      </c>
      <c r="O111" s="1"/>
      <c r="P111" s="26"/>
      <c r="Q111" s="27"/>
      <c r="R111" s="27"/>
      <c r="S111" s="42"/>
      <c r="T111" s="26"/>
      <c r="U111" s="42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</row>
    <row r="112" spans="1:78" customFormat="1" ht="15" customHeight="1" x14ac:dyDescent="0.25">
      <c r="A112" s="9" t="str">
        <f t="shared" si="9"/>
        <v>CUSTO MARKET DATA - MAIO/26-NYSE MARKET INC.-52340</v>
      </c>
      <c r="B112" s="20">
        <v>46143</v>
      </c>
      <c r="C112" s="21">
        <v>817393</v>
      </c>
      <c r="D112" s="9" t="str">
        <f>IF(J112=57036,"ALEXANDRE DA COSTA SOARES",IF(J112=24157,"JOSE MAURICIO GOMES TEIXEIRA",IF(J112=24203,"JOSE MAURICIO GOMES TEIXEIRA",IF(J112=24149,"CHRISTIANO MARCONDES DE BARROS LIMA",IF(J112=24137,"CHRISTIANO MARCONDES DE BARROS LIMA",IF(J112=135152,"ENRICO BORTPLUZO CASSIANO",IF(J112=136568,"ENRICO BORTPLUZO CASSIANO", IF(J112=130976,"MARYLIA CARVALHO PONCE",IF(J112=136668,"ALEXANDRE DA COSTA SOARES",IF(J112=52340,"OFFSHORE LISTED",IF(J112=158778,"CLAUDIO DE SOUZA PACINI",IF(J112=159800,"CLAUDIO DE SOUZA PACINI",_xlfn.XLOOKUP(J112,[1]!Tabela33[ID ORACLE],[1]!Tabela33[BROKER],0,0,1)))))))))))))</f>
        <v>OFFSHORE LISTED</v>
      </c>
      <c r="E112" s="22">
        <f t="shared" si="10"/>
        <v>-1844.5927707499998</v>
      </c>
      <c r="F112" s="9" t="str">
        <f t="shared" si="11"/>
        <v>NYSE MARKET INC.</v>
      </c>
      <c r="G112" s="20">
        <f t="shared" si="8"/>
        <v>46143</v>
      </c>
      <c r="H112" s="23">
        <v>1170</v>
      </c>
      <c r="J112" s="41">
        <v>52340</v>
      </c>
      <c r="K112" s="1" t="s">
        <v>44</v>
      </c>
      <c r="L112" s="1" t="s">
        <v>12</v>
      </c>
      <c r="M112" s="29">
        <v>364.76749999999998</v>
      </c>
      <c r="O112" s="1"/>
      <c r="P112" s="26"/>
      <c r="Q112" s="27"/>
      <c r="R112" s="27"/>
      <c r="S112" s="42"/>
      <c r="T112" s="26"/>
      <c r="U112" s="42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</row>
    <row r="113" spans="1:78" customFormat="1" ht="15" customHeight="1" x14ac:dyDescent="0.25">
      <c r="A113" s="9" t="str">
        <f t="shared" si="9"/>
        <v>CUSTO MARKET DATA - MAIO/26-OPTIONS PRICE REPORTING AUTHORITY (OPRA)-52340</v>
      </c>
      <c r="B113" s="20">
        <v>46143</v>
      </c>
      <c r="C113" s="21">
        <v>817393</v>
      </c>
      <c r="D113" s="9" t="str">
        <f>IF(J113=57036,"ALEXANDRE DA COSTA SOARES",IF(J113=24157,"JOSE MAURICIO GOMES TEIXEIRA",IF(J113=24203,"JOSE MAURICIO GOMES TEIXEIRA",IF(J113=24149,"CHRISTIANO MARCONDES DE BARROS LIMA",IF(J113=24137,"CHRISTIANO MARCONDES DE BARROS LIMA",IF(J113=135152,"ENRICO BORTPLUZO CASSIANO",IF(J113=136568,"ENRICO BORTPLUZO CASSIANO", IF(J113=130976,"MARYLIA CARVALHO PONCE",IF(J113=136668,"ALEXANDRE DA COSTA SOARES",IF(J113=52340,"OFFSHORE LISTED",IF(J113=158778,"CLAUDIO DE SOUZA PACINI",IF(J113=159800,"CLAUDIO DE SOUZA PACINI",_xlfn.XLOOKUP(J113,[1]!Tabela33[ID ORACLE],[1]!Tabela33[BROKER],0,0,1)))))))))))))</f>
        <v>OFFSHORE LISTED</v>
      </c>
      <c r="E113" s="22">
        <f t="shared" si="10"/>
        <v>-159.29235</v>
      </c>
      <c r="F113" s="9" t="str">
        <f t="shared" si="11"/>
        <v>OPTIONS PRICE REPORTING AUTHORITY (OPRA)</v>
      </c>
      <c r="G113" s="20">
        <f t="shared" si="8"/>
        <v>46143</v>
      </c>
      <c r="H113" s="23">
        <v>1170</v>
      </c>
      <c r="J113" s="41">
        <v>52340</v>
      </c>
      <c r="K113" s="1" t="s">
        <v>45</v>
      </c>
      <c r="L113" s="1" t="s">
        <v>12</v>
      </c>
      <c r="M113" s="29">
        <v>31.5</v>
      </c>
      <c r="O113" s="1"/>
      <c r="P113" s="26"/>
      <c r="Q113" s="27"/>
      <c r="R113" s="27"/>
      <c r="S113" s="42"/>
      <c r="T113" s="26"/>
      <c r="U113" s="42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</row>
    <row r="114" spans="1:78" ht="15" customHeight="1" x14ac:dyDescent="0.25">
      <c r="A114" s="9" t="str">
        <f t="shared" si="9"/>
        <v>CUSTO MARKET DATA - MAIO/26-BLOOMBERG-56258</v>
      </c>
      <c r="B114" s="20">
        <v>46143</v>
      </c>
      <c r="C114" s="21">
        <v>817393</v>
      </c>
      <c r="D114" s="9" t="str">
        <f>IF(J114=57036,"ALEXANDRE DA COSTA SOARES",IF(J114=24157,"JOSE MAURICIO GOMES TEIXEIRA",IF(J114=24203,"JOSE MAURICIO GOMES TEIXEIRA",IF(J114=24149,"CHRISTIANO MARCONDES DE BARROS LIMA",IF(J114=24137,"CHRISTIANO MARCONDES DE BARROS LIMA",IF(J114=135152,"ENRICO BORTPLUZO CASSIANO",IF(J114=136568,"ENRICO BORTPLUZO CASSIANO", IF(J114=130976,"MARYLIA CARVALHO PONCE",IF(J114=136668,"ALEXANDRE DA COSTA SOARES",IF(J114=52340,"OFFSHORE LISTED",IF(J114=158778,"CLAUDIO DE SOUZA PACINI",IF(J114=159800,"CLAUDIO DE SOUZA PACINI",_xlfn.XLOOKUP(J114,[1]!Tabela33[ID ORACLE],[1]!Tabela33[BROKER],0,0,1)))))))))))))</f>
        <v>RAFFAELE SCURTI NETTO</v>
      </c>
      <c r="E114" s="22">
        <f t="shared" si="10"/>
        <v>-9144.0736701293008</v>
      </c>
      <c r="F114" s="9" t="str">
        <f t="shared" si="11"/>
        <v>BLOOMBERG</v>
      </c>
      <c r="G114" s="20">
        <f t="shared" si="8"/>
        <v>46143</v>
      </c>
      <c r="H114" s="23">
        <v>1170</v>
      </c>
      <c r="J114" s="41">
        <v>56258</v>
      </c>
      <c r="K114" s="1" t="s">
        <v>41</v>
      </c>
      <c r="L114" s="1" t="s">
        <v>12</v>
      </c>
      <c r="M114" s="29">
        <v>1808.2369970000002</v>
      </c>
      <c r="Q114" s="27"/>
      <c r="R114" s="27"/>
      <c r="S114" s="42"/>
      <c r="U114" s="42"/>
    </row>
    <row r="115" spans="1:78" ht="15" customHeight="1" x14ac:dyDescent="0.25">
      <c r="A115" s="9" t="str">
        <f t="shared" si="9"/>
        <v>CUSTO MARKET DATA - MAIO/26-REFINITIV-56258</v>
      </c>
      <c r="B115" s="20">
        <v>46143</v>
      </c>
      <c r="C115" s="21">
        <v>817393</v>
      </c>
      <c r="D115" s="9" t="str">
        <f>IF(J115=57036,"ALEXANDRE DA COSTA SOARES",IF(J115=24157,"JOSE MAURICIO GOMES TEIXEIRA",IF(J115=24203,"JOSE MAURICIO GOMES TEIXEIRA",IF(J115=24149,"CHRISTIANO MARCONDES DE BARROS LIMA",IF(J115=24137,"CHRISTIANO MARCONDES DE BARROS LIMA",IF(J115=135152,"ENRICO BORTPLUZO CASSIANO",IF(J115=136568,"ENRICO BORTPLUZO CASSIANO", IF(J115=130976,"MARYLIA CARVALHO PONCE",IF(J115=136668,"ALEXANDRE DA COSTA SOARES",IF(J115=52340,"OFFSHORE LISTED",IF(J115=158778,"CLAUDIO DE SOUZA PACINI",IF(J115=159800,"CLAUDIO DE SOUZA PACINI",_xlfn.XLOOKUP(J115,[1]!Tabela33[ID ORACLE],[1]!Tabela33[BROKER],0,0,1)))))))))))))</f>
        <v>RAFFAELE SCURTI NETTO</v>
      </c>
      <c r="E115" s="22">
        <f t="shared" si="10"/>
        <v>-142.0800142203</v>
      </c>
      <c r="F115" s="9" t="str">
        <f t="shared" si="11"/>
        <v>REFINITIV</v>
      </c>
      <c r="G115" s="20">
        <f t="shared" si="8"/>
        <v>46143</v>
      </c>
      <c r="H115" s="23">
        <v>1170</v>
      </c>
      <c r="J115" s="41">
        <v>56258</v>
      </c>
      <c r="K115" s="1" t="s">
        <v>42</v>
      </c>
      <c r="L115" s="1" t="s">
        <v>17</v>
      </c>
      <c r="M115" s="29">
        <v>20.849049000000001</v>
      </c>
      <c r="Q115" s="27"/>
      <c r="R115" s="27"/>
      <c r="S115" s="42"/>
      <c r="U115" s="42"/>
    </row>
    <row r="116" spans="1:78" ht="15" customHeight="1" x14ac:dyDescent="0.25">
      <c r="A116" s="9" t="str">
        <f t="shared" si="9"/>
        <v>CUSTO MARKET DATA - MAIO/26-BLOOMBERG-57036</v>
      </c>
      <c r="B116" s="20">
        <v>46143</v>
      </c>
      <c r="C116" s="21">
        <v>817393</v>
      </c>
      <c r="D116" s="9" t="str">
        <f>IF(J116=57036,"ALEXANDRE DA COSTA SOARES",IF(J116=24157,"JOSE MAURICIO GOMES TEIXEIRA",IF(J116=24203,"JOSE MAURICIO GOMES TEIXEIRA",IF(J116=24149,"CHRISTIANO MARCONDES DE BARROS LIMA",IF(J116=24137,"CHRISTIANO MARCONDES DE BARROS LIMA",IF(J116=135152,"ENRICO BORTPLUZO CASSIANO",IF(J116=136568,"ENRICO BORTPLUZO CASSIANO", IF(J116=130976,"MARYLIA CARVALHO PONCE",IF(J116=136668,"ALEXANDRE DA COSTA SOARES",IF(J116=52340,"OFFSHORE LISTED",IF(J116=158778,"CLAUDIO DE SOUZA PACINI",IF(J116=159800,"CLAUDIO DE SOUZA PACINI",_xlfn.XLOOKUP(J116,[1]!Tabela33[ID ORACLE],[1]!Tabela33[BROKER],0,0,1)))))))))))))</f>
        <v>ALEXANDRE DA COSTA SOARES</v>
      </c>
      <c r="E116" s="22">
        <f t="shared" si="10"/>
        <v>-13004.404884660298</v>
      </c>
      <c r="F116" s="9" t="str">
        <f t="shared" si="11"/>
        <v>BLOOMBERG</v>
      </c>
      <c r="G116" s="20">
        <f t="shared" si="8"/>
        <v>46143</v>
      </c>
      <c r="H116" s="23">
        <v>1170</v>
      </c>
      <c r="J116" s="41">
        <v>57036</v>
      </c>
      <c r="K116" s="1" t="s">
        <v>41</v>
      </c>
      <c r="L116" s="1" t="s">
        <v>12</v>
      </c>
      <c r="M116" s="29">
        <v>2571.6159869999997</v>
      </c>
      <c r="Q116" s="27"/>
      <c r="R116" s="27"/>
      <c r="S116" s="42"/>
      <c r="U116" s="42"/>
    </row>
    <row r="117" spans="1:78" ht="15" customHeight="1" x14ac:dyDescent="0.25">
      <c r="A117" s="9" t="str">
        <f t="shared" si="9"/>
        <v>CUSTO MARKET DATA - MAIO/26-FIDESSA-57036</v>
      </c>
      <c r="B117" s="20">
        <v>46143</v>
      </c>
      <c r="C117" s="21">
        <v>817393</v>
      </c>
      <c r="D117" s="9" t="str">
        <f>IF(J117=57036,"ALEXANDRE DA COSTA SOARES",IF(J117=24157,"JOSE MAURICIO GOMES TEIXEIRA",IF(J117=24203,"JOSE MAURICIO GOMES TEIXEIRA",IF(J117=24149,"CHRISTIANO MARCONDES DE BARROS LIMA",IF(J117=24137,"CHRISTIANO MARCONDES DE BARROS LIMA",IF(J117=135152,"ENRICO BORTPLUZO CASSIANO",IF(J117=136568,"ENRICO BORTPLUZO CASSIANO", IF(J117=130976,"MARYLIA CARVALHO PONCE",IF(J117=136668,"ALEXANDRE DA COSTA SOARES",IF(J117=52340,"OFFSHORE LISTED",IF(J117=158778,"CLAUDIO DE SOUZA PACINI",IF(J117=159800,"CLAUDIO DE SOUZA PACINI",_xlfn.XLOOKUP(J117,[1]!Tabela33[ID ORACLE],[1]!Tabela33[BROKER],0,0,1)))))))))))))</f>
        <v>ALEXANDRE DA COSTA SOARES</v>
      </c>
      <c r="E117" s="22">
        <f t="shared" si="10"/>
        <v>-2146.8036381589</v>
      </c>
      <c r="F117" s="9" t="str">
        <f t="shared" si="11"/>
        <v>FIDESSA</v>
      </c>
      <c r="G117" s="20">
        <f t="shared" si="8"/>
        <v>46143</v>
      </c>
      <c r="H117" s="23">
        <v>1170</v>
      </c>
      <c r="J117" s="41">
        <v>57036</v>
      </c>
      <c r="K117" s="1" t="s">
        <v>47</v>
      </c>
      <c r="L117" s="1" t="s">
        <v>12</v>
      </c>
      <c r="M117" s="29">
        <v>424.52958100000001</v>
      </c>
      <c r="Q117" s="27"/>
      <c r="R117" s="27"/>
      <c r="S117" s="42"/>
      <c r="U117" s="42"/>
    </row>
    <row r="118" spans="1:78" ht="15" customHeight="1" x14ac:dyDescent="0.25">
      <c r="A118" s="9" t="str">
        <f t="shared" si="9"/>
        <v>CUSTO MARKET DATA - MAIO/26-NYSE MARKET INC.-57036</v>
      </c>
      <c r="B118" s="20">
        <v>46143</v>
      </c>
      <c r="C118" s="21">
        <v>817393</v>
      </c>
      <c r="D118" s="9" t="str">
        <f>IF(J118=57036,"ALEXANDRE DA COSTA SOARES",IF(J118=24157,"JOSE MAURICIO GOMES TEIXEIRA",IF(J118=24203,"JOSE MAURICIO GOMES TEIXEIRA",IF(J118=24149,"CHRISTIANO MARCONDES DE BARROS LIMA",IF(J118=24137,"CHRISTIANO MARCONDES DE BARROS LIMA",IF(J118=135152,"ENRICO BORTPLUZO CASSIANO",IF(J118=136568,"ENRICO BORTPLUZO CASSIANO", IF(J118=130976,"MARYLIA CARVALHO PONCE",IF(J118=136668,"ALEXANDRE DA COSTA SOARES",IF(J118=52340,"OFFSHORE LISTED",IF(J118=158778,"CLAUDIO DE SOUZA PACINI",IF(J118=159800,"CLAUDIO DE SOUZA PACINI",_xlfn.XLOOKUP(J118,[1]!Tabela33[ID ORACLE],[1]!Tabela33[BROKER],0,0,1)))))))))))))</f>
        <v>ALEXANDRE DA COSTA SOARES</v>
      </c>
      <c r="E118" s="22">
        <f t="shared" si="10"/>
        <v>-1188.8139787499999</v>
      </c>
      <c r="F118" s="9" t="str">
        <f t="shared" si="11"/>
        <v>NYSE MARKET INC.</v>
      </c>
      <c r="G118" s="20">
        <f t="shared" si="8"/>
        <v>46143</v>
      </c>
      <c r="H118" s="23">
        <v>1170</v>
      </c>
      <c r="J118" s="41">
        <v>57036</v>
      </c>
      <c r="K118" s="1" t="s">
        <v>44</v>
      </c>
      <c r="L118" s="1" t="s">
        <v>12</v>
      </c>
      <c r="M118" s="29">
        <v>235.08750000000001</v>
      </c>
      <c r="Q118" s="27"/>
      <c r="R118" s="27"/>
      <c r="S118" s="42"/>
      <c r="U118" s="42"/>
    </row>
    <row r="119" spans="1:78" ht="15" customHeight="1" x14ac:dyDescent="0.25">
      <c r="A119" s="9" t="str">
        <f t="shared" si="9"/>
        <v>CUSTO MARKET DATA - MAIO/26-OPTIONS PRICE REPORTING AUTHORITY (OPRA)-57036</v>
      </c>
      <c r="B119" s="20">
        <v>46143</v>
      </c>
      <c r="C119" s="21">
        <v>817393</v>
      </c>
      <c r="D119" s="9" t="str">
        <f>IF(J119=57036,"ALEXANDRE DA COSTA SOARES",IF(J119=24157,"JOSE MAURICIO GOMES TEIXEIRA",IF(J119=24203,"JOSE MAURICIO GOMES TEIXEIRA",IF(J119=24149,"CHRISTIANO MARCONDES DE BARROS LIMA",IF(J119=24137,"CHRISTIANO MARCONDES DE BARROS LIMA",IF(J119=135152,"ENRICO BORTPLUZO CASSIANO",IF(J119=136568,"ENRICO BORTPLUZO CASSIANO", IF(J119=130976,"MARYLIA CARVALHO PONCE",IF(J119=136668,"ALEXANDRE DA COSTA SOARES",IF(J119=52340,"OFFSHORE LISTED",IF(J119=158778,"CLAUDIO DE SOUZA PACINI",IF(J119=159800,"CLAUDIO DE SOUZA PACINI",_xlfn.XLOOKUP(J119,[1]!Tabela33[ID ORACLE],[1]!Tabela33[BROKER],0,0,1)))))))))))))</f>
        <v>ALEXANDRE DA COSTA SOARES</v>
      </c>
      <c r="E119" s="22">
        <f t="shared" si="10"/>
        <v>-332.68126387099994</v>
      </c>
      <c r="F119" s="9" t="str">
        <f t="shared" si="11"/>
        <v>OPTIONS PRICE REPORTING AUTHORITY (OPRA)</v>
      </c>
      <c r="G119" s="20">
        <f t="shared" si="8"/>
        <v>46143</v>
      </c>
      <c r="H119" s="23">
        <v>1170</v>
      </c>
      <c r="J119" s="41">
        <v>57036</v>
      </c>
      <c r="K119" s="1" t="s">
        <v>45</v>
      </c>
      <c r="L119" s="1" t="s">
        <v>12</v>
      </c>
      <c r="M119" s="29">
        <v>65.787589999999994</v>
      </c>
      <c r="Q119" s="27"/>
      <c r="R119" s="27"/>
      <c r="S119" s="42"/>
      <c r="U119" s="42"/>
    </row>
    <row r="120" spans="1:78" ht="15" customHeight="1" x14ac:dyDescent="0.25">
      <c r="A120" s="9" t="str">
        <f t="shared" si="9"/>
        <v>CUSTO MARKET DATA - MAIO/26-REFINITIV-57036</v>
      </c>
      <c r="B120" s="20">
        <v>46143</v>
      </c>
      <c r="C120" s="21">
        <v>817393</v>
      </c>
      <c r="D120" s="9" t="str">
        <f>IF(J120=57036,"ALEXANDRE DA COSTA SOARES",IF(J120=24157,"JOSE MAURICIO GOMES TEIXEIRA",IF(J120=24203,"JOSE MAURICIO GOMES TEIXEIRA",IF(J120=24149,"CHRISTIANO MARCONDES DE BARROS LIMA",IF(J120=24137,"CHRISTIANO MARCONDES DE BARROS LIMA",IF(J120=135152,"ENRICO BORTPLUZO CASSIANO",IF(J120=136568,"ENRICO BORTPLUZO CASSIANO", IF(J120=130976,"MARYLIA CARVALHO PONCE",IF(J120=136668,"ALEXANDRE DA COSTA SOARES",IF(J120=52340,"OFFSHORE LISTED",IF(J120=158778,"CLAUDIO DE SOUZA PACINI",IF(J120=159800,"CLAUDIO DE SOUZA PACINI",_xlfn.XLOOKUP(J120,[1]!Tabela33[ID ORACLE],[1]!Tabela33[BROKER],0,0,1)))))))))))))</f>
        <v>ALEXANDRE DA COSTA SOARES</v>
      </c>
      <c r="E120" s="22">
        <f t="shared" si="10"/>
        <v>-142.0800142203</v>
      </c>
      <c r="F120" s="9" t="str">
        <f t="shared" si="11"/>
        <v>REFINITIV</v>
      </c>
      <c r="G120" s="20">
        <f t="shared" si="8"/>
        <v>46143</v>
      </c>
      <c r="H120" s="23">
        <v>1170</v>
      </c>
      <c r="J120" s="41">
        <v>57036</v>
      </c>
      <c r="K120" s="1" t="s">
        <v>42</v>
      </c>
      <c r="L120" s="1" t="s">
        <v>17</v>
      </c>
      <c r="M120" s="29">
        <v>20.849049000000001</v>
      </c>
      <c r="Q120" s="27"/>
      <c r="R120" s="27"/>
      <c r="S120" s="42"/>
      <c r="U120" s="42"/>
    </row>
    <row r="121" spans="1:78" ht="15" customHeight="1" x14ac:dyDescent="0.25">
      <c r="A121" s="9" t="str">
        <f t="shared" si="9"/>
        <v>CUSTO MARKET DATA - MAIO/26-TORONTO STOCK EXCHANGE-57036</v>
      </c>
      <c r="B121" s="20">
        <v>46143</v>
      </c>
      <c r="C121" s="21">
        <v>817393</v>
      </c>
      <c r="D121" s="9" t="str">
        <f>IF(J121=57036,"ALEXANDRE DA COSTA SOARES",IF(J121=24157,"JOSE MAURICIO GOMES TEIXEIRA",IF(J121=24203,"JOSE MAURICIO GOMES TEIXEIRA",IF(J121=24149,"CHRISTIANO MARCONDES DE BARROS LIMA",IF(J121=24137,"CHRISTIANO MARCONDES DE BARROS LIMA",IF(J121=135152,"ENRICO BORTPLUZO CASSIANO",IF(J121=136568,"ENRICO BORTPLUZO CASSIANO", IF(J121=130976,"MARYLIA CARVALHO PONCE",IF(J121=136668,"ALEXANDRE DA COSTA SOARES",IF(J121=52340,"OFFSHORE LISTED",IF(J121=158778,"CLAUDIO DE SOUZA PACINI",IF(J121=159800,"CLAUDIO DE SOUZA PACINI",_xlfn.XLOOKUP(J121,[1]!Tabela33[ID ORACLE],[1]!Tabela33[BROKER],0,0,1)))))))))))))</f>
        <v>ALEXANDRE DA COSTA SOARES</v>
      </c>
      <c r="E121" s="22">
        <f t="shared" si="10"/>
        <v>-605.66955017730004</v>
      </c>
      <c r="F121" s="9" t="str">
        <f t="shared" si="11"/>
        <v>TORONTO STOCK EXCHANGE</v>
      </c>
      <c r="G121" s="20">
        <f t="shared" si="8"/>
        <v>46143</v>
      </c>
      <c r="H121" s="23">
        <v>1170</v>
      </c>
      <c r="J121" s="41">
        <v>57036</v>
      </c>
      <c r="K121" s="1" t="s">
        <v>51</v>
      </c>
      <c r="L121" s="1" t="s">
        <v>12</v>
      </c>
      <c r="M121" s="29">
        <v>119.77091700000001</v>
      </c>
      <c r="Q121" s="27"/>
      <c r="R121" s="27"/>
    </row>
    <row r="122" spans="1:78" ht="15" customHeight="1" x14ac:dyDescent="0.25">
      <c r="A122" s="9" t="str">
        <f t="shared" si="9"/>
        <v>CUSTO MARKET DATA - MAIO/26-BLOOMBERG-61086</v>
      </c>
      <c r="B122" s="20">
        <v>46143</v>
      </c>
      <c r="C122" s="21">
        <v>817393</v>
      </c>
      <c r="D122" s="9" t="str">
        <f>IF(J122=57036,"ALEXANDRE DA COSTA SOARES",IF(J122=24157,"JOSE MAURICIO GOMES TEIXEIRA",IF(J122=24203,"JOSE MAURICIO GOMES TEIXEIRA",IF(J122=24149,"CHRISTIANO MARCONDES DE BARROS LIMA",IF(J122=24137,"CHRISTIANO MARCONDES DE BARROS LIMA",IF(J122=135152,"ENRICO BORTPLUZO CASSIANO",IF(J122=136568,"ENRICO BORTPLUZO CASSIANO", IF(J122=130976,"MARYLIA CARVALHO PONCE",IF(J122=136668,"ALEXANDRE DA COSTA SOARES",IF(J122=52340,"OFFSHORE LISTED",IF(J122=158778,"CLAUDIO DE SOUZA PACINI",IF(J122=159800,"CLAUDIO DE SOUZA PACINI",_xlfn.XLOOKUP(J122,[1]!Tabela33[ID ORACLE],[1]!Tabela33[BROKER],0,0,1)))))))))))))</f>
        <v>ALEXANDRE DA COSTA SOARES</v>
      </c>
      <c r="E122" s="22">
        <f t="shared" si="10"/>
        <v>-13389.740664660298</v>
      </c>
      <c r="F122" s="9" t="str">
        <f t="shared" si="11"/>
        <v>BLOOMBERG</v>
      </c>
      <c r="G122" s="20">
        <f t="shared" si="8"/>
        <v>46143</v>
      </c>
      <c r="H122" s="23">
        <v>1170</v>
      </c>
      <c r="J122" s="41">
        <v>61086</v>
      </c>
      <c r="K122" s="1" t="s">
        <v>41</v>
      </c>
      <c r="L122" s="1" t="s">
        <v>12</v>
      </c>
      <c r="M122" s="29">
        <v>2647.8159869999995</v>
      </c>
      <c r="Q122" s="27"/>
      <c r="R122" s="27"/>
    </row>
    <row r="123" spans="1:78" customFormat="1" ht="15" customHeight="1" x14ac:dyDescent="0.25">
      <c r="A123" s="9" t="str">
        <f t="shared" si="9"/>
        <v>CUSTO MARKET DATA - MAIO/26-FIDESSA-61086</v>
      </c>
      <c r="B123" s="20">
        <v>46143</v>
      </c>
      <c r="C123" s="21">
        <v>817393</v>
      </c>
      <c r="D123" s="9" t="str">
        <f>IF(J123=57036,"ALEXANDRE DA COSTA SOARES",IF(J123=24157,"JOSE MAURICIO GOMES TEIXEIRA",IF(J123=24203,"JOSE MAURICIO GOMES TEIXEIRA",IF(J123=24149,"CHRISTIANO MARCONDES DE BARROS LIMA",IF(J123=24137,"CHRISTIANO MARCONDES DE BARROS LIMA",IF(J123=135152,"ENRICO BORTPLUZO CASSIANO",IF(J123=136568,"ENRICO BORTPLUZO CASSIANO", IF(J123=130976,"MARYLIA CARVALHO PONCE",IF(J123=136668,"ALEXANDRE DA COSTA SOARES",IF(J123=52340,"OFFSHORE LISTED",IF(J123=158778,"CLAUDIO DE SOUZA PACINI",IF(J123=159800,"CLAUDIO DE SOUZA PACINI",_xlfn.XLOOKUP(J123,[1]!Tabela33[ID ORACLE],[1]!Tabela33[BROKER],0,0,1)))))))))))))</f>
        <v>ALEXANDRE DA COSTA SOARES</v>
      </c>
      <c r="E123" s="22">
        <f t="shared" si="10"/>
        <v>-2143.4240259215999</v>
      </c>
      <c r="F123" s="9" t="str">
        <f t="shared" si="11"/>
        <v>FIDESSA</v>
      </c>
      <c r="G123" s="20">
        <f t="shared" si="8"/>
        <v>46143</v>
      </c>
      <c r="H123" s="23">
        <v>1170</v>
      </c>
      <c r="J123" s="41">
        <v>61086</v>
      </c>
      <c r="K123" s="1" t="s">
        <v>47</v>
      </c>
      <c r="L123" s="1" t="s">
        <v>12</v>
      </c>
      <c r="M123" s="29">
        <v>423.86126400000001</v>
      </c>
      <c r="O123" s="1"/>
      <c r="P123" s="26"/>
      <c r="Q123" s="27"/>
      <c r="R123" s="27"/>
      <c r="S123" s="28"/>
      <c r="T123" s="26"/>
      <c r="U123" s="28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</row>
    <row r="124" spans="1:78" ht="15" customHeight="1" x14ac:dyDescent="0.25">
      <c r="A124" s="9" t="str">
        <f t="shared" si="9"/>
        <v>CUSTO MARKET DATA - MAIO/26-NYSE MARKET INC.-61086</v>
      </c>
      <c r="B124" s="20">
        <v>46143</v>
      </c>
      <c r="C124" s="21">
        <v>817393</v>
      </c>
      <c r="D124" s="9" t="str">
        <f>IF(J124=57036,"ALEXANDRE DA COSTA SOARES",IF(J124=24157,"JOSE MAURICIO GOMES TEIXEIRA",IF(J124=24203,"JOSE MAURICIO GOMES TEIXEIRA",IF(J124=24149,"CHRISTIANO MARCONDES DE BARROS LIMA",IF(J124=24137,"CHRISTIANO MARCONDES DE BARROS LIMA",IF(J124=135152,"ENRICO BORTPLUZO CASSIANO",IF(J124=136568,"ENRICO BORTPLUZO CASSIANO", IF(J124=130976,"MARYLIA CARVALHO PONCE",IF(J124=136668,"ALEXANDRE DA COSTA SOARES",IF(J124=52340,"OFFSHORE LISTED",IF(J124=158778,"CLAUDIO DE SOUZA PACINI",IF(J124=159800,"CLAUDIO DE SOUZA PACINI",_xlfn.XLOOKUP(J124,[1]!Tabela33[ID ORACLE],[1]!Tabela33[BROKER],0,0,1)))))))))))))</f>
        <v>ALEXANDRE DA COSTA SOARES</v>
      </c>
      <c r="E124" s="22">
        <f t="shared" si="10"/>
        <v>-1844.5927707499998</v>
      </c>
      <c r="F124" s="9" t="str">
        <f t="shared" si="11"/>
        <v>NYSE MARKET INC.</v>
      </c>
      <c r="G124" s="20">
        <f t="shared" si="8"/>
        <v>46143</v>
      </c>
      <c r="H124" s="23">
        <v>1170</v>
      </c>
      <c r="J124" s="41">
        <v>61086</v>
      </c>
      <c r="K124" s="1" t="s">
        <v>44</v>
      </c>
      <c r="L124" s="1" t="s">
        <v>12</v>
      </c>
      <c r="M124" s="29">
        <v>364.76749999999998</v>
      </c>
      <c r="Q124" s="27"/>
      <c r="R124" s="27"/>
    </row>
    <row r="125" spans="1:78" ht="15" customHeight="1" x14ac:dyDescent="0.25">
      <c r="A125" s="9" t="str">
        <f t="shared" si="9"/>
        <v>CUSTO MARKET DATA - MAIO/26-OPTIONS PRICE REPORTING AUTHORITY (OPRA)-61086</v>
      </c>
      <c r="B125" s="20">
        <v>46143</v>
      </c>
      <c r="C125" s="21">
        <v>817393</v>
      </c>
      <c r="D125" s="9" t="str">
        <f>IF(J125=57036,"ALEXANDRE DA COSTA SOARES",IF(J125=24157,"JOSE MAURICIO GOMES TEIXEIRA",IF(J125=24203,"JOSE MAURICIO GOMES TEIXEIRA",IF(J125=24149,"CHRISTIANO MARCONDES DE BARROS LIMA",IF(J125=24137,"CHRISTIANO MARCONDES DE BARROS LIMA",IF(J125=135152,"ENRICO BORTPLUZO CASSIANO",IF(J125=136568,"ENRICO BORTPLUZO CASSIANO", IF(J125=130976,"MARYLIA CARVALHO PONCE",IF(J125=136668,"ALEXANDRE DA COSTA SOARES",IF(J125=52340,"OFFSHORE LISTED",IF(J125=158778,"CLAUDIO DE SOUZA PACINI",IF(J125=159800,"CLAUDIO DE SOUZA PACINI",_xlfn.XLOOKUP(J125,[1]!Tabela33[ID ORACLE],[1]!Tabela33[BROKER],0,0,1)))))))))))))</f>
        <v>ALEXANDRE DA COSTA SOARES</v>
      </c>
      <c r="E125" s="22">
        <f t="shared" si="10"/>
        <v>-332.68126387099994</v>
      </c>
      <c r="F125" s="9" t="str">
        <f t="shared" si="11"/>
        <v>OPTIONS PRICE REPORTING AUTHORITY (OPRA)</v>
      </c>
      <c r="G125" s="20">
        <f t="shared" si="8"/>
        <v>46143</v>
      </c>
      <c r="H125" s="23">
        <v>1170</v>
      </c>
      <c r="J125" s="41">
        <v>61086</v>
      </c>
      <c r="K125" s="1" t="s">
        <v>45</v>
      </c>
      <c r="L125" s="1" t="s">
        <v>12</v>
      </c>
      <c r="M125" s="29">
        <v>65.787589999999994</v>
      </c>
      <c r="Q125" s="27"/>
      <c r="R125" s="27"/>
    </row>
    <row r="126" spans="1:78" ht="15" customHeight="1" x14ac:dyDescent="0.25">
      <c r="A126" s="9" t="str">
        <f t="shared" si="9"/>
        <v>CUSTO MARKET DATA - MAIO/26-REFINITIV-61086</v>
      </c>
      <c r="B126" s="20">
        <v>46143</v>
      </c>
      <c r="C126" s="21">
        <v>817393</v>
      </c>
      <c r="D126" s="9" t="str">
        <f>IF(J126=57036,"ALEXANDRE DA COSTA SOARES",IF(J126=24157,"JOSE MAURICIO GOMES TEIXEIRA",IF(J126=24203,"JOSE MAURICIO GOMES TEIXEIRA",IF(J126=24149,"CHRISTIANO MARCONDES DE BARROS LIMA",IF(J126=24137,"CHRISTIANO MARCONDES DE BARROS LIMA",IF(J126=135152,"ENRICO BORTPLUZO CASSIANO",IF(J126=136568,"ENRICO BORTPLUZO CASSIANO", IF(J126=130976,"MARYLIA CARVALHO PONCE",IF(J126=136668,"ALEXANDRE DA COSTA SOARES",IF(J126=52340,"OFFSHORE LISTED",IF(J126=158778,"CLAUDIO DE SOUZA PACINI",IF(J126=159800,"CLAUDIO DE SOUZA PACINI",_xlfn.XLOOKUP(J126,[1]!Tabela33[ID ORACLE],[1]!Tabela33[BROKER],0,0,1)))))))))))))</f>
        <v>ALEXANDRE DA COSTA SOARES</v>
      </c>
      <c r="E126" s="22">
        <f t="shared" si="10"/>
        <v>-142.0800142203</v>
      </c>
      <c r="F126" s="9" t="str">
        <f t="shared" si="11"/>
        <v>REFINITIV</v>
      </c>
      <c r="G126" s="20">
        <f t="shared" si="8"/>
        <v>46143</v>
      </c>
      <c r="H126" s="23">
        <v>1170</v>
      </c>
      <c r="J126" s="41">
        <v>61086</v>
      </c>
      <c r="K126" s="1" t="s">
        <v>42</v>
      </c>
      <c r="L126" s="1" t="s">
        <v>17</v>
      </c>
      <c r="M126" s="29">
        <v>20.849049000000001</v>
      </c>
      <c r="N126" s="29"/>
      <c r="Q126" s="27"/>
      <c r="R126" s="27"/>
    </row>
    <row r="127" spans="1:78" ht="15" customHeight="1" x14ac:dyDescent="0.25">
      <c r="A127" s="9" t="str">
        <f t="shared" si="9"/>
        <v>CUSTO MARKET DATA - MAIO/26-TORONTO STOCK EXCHANGE-61086</v>
      </c>
      <c r="B127" s="20">
        <v>46143</v>
      </c>
      <c r="C127" s="21">
        <v>817393</v>
      </c>
      <c r="D127" s="9" t="str">
        <f>IF(J127=57036,"ALEXANDRE DA COSTA SOARES",IF(J127=24157,"JOSE MAURICIO GOMES TEIXEIRA",IF(J127=24203,"JOSE MAURICIO GOMES TEIXEIRA",IF(J127=24149,"CHRISTIANO MARCONDES DE BARROS LIMA",IF(J127=24137,"CHRISTIANO MARCONDES DE BARROS LIMA",IF(J127=135152,"ENRICO BORTPLUZO CASSIANO",IF(J127=136568,"ENRICO BORTPLUZO CASSIANO", IF(J127=130976,"MARYLIA CARVALHO PONCE",IF(J127=136668,"ALEXANDRE DA COSTA SOARES",IF(J127=52340,"OFFSHORE LISTED",IF(J127=158778,"CLAUDIO DE SOUZA PACINI",IF(J127=159800,"CLAUDIO DE SOUZA PACINI",_xlfn.XLOOKUP(J127,[1]!Tabela33[ID ORACLE],[1]!Tabela33[BROKER],0,0,1)))))))))))))</f>
        <v>ALEXANDRE DA COSTA SOARES</v>
      </c>
      <c r="E127" s="22">
        <f t="shared" si="10"/>
        <v>-605.66956029109997</v>
      </c>
      <c r="F127" s="9" t="str">
        <f t="shared" si="11"/>
        <v>TORONTO STOCK EXCHANGE</v>
      </c>
      <c r="G127" s="20">
        <f t="shared" si="8"/>
        <v>46143</v>
      </c>
      <c r="H127" s="23">
        <v>1170</v>
      </c>
      <c r="J127" s="41">
        <v>61086</v>
      </c>
      <c r="K127" s="1" t="s">
        <v>51</v>
      </c>
      <c r="L127" s="1" t="s">
        <v>12</v>
      </c>
      <c r="M127" s="29">
        <v>119.77091900000001</v>
      </c>
      <c r="N127" s="29"/>
      <c r="Q127" s="27"/>
      <c r="R127" s="27"/>
    </row>
    <row r="128" spans="1:78" customFormat="1" ht="15" customHeight="1" x14ac:dyDescent="0.25">
      <c r="A128" s="9" t="str">
        <f t="shared" si="9"/>
        <v>CUSTO MARKET DATA - MAIO/26-BLOOMBERG-63203</v>
      </c>
      <c r="B128" s="20">
        <v>46143</v>
      </c>
      <c r="C128" s="21">
        <v>817393</v>
      </c>
      <c r="D128" s="9" t="str">
        <f>IF(J128=57036,"ALEXANDRE DA COSTA SOARES",IF(J128=24157,"JOSE MAURICIO GOMES TEIXEIRA",IF(J128=24203,"JOSE MAURICIO GOMES TEIXEIRA",IF(J128=24149,"CHRISTIANO MARCONDES DE BARROS LIMA",IF(J128=24137,"CHRISTIANO MARCONDES DE BARROS LIMA",IF(J128=135152,"ENRICO BORTPLUZO CASSIANO",IF(J128=136568,"ENRICO BORTPLUZO CASSIANO", IF(J128=130976,"MARYLIA CARVALHO PONCE",IF(J128=136668,"ALEXANDRE DA COSTA SOARES",IF(J128=52340,"OFFSHORE LISTED",IF(J128=158778,"CLAUDIO DE SOUZA PACINI",IF(J128=159800,"CLAUDIO DE SOUZA PACINI",_xlfn.XLOOKUP(J128,[1]!Tabela33[ID ORACLE],[1]!Tabela33[BROKER],0,0,1)))))))))))))</f>
        <v>FABIO SOARES PFAENDER</v>
      </c>
      <c r="E128" s="22">
        <f t="shared" si="10"/>
        <v>-12859.271854660299</v>
      </c>
      <c r="F128" s="9" t="str">
        <f t="shared" si="11"/>
        <v>BLOOMBERG</v>
      </c>
      <c r="G128" s="20">
        <f t="shared" si="8"/>
        <v>46143</v>
      </c>
      <c r="H128" s="23">
        <v>1170</v>
      </c>
      <c r="J128" s="41">
        <v>63203</v>
      </c>
      <c r="K128" s="1" t="s">
        <v>41</v>
      </c>
      <c r="L128" s="1" t="s">
        <v>12</v>
      </c>
      <c r="M128" s="29">
        <v>2542.9159869999999</v>
      </c>
      <c r="N128" s="29"/>
      <c r="O128" s="1"/>
      <c r="P128" s="26"/>
      <c r="Q128" s="27"/>
      <c r="R128" s="27"/>
      <c r="S128" s="28"/>
      <c r="T128" s="26"/>
      <c r="U128" s="28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</row>
    <row r="129" spans="1:78" customFormat="1" ht="15" customHeight="1" x14ac:dyDescent="0.25">
      <c r="A129" s="9" t="str">
        <f t="shared" si="9"/>
        <v>CUSTO MARKET DATA - MAIO/26-REFINITIV-63203</v>
      </c>
      <c r="B129" s="20">
        <v>46143</v>
      </c>
      <c r="C129" s="21">
        <v>817393</v>
      </c>
      <c r="D129" s="9" t="str">
        <f>IF(J129=57036,"ALEXANDRE DA COSTA SOARES",IF(J129=24157,"JOSE MAURICIO GOMES TEIXEIRA",IF(J129=24203,"JOSE MAURICIO GOMES TEIXEIRA",IF(J129=24149,"CHRISTIANO MARCONDES DE BARROS LIMA",IF(J129=24137,"CHRISTIANO MARCONDES DE BARROS LIMA",IF(J129=135152,"ENRICO BORTPLUZO CASSIANO",IF(J129=136568,"ENRICO BORTPLUZO CASSIANO", IF(J129=130976,"MARYLIA CARVALHO PONCE",IF(J129=136668,"ALEXANDRE DA COSTA SOARES",IF(J129=52340,"OFFSHORE LISTED",IF(J129=158778,"CLAUDIO DE SOUZA PACINI",IF(J129=159800,"CLAUDIO DE SOUZA PACINI",_xlfn.XLOOKUP(J129,[1]!Tabela33[ID ORACLE],[1]!Tabela33[BROKER],0,0,1)))))))))))))</f>
        <v>FABIO SOARES PFAENDER</v>
      </c>
      <c r="E129" s="22">
        <f t="shared" si="10"/>
        <v>-732.70265564140004</v>
      </c>
      <c r="F129" s="9" t="str">
        <f t="shared" si="11"/>
        <v>REFINITIV</v>
      </c>
      <c r="G129" s="20">
        <f t="shared" si="8"/>
        <v>46143</v>
      </c>
      <c r="H129" s="23">
        <v>1170</v>
      </c>
      <c r="J129" s="41">
        <v>63203</v>
      </c>
      <c r="K129" s="1" t="s">
        <v>42</v>
      </c>
      <c r="L129" s="1" t="s">
        <v>17</v>
      </c>
      <c r="M129" s="29">
        <v>107.51796200000001</v>
      </c>
      <c r="N129" s="29"/>
      <c r="O129" s="1"/>
      <c r="P129" s="26"/>
      <c r="Q129" s="27"/>
      <c r="R129" s="27"/>
      <c r="S129" s="28"/>
      <c r="T129" s="26"/>
      <c r="U129" s="28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</row>
    <row r="130" spans="1:78" ht="15" customHeight="1" x14ac:dyDescent="0.25">
      <c r="A130" s="9" t="str">
        <f t="shared" si="9"/>
        <v>CUSTO MARKET DATA - MAIO/26-BLOOMBERG-63705</v>
      </c>
      <c r="B130" s="20">
        <v>46143</v>
      </c>
      <c r="C130" s="21">
        <v>817393</v>
      </c>
      <c r="D130" s="9" t="str">
        <f>IF(J130=57036,"ALEXANDRE DA COSTA SOARES",IF(J130=24157,"JOSE MAURICIO GOMES TEIXEIRA",IF(J130=24203,"JOSE MAURICIO GOMES TEIXEIRA",IF(J130=24149,"CHRISTIANO MARCONDES DE BARROS LIMA",IF(J130=24137,"CHRISTIANO MARCONDES DE BARROS LIMA",IF(J130=135152,"ENRICO BORTPLUZO CASSIANO",IF(J130=136568,"ENRICO BORTPLUZO CASSIANO", IF(J130=130976,"MARYLIA CARVALHO PONCE",IF(J130=136668,"ALEXANDRE DA COSTA SOARES",IF(J130=52340,"OFFSHORE LISTED",IF(J130=158778,"CLAUDIO DE SOUZA PACINI",IF(J130=159800,"CLAUDIO DE SOUZA PACINI",_xlfn.XLOOKUP(J130,[1]!Tabela33[ID ORACLE],[1]!Tabela33[BROKER],0,0,1)))))))))))))</f>
        <v>ALEXANDRE DE CARVALHO GALHARDO</v>
      </c>
      <c r="E130" s="22">
        <f t="shared" si="10"/>
        <v>-12205.4146846603</v>
      </c>
      <c r="F130" s="9" t="str">
        <f t="shared" si="11"/>
        <v>BLOOMBERG</v>
      </c>
      <c r="G130" s="20">
        <f t="shared" si="8"/>
        <v>46143</v>
      </c>
      <c r="H130" s="23">
        <v>1170</v>
      </c>
      <c r="J130" s="41">
        <v>63705</v>
      </c>
      <c r="K130" s="1" t="s">
        <v>41</v>
      </c>
      <c r="L130" s="1" t="s">
        <v>12</v>
      </c>
      <c r="M130" s="29">
        <v>2413.6159870000001</v>
      </c>
      <c r="N130" s="29"/>
      <c r="O130" s="41"/>
      <c r="Q130" s="27"/>
      <c r="R130" s="27"/>
    </row>
    <row r="131" spans="1:78" ht="15" customHeight="1" x14ac:dyDescent="0.25">
      <c r="A131" s="9" t="str">
        <f t="shared" si="9"/>
        <v>CUSTO MARKET DATA - MAIO/26-NYSE MARKET INC.-63705</v>
      </c>
      <c r="B131" s="20">
        <v>46143</v>
      </c>
      <c r="C131" s="21">
        <v>817393</v>
      </c>
      <c r="D131" s="9" t="str">
        <f>IF(J131=57036,"ALEXANDRE DA COSTA SOARES",IF(J131=24157,"JOSE MAURICIO GOMES TEIXEIRA",IF(J131=24203,"JOSE MAURICIO GOMES TEIXEIRA",IF(J131=24149,"CHRISTIANO MARCONDES DE BARROS LIMA",IF(J131=24137,"CHRISTIANO MARCONDES DE BARROS LIMA",IF(J131=135152,"ENRICO BORTPLUZO CASSIANO",IF(J131=136568,"ENRICO BORTPLUZO CASSIANO", IF(J131=130976,"MARYLIA CARVALHO PONCE",IF(J131=136668,"ALEXANDRE DA COSTA SOARES",IF(J131=52340,"OFFSHORE LISTED",IF(J131=158778,"CLAUDIO DE SOUZA PACINI",IF(J131=159800,"CLAUDIO DE SOUZA PACINI",_xlfn.XLOOKUP(J131,[1]!Tabela33[ID ORACLE],[1]!Tabela33[BROKER],0,0,1)))))))))))))</f>
        <v>ALEXANDRE DE CARVALHO GALHARDO</v>
      </c>
      <c r="E131" s="22">
        <f t="shared" si="10"/>
        <v>-136.53629999999998</v>
      </c>
      <c r="F131" s="9" t="str">
        <f t="shared" si="11"/>
        <v>NYSE MARKET INC.</v>
      </c>
      <c r="G131" s="20">
        <f t="shared" ref="G131:G159" si="12">B131</f>
        <v>46143</v>
      </c>
      <c r="H131" s="23">
        <v>1170</v>
      </c>
      <c r="J131" s="41">
        <v>63705</v>
      </c>
      <c r="K131" s="1" t="s">
        <v>44</v>
      </c>
      <c r="L131" s="1" t="s">
        <v>12</v>
      </c>
      <c r="M131" s="29">
        <v>27</v>
      </c>
      <c r="N131" s="29"/>
      <c r="O131" s="41"/>
      <c r="Q131" s="27"/>
      <c r="R131" s="27"/>
    </row>
    <row r="132" spans="1:78" ht="15" customHeight="1" x14ac:dyDescent="0.25">
      <c r="A132" s="9" t="str">
        <f t="shared" si="9"/>
        <v>CUSTO MARKET DATA - MAIO/26-REFINITIV-63705</v>
      </c>
      <c r="B132" s="20">
        <v>46143</v>
      </c>
      <c r="C132" s="21">
        <v>817393</v>
      </c>
      <c r="D132" s="9" t="str">
        <f>IF(J132=57036,"ALEXANDRE DA COSTA SOARES",IF(J132=24157,"JOSE MAURICIO GOMES TEIXEIRA",IF(J132=24203,"JOSE MAURICIO GOMES TEIXEIRA",IF(J132=24149,"CHRISTIANO MARCONDES DE BARROS LIMA",IF(J132=24137,"CHRISTIANO MARCONDES DE BARROS LIMA",IF(J132=135152,"ENRICO BORTPLUZO CASSIANO",IF(J132=136568,"ENRICO BORTPLUZO CASSIANO", IF(J132=130976,"MARYLIA CARVALHO PONCE",IF(J132=136668,"ALEXANDRE DA COSTA SOARES",IF(J132=52340,"OFFSHORE LISTED",IF(J132=158778,"CLAUDIO DE SOUZA PACINI",IF(J132=159800,"CLAUDIO DE SOUZA PACINI",_xlfn.XLOOKUP(J132,[1]!Tabela33[ID ORACLE],[1]!Tabela33[BROKER],0,0,1)))))))))))))</f>
        <v>ALEXANDRE DE CARVALHO GALHARDO</v>
      </c>
      <c r="E132" s="22">
        <f t="shared" si="10"/>
        <v>-590.62264142110007</v>
      </c>
      <c r="F132" s="9" t="str">
        <f t="shared" si="11"/>
        <v>REFINITIV</v>
      </c>
      <c r="G132" s="20">
        <f t="shared" si="12"/>
        <v>46143</v>
      </c>
      <c r="H132" s="23">
        <v>1170</v>
      </c>
      <c r="J132" s="41">
        <v>63705</v>
      </c>
      <c r="K132" s="1" t="s">
        <v>42</v>
      </c>
      <c r="L132" s="1" t="s">
        <v>17</v>
      </c>
      <c r="M132" s="29">
        <v>86.668913000000003</v>
      </c>
      <c r="N132" s="29"/>
      <c r="O132" s="41"/>
      <c r="Q132" s="27"/>
      <c r="R132" s="27"/>
    </row>
    <row r="133" spans="1:78" ht="15" customHeight="1" x14ac:dyDescent="0.25">
      <c r="A133" s="9" t="str">
        <f t="shared" si="9"/>
        <v>CUSTO MARKET DATA - MAIO/26-BLOOMBERG-64098</v>
      </c>
      <c r="B133" s="20">
        <v>46143</v>
      </c>
      <c r="C133" s="21">
        <v>817393</v>
      </c>
      <c r="D133" s="9" t="str">
        <f>IF(J133=57036,"ALEXANDRE DA COSTA SOARES",IF(J133=24157,"JOSE MAURICIO GOMES TEIXEIRA",IF(J133=24203,"JOSE MAURICIO GOMES TEIXEIRA",IF(J133=24149,"CHRISTIANO MARCONDES DE BARROS LIMA",IF(J133=24137,"CHRISTIANO MARCONDES DE BARROS LIMA",IF(J133=135152,"ENRICO BORTPLUZO CASSIANO",IF(J133=136568,"ENRICO BORTPLUZO CASSIANO", IF(J133=130976,"MARYLIA CARVALHO PONCE",IF(J133=136668,"ALEXANDRE DA COSTA SOARES",IF(J133=52340,"OFFSHORE LISTED",IF(J133=158778,"CLAUDIO DE SOUZA PACINI",IF(J133=159800,"CLAUDIO DE SOUZA PACINI",_xlfn.XLOOKUP(J133,[1]!Tabela33[ID ORACLE],[1]!Tabela33[BROKER],0,0,1)))))))))))))</f>
        <v>HAMILTON DEL MONACO FILHO</v>
      </c>
      <c r="E133" s="22">
        <f t="shared" si="10"/>
        <v>-13014.518684660297</v>
      </c>
      <c r="F133" s="9" t="str">
        <f t="shared" si="11"/>
        <v>BLOOMBERG</v>
      </c>
      <c r="G133" s="20">
        <f t="shared" si="12"/>
        <v>46143</v>
      </c>
      <c r="H133" s="23">
        <v>1170</v>
      </c>
      <c r="J133" s="41">
        <v>64098</v>
      </c>
      <c r="K133" s="1" t="s">
        <v>41</v>
      </c>
      <c r="L133" s="1" t="s">
        <v>12</v>
      </c>
      <c r="M133" s="29">
        <v>2573.6159869999997</v>
      </c>
      <c r="N133" s="29"/>
      <c r="O133" s="41"/>
      <c r="Q133" s="27"/>
      <c r="R133" s="27"/>
    </row>
    <row r="134" spans="1:78" s="26" customFormat="1" ht="15" customHeight="1" x14ac:dyDescent="0.25">
      <c r="A134" s="9" t="str">
        <f t="shared" si="9"/>
        <v>CUSTO MARKET DATA - MAIO/26-NYSE MARKET INC.-64098</v>
      </c>
      <c r="B134" s="20">
        <v>46143</v>
      </c>
      <c r="C134" s="21">
        <v>817393</v>
      </c>
      <c r="D134" s="9" t="str">
        <f>IF(J134=57036,"ALEXANDRE DA COSTA SOARES",IF(J134=24157,"JOSE MAURICIO GOMES TEIXEIRA",IF(J134=24203,"JOSE MAURICIO GOMES TEIXEIRA",IF(J134=24149,"CHRISTIANO MARCONDES DE BARROS LIMA",IF(J134=24137,"CHRISTIANO MARCONDES DE BARROS LIMA",IF(J134=135152,"ENRICO BORTPLUZO CASSIANO",IF(J134=136568,"ENRICO BORTPLUZO CASSIANO", IF(J134=130976,"MARYLIA CARVALHO PONCE",IF(J134=136668,"ALEXANDRE DA COSTA SOARES",IF(J134=52340,"OFFSHORE LISTED",IF(J134=158778,"CLAUDIO DE SOUZA PACINI",IF(J134=159800,"CLAUDIO DE SOUZA PACINI",_xlfn.XLOOKUP(J134,[1]!Tabela33[ID ORACLE],[1]!Tabela33[BROKER],0,0,1)))))))))))))</f>
        <v>HAMILTON DEL MONACO FILHO</v>
      </c>
      <c r="E134" s="22">
        <f t="shared" si="10"/>
        <v>-2098.6134999999999</v>
      </c>
      <c r="F134" s="9" t="str">
        <f t="shared" si="11"/>
        <v>NYSE MARKET INC.</v>
      </c>
      <c r="G134" s="20">
        <f t="shared" si="12"/>
        <v>46143</v>
      </c>
      <c r="H134" s="23">
        <v>1170</v>
      </c>
      <c r="I134"/>
      <c r="J134" s="41">
        <v>64098</v>
      </c>
      <c r="K134" s="1" t="s">
        <v>44</v>
      </c>
      <c r="L134" s="1" t="s">
        <v>12</v>
      </c>
      <c r="M134" s="29">
        <v>415</v>
      </c>
      <c r="N134" s="29"/>
      <c r="O134" s="41"/>
      <c r="Q134" s="27"/>
      <c r="R134" s="27"/>
      <c r="S134" s="28"/>
      <c r="U134" s="28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</row>
    <row r="135" spans="1:78" s="26" customFormat="1" ht="15" customHeight="1" x14ac:dyDescent="0.25">
      <c r="A135" s="9" t="str">
        <f t="shared" si="9"/>
        <v>CUSTO MARKET DATA - MAIO/26-OPTIONS PRICE REPORTING AUTHORITY (OPRA)-64098</v>
      </c>
      <c r="B135" s="20">
        <v>46143</v>
      </c>
      <c r="C135" s="21">
        <v>817393</v>
      </c>
      <c r="D135" s="9" t="str">
        <f>IF(J135=57036,"ALEXANDRE DA COSTA SOARES",IF(J135=24157,"JOSE MAURICIO GOMES TEIXEIRA",IF(J135=24203,"JOSE MAURICIO GOMES TEIXEIRA",IF(J135=24149,"CHRISTIANO MARCONDES DE BARROS LIMA",IF(J135=24137,"CHRISTIANO MARCONDES DE BARROS LIMA",IF(J135=135152,"ENRICO BORTPLUZO CASSIANO",IF(J135=136568,"ENRICO BORTPLUZO CASSIANO", IF(J135=130976,"MARYLIA CARVALHO PONCE",IF(J135=136668,"ALEXANDRE DA COSTA SOARES",IF(J135=52340,"OFFSHORE LISTED",IF(J135=158778,"CLAUDIO DE SOUZA PACINI",IF(J135=159800,"CLAUDIO DE SOUZA PACINI",_xlfn.XLOOKUP(J135,[1]!Tabela33[ID ORACLE],[1]!Tabela33[BROKER],0,0,1)))))))))))))</f>
        <v>HAMILTON DEL MONACO FILHO</v>
      </c>
      <c r="E135" s="22">
        <f t="shared" si="10"/>
        <v>-159.29235</v>
      </c>
      <c r="F135" s="9" t="str">
        <f t="shared" si="11"/>
        <v>OPTIONS PRICE REPORTING AUTHORITY (OPRA)</v>
      </c>
      <c r="G135" s="20">
        <f t="shared" si="12"/>
        <v>46143</v>
      </c>
      <c r="H135" s="23">
        <v>1170</v>
      </c>
      <c r="I135"/>
      <c r="J135" s="41">
        <v>64098</v>
      </c>
      <c r="K135" s="1" t="s">
        <v>45</v>
      </c>
      <c r="L135" s="1" t="s">
        <v>12</v>
      </c>
      <c r="M135" s="29">
        <v>31.5</v>
      </c>
      <c r="N135" s="29"/>
      <c r="O135" s="41"/>
      <c r="Q135" s="27"/>
      <c r="R135" s="27"/>
      <c r="S135" s="28"/>
      <c r="U135" s="28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</row>
    <row r="136" spans="1:78" s="26" customFormat="1" ht="15" customHeight="1" x14ac:dyDescent="0.25">
      <c r="A136" s="9" t="str">
        <f t="shared" ref="A136:A159" si="13">CONCATENATE($N$1,$I$1,F136,$I$1,J136)</f>
        <v>CUSTO MARKET DATA - MAIO/26-REFINITIV-64098</v>
      </c>
      <c r="B136" s="20">
        <v>46143</v>
      </c>
      <c r="C136" s="21">
        <v>817393</v>
      </c>
      <c r="D136" s="9" t="str">
        <f>IF(J136=57036,"ALEXANDRE DA COSTA SOARES",IF(J136=24157,"JOSE MAURICIO GOMES TEIXEIRA",IF(J136=24203,"JOSE MAURICIO GOMES TEIXEIRA",IF(J136=24149,"CHRISTIANO MARCONDES DE BARROS LIMA",IF(J136=24137,"CHRISTIANO MARCONDES DE BARROS LIMA",IF(J136=135152,"ENRICO BORTPLUZO CASSIANO",IF(J136=136568,"ENRICO BORTPLUZO CASSIANO", IF(J136=130976,"MARYLIA CARVALHO PONCE",IF(J136=136668,"ALEXANDRE DA COSTA SOARES",IF(J136=52340,"OFFSHORE LISTED",IF(J136=158778,"CLAUDIO DE SOUZA PACINI",IF(J136=159800,"CLAUDIO DE SOUZA PACINI",_xlfn.XLOOKUP(J136,[1]!Tabela33[ID ORACLE],[1]!Tabela33[BROKER],0,0,1)))))))))))))</f>
        <v>HAMILTON DEL MONACO FILHO</v>
      </c>
      <c r="E136" s="22">
        <f t="shared" si="10"/>
        <v>-142.0800142203</v>
      </c>
      <c r="F136" s="9" t="str">
        <f t="shared" si="11"/>
        <v>REFINITIV</v>
      </c>
      <c r="G136" s="20">
        <f t="shared" si="12"/>
        <v>46143</v>
      </c>
      <c r="H136" s="23">
        <v>1170</v>
      </c>
      <c r="I136"/>
      <c r="J136" s="41">
        <v>64098</v>
      </c>
      <c r="K136" s="1" t="s">
        <v>42</v>
      </c>
      <c r="L136" s="1" t="s">
        <v>17</v>
      </c>
      <c r="M136" s="29">
        <v>20.849049000000001</v>
      </c>
      <c r="N136" s="29"/>
      <c r="O136" s="41"/>
      <c r="Q136" s="27"/>
      <c r="R136" s="27"/>
      <c r="S136" s="28"/>
      <c r="U136" s="28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</row>
    <row r="137" spans="1:78" s="26" customFormat="1" ht="15" customHeight="1" x14ac:dyDescent="0.25">
      <c r="A137" s="9" t="str">
        <f t="shared" si="13"/>
        <v>CUSTO MARKET DATA - MAIO/26-SYMPHONY COMMUNICATION SERVICES, LLC-64098</v>
      </c>
      <c r="B137" s="20">
        <v>46143</v>
      </c>
      <c r="C137" s="21">
        <v>817393</v>
      </c>
      <c r="D137" s="9" t="str">
        <f>IF(J137=57036,"ALEXANDRE DA COSTA SOARES",IF(J137=24157,"JOSE MAURICIO GOMES TEIXEIRA",IF(J137=24203,"JOSE MAURICIO GOMES TEIXEIRA",IF(J137=24149,"CHRISTIANO MARCONDES DE BARROS LIMA",IF(J137=24137,"CHRISTIANO MARCONDES DE BARROS LIMA",IF(J137=135152,"ENRICO BORTPLUZO CASSIANO",IF(J137=136568,"ENRICO BORTPLUZO CASSIANO", IF(J137=130976,"MARYLIA CARVALHO PONCE",IF(J137=136668,"ALEXANDRE DA COSTA SOARES",IF(J137=52340,"OFFSHORE LISTED",IF(J137=158778,"CLAUDIO DE SOUZA PACINI",IF(J137=159800,"CLAUDIO DE SOUZA PACINI",_xlfn.XLOOKUP(J137,[1]!Tabela33[ID ORACLE],[1]!Tabela33[BROKER],0,0,1)))))))))))))</f>
        <v>HAMILTON DEL MONACO FILHO</v>
      </c>
      <c r="E137" s="22">
        <f t="shared" si="10"/>
        <v>-126.631097125</v>
      </c>
      <c r="F137" s="9" t="str">
        <f t="shared" si="11"/>
        <v>SYMPHONY COMMUNICATION SERVICES, LLC</v>
      </c>
      <c r="G137" s="20">
        <f t="shared" si="12"/>
        <v>46143</v>
      </c>
      <c r="H137" s="23">
        <v>1170</v>
      </c>
      <c r="I137"/>
      <c r="J137" s="41">
        <v>64098</v>
      </c>
      <c r="K137" s="1" t="s">
        <v>50</v>
      </c>
      <c r="L137" s="1" t="s">
        <v>12</v>
      </c>
      <c r="M137" s="29">
        <v>25.041250000000002</v>
      </c>
      <c r="N137" s="41"/>
      <c r="O137" s="1"/>
      <c r="Q137" s="27"/>
      <c r="R137" s="27"/>
      <c r="S137" s="28"/>
      <c r="U137" s="28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</row>
    <row r="138" spans="1:78" s="26" customFormat="1" ht="15" customHeight="1" x14ac:dyDescent="0.25">
      <c r="A138" s="9" t="str">
        <f t="shared" si="13"/>
        <v>CUSTO MARKET DATA - MAIO/26-BLOOMBERG-66546</v>
      </c>
      <c r="B138" s="20">
        <v>46143</v>
      </c>
      <c r="C138" s="21">
        <v>817393</v>
      </c>
      <c r="D138" s="9" t="str">
        <f>IF(J138=57036,"ALEXANDRE DA COSTA SOARES",IF(J138=24157,"JOSE MAURICIO GOMES TEIXEIRA",IF(J138=24203,"JOSE MAURICIO GOMES TEIXEIRA",IF(J138=24149,"CHRISTIANO MARCONDES DE BARROS LIMA",IF(J138=24137,"CHRISTIANO MARCONDES DE BARROS LIMA",IF(J138=135152,"ENRICO BORTPLUZO CASSIANO",IF(J138=136568,"ENRICO BORTPLUZO CASSIANO", IF(J138=130976,"MARYLIA CARVALHO PONCE",IF(J138=136668,"ALEXANDRE DA COSTA SOARES",IF(J138=52340,"OFFSHORE LISTED",IF(J138=158778,"CLAUDIO DE SOUZA PACINI",IF(J138=159800,"CLAUDIO DE SOUZA PACINI",_xlfn.XLOOKUP(J138,[1]!Tabela33[ID ORACLE],[1]!Tabela33[BROKER],0,0,1)))))))))))))</f>
        <v>ERMINIO OLIVI LUCCI</v>
      </c>
      <c r="E138" s="22">
        <f t="shared" si="10"/>
        <v>-11999.093164660298</v>
      </c>
      <c r="F138" s="9" t="str">
        <f t="shared" si="11"/>
        <v>BLOOMBERG</v>
      </c>
      <c r="G138" s="20">
        <f t="shared" si="12"/>
        <v>46143</v>
      </c>
      <c r="H138" s="23">
        <v>1170</v>
      </c>
      <c r="I138"/>
      <c r="J138" s="41">
        <v>66546</v>
      </c>
      <c r="K138" s="1" t="s">
        <v>41</v>
      </c>
      <c r="L138" s="1" t="s">
        <v>12</v>
      </c>
      <c r="M138" s="29">
        <v>2372.815987</v>
      </c>
      <c r="N138" s="41"/>
      <c r="O138" s="1"/>
      <c r="Q138" s="27"/>
      <c r="R138" s="27"/>
      <c r="S138" s="28"/>
      <c r="U138" s="28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</row>
    <row r="139" spans="1:78" s="26" customFormat="1" ht="15" customHeight="1" x14ac:dyDescent="0.25">
      <c r="A139" s="9" t="str">
        <f t="shared" si="13"/>
        <v>CUSTO MARKET DATA - MAIO/26-REFINITIV-66729</v>
      </c>
      <c r="B139" s="20">
        <v>46143</v>
      </c>
      <c r="C139" s="21">
        <v>817393</v>
      </c>
      <c r="D139" s="9" t="str">
        <f>IF(J139=57036,"ALEXANDRE DA COSTA SOARES",IF(J139=24157,"JOSE MAURICIO GOMES TEIXEIRA",IF(J139=24203,"JOSE MAURICIO GOMES TEIXEIRA",IF(J139=24149,"CHRISTIANO MARCONDES DE BARROS LIMA",IF(J139=24137,"CHRISTIANO MARCONDES DE BARROS LIMA",IF(J139=135152,"ENRICO BORTPLUZO CASSIANO",IF(J139=136568,"ENRICO BORTPLUZO CASSIANO", IF(J139=130976,"MARYLIA CARVALHO PONCE",IF(J139=136668,"ALEXANDRE DA COSTA SOARES",IF(J139=52340,"OFFSHORE LISTED",IF(J139=158778,"CLAUDIO DE SOUZA PACINI",IF(J139=159800,"CLAUDIO DE SOUZA PACINI",_xlfn.XLOOKUP(J139,[1]!Tabela33[ID ORACLE],[1]!Tabela33[BROKER],0,0,1)))))))))))))</f>
        <v>PAOLO FRANCA LIDA</v>
      </c>
      <c r="E139" s="22">
        <f t="shared" si="10"/>
        <v>-590.62264142110007</v>
      </c>
      <c r="F139" s="9" t="str">
        <f t="shared" si="11"/>
        <v>REFINITIV</v>
      </c>
      <c r="G139" s="20">
        <f t="shared" si="12"/>
        <v>46143</v>
      </c>
      <c r="H139" s="23">
        <v>1170</v>
      </c>
      <c r="I139"/>
      <c r="J139" s="41">
        <v>66729</v>
      </c>
      <c r="K139" s="1" t="s">
        <v>42</v>
      </c>
      <c r="L139" s="1" t="s">
        <v>17</v>
      </c>
      <c r="M139" s="29">
        <v>86.668913000000003</v>
      </c>
      <c r="N139" s="41"/>
      <c r="O139" s="1"/>
      <c r="Q139" s="27"/>
      <c r="R139" s="27"/>
      <c r="S139" s="28"/>
      <c r="U139" s="28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</row>
    <row r="140" spans="1:78" s="26" customFormat="1" ht="15" customHeight="1" x14ac:dyDescent="0.25">
      <c r="A140" s="9" t="str">
        <f t="shared" si="13"/>
        <v>CUSTO MARKET DATA - MAIO/26-REFINITIV-67829</v>
      </c>
      <c r="B140" s="20">
        <v>46143</v>
      </c>
      <c r="C140" s="21">
        <v>817393</v>
      </c>
      <c r="D140" s="9" t="str">
        <f>IF(J140=57036,"ALEXANDRE DA COSTA SOARES",IF(J140=24157,"JOSE MAURICIO GOMES TEIXEIRA",IF(J140=24203,"JOSE MAURICIO GOMES TEIXEIRA",IF(J140=24149,"CHRISTIANO MARCONDES DE BARROS LIMA",IF(J140=24137,"CHRISTIANO MARCONDES DE BARROS LIMA",IF(J140=135152,"ENRICO BORTPLUZO CASSIANO",IF(J140=136568,"ENRICO BORTPLUZO CASSIANO", IF(J140=130976,"MARYLIA CARVALHO PONCE",IF(J140=136668,"ALEXANDRE DA COSTA SOARES",IF(J140=52340,"OFFSHORE LISTED",IF(J140=158778,"CLAUDIO DE SOUZA PACINI",IF(J140=159800,"CLAUDIO DE SOUZA PACINI",_xlfn.XLOOKUP(J140,[1]!Tabela33[ID ORACLE],[1]!Tabela33[BROKER],0,0,1)))))))))))))</f>
        <v>WESLEY MARQUES DA SILVA</v>
      </c>
      <c r="E140" s="22">
        <f t="shared" si="10"/>
        <v>-142.0800142203</v>
      </c>
      <c r="F140" s="9" t="str">
        <f t="shared" si="11"/>
        <v>REFINITIV</v>
      </c>
      <c r="G140" s="20">
        <f t="shared" si="12"/>
        <v>46143</v>
      </c>
      <c r="H140" s="23">
        <v>1170</v>
      </c>
      <c r="I140"/>
      <c r="J140" s="41">
        <v>67829</v>
      </c>
      <c r="K140" s="1" t="s">
        <v>42</v>
      </c>
      <c r="L140" s="1" t="s">
        <v>17</v>
      </c>
      <c r="M140" s="29">
        <v>20.849049000000001</v>
      </c>
      <c r="N140" s="41"/>
      <c r="O140" s="1"/>
      <c r="Q140" s="27"/>
      <c r="R140" s="27"/>
      <c r="S140" s="28"/>
      <c r="U140" s="28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</row>
    <row r="141" spans="1:78" s="26" customFormat="1" ht="15" customHeight="1" x14ac:dyDescent="0.25">
      <c r="A141" s="9" t="str">
        <f t="shared" si="13"/>
        <v>CUSTO MARKET DATA - MAIO/26-BLOOMBERG-67841</v>
      </c>
      <c r="B141" s="20">
        <v>46143</v>
      </c>
      <c r="C141" s="21">
        <v>817393</v>
      </c>
      <c r="D141" s="9" t="str">
        <f>IF(J141=57036,"ALEXANDRE DA COSTA SOARES",IF(J141=24157,"JOSE MAURICIO GOMES TEIXEIRA",IF(J141=24203,"JOSE MAURICIO GOMES TEIXEIRA",IF(J141=24149,"CHRISTIANO MARCONDES DE BARROS LIMA",IF(J141=24137,"CHRISTIANO MARCONDES DE BARROS LIMA",IF(J141=135152,"ENRICO BORTPLUZO CASSIANO",IF(J141=136568,"ENRICO BORTPLUZO CASSIANO", IF(J141=130976,"MARYLIA CARVALHO PONCE",IF(J141=136668,"ALEXANDRE DA COSTA SOARES",IF(J141=52340,"OFFSHORE LISTED",IF(J141=158778,"CLAUDIO DE SOUZA PACINI",IF(J141=159800,"CLAUDIO DE SOUZA PACINI",_xlfn.XLOOKUP(J141,[1]!Tabela33[ID ORACLE],[1]!Tabela33[BROKER],0,0,1)))))))))))))</f>
        <v>FERNANDO FERREIRA FEITOSA</v>
      </c>
      <c r="E141" s="22">
        <f t="shared" si="10"/>
        <v>-50.568999999999996</v>
      </c>
      <c r="F141" s="9" t="str">
        <f t="shared" si="11"/>
        <v>BLOOMBERG</v>
      </c>
      <c r="G141" s="20">
        <f t="shared" si="12"/>
        <v>46143</v>
      </c>
      <c r="H141" s="23">
        <v>1170</v>
      </c>
      <c r="I141"/>
      <c r="J141" s="41">
        <v>67841</v>
      </c>
      <c r="K141" s="1" t="s">
        <v>41</v>
      </c>
      <c r="L141" s="1" t="s">
        <v>12</v>
      </c>
      <c r="M141" s="29">
        <v>10</v>
      </c>
      <c r="N141" s="41"/>
      <c r="O141" s="1"/>
      <c r="Q141" s="27"/>
      <c r="R141" s="27"/>
      <c r="S141" s="28"/>
      <c r="U141" s="28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</row>
    <row r="142" spans="1:78" s="26" customFormat="1" ht="15" customHeight="1" x14ac:dyDescent="0.25">
      <c r="A142" s="9" t="str">
        <f t="shared" si="13"/>
        <v>CUSTO MARKET DATA - MAIO/26-REFINITIV-67841</v>
      </c>
      <c r="B142" s="20">
        <v>46143</v>
      </c>
      <c r="C142" s="21">
        <v>817393</v>
      </c>
      <c r="D142" s="9" t="str">
        <f>IF(J142=57036,"ALEXANDRE DA COSTA SOARES",IF(J142=24157,"JOSE MAURICIO GOMES TEIXEIRA",IF(J142=24203,"JOSE MAURICIO GOMES TEIXEIRA",IF(J142=24149,"CHRISTIANO MARCONDES DE BARROS LIMA",IF(J142=24137,"CHRISTIANO MARCONDES DE BARROS LIMA",IF(J142=135152,"ENRICO BORTPLUZO CASSIANO",IF(J142=136568,"ENRICO BORTPLUZO CASSIANO", IF(J142=130976,"MARYLIA CARVALHO PONCE",IF(J142=136668,"ALEXANDRE DA COSTA SOARES",IF(J142=52340,"OFFSHORE LISTED",IF(J142=158778,"CLAUDIO DE SOUZA PACINI",IF(J142=159800,"CLAUDIO DE SOUZA PACINI",_xlfn.XLOOKUP(J142,[1]!Tabela33[ID ORACLE],[1]!Tabela33[BROKER],0,0,1)))))))))))))</f>
        <v>FERNANDO FERREIRA FEITOSA</v>
      </c>
      <c r="E142" s="22">
        <f t="shared" si="10"/>
        <v>-142.0800142203</v>
      </c>
      <c r="F142" s="9" t="str">
        <f t="shared" si="11"/>
        <v>REFINITIV</v>
      </c>
      <c r="G142" s="20">
        <f t="shared" si="12"/>
        <v>46143</v>
      </c>
      <c r="H142" s="23">
        <v>1170</v>
      </c>
      <c r="I142"/>
      <c r="J142" s="41">
        <v>67841</v>
      </c>
      <c r="K142" s="1" t="s">
        <v>42</v>
      </c>
      <c r="L142" s="1" t="s">
        <v>17</v>
      </c>
      <c r="M142" s="29">
        <v>20.849049000000001</v>
      </c>
      <c r="N142" s="41"/>
      <c r="O142" s="1"/>
      <c r="Q142" s="27"/>
      <c r="R142" s="27"/>
      <c r="S142" s="28"/>
      <c r="U142" s="28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</row>
    <row r="143" spans="1:78" s="26" customFormat="1" ht="15" customHeight="1" x14ac:dyDescent="0.25">
      <c r="A143" s="9" t="str">
        <f t="shared" si="13"/>
        <v>CUSTO MARKET DATA - MAIO/26-REFINITIV-67842</v>
      </c>
      <c r="B143" s="20">
        <v>46143</v>
      </c>
      <c r="C143" s="21">
        <v>817393</v>
      </c>
      <c r="D143" s="32" t="s">
        <v>22</v>
      </c>
      <c r="E143" s="22">
        <f t="shared" si="10"/>
        <v>-5.7039038999999996E-3</v>
      </c>
      <c r="F143" s="9" t="str">
        <f t="shared" si="11"/>
        <v>REFINITIV</v>
      </c>
      <c r="G143" s="20">
        <f t="shared" si="12"/>
        <v>46143</v>
      </c>
      <c r="H143" s="23">
        <v>1170</v>
      </c>
      <c r="I143"/>
      <c r="J143" s="41">
        <v>67842</v>
      </c>
      <c r="K143" s="1" t="s">
        <v>42</v>
      </c>
      <c r="L143" s="1" t="s">
        <v>17</v>
      </c>
      <c r="M143" s="29">
        <v>8.3699999999999996E-4</v>
      </c>
      <c r="N143" s="41"/>
      <c r="O143" s="1"/>
      <c r="Q143" s="27"/>
      <c r="R143" s="27"/>
      <c r="S143" s="28"/>
      <c r="U143" s="28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</row>
    <row r="144" spans="1:78" s="26" customFormat="1" ht="15" customHeight="1" x14ac:dyDescent="0.25">
      <c r="A144" s="9" t="str">
        <f t="shared" si="13"/>
        <v>CUSTO MARKET DATA - MAIO/26-BLOOMBERG-67843</v>
      </c>
      <c r="B144" s="20">
        <v>46143</v>
      </c>
      <c r="C144" s="21">
        <v>817393</v>
      </c>
      <c r="D144" s="9" t="str">
        <f>IF(J144=57036,"ALEXANDRE DA COSTA SOARES",IF(J144=24157,"JOSE MAURICIO GOMES TEIXEIRA",IF(J144=24203,"JOSE MAURICIO GOMES TEIXEIRA",IF(J144=24149,"CHRISTIANO MARCONDES DE BARROS LIMA",IF(J144=24137,"CHRISTIANO MARCONDES DE BARROS LIMA",IF(J144=135152,"ENRICO BORTPLUZO CASSIANO",IF(J144=136568,"ENRICO BORTPLUZO CASSIANO", IF(J144=130976,"MARYLIA CARVALHO PONCE",IF(J144=136668,"ALEXANDRE DA COSTA SOARES",IF(J144=52340,"OFFSHORE LISTED",IF(J144=158778,"CLAUDIO DE SOUZA PACINI",IF(J144=159800,"CLAUDIO DE SOUZA PACINI",_xlfn.XLOOKUP(J144,[1]!Tabela33[ID ORACLE],[1]!Tabela33[BROKER],0,0,1)))))))))))))</f>
        <v>ANTÔNIO MARTINS NETO</v>
      </c>
      <c r="E144" s="22">
        <f t="shared" si="10"/>
        <v>-11999.093164660298</v>
      </c>
      <c r="F144" s="9" t="str">
        <f t="shared" si="11"/>
        <v>BLOOMBERG</v>
      </c>
      <c r="G144" s="20">
        <f t="shared" si="12"/>
        <v>46143</v>
      </c>
      <c r="H144" s="23">
        <v>1170</v>
      </c>
      <c r="I144"/>
      <c r="J144" s="1">
        <v>67843</v>
      </c>
      <c r="K144" s="1" t="s">
        <v>41</v>
      </c>
      <c r="L144" s="1" t="s">
        <v>12</v>
      </c>
      <c r="M144" s="2">
        <v>2372.815987</v>
      </c>
      <c r="N144"/>
      <c r="O144" s="1"/>
      <c r="Q144" s="27"/>
      <c r="R144" s="27"/>
      <c r="S144" s="28"/>
      <c r="U144" s="28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</row>
    <row r="145" spans="1:18" ht="15" customHeight="1" x14ac:dyDescent="0.25">
      <c r="A145" s="9" t="str">
        <f t="shared" si="13"/>
        <v>CUSTO MARKET DATA - MAIO/26-REFINITIV-67843</v>
      </c>
      <c r="B145" s="20">
        <v>46143</v>
      </c>
      <c r="C145" s="21">
        <v>817393</v>
      </c>
      <c r="D145" s="9" t="str">
        <f>IF(J145=57036,"ALEXANDRE DA COSTA SOARES",IF(J145=24157,"JOSE MAURICIO GOMES TEIXEIRA",IF(J145=24203,"JOSE MAURICIO GOMES TEIXEIRA",IF(J145=24149,"CHRISTIANO MARCONDES DE BARROS LIMA",IF(J145=24137,"CHRISTIANO MARCONDES DE BARROS LIMA",IF(J145=135152,"ENRICO BORTPLUZO CASSIANO",IF(J145=136568,"ENRICO BORTPLUZO CASSIANO", IF(J145=130976,"MARYLIA CARVALHO PONCE",IF(J145=136668,"ALEXANDRE DA COSTA SOARES",IF(J145=52340,"OFFSHORE LISTED",IF(J145=158778,"CLAUDIO DE SOUZA PACINI",IF(J145=159800,"CLAUDIO DE SOUZA PACINI",_xlfn.XLOOKUP(J145,[1]!Tabela33[ID ORACLE],[1]!Tabela33[BROKER],0,0,1)))))))))))))</f>
        <v>ANTÔNIO MARTINS NETO</v>
      </c>
      <c r="E145" s="22">
        <f t="shared" si="10"/>
        <v>-142.0800142203</v>
      </c>
      <c r="F145" s="9" t="str">
        <f t="shared" si="11"/>
        <v>REFINITIV</v>
      </c>
      <c r="G145" s="20">
        <f t="shared" si="12"/>
        <v>46143</v>
      </c>
      <c r="H145" s="23">
        <v>1170</v>
      </c>
      <c r="J145" s="1">
        <v>67843</v>
      </c>
      <c r="K145" s="1" t="s">
        <v>42</v>
      </c>
      <c r="L145" s="1" t="s">
        <v>17</v>
      </c>
      <c r="M145" s="2">
        <v>20.849049000000001</v>
      </c>
      <c r="Q145" s="27"/>
      <c r="R145" s="27"/>
    </row>
    <row r="146" spans="1:18" ht="15" customHeight="1" x14ac:dyDescent="0.25">
      <c r="A146" s="9" t="str">
        <f t="shared" si="13"/>
        <v>CUSTO MARKET DATA - MAIO/26-BLOOMBERG-70461</v>
      </c>
      <c r="B146" s="20">
        <v>46143</v>
      </c>
      <c r="C146" s="21">
        <v>817393</v>
      </c>
      <c r="D146" s="9" t="str">
        <f>IF(J146=57036,"ALEXANDRE DA COSTA SOARES",IF(J146=24157,"JOSE MAURICIO GOMES TEIXEIRA",IF(J146=24203,"JOSE MAURICIO GOMES TEIXEIRA",IF(J146=24149,"CHRISTIANO MARCONDES DE BARROS LIMA",IF(J146=24137,"CHRISTIANO MARCONDES DE BARROS LIMA",IF(J146=135152,"ENRICO BORTPLUZO CASSIANO",IF(J146=136568,"ENRICO BORTPLUZO CASSIANO", IF(J146=130976,"MARYLIA CARVALHO PONCE",IF(J146=136668,"ALEXANDRE DA COSTA SOARES",IF(J146=52340,"OFFSHORE LISTED",IF(J146=158778,"CLAUDIO DE SOUZA PACINI",IF(J146=159800,"CLAUDIO DE SOUZA PACINI",_xlfn.XLOOKUP(J146,[1]!Tabela33[ID ORACLE],[1]!Tabela33[BROKER],0,0,1)))))))))))))</f>
        <v>ALVARO LUIZ RICOTTA SOARES</v>
      </c>
      <c r="E146" s="22">
        <f t="shared" si="10"/>
        <v>-9144.0736701293008</v>
      </c>
      <c r="F146" s="9" t="str">
        <f t="shared" si="11"/>
        <v>BLOOMBERG</v>
      </c>
      <c r="G146" s="20">
        <f t="shared" si="12"/>
        <v>46143</v>
      </c>
      <c r="H146" s="23">
        <v>1170</v>
      </c>
      <c r="J146" s="1">
        <v>70461</v>
      </c>
      <c r="K146" s="1" t="s">
        <v>41</v>
      </c>
      <c r="L146" s="1" t="s">
        <v>12</v>
      </c>
      <c r="M146" s="2">
        <v>1808.2369970000002</v>
      </c>
      <c r="Q146" s="27"/>
      <c r="R146" s="27"/>
    </row>
    <row r="147" spans="1:18" ht="15" customHeight="1" x14ac:dyDescent="0.25">
      <c r="A147" s="9" t="str">
        <f t="shared" si="13"/>
        <v>CUSTO MARKET DATA - MAIO/26-BLOOMBERG-70953</v>
      </c>
      <c r="B147" s="20">
        <v>46143</v>
      </c>
      <c r="C147" s="21">
        <v>817393</v>
      </c>
      <c r="D147" s="9" t="str">
        <f>IF(J147=57036,"ALEXANDRE DA COSTA SOARES",IF(J147=24157,"JOSE MAURICIO GOMES TEIXEIRA",IF(J147=24203,"JOSE MAURICIO GOMES TEIXEIRA",IF(J147=24149,"CHRISTIANO MARCONDES DE BARROS LIMA",IF(J147=24137,"CHRISTIANO MARCONDES DE BARROS LIMA",IF(J147=135152,"ENRICO BORTPLUZO CASSIANO",IF(J147=136568,"ENRICO BORTPLUZO CASSIANO", IF(J147=130976,"MARYLIA CARVALHO PONCE",IF(J147=136668,"ALEXANDRE DA COSTA SOARES",IF(J147=52340,"OFFSHORE LISTED",IF(J147=158778,"CLAUDIO DE SOUZA PACINI",IF(J147=159800,"CLAUDIO DE SOUZA PACINI",_xlfn.XLOOKUP(J147,[1]!Tabela33[ID ORACLE],[1]!Tabela33[BROKER],0,0,1)))))))))))))</f>
        <v>CARLOS BASILE</v>
      </c>
      <c r="E147" s="22">
        <f t="shared" si="10"/>
        <v>-12335.377014660298</v>
      </c>
      <c r="F147" s="9" t="str">
        <f t="shared" si="11"/>
        <v>BLOOMBERG</v>
      </c>
      <c r="G147" s="20">
        <f t="shared" si="12"/>
        <v>46143</v>
      </c>
      <c r="H147" s="23">
        <v>1170</v>
      </c>
      <c r="J147" s="1">
        <v>70953</v>
      </c>
      <c r="K147" s="1" t="s">
        <v>41</v>
      </c>
      <c r="L147" s="1" t="s">
        <v>12</v>
      </c>
      <c r="M147" s="2">
        <v>2439.315987</v>
      </c>
      <c r="Q147" s="27"/>
      <c r="R147" s="27"/>
    </row>
    <row r="148" spans="1:18" ht="15" customHeight="1" x14ac:dyDescent="0.25">
      <c r="A148" s="9" t="str">
        <f t="shared" si="13"/>
        <v>CUSTO MARKET DATA - MAIO/26-REFINITIV-70953</v>
      </c>
      <c r="B148" s="20">
        <v>46143</v>
      </c>
      <c r="C148" s="21">
        <v>817393</v>
      </c>
      <c r="D148" s="9" t="str">
        <f>IF(J148=57036,"ALEXANDRE DA COSTA SOARES",IF(J148=24157,"JOSE MAURICIO GOMES TEIXEIRA",IF(J148=24203,"JOSE MAURICIO GOMES TEIXEIRA",IF(J148=24149,"CHRISTIANO MARCONDES DE BARROS LIMA",IF(J148=24137,"CHRISTIANO MARCONDES DE BARROS LIMA",IF(J148=135152,"ENRICO BORTPLUZO CASSIANO",IF(J148=136568,"ENRICO BORTPLUZO CASSIANO", IF(J148=130976,"MARYLIA CARVALHO PONCE",IF(J148=136668,"ALEXANDRE DA COSTA SOARES",IF(J148=52340,"OFFSHORE LISTED",IF(J148=158778,"CLAUDIO DE SOUZA PACINI",IF(J148=159800,"CLAUDIO DE SOUZA PACINI",_xlfn.XLOOKUP(J148,[1]!Tabela33[ID ORACLE],[1]!Tabela33[BROKER],0,0,1)))))))))))))</f>
        <v>CARLOS BASILE</v>
      </c>
      <c r="E148" s="22">
        <f t="shared" si="10"/>
        <v>-590.62264142110007</v>
      </c>
      <c r="F148" s="9" t="str">
        <f t="shared" si="11"/>
        <v>REFINITIV</v>
      </c>
      <c r="G148" s="20">
        <f t="shared" si="12"/>
        <v>46143</v>
      </c>
      <c r="H148" s="23">
        <v>1170</v>
      </c>
      <c r="J148" s="1">
        <v>70953</v>
      </c>
      <c r="K148" s="1" t="s">
        <v>42</v>
      </c>
      <c r="L148" s="1" t="s">
        <v>17</v>
      </c>
      <c r="M148" s="2">
        <v>86.668913000000003</v>
      </c>
      <c r="Q148" s="27"/>
      <c r="R148" s="27"/>
    </row>
    <row r="149" spans="1:18" ht="15" customHeight="1" x14ac:dyDescent="0.25">
      <c r="A149" s="9" t="str">
        <f t="shared" si="13"/>
        <v>CUSTO MARKET DATA - MAIO/26-REFINITIV-72574</v>
      </c>
      <c r="B149" s="20">
        <v>46143</v>
      </c>
      <c r="C149" s="21">
        <v>817393</v>
      </c>
      <c r="D149" s="9" t="str">
        <f>IF(J149=57036,"ALEXANDRE DA COSTA SOARES",IF(J149=24157,"JOSE MAURICIO GOMES TEIXEIRA",IF(J149=24203,"JOSE MAURICIO GOMES TEIXEIRA",IF(J149=24149,"CHRISTIANO MARCONDES DE BARROS LIMA",IF(J149=24137,"CHRISTIANO MARCONDES DE BARROS LIMA",IF(J149=135152,"ENRICO BORTPLUZO CASSIANO",IF(J149=136568,"ENRICO BORTPLUZO CASSIANO", IF(J149=130976,"MARYLIA CARVALHO PONCE",IF(J149=136668,"ALEXANDRE DA COSTA SOARES",IF(J149=52340,"OFFSHORE LISTED",IF(J149=158778,"CLAUDIO DE SOUZA PACINI",IF(J149=159800,"CLAUDIO DE SOUZA PACINI",_xlfn.XLOOKUP(J149,[1]!Tabela33[ID ORACLE],[1]!Tabela33[BROKER],0,0,1)))))))))))))</f>
        <v>CARLOS JOSE SEPPE MILANI</v>
      </c>
      <c r="E149" s="22">
        <f t="shared" si="10"/>
        <v>-142.0800142203</v>
      </c>
      <c r="F149" s="9" t="str">
        <f t="shared" si="11"/>
        <v>REFINITIV</v>
      </c>
      <c r="G149" s="20">
        <f t="shared" si="12"/>
        <v>46143</v>
      </c>
      <c r="H149" s="23">
        <v>1170</v>
      </c>
      <c r="J149" s="1">
        <v>72574</v>
      </c>
      <c r="K149" s="1" t="s">
        <v>42</v>
      </c>
      <c r="L149" s="1" t="s">
        <v>17</v>
      </c>
      <c r="M149" s="2">
        <v>20.849049000000001</v>
      </c>
      <c r="Q149" s="27"/>
      <c r="R149" s="27"/>
    </row>
    <row r="150" spans="1:18" ht="15" customHeight="1" x14ac:dyDescent="0.25">
      <c r="A150" s="9" t="str">
        <f t="shared" si="13"/>
        <v>CUSTO MARKET DATA - MAIO/26-BLOOMBERG-100142</v>
      </c>
      <c r="B150" s="20">
        <v>46143</v>
      </c>
      <c r="C150" s="21">
        <v>817393</v>
      </c>
      <c r="D150" s="9" t="str">
        <f>IF(J150=57036,"ALEXANDRE DA COSTA SOARES",IF(J150=24157,"JOSE MAURICIO GOMES TEIXEIRA",IF(J150=24203,"JOSE MAURICIO GOMES TEIXEIRA",IF(J150=24149,"CHRISTIANO MARCONDES DE BARROS LIMA",IF(J150=24137,"CHRISTIANO MARCONDES DE BARROS LIMA",IF(J150=135152,"ENRICO BORTPLUZO CASSIANO",IF(J150=136568,"ENRICO BORTPLUZO CASSIANO", IF(J150=130976,"MARYLIA CARVALHO PONCE",IF(J150=136668,"ALEXANDRE DA COSTA SOARES",IF(J150=52340,"OFFSHORE LISTED",IF(J150=158778,"CLAUDIO DE SOUZA PACINI",IF(J150=159800,"CLAUDIO DE SOUZA PACINI",_xlfn.XLOOKUP(J150,[1]!Tabela33[ID ORACLE],[1]!Tabela33[BROKER],0,0,1)))))))))))))</f>
        <v>RAFAEL TENORIO CAVALCANTI</v>
      </c>
      <c r="E150" s="22">
        <f t="shared" si="10"/>
        <v>-12168.92416</v>
      </c>
      <c r="F150" s="9" t="str">
        <f t="shared" si="11"/>
        <v>BLOOMBERG</v>
      </c>
      <c r="G150" s="20">
        <f t="shared" si="12"/>
        <v>46143</v>
      </c>
      <c r="H150" s="23">
        <v>1170</v>
      </c>
      <c r="J150" s="1">
        <v>100142</v>
      </c>
      <c r="K150" s="1" t="s">
        <v>41</v>
      </c>
      <c r="L150" s="1" t="s">
        <v>12</v>
      </c>
      <c r="M150" s="2">
        <v>2406.4</v>
      </c>
      <c r="Q150" s="27"/>
      <c r="R150" s="27"/>
    </row>
    <row r="151" spans="1:18" ht="15" customHeight="1" x14ac:dyDescent="0.25">
      <c r="A151" s="9" t="str">
        <f t="shared" si="13"/>
        <v>CUSTO MARKET DATA - MAIO/26-BLOOMBERG-136667</v>
      </c>
      <c r="B151" s="20">
        <v>46143</v>
      </c>
      <c r="C151" s="21">
        <v>817393</v>
      </c>
      <c r="D151" s="9" t="str">
        <f>IF(J151=57036,"ALEXANDRE DA COSTA SOARES",IF(J151=24157,"JOSE MAURICIO GOMES TEIXEIRA",IF(J151=24203,"JOSE MAURICIO GOMES TEIXEIRA",IF(J151=24149,"CHRISTIANO MARCONDES DE BARROS LIMA",IF(J151=24137,"CHRISTIANO MARCONDES DE BARROS LIMA",IF(J151=135152,"ENRICO BORTPLUZO CASSIANO",IF(J151=136568,"ENRICO BORTPLUZO CASSIANO", IF(J151=130976,"MARYLIA CARVALHO PONCE",IF(J151=136668,"ALEXANDRE DA COSTA SOARES",IF(J151=52340,"OFFSHORE LISTED",IF(J151=158778,"CLAUDIO DE SOUZA PACINI",IF(J151=159800,"CLAUDIO DE SOUZA PACINI",_xlfn.XLOOKUP(J151,[1]!Tabela33[ID ORACLE],[1]!Tabela33[BROKER],0,0,1)))))))))))))</f>
        <v>HUGO BIANCHI RIBEIRO</v>
      </c>
      <c r="E151" s="22">
        <f t="shared" si="10"/>
        <v>-12168.92416</v>
      </c>
      <c r="F151" s="9" t="str">
        <f t="shared" si="11"/>
        <v>BLOOMBERG</v>
      </c>
      <c r="G151" s="20">
        <f t="shared" si="12"/>
        <v>46143</v>
      </c>
      <c r="H151" s="23">
        <v>1170</v>
      </c>
      <c r="J151" s="1">
        <v>136667</v>
      </c>
      <c r="K151" s="1" t="s">
        <v>41</v>
      </c>
      <c r="L151" s="1" t="s">
        <v>12</v>
      </c>
      <c r="M151" s="2">
        <v>2406.4</v>
      </c>
      <c r="Q151" s="27"/>
      <c r="R151" s="27"/>
    </row>
    <row r="152" spans="1:18" ht="15" customHeight="1" x14ac:dyDescent="0.25">
      <c r="A152" s="9" t="str">
        <f t="shared" si="13"/>
        <v>CUSTO MARKET DATA - MAIO/26-BLOOMBERG-66729</v>
      </c>
      <c r="B152" s="20">
        <v>46143</v>
      </c>
      <c r="C152" s="21">
        <v>817393</v>
      </c>
      <c r="D152" s="9" t="str">
        <f>IF(J152=57036,"ALEXANDRE DA COSTA SOARES",IF(J152=24157,"JOSE MAURICIO GOMES TEIXEIRA",IF(J152=24203,"JOSE MAURICIO GOMES TEIXEIRA",IF(J152=24149,"CHRISTIANO MARCONDES DE BARROS LIMA",IF(J152=24137,"CHRISTIANO MARCONDES DE BARROS LIMA",IF(J152=135152,"ENRICO BORTPLUZO CASSIANO",IF(J152=136568,"ENRICO BORTPLUZO CASSIANO", IF(J152=130976,"MARYLIA CARVALHO PONCE",IF(J152=136668,"ALEXANDRE DA COSTA SOARES",IF(J152=52340,"OFFSHORE LISTED",IF(J152=158778,"CLAUDIO DE SOUZA PACINI",IF(J152=159800,"CLAUDIO DE SOUZA PACINI",_xlfn.XLOOKUP(J152,[1]!Tabela33[ID ORACLE],[1]!Tabela33[BROKER],0,0,1)))))))))))))</f>
        <v>PAOLO FRANCA LIDA</v>
      </c>
      <c r="E152" s="22">
        <f t="shared" si="10"/>
        <v>-11435.67366</v>
      </c>
      <c r="F152" s="9" t="str">
        <f t="shared" si="11"/>
        <v>BLOOMBERG</v>
      </c>
      <c r="G152" s="20">
        <f t="shared" si="12"/>
        <v>46143</v>
      </c>
      <c r="H152" s="23">
        <v>1170</v>
      </c>
      <c r="J152" s="1">
        <v>66729</v>
      </c>
      <c r="K152" s="1" t="s">
        <v>41</v>
      </c>
      <c r="L152" s="1" t="s">
        <v>12</v>
      </c>
      <c r="M152" s="2">
        <v>2261.4</v>
      </c>
      <c r="Q152" s="27"/>
      <c r="R152" s="27"/>
    </row>
    <row r="153" spans="1:18" ht="15" customHeight="1" x14ac:dyDescent="0.25">
      <c r="A153" s="9" t="str">
        <f t="shared" si="13"/>
        <v>CUSTO MARKET DATA - MAIO/26-BLOOMBERG-128550</v>
      </c>
      <c r="B153" s="20">
        <v>46143</v>
      </c>
      <c r="C153" s="21">
        <v>817393</v>
      </c>
      <c r="D153" s="9" t="str">
        <f>IF(J153=57036,"ALEXANDRE DA COSTA SOARES",IF(J153=24157,"JOSE MAURICIO GOMES TEIXEIRA",IF(J153=24203,"JOSE MAURICIO GOMES TEIXEIRA",IF(J153=24149,"CHRISTIANO MARCONDES DE BARROS LIMA",IF(J153=24137,"CHRISTIANO MARCONDES DE BARROS LIMA",IF(J153=135152,"ENRICO BORTPLUZO CASSIANO",IF(J153=136568,"ENRICO BORTPLUZO CASSIANO", IF(J153=130976,"MARYLIA CARVALHO PONCE",IF(J153=136668,"ALEXANDRE DA COSTA SOARES",IF(J153=52340,"OFFSHORE LISTED",IF(J153=158778,"CLAUDIO DE SOUZA PACINI",IF(J153=159800,"CLAUDIO DE SOUZA PACINI",_xlfn.XLOOKUP(J153,[1]!Tabela33[ID ORACLE],[1]!Tabela33[BROKER],0,0,1)))))))))))))</f>
        <v>ALINE FAUSTINI</v>
      </c>
      <c r="E153" s="22">
        <f t="shared" si="10"/>
        <v>-13764.642163622799</v>
      </c>
      <c r="F153" s="9" t="str">
        <f t="shared" si="11"/>
        <v>BLOOMBERG</v>
      </c>
      <c r="G153" s="20">
        <f t="shared" si="12"/>
        <v>46143</v>
      </c>
      <c r="H153" s="23">
        <v>1170</v>
      </c>
      <c r="J153" s="1">
        <v>128550</v>
      </c>
      <c r="K153" s="1" t="s">
        <v>41</v>
      </c>
      <c r="L153" s="1" t="s">
        <v>12</v>
      </c>
      <c r="M153" s="2">
        <v>2721.952612</v>
      </c>
      <c r="Q153" s="27"/>
      <c r="R153" s="27"/>
    </row>
    <row r="154" spans="1:18" ht="15" customHeight="1" x14ac:dyDescent="0.25">
      <c r="A154" s="9" t="str">
        <f t="shared" si="13"/>
        <v>CUSTO MARKET DATA - MAIO/26-NYSE MARKET INC.-128550</v>
      </c>
      <c r="B154" s="20">
        <v>46143</v>
      </c>
      <c r="C154" s="21">
        <v>817393</v>
      </c>
      <c r="D154" s="9" t="str">
        <f>IF(J154=57036,"ALEXANDRE DA COSTA SOARES",IF(J154=24157,"JOSE MAURICIO GOMES TEIXEIRA",IF(J154=24203,"JOSE MAURICIO GOMES TEIXEIRA",IF(J154=24149,"CHRISTIANO MARCONDES DE BARROS LIMA",IF(J154=24137,"CHRISTIANO MARCONDES DE BARROS LIMA",IF(J154=135152,"ENRICO BORTPLUZO CASSIANO",IF(J154=136568,"ENRICO BORTPLUZO CASSIANO", IF(J154=130976,"MARYLIA CARVALHO PONCE",IF(J154=136668,"ALEXANDRE DA COSTA SOARES",IF(J154=52340,"OFFSHORE LISTED",IF(J154=158778,"CLAUDIO DE SOUZA PACINI",IF(J154=159800,"CLAUDIO DE SOUZA PACINI",_xlfn.XLOOKUP(J154,[1]!Tabela33[ID ORACLE],[1]!Tabela33[BROKER],0,0,1)))))))))))))</f>
        <v>ALINE FAUSTINI</v>
      </c>
      <c r="E154" s="22">
        <f t="shared" si="10"/>
        <v>-148.65389662499999</v>
      </c>
      <c r="F154" s="9" t="str">
        <f t="shared" si="11"/>
        <v>NYSE MARKET INC.</v>
      </c>
      <c r="G154" s="20">
        <f t="shared" si="12"/>
        <v>46143</v>
      </c>
      <c r="H154" s="23">
        <v>1170</v>
      </c>
      <c r="J154" s="1">
        <v>128550</v>
      </c>
      <c r="K154" s="1" t="s">
        <v>44</v>
      </c>
      <c r="L154" s="1" t="s">
        <v>12</v>
      </c>
      <c r="M154" s="2">
        <v>29.396249999999998</v>
      </c>
      <c r="Q154" s="27"/>
      <c r="R154" s="27"/>
    </row>
    <row r="155" spans="1:18" ht="15" customHeight="1" x14ac:dyDescent="0.25">
      <c r="A155" s="9" t="str">
        <f t="shared" si="13"/>
        <v>CUSTO MARKET DATA - MAIO/26-REFINITIV-128550</v>
      </c>
      <c r="B155" s="20">
        <v>46143</v>
      </c>
      <c r="C155" s="21">
        <v>817393</v>
      </c>
      <c r="D155" s="9" t="str">
        <f>IF(J155=57036,"ALEXANDRE DA COSTA SOARES",IF(J155=24157,"JOSE MAURICIO GOMES TEIXEIRA",IF(J155=24203,"JOSE MAURICIO GOMES TEIXEIRA",IF(J155=24149,"CHRISTIANO MARCONDES DE BARROS LIMA",IF(J155=24137,"CHRISTIANO MARCONDES DE BARROS LIMA",IF(J155=135152,"ENRICO BORTPLUZO CASSIANO",IF(J155=136568,"ENRICO BORTPLUZO CASSIANO", IF(J155=130976,"MARYLIA CARVALHO PONCE",IF(J155=136668,"ALEXANDRE DA COSTA SOARES",IF(J155=52340,"OFFSHORE LISTED",IF(J155=158778,"CLAUDIO DE SOUZA PACINI",IF(J155=159800,"CLAUDIO DE SOUZA PACINI",_xlfn.XLOOKUP(J155,[1]!Tabela33[ID ORACLE],[1]!Tabela33[BROKER],0,0,1)))))))))))))</f>
        <v>ALINE FAUSTINI</v>
      </c>
      <c r="E155" s="22">
        <f t="shared" si="10"/>
        <v>-590.62264142110007</v>
      </c>
      <c r="F155" s="9" t="str">
        <f t="shared" si="11"/>
        <v>REFINITIV</v>
      </c>
      <c r="G155" s="20">
        <f t="shared" si="12"/>
        <v>46143</v>
      </c>
      <c r="H155" s="23">
        <v>1170</v>
      </c>
      <c r="J155" s="1">
        <v>128550</v>
      </c>
      <c r="K155" s="1" t="s">
        <v>42</v>
      </c>
      <c r="L155" s="1" t="s">
        <v>17</v>
      </c>
      <c r="M155" s="2">
        <v>86.668913000000003</v>
      </c>
      <c r="Q155" s="27"/>
      <c r="R155" s="27"/>
    </row>
    <row r="156" spans="1:18" ht="15" customHeight="1" x14ac:dyDescent="0.25">
      <c r="A156" s="9" t="str">
        <f t="shared" si="13"/>
        <v>CUSTO MARKET DATA - MAIO/26-BLOOMBERG-153754</v>
      </c>
      <c r="B156" s="20">
        <v>46143</v>
      </c>
      <c r="C156" s="21">
        <v>817393</v>
      </c>
      <c r="D156" s="9" t="str">
        <f>IF(J156=57036,"ALEXANDRE DA COSTA SOARES",IF(J156=24157,"JOSE MAURICIO GOMES TEIXEIRA",IF(J156=24203,"JOSE MAURICIO GOMES TEIXEIRA",IF(J156=24149,"CHRISTIANO MARCONDES DE BARROS LIMA",IF(J156=24137,"CHRISTIANO MARCONDES DE BARROS LIMA",IF(J156=135152,"ENRICO BORTPLUZO CASSIANO",IF(J156=136568,"ENRICO BORTPLUZO CASSIANO", IF(J156=130976,"MARYLIA CARVALHO PONCE",IF(J156=136668,"ALEXANDRE DA COSTA SOARES",IF(J156=52340,"OFFSHORE LISTED",IF(J156=158778,"CLAUDIO DE SOUZA PACINI",IF(J156=159800,"CLAUDIO DE SOUZA PACINI",_xlfn.XLOOKUP(J156,[1]!Tabela33[ID ORACLE],[1]!Tabela33[BROKER],0,0,1)))))))))))))</f>
        <v>CLAUDIO DE SOUZA PACINI</v>
      </c>
      <c r="E156" s="22">
        <f t="shared" si="10"/>
        <v>-17292.6872250505</v>
      </c>
      <c r="F156" s="9" t="str">
        <f t="shared" si="11"/>
        <v>BLOOMBERG</v>
      </c>
      <c r="G156" s="20">
        <f t="shared" si="12"/>
        <v>46143</v>
      </c>
      <c r="H156" s="23">
        <v>1170</v>
      </c>
      <c r="J156" s="1">
        <v>153754</v>
      </c>
      <c r="K156" s="1" t="s">
        <v>41</v>
      </c>
      <c r="L156" s="1" t="s">
        <v>12</v>
      </c>
      <c r="M156" s="2">
        <v>3419.6221450000003</v>
      </c>
      <c r="Q156" s="27"/>
      <c r="R156" s="27"/>
    </row>
    <row r="157" spans="1:18" ht="15" customHeight="1" x14ac:dyDescent="0.25">
      <c r="A157" s="9" t="str">
        <f t="shared" si="13"/>
        <v>CUSTO MARKET DATA - MAIO/26-FIDESSA-153754</v>
      </c>
      <c r="B157" s="20">
        <v>46143</v>
      </c>
      <c r="C157" s="21">
        <v>817393</v>
      </c>
      <c r="D157" s="9" t="str">
        <f>IF(J157=57036,"ALEXANDRE DA COSTA SOARES",IF(J157=24157,"JOSE MAURICIO GOMES TEIXEIRA",IF(J157=24203,"JOSE MAURICIO GOMES TEIXEIRA",IF(J157=24149,"CHRISTIANO MARCONDES DE BARROS LIMA",IF(J157=24137,"CHRISTIANO MARCONDES DE BARROS LIMA",IF(J157=135152,"ENRICO BORTPLUZO CASSIANO",IF(J157=136568,"ENRICO BORTPLUZO CASSIANO", IF(J157=130976,"MARYLIA CARVALHO PONCE",IF(J157=136668,"ALEXANDRE DA COSTA SOARES",IF(J157=52340,"OFFSHORE LISTED",IF(J157=158778,"CLAUDIO DE SOUZA PACINI",IF(J157=159800,"CLAUDIO DE SOUZA PACINI",_xlfn.XLOOKUP(J157,[1]!Tabela33[ID ORACLE],[1]!Tabela33[BROKER],0,0,1)))))))))))))</f>
        <v>CLAUDIO DE SOUZA PACINI</v>
      </c>
      <c r="E157" s="22">
        <f>-IF(L157="BRL",M157,IF(L157="GBP",M157*$R$1,IF(L157="CAD",M157*$T$1,M157*$P$1)))</f>
        <v>-3636.2847492840992</v>
      </c>
      <c r="F157" s="9" t="str">
        <f>IF(UPPER(K157)="Valor Analytics LLC","VALOR",UPPER(K157))</f>
        <v>FIDESSA</v>
      </c>
      <c r="G157" s="20">
        <f t="shared" si="12"/>
        <v>46143</v>
      </c>
      <c r="H157" s="23">
        <v>1170</v>
      </c>
      <c r="J157" s="1">
        <v>153754</v>
      </c>
      <c r="K157" s="1" t="s">
        <v>47</v>
      </c>
      <c r="L157" s="1" t="s">
        <v>12</v>
      </c>
      <c r="M157" s="2">
        <v>719.07388899999989</v>
      </c>
      <c r="Q157" s="27"/>
      <c r="R157" s="27"/>
    </row>
    <row r="158" spans="1:18" ht="15" customHeight="1" x14ac:dyDescent="0.25">
      <c r="A158" s="9" t="str">
        <f t="shared" si="13"/>
        <v>CUSTO MARKET DATA - MAIO/26-NYSE MARKET INC.-153754</v>
      </c>
      <c r="B158" s="20">
        <v>46143</v>
      </c>
      <c r="C158" s="21">
        <v>817393</v>
      </c>
      <c r="D158" s="9" t="str">
        <f>IF(J158=57036,"ALEXANDRE DA COSTA SOARES",IF(J158=24157,"JOSE MAURICIO GOMES TEIXEIRA",IF(J158=24203,"JOSE MAURICIO GOMES TEIXEIRA",IF(J158=24149,"CHRISTIANO MARCONDES DE BARROS LIMA",IF(J158=24137,"CHRISTIANO MARCONDES DE BARROS LIMA",IF(J158=135152,"ENRICO BORTPLUZO CASSIANO",IF(J158=136568,"ENRICO BORTPLUZO CASSIANO", IF(J158=130976,"MARYLIA CARVALHO PONCE",IF(J158=136668,"ALEXANDRE DA COSTA SOARES",IF(J158=52340,"OFFSHORE LISTED",IF(J158=158778,"CLAUDIO DE SOUZA PACINI",IF(J158=159800,"CLAUDIO DE SOUZA PACINI",_xlfn.XLOOKUP(J158,[1]!Tabela33[ID ORACLE],[1]!Tabela33[BROKER],0,0,1)))))))))))))</f>
        <v>CLAUDIO DE SOUZA PACINI</v>
      </c>
      <c r="E158" s="22">
        <f>-IF(L158="BRL",M158,IF(L158="GBP",M158*$R$1,IF(L158="CAD",M158*$T$1,M158*$P$1)))</f>
        <v>-1541.1787707499998</v>
      </c>
      <c r="F158" s="9" t="str">
        <f>IF(UPPER(K158)="Valor Analytics LLC","VALOR",UPPER(K158))</f>
        <v>NYSE MARKET INC.</v>
      </c>
      <c r="G158" s="20">
        <f t="shared" si="12"/>
        <v>46143</v>
      </c>
      <c r="H158" s="23">
        <v>1170</v>
      </c>
      <c r="J158" s="1">
        <v>153754</v>
      </c>
      <c r="K158" s="1" t="s">
        <v>44</v>
      </c>
      <c r="L158" s="1" t="s">
        <v>12</v>
      </c>
      <c r="M158" s="2">
        <v>304.76749999999998</v>
      </c>
      <c r="Q158" s="27"/>
      <c r="R158" s="27"/>
    </row>
    <row r="159" spans="1:18" ht="15" customHeight="1" x14ac:dyDescent="0.25">
      <c r="A159" s="9" t="str">
        <f t="shared" si="13"/>
        <v>CUSTO MARKET DATA - MAIO/26-OPTIONS PRICE REPORTING AUTHORITY (OPRA)-153754</v>
      </c>
      <c r="B159" s="20">
        <v>46143</v>
      </c>
      <c r="C159" s="21">
        <v>817393</v>
      </c>
      <c r="D159" s="9" t="str">
        <f>IF(J159=57036,"ALEXANDRE DA COSTA SOARES",IF(J159=24157,"JOSE MAURICIO GOMES TEIXEIRA",IF(J159=24203,"JOSE MAURICIO GOMES TEIXEIRA",IF(J159=24149,"CHRISTIANO MARCONDES DE BARROS LIMA",IF(J159=24137,"CHRISTIANO MARCONDES DE BARROS LIMA",IF(J159=135152,"ENRICO BORTPLUZO CASSIANO",IF(J159=136568,"ENRICO BORTPLUZO CASSIANO", IF(J159=130976,"MARYLIA CARVALHO PONCE",IF(J159=136668,"ALEXANDRE DA COSTA SOARES",IF(J159=52340,"OFFSHORE LISTED",IF(J159=158778,"CLAUDIO DE SOUZA PACINI",IF(J159=159800,"CLAUDIO DE SOUZA PACINI",_xlfn.XLOOKUP(J159,[1]!Tabela33[ID ORACLE],[1]!Tabela33[BROKER],0,0,1)))))))))))))</f>
        <v>CLAUDIO DE SOUZA PACINI</v>
      </c>
      <c r="E159" s="22">
        <f>-IF(L159="BRL",M159,IF(L159="GBP",M159*$R$1,IF(L159="CAD",M159*$T$1,M159*$P$1)))</f>
        <v>-173.388913871</v>
      </c>
      <c r="F159" s="9" t="str">
        <f>IF(UPPER(K159)="Valor Analytics LLC","VALOR",UPPER(K159))</f>
        <v>OPTIONS PRICE REPORTING AUTHORITY (OPRA)</v>
      </c>
      <c r="G159" s="20">
        <f t="shared" si="12"/>
        <v>46143</v>
      </c>
      <c r="H159" s="23">
        <v>1170</v>
      </c>
      <c r="J159" s="1">
        <v>153754</v>
      </c>
      <c r="K159" s="1" t="s">
        <v>45</v>
      </c>
      <c r="L159" s="1" t="s">
        <v>12</v>
      </c>
      <c r="M159" s="2">
        <v>34.287590000000002</v>
      </c>
      <c r="Q159" s="27"/>
      <c r="R159" s="27"/>
    </row>
    <row r="160" spans="1:18" ht="15" customHeight="1" x14ac:dyDescent="0.25">
      <c r="A160" s="9" t="str">
        <f>CONCATENATE($N$1,$I$1,F160,$I$1,J160)</f>
        <v>CUSTO MARKET DATA - MAIO/26-TORONTO STOCK EXCHANGE-153754</v>
      </c>
      <c r="B160" s="20">
        <v>46143</v>
      </c>
      <c r="C160" s="21">
        <v>817393</v>
      </c>
      <c r="D160" s="9" t="str">
        <f>IF(J160=57036,"ALEXANDRE DA COSTA SOARES",IF(J160=24157,"JOSE MAURICIO GOMES TEIXEIRA",IF(J160=24203,"JOSE MAURICIO GOMES TEIXEIRA",IF(J160=24149,"CHRISTIANO MARCONDES DE BARROS LIMA",IF(J160=24137,"CHRISTIANO MARCONDES DE BARROS LIMA",IF(J160=135152,"ENRICO BORTPLUZO CASSIANO",IF(J160=136568,"ENRICO BORTPLUZO CASSIANO", IF(J160=130976,"MARYLIA CARVALHO PONCE",IF(J160=136668,"ALEXANDRE DA COSTA SOARES",IF(J160=52340,"OFFSHORE LISTED",IF(J160=158778,"CLAUDIO DE SOUZA PACINI",IF(J160=159800,"CLAUDIO DE SOUZA PACINI",_xlfn.XLOOKUP(J160,[1]!Tabela33[ID ORACLE],[1]!Tabela33[BROKER],0,0,1)))))))))))))</f>
        <v>CLAUDIO DE SOUZA PACINI</v>
      </c>
      <c r="E160" s="22">
        <f>-IF(L160="BRL",M160,IF(L160="GBP",M160*$R$1,IF(L160="CAD",M160*$T$1,M160*$P$1)))</f>
        <v>-377.88106489770001</v>
      </c>
      <c r="F160" s="9" t="str">
        <f>IF(UPPER(K160)="Valor Analytics LLC","VALOR",UPPER(K160))</f>
        <v>TORONTO STOCK EXCHANGE</v>
      </c>
      <c r="G160" s="20">
        <f>B160</f>
        <v>46143</v>
      </c>
      <c r="H160" s="23">
        <v>1170</v>
      </c>
      <c r="J160" s="1">
        <v>153754</v>
      </c>
      <c r="K160" s="1" t="s">
        <v>51</v>
      </c>
      <c r="L160" s="1" t="s">
        <v>12</v>
      </c>
      <c r="M160" s="2">
        <v>74.725833000000009</v>
      </c>
      <c r="Q160" s="27"/>
      <c r="R160" s="27"/>
    </row>
    <row r="161" spans="1:18" ht="15" customHeight="1" x14ac:dyDescent="0.25">
      <c r="A161" s="9" t="str">
        <f>CONCATENATE($N$1,$I$1,F161,$I$1,J161)</f>
        <v>CUSTO MARKET DATA - MAIO/26-TRADE THE NEWS, INC.-153754</v>
      </c>
      <c r="B161" s="20">
        <v>46143</v>
      </c>
      <c r="C161" s="21">
        <v>817393</v>
      </c>
      <c r="D161" s="9" t="str">
        <f>IF(J161=57036,"ALEXANDRE DA COSTA SOARES",IF(J161=24157,"JOSE MAURICIO GOMES TEIXEIRA",IF(J161=24203,"JOSE MAURICIO GOMES TEIXEIRA",IF(J161=24149,"CHRISTIANO MARCONDES DE BARROS LIMA",IF(J161=24137,"CHRISTIANO MARCONDES DE BARROS LIMA",IF(J161=135152,"ENRICO BORTPLUZO CASSIANO",IF(J161=136568,"ENRICO BORTPLUZO CASSIANO", IF(J161=130976,"MARYLIA CARVALHO PONCE",IF(J161=136668,"ALEXANDRE DA COSTA SOARES",IF(J161=52340,"OFFSHORE LISTED",IF(J161=158778,"CLAUDIO DE SOUZA PACINI",IF(J161=159800,"CLAUDIO DE SOUZA PACINI",_xlfn.XLOOKUP(J161,[1]!Tabela33[ID ORACLE],[1]!Tabela33[BROKER],0,0,1)))))))))))))</f>
        <v>CLAUDIO DE SOUZA PACINI</v>
      </c>
      <c r="E161" s="22">
        <f>-IF(L161="BRL",M161,IF(L161="GBP",M161*$R$1,IF(L161="CAD",M161*$T$1,M161*$P$1)))</f>
        <v>-1211.6332399999999</v>
      </c>
      <c r="F161" s="9" t="str">
        <f>IF(UPPER(K161)="Valor Analytics LLC","VALOR",UPPER(K161))</f>
        <v>TRADE THE NEWS, INC.</v>
      </c>
      <c r="G161" s="20">
        <f>B161</f>
        <v>46143</v>
      </c>
      <c r="H161" s="23">
        <v>1170</v>
      </c>
      <c r="J161" s="1">
        <v>153754</v>
      </c>
      <c r="K161" s="1" t="s">
        <v>52</v>
      </c>
      <c r="L161" s="1" t="s">
        <v>12</v>
      </c>
      <c r="M161" s="2">
        <v>239.6</v>
      </c>
      <c r="Q161" s="27"/>
      <c r="R161" s="27"/>
    </row>
    <row r="162" spans="1:18" ht="15" customHeight="1" x14ac:dyDescent="0.25">
      <c r="Q162" s="27"/>
      <c r="R162" s="27"/>
    </row>
    <row r="163" spans="1:18" ht="15" customHeight="1" x14ac:dyDescent="0.25">
      <c r="Q163" s="27"/>
      <c r="R163" s="27"/>
    </row>
    <row r="164" spans="1:18" ht="15" customHeight="1" x14ac:dyDescent="0.25">
      <c r="Q164" s="27"/>
      <c r="R164" s="27"/>
    </row>
    <row r="1048548" spans="3:3" ht="15" customHeight="1" x14ac:dyDescent="0.25">
      <c r="C1048548" s="21"/>
    </row>
  </sheetData>
  <autoFilter ref="A1:T164" xr:uid="{D70B35B3-77FF-43AD-AE42-8938E8C76D36}"/>
  <mergeCells count="11">
    <mergeCell ref="N2:N3"/>
    <mergeCell ref="O2:O3"/>
    <mergeCell ref="N4:N5"/>
    <mergeCell ref="O4:O5"/>
    <mergeCell ref="N6:N7"/>
    <mergeCell ref="O6:O7"/>
    <mergeCell ref="N8:N9"/>
    <mergeCell ref="O8:O9"/>
    <mergeCell ref="N10:N11"/>
    <mergeCell ref="O10:O11"/>
    <mergeCell ref="N12:N23"/>
  </mergeCells>
  <pageMargins left="0.511811024" right="0.511811024" top="0.78740157499999996" bottom="0.78740157499999996" header="0.31496062000000002" footer="0.31496062000000002"/>
  <pageSetup orientation="portrait" horizontalDpi="300" verticalDpi="300" r:id="rId1"/>
  <ignoredErrors>
    <ignoredError sqref="F2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9EC01-368B-4566-85A8-530D57CF4B37}">
  <dimension ref="A1:BZ1048548"/>
  <sheetViews>
    <sheetView showGridLines="0" zoomScaleNormal="100" workbookViewId="0">
      <selection activeCell="E28" sqref="E28"/>
    </sheetView>
  </sheetViews>
  <sheetFormatPr defaultRowHeight="15" customHeight="1" x14ac:dyDescent="0.25"/>
  <cols>
    <col min="1" max="1" width="48.85546875" style="1" customWidth="1"/>
    <col min="2" max="2" width="19.140625" style="3" bestFit="1" customWidth="1"/>
    <col min="3" max="3" width="8.42578125" style="4" customWidth="1"/>
    <col min="4" max="4" width="34.7109375" style="1" bestFit="1" customWidth="1"/>
    <col min="5" max="5" width="10" style="2" bestFit="1" customWidth="1"/>
    <col min="6" max="6" width="17.42578125" style="1" bestFit="1" customWidth="1"/>
    <col min="7" max="7" width="19.140625" style="3" bestFit="1" customWidth="1"/>
    <col min="8" max="8" width="16.28515625" style="19" bestFit="1" customWidth="1"/>
    <col min="9" max="9" width="2.7109375" customWidth="1"/>
    <col min="10" max="10" width="14" style="1" customWidth="1"/>
    <col min="11" max="11" width="28.28515625" style="1" bestFit="1" customWidth="1"/>
    <col min="12" max="12" width="8.7109375" style="1" customWidth="1"/>
    <col min="13" max="13" width="23.28515625" style="2" bestFit="1" customWidth="1"/>
    <col min="14" max="14" width="53.5703125" bestFit="1" customWidth="1"/>
    <col min="15" max="15" width="6.140625" style="1" bestFit="1" customWidth="1"/>
    <col min="16" max="16" width="11.5703125" style="26" bestFit="1" customWidth="1"/>
    <col min="17" max="17" width="21.42578125" style="28" customWidth="1"/>
    <col min="18" max="18" width="31.85546875" style="26" bestFit="1" customWidth="1"/>
    <col min="19" max="19" width="9.140625" style="28" bestFit="1" customWidth="1"/>
    <col min="20" max="20" width="11.5703125" style="26" bestFit="1" customWidth="1"/>
    <col min="21" max="21" width="9.140625" style="28"/>
    <col min="22" max="16384" width="9.140625" style="1"/>
  </cols>
  <sheetData>
    <row r="1" spans="1:21" ht="15" customHeight="1" x14ac:dyDescent="0.2">
      <c r="A1" s="33" t="s">
        <v>0</v>
      </c>
      <c r="B1" s="30" t="s">
        <v>7</v>
      </c>
      <c r="C1" s="33" t="s">
        <v>1</v>
      </c>
      <c r="D1" s="33" t="s">
        <v>2</v>
      </c>
      <c r="E1" s="34" t="s">
        <v>3</v>
      </c>
      <c r="F1" s="33" t="s">
        <v>4</v>
      </c>
      <c r="G1" s="30" t="s">
        <v>5</v>
      </c>
      <c r="H1" s="33" t="s">
        <v>6</v>
      </c>
      <c r="I1" s="33" t="s">
        <v>16</v>
      </c>
      <c r="J1" s="35" t="s">
        <v>8</v>
      </c>
      <c r="K1" s="35" t="s">
        <v>9</v>
      </c>
      <c r="L1" s="35" t="s">
        <v>10</v>
      </c>
      <c r="M1" s="36" t="s">
        <v>11</v>
      </c>
      <c r="N1" s="32" t="s">
        <v>61</v>
      </c>
      <c r="P1" s="37">
        <v>5.1765999999999996</v>
      </c>
      <c r="Q1" s="38" t="s">
        <v>12</v>
      </c>
      <c r="R1" s="39">
        <v>6.8636999999999997</v>
      </c>
      <c r="S1" s="38" t="s">
        <v>17</v>
      </c>
      <c r="T1" s="37">
        <v>3.6442000000000001</v>
      </c>
      <c r="U1" s="38" t="s">
        <v>23</v>
      </c>
    </row>
    <row r="2" spans="1:21" ht="15" customHeight="1" x14ac:dyDescent="0.25">
      <c r="A2" s="5" t="str">
        <f t="shared" ref="A2:A7" si="0">CONCATENATE($N$1,$I$1,F2,$I$1,J2)</f>
        <v>CUSTO MARKET DATA - JUNHO/26-BLOOMBERG-67829</v>
      </c>
      <c r="B2" s="6">
        <v>46174</v>
      </c>
      <c r="C2" s="7">
        <v>817393</v>
      </c>
      <c r="D2" s="5" t="s">
        <v>15</v>
      </c>
      <c r="E2" s="8">
        <f>-IF(L2="BRL",M2,M2*$P$1)/2</f>
        <v>-6255.7827450118002</v>
      </c>
      <c r="F2" s="5" t="str">
        <f>UPPER(K2)</f>
        <v>BLOOMBERG</v>
      </c>
      <c r="G2" s="6">
        <f>B2</f>
        <v>46174</v>
      </c>
      <c r="H2" s="16">
        <v>1170</v>
      </c>
      <c r="J2" s="18">
        <v>67829</v>
      </c>
      <c r="K2" s="14" t="s">
        <v>41</v>
      </c>
      <c r="L2" s="15" t="s">
        <v>12</v>
      </c>
      <c r="M2" s="8">
        <v>2416.9465460000001</v>
      </c>
      <c r="N2" s="47" t="s">
        <v>26</v>
      </c>
      <c r="O2" s="49">
        <v>67829</v>
      </c>
      <c r="Q2" s="27"/>
      <c r="R2" s="27"/>
      <c r="S2" s="27"/>
      <c r="U2" s="27"/>
    </row>
    <row r="3" spans="1:21" ht="15" customHeight="1" x14ac:dyDescent="0.25">
      <c r="A3" s="10" t="str">
        <f t="shared" si="0"/>
        <v>CUSTO MARKET DATA - JUNHO/26-BLOOMBERG-67829</v>
      </c>
      <c r="B3" s="24">
        <v>46174</v>
      </c>
      <c r="C3" s="11">
        <v>817393</v>
      </c>
      <c r="D3" s="10" t="s">
        <v>24</v>
      </c>
      <c r="E3" s="12">
        <f>-IF(L3="BRL",M3,M3*$P$1)/2</f>
        <v>-6255.7827450118002</v>
      </c>
      <c r="F3" s="10" t="str">
        <f t="shared" ref="F3:F11" si="1">UPPER(K3)</f>
        <v>BLOOMBERG</v>
      </c>
      <c r="G3" s="24">
        <f t="shared" ref="G3:G66" si="2">B3</f>
        <v>46174</v>
      </c>
      <c r="H3" s="17">
        <v>1170</v>
      </c>
      <c r="J3" s="17">
        <v>67829</v>
      </c>
      <c r="K3" s="17" t="s">
        <v>41</v>
      </c>
      <c r="L3" s="13" t="s">
        <v>12</v>
      </c>
      <c r="M3" s="12">
        <v>2416.9465460000001</v>
      </c>
      <c r="N3" s="48"/>
      <c r="O3" s="50"/>
      <c r="Q3" s="27"/>
      <c r="R3" s="27"/>
      <c r="S3" s="27"/>
      <c r="U3" s="27"/>
    </row>
    <row r="4" spans="1:21" ht="15" customHeight="1" x14ac:dyDescent="0.25">
      <c r="A4" s="5" t="str">
        <f t="shared" si="0"/>
        <v>CUSTO MARKET DATA - JUNHO/26-BLOOMBERG-67825</v>
      </c>
      <c r="B4" s="6">
        <v>46174</v>
      </c>
      <c r="C4" s="7">
        <v>817393</v>
      </c>
      <c r="D4" s="5" t="s">
        <v>28</v>
      </c>
      <c r="E4" s="8">
        <f>-IF(L4="BRL",M4,M4*$P$1)/2</f>
        <v>-6293.5719250118</v>
      </c>
      <c r="F4" s="5" t="str">
        <f t="shared" si="1"/>
        <v>BLOOMBERG</v>
      </c>
      <c r="G4" s="6">
        <f t="shared" si="2"/>
        <v>46174</v>
      </c>
      <c r="H4" s="16">
        <v>1170</v>
      </c>
      <c r="J4" s="18">
        <v>67825</v>
      </c>
      <c r="K4" s="18" t="s">
        <v>41</v>
      </c>
      <c r="L4" s="15" t="s">
        <v>12</v>
      </c>
      <c r="M4" s="8">
        <v>2431.546546</v>
      </c>
      <c r="N4" s="47" t="s">
        <v>25</v>
      </c>
      <c r="O4" s="49">
        <v>67825</v>
      </c>
      <c r="Q4" s="27"/>
      <c r="R4" s="27"/>
      <c r="S4" s="27"/>
      <c r="U4" s="27"/>
    </row>
    <row r="5" spans="1:21" ht="15" customHeight="1" x14ac:dyDescent="0.25">
      <c r="A5" s="10" t="str">
        <f t="shared" si="0"/>
        <v>CUSTO MARKET DATA - JUNHO/26-BLOOMBERG-67825</v>
      </c>
      <c r="B5" s="24">
        <v>46174</v>
      </c>
      <c r="C5" s="11">
        <v>817393</v>
      </c>
      <c r="D5" s="10" t="s">
        <v>27</v>
      </c>
      <c r="E5" s="12">
        <f>-IF(L5="BRL",M5,M5*$P$1)/2</f>
        <v>-6293.5719250118</v>
      </c>
      <c r="F5" s="10" t="str">
        <f t="shared" si="1"/>
        <v>BLOOMBERG</v>
      </c>
      <c r="G5" s="24">
        <f t="shared" si="2"/>
        <v>46174</v>
      </c>
      <c r="H5" s="17">
        <v>1170</v>
      </c>
      <c r="J5" s="17">
        <v>67825</v>
      </c>
      <c r="K5" s="17" t="s">
        <v>41</v>
      </c>
      <c r="L5" s="13" t="s">
        <v>12</v>
      </c>
      <c r="M5" s="12">
        <v>2431.546546</v>
      </c>
      <c r="N5" s="48"/>
      <c r="O5" s="50"/>
      <c r="Q5" s="27"/>
      <c r="R5" s="27"/>
      <c r="S5" s="27"/>
      <c r="U5" s="27"/>
    </row>
    <row r="6" spans="1:21" ht="15" customHeight="1" x14ac:dyDescent="0.25">
      <c r="A6" s="5" t="str">
        <f t="shared" si="0"/>
        <v>CUSTO MARKET DATA - JUNHO/26-REFINITIV-103090</v>
      </c>
      <c r="B6" s="6">
        <v>46174</v>
      </c>
      <c r="C6" s="7">
        <v>817393</v>
      </c>
      <c r="D6" s="5" t="s">
        <v>13</v>
      </c>
      <c r="E6" s="8">
        <f>-IF(L6="BRL",M6,IF(L6="GBP",M6*R1,M6*$P$1))/2</f>
        <v>-71.547936352199997</v>
      </c>
      <c r="F6" s="5" t="str">
        <f t="shared" si="1"/>
        <v>REFINITIV</v>
      </c>
      <c r="G6" s="6">
        <f t="shared" si="2"/>
        <v>46174</v>
      </c>
      <c r="H6" s="16">
        <v>1170</v>
      </c>
      <c r="J6" s="18">
        <v>103090</v>
      </c>
      <c r="K6" s="18" t="s">
        <v>42</v>
      </c>
      <c r="L6" s="15" t="s">
        <v>17</v>
      </c>
      <c r="M6" s="8">
        <v>20.848212</v>
      </c>
      <c r="N6" s="47" t="s">
        <v>18</v>
      </c>
      <c r="O6" s="49">
        <v>103090</v>
      </c>
      <c r="Q6" s="27"/>
      <c r="R6" s="27"/>
      <c r="S6" s="27"/>
      <c r="U6" s="27"/>
    </row>
    <row r="7" spans="1:21" ht="15" customHeight="1" x14ac:dyDescent="0.25">
      <c r="A7" s="10" t="str">
        <f t="shared" si="0"/>
        <v>CUSTO MARKET DATA - JUNHO/26-REFINITIV-103090</v>
      </c>
      <c r="B7" s="24">
        <v>46174</v>
      </c>
      <c r="C7" s="11">
        <v>817393</v>
      </c>
      <c r="D7" s="10" t="s">
        <v>14</v>
      </c>
      <c r="E7" s="12">
        <f>-IF(L7="BRL",M7,IF(L7="GBP",M7*R1,M7*$P$1))/2</f>
        <v>-71.547936352199997</v>
      </c>
      <c r="F7" s="10" t="str">
        <f t="shared" si="1"/>
        <v>REFINITIV</v>
      </c>
      <c r="G7" s="24">
        <f t="shared" si="2"/>
        <v>46174</v>
      </c>
      <c r="H7" s="17">
        <v>1170</v>
      </c>
      <c r="J7" s="17">
        <v>103090</v>
      </c>
      <c r="K7" s="17" t="s">
        <v>42</v>
      </c>
      <c r="L7" s="13" t="s">
        <v>17</v>
      </c>
      <c r="M7" s="12">
        <v>20.848212</v>
      </c>
      <c r="N7" s="48"/>
      <c r="O7" s="50"/>
      <c r="Q7" s="27"/>
      <c r="R7" s="27"/>
      <c r="S7" s="27"/>
      <c r="U7" s="27"/>
    </row>
    <row r="8" spans="1:21" ht="15" customHeight="1" x14ac:dyDescent="0.25">
      <c r="A8" s="5" t="str">
        <f t="shared" ref="A8:A71" si="3">CONCATENATE($N$1,$I$1,F8,$I$1,J8)</f>
        <v>CUSTO MARKET DATA - JUNHO/26-BLOOMBERG-72574</v>
      </c>
      <c r="B8" s="6">
        <v>46174</v>
      </c>
      <c r="C8" s="7">
        <v>817393</v>
      </c>
      <c r="D8" s="5" t="s">
        <v>43</v>
      </c>
      <c r="E8" s="8">
        <f>-IF(L8="BRL",M8,IF(L8="GBP",M8*#REF!,M8*$P$1))/2</f>
        <v>-6267.6889250117993</v>
      </c>
      <c r="F8" s="5" t="str">
        <f t="shared" si="1"/>
        <v>BLOOMBERG</v>
      </c>
      <c r="G8" s="6">
        <f t="shared" si="2"/>
        <v>46174</v>
      </c>
      <c r="H8" s="16">
        <v>1170</v>
      </c>
      <c r="J8" s="18">
        <v>72574</v>
      </c>
      <c r="K8" s="18" t="s">
        <v>41</v>
      </c>
      <c r="L8" s="15" t="s">
        <v>12</v>
      </c>
      <c r="M8" s="8">
        <v>2421.546546</v>
      </c>
      <c r="N8" s="47" t="s">
        <v>21</v>
      </c>
      <c r="O8" s="49"/>
      <c r="Q8" s="27"/>
      <c r="R8" s="27"/>
      <c r="S8" s="27"/>
      <c r="U8" s="27"/>
    </row>
    <row r="9" spans="1:21" ht="15" customHeight="1" x14ac:dyDescent="0.25">
      <c r="A9" s="10" t="str">
        <f t="shared" si="3"/>
        <v>CUSTO MARKET DATA - JUNHO/26-BLOOMBERG-72574</v>
      </c>
      <c r="B9" s="24">
        <v>46174</v>
      </c>
      <c r="C9" s="11">
        <v>817393</v>
      </c>
      <c r="D9" s="10" t="s">
        <v>20</v>
      </c>
      <c r="E9" s="12">
        <f>-IF(L9="BRL",M9,IF(L9="GBP",M9*#REF!,M9*$P$1))/2</f>
        <v>-6267.6889250117993</v>
      </c>
      <c r="F9" s="10" t="str">
        <f t="shared" si="1"/>
        <v>BLOOMBERG</v>
      </c>
      <c r="G9" s="24">
        <f t="shared" si="2"/>
        <v>46174</v>
      </c>
      <c r="H9" s="17">
        <v>1170</v>
      </c>
      <c r="J9" s="17">
        <v>72574</v>
      </c>
      <c r="K9" s="17" t="s">
        <v>41</v>
      </c>
      <c r="L9" s="13" t="s">
        <v>12</v>
      </c>
      <c r="M9" s="12">
        <v>2421.546546</v>
      </c>
      <c r="N9" s="48"/>
      <c r="O9" s="50"/>
      <c r="Q9" s="27"/>
      <c r="R9" s="27"/>
      <c r="S9" s="27"/>
      <c r="U9" s="27"/>
    </row>
    <row r="10" spans="1:21" ht="15" customHeight="1" x14ac:dyDescent="0.25">
      <c r="A10" s="5" t="str">
        <f t="shared" si="3"/>
        <v>CUSTO MARKET DATA - JUNHO/26-BLOOMBERG-135064</v>
      </c>
      <c r="B10" s="6">
        <v>46174</v>
      </c>
      <c r="C10" s="7">
        <v>817393</v>
      </c>
      <c r="D10" s="5" t="s">
        <v>29</v>
      </c>
      <c r="E10" s="8">
        <f>-IF(L10="BRL",M10,IF(L10="GBP",M10*#REF!,M10*$P$1))/2</f>
        <v>-6229.8997450117995</v>
      </c>
      <c r="F10" s="5" t="str">
        <f t="shared" si="1"/>
        <v>BLOOMBERG</v>
      </c>
      <c r="G10" s="6">
        <f t="shared" si="2"/>
        <v>46174</v>
      </c>
      <c r="H10" s="16">
        <v>1170</v>
      </c>
      <c r="J10" s="18">
        <v>135064</v>
      </c>
      <c r="K10" s="18" t="s">
        <v>41</v>
      </c>
      <c r="L10" s="15" t="s">
        <v>12</v>
      </c>
      <c r="M10" s="8">
        <v>2406.9465460000001</v>
      </c>
      <c r="N10" s="47" t="s">
        <v>30</v>
      </c>
      <c r="O10" s="49"/>
      <c r="Q10" s="27"/>
      <c r="R10" s="27"/>
      <c r="S10" s="27"/>
      <c r="U10" s="27"/>
    </row>
    <row r="11" spans="1:21" ht="15" customHeight="1" x14ac:dyDescent="0.25">
      <c r="A11" s="10" t="str">
        <f t="shared" si="3"/>
        <v>CUSTO MARKET DATA - JUNHO/26-BLOOMBERG-135064</v>
      </c>
      <c r="B11" s="24">
        <v>46174</v>
      </c>
      <c r="C11" s="11">
        <v>817393</v>
      </c>
      <c r="D11" s="10" t="s">
        <v>22</v>
      </c>
      <c r="E11" s="12">
        <f>-IF(L11="BRL",M11,IF(L11="GBP",M11*#REF!,M11*$P$1))/2</f>
        <v>-6229.8997450117995</v>
      </c>
      <c r="F11" s="10" t="str">
        <f t="shared" si="1"/>
        <v>BLOOMBERG</v>
      </c>
      <c r="G11" s="24">
        <f t="shared" si="2"/>
        <v>46174</v>
      </c>
      <c r="H11" s="17">
        <v>1170</v>
      </c>
      <c r="J11" s="17">
        <v>135064</v>
      </c>
      <c r="K11" s="17" t="s">
        <v>41</v>
      </c>
      <c r="L11" s="13" t="s">
        <v>12</v>
      </c>
      <c r="M11" s="12">
        <v>2406.9465460000001</v>
      </c>
      <c r="N11" s="48"/>
      <c r="O11" s="50"/>
      <c r="Q11" s="27"/>
      <c r="R11" s="27"/>
      <c r="S11" s="27"/>
      <c r="U11" s="27"/>
    </row>
    <row r="12" spans="1:21" ht="15" customHeight="1" x14ac:dyDescent="0.25">
      <c r="A12" s="5" t="str">
        <f t="shared" si="3"/>
        <v>CUSTO MARKET DATA - JUNHO/26-BLOOMBERG-151474</v>
      </c>
      <c r="B12" s="30">
        <v>46174</v>
      </c>
      <c r="C12" s="7">
        <v>817393</v>
      </c>
      <c r="D12" s="5" t="s">
        <v>32</v>
      </c>
      <c r="E12" s="8">
        <f>-IF(L12="BRL",M12,IF(L12="GBP",M12*$R$1,IF(L12="CAD",M12*$T$1,M12*$P$1)))/12</f>
        <v>-4.3138333333333332</v>
      </c>
      <c r="F12" s="5" t="str">
        <f>UPPER(K12)</f>
        <v>BLOOMBERG</v>
      </c>
      <c r="G12" s="30">
        <f t="shared" si="2"/>
        <v>46174</v>
      </c>
      <c r="H12" s="16">
        <v>1170</v>
      </c>
      <c r="J12" s="16">
        <v>151474</v>
      </c>
      <c r="K12" s="16" t="s">
        <v>41</v>
      </c>
      <c r="L12" s="31" t="s">
        <v>12</v>
      </c>
      <c r="M12" s="8">
        <v>10</v>
      </c>
      <c r="N12" s="47" t="s">
        <v>31</v>
      </c>
      <c r="O12" s="26"/>
      <c r="Q12" s="27"/>
      <c r="R12" s="27"/>
      <c r="S12" s="27"/>
      <c r="U12" s="27"/>
    </row>
    <row r="13" spans="1:21" ht="15" customHeight="1" x14ac:dyDescent="0.25">
      <c r="A13" s="5" t="str">
        <f>CONCATENATE($N$1,$I$1,F13,$I$1,J13)</f>
        <v>CUSTO MARKET DATA - JUNHO/26-BLOOMBERG-151474</v>
      </c>
      <c r="B13" s="30">
        <v>46174</v>
      </c>
      <c r="C13" s="7">
        <v>817393</v>
      </c>
      <c r="D13" s="5" t="s">
        <v>24</v>
      </c>
      <c r="E13" s="8">
        <f t="shared" ref="E13:E23" si="4">-IF(L13="BRL",M13,IF(L13="GBP",M13*$R$1,IF(L13="CAD",M13*$T$1,M13*$P$1)))/12</f>
        <v>-4.3138333333333332</v>
      </c>
      <c r="F13" s="5" t="str">
        <f t="shared" ref="F13:F23" si="5">UPPER(K13)</f>
        <v>BLOOMBERG</v>
      </c>
      <c r="G13" s="30">
        <f t="shared" si="2"/>
        <v>46174</v>
      </c>
      <c r="H13" s="16">
        <v>1170</v>
      </c>
      <c r="J13" s="16">
        <v>151474</v>
      </c>
      <c r="K13" s="16" t="s">
        <v>41</v>
      </c>
      <c r="L13" s="31" t="s">
        <v>12</v>
      </c>
      <c r="M13" s="8">
        <v>10</v>
      </c>
      <c r="N13" s="51"/>
      <c r="O13" s="26"/>
      <c r="Q13" s="27"/>
      <c r="R13" s="27"/>
      <c r="S13" s="27"/>
      <c r="U13" s="27"/>
    </row>
    <row r="14" spans="1:21" ht="15" customHeight="1" x14ac:dyDescent="0.25">
      <c r="A14" s="5" t="str">
        <f t="shared" si="3"/>
        <v>CUSTO MARKET DATA - JUNHO/26-BLOOMBERG-151474</v>
      </c>
      <c r="B14" s="30">
        <v>46174</v>
      </c>
      <c r="C14" s="7">
        <v>817393</v>
      </c>
      <c r="D14" s="5" t="s">
        <v>33</v>
      </c>
      <c r="E14" s="8">
        <f t="shared" si="4"/>
        <v>-4.3138333333333332</v>
      </c>
      <c r="F14" s="5" t="str">
        <f t="shared" si="5"/>
        <v>BLOOMBERG</v>
      </c>
      <c r="G14" s="30">
        <f t="shared" si="2"/>
        <v>46174</v>
      </c>
      <c r="H14" s="16">
        <v>1170</v>
      </c>
      <c r="J14" s="16">
        <v>151474</v>
      </c>
      <c r="K14" s="16" t="s">
        <v>41</v>
      </c>
      <c r="L14" s="31" t="s">
        <v>12</v>
      </c>
      <c r="M14" s="8">
        <v>10</v>
      </c>
      <c r="N14" s="51"/>
      <c r="O14" s="26"/>
      <c r="Q14" s="27"/>
      <c r="R14" s="27"/>
      <c r="S14" s="27"/>
      <c r="U14" s="27"/>
    </row>
    <row r="15" spans="1:21" ht="15" customHeight="1" x14ac:dyDescent="0.25">
      <c r="A15" s="5" t="str">
        <f t="shared" si="3"/>
        <v>CUSTO MARKET DATA - JUNHO/26-BLOOMBERG-151474</v>
      </c>
      <c r="B15" s="30">
        <v>46174</v>
      </c>
      <c r="C15" s="7">
        <v>817393</v>
      </c>
      <c r="D15" s="5" t="s">
        <v>34</v>
      </c>
      <c r="E15" s="8">
        <f t="shared" si="4"/>
        <v>-4.3138333333333332</v>
      </c>
      <c r="F15" s="5" t="str">
        <f t="shared" si="5"/>
        <v>BLOOMBERG</v>
      </c>
      <c r="G15" s="30">
        <f t="shared" si="2"/>
        <v>46174</v>
      </c>
      <c r="H15" s="16">
        <v>1170</v>
      </c>
      <c r="J15" s="16">
        <v>151474</v>
      </c>
      <c r="K15" s="16" t="s">
        <v>41</v>
      </c>
      <c r="L15" s="31" t="s">
        <v>12</v>
      </c>
      <c r="M15" s="8">
        <v>10</v>
      </c>
      <c r="N15" s="51"/>
      <c r="O15" s="26"/>
      <c r="Q15" s="27"/>
      <c r="R15" s="27"/>
      <c r="S15" s="27"/>
      <c r="U15" s="27"/>
    </row>
    <row r="16" spans="1:21" ht="15" customHeight="1" x14ac:dyDescent="0.25">
      <c r="A16" s="5" t="str">
        <f t="shared" si="3"/>
        <v>CUSTO MARKET DATA - JUNHO/26-BLOOMBERG-151474</v>
      </c>
      <c r="B16" s="30">
        <v>46174</v>
      </c>
      <c r="C16" s="7">
        <v>817393</v>
      </c>
      <c r="D16" s="5" t="s">
        <v>15</v>
      </c>
      <c r="E16" s="8">
        <f t="shared" si="4"/>
        <v>-4.3138333333333332</v>
      </c>
      <c r="F16" s="5" t="str">
        <f t="shared" si="5"/>
        <v>BLOOMBERG</v>
      </c>
      <c r="G16" s="30">
        <f t="shared" si="2"/>
        <v>46174</v>
      </c>
      <c r="H16" s="16">
        <v>1170</v>
      </c>
      <c r="J16" s="16">
        <v>151474</v>
      </c>
      <c r="K16" s="16" t="s">
        <v>41</v>
      </c>
      <c r="L16" s="31" t="s">
        <v>12</v>
      </c>
      <c r="M16" s="8">
        <v>10</v>
      </c>
      <c r="N16" s="51"/>
      <c r="O16" s="26"/>
      <c r="Q16" s="27"/>
      <c r="R16" s="27"/>
      <c r="S16" s="27"/>
      <c r="U16" s="27"/>
    </row>
    <row r="17" spans="1:21" ht="15" customHeight="1" x14ac:dyDescent="0.25">
      <c r="A17" s="5" t="str">
        <f t="shared" si="3"/>
        <v>CUSTO MARKET DATA - JUNHO/26-BLOOMBERG-151474</v>
      </c>
      <c r="B17" s="30">
        <v>46174</v>
      </c>
      <c r="C17" s="7">
        <v>817393</v>
      </c>
      <c r="D17" s="5" t="s">
        <v>27</v>
      </c>
      <c r="E17" s="8">
        <f t="shared" si="4"/>
        <v>-4.3138333333333332</v>
      </c>
      <c r="F17" s="5" t="str">
        <f t="shared" si="5"/>
        <v>BLOOMBERG</v>
      </c>
      <c r="G17" s="30">
        <f t="shared" si="2"/>
        <v>46174</v>
      </c>
      <c r="H17" s="16">
        <v>1170</v>
      </c>
      <c r="J17" s="16">
        <v>151474</v>
      </c>
      <c r="K17" s="16" t="s">
        <v>41</v>
      </c>
      <c r="L17" s="31" t="s">
        <v>12</v>
      </c>
      <c r="M17" s="8">
        <v>10</v>
      </c>
      <c r="N17" s="51"/>
      <c r="O17" s="26"/>
      <c r="Q17" s="27"/>
      <c r="R17" s="27"/>
      <c r="S17" s="27"/>
      <c r="U17" s="27"/>
    </row>
    <row r="18" spans="1:21" ht="15" customHeight="1" x14ac:dyDescent="0.25">
      <c r="A18" s="5" t="str">
        <f t="shared" si="3"/>
        <v>CUSTO MARKET DATA - JUNHO/26-BLOOMBERG-151474</v>
      </c>
      <c r="B18" s="30">
        <v>46174</v>
      </c>
      <c r="C18" s="7">
        <v>817393</v>
      </c>
      <c r="D18" s="5" t="s">
        <v>28</v>
      </c>
      <c r="E18" s="8">
        <f t="shared" si="4"/>
        <v>-4.3138333333333332</v>
      </c>
      <c r="F18" s="5" t="str">
        <f t="shared" si="5"/>
        <v>BLOOMBERG</v>
      </c>
      <c r="G18" s="30">
        <f t="shared" si="2"/>
        <v>46174</v>
      </c>
      <c r="H18" s="16">
        <v>1170</v>
      </c>
      <c r="J18" s="16">
        <v>151474</v>
      </c>
      <c r="K18" s="16" t="s">
        <v>41</v>
      </c>
      <c r="L18" s="31" t="s">
        <v>12</v>
      </c>
      <c r="M18" s="8">
        <v>10</v>
      </c>
      <c r="N18" s="51"/>
      <c r="O18" s="26"/>
      <c r="Q18" s="27"/>
      <c r="R18" s="27"/>
      <c r="S18" s="27"/>
      <c r="U18" s="27"/>
    </row>
    <row r="19" spans="1:21" ht="15" customHeight="1" x14ac:dyDescent="0.25">
      <c r="A19" s="5" t="str">
        <f t="shared" si="3"/>
        <v>CUSTO MARKET DATA - JUNHO/26-BLOOMBERG-151474</v>
      </c>
      <c r="B19" s="30">
        <v>46174</v>
      </c>
      <c r="C19" s="7">
        <v>817393</v>
      </c>
      <c r="D19" s="5" t="s">
        <v>35</v>
      </c>
      <c r="E19" s="8">
        <f t="shared" si="4"/>
        <v>-4.3138333333333332</v>
      </c>
      <c r="F19" s="5" t="str">
        <f t="shared" si="5"/>
        <v>BLOOMBERG</v>
      </c>
      <c r="G19" s="30">
        <f t="shared" si="2"/>
        <v>46174</v>
      </c>
      <c r="H19" s="16">
        <v>1170</v>
      </c>
      <c r="J19" s="16">
        <v>151474</v>
      </c>
      <c r="K19" s="16" t="s">
        <v>41</v>
      </c>
      <c r="L19" s="31" t="s">
        <v>12</v>
      </c>
      <c r="M19" s="8">
        <v>10</v>
      </c>
      <c r="N19" s="51"/>
      <c r="O19" s="26"/>
      <c r="Q19" s="27"/>
      <c r="R19" s="27"/>
      <c r="S19" s="27"/>
      <c r="U19" s="27"/>
    </row>
    <row r="20" spans="1:21" ht="15" customHeight="1" x14ac:dyDescent="0.25">
      <c r="A20" s="5" t="str">
        <f t="shared" si="3"/>
        <v>CUSTO MARKET DATA - JUNHO/26-BLOOMBERG-151474</v>
      </c>
      <c r="B20" s="30">
        <v>46174</v>
      </c>
      <c r="C20" s="7">
        <v>817393</v>
      </c>
      <c r="D20" s="5" t="s">
        <v>20</v>
      </c>
      <c r="E20" s="8">
        <f t="shared" si="4"/>
        <v>-4.3138333333333332</v>
      </c>
      <c r="F20" s="5" t="str">
        <f t="shared" si="5"/>
        <v>BLOOMBERG</v>
      </c>
      <c r="G20" s="30">
        <f t="shared" si="2"/>
        <v>46174</v>
      </c>
      <c r="H20" s="16">
        <v>1170</v>
      </c>
      <c r="J20" s="16">
        <v>151474</v>
      </c>
      <c r="K20" s="16" t="s">
        <v>41</v>
      </c>
      <c r="L20" s="31" t="s">
        <v>12</v>
      </c>
      <c r="M20" s="8">
        <v>10</v>
      </c>
      <c r="N20" s="51"/>
      <c r="O20" s="26"/>
      <c r="Q20" s="27"/>
      <c r="R20" s="27"/>
      <c r="S20" s="27"/>
      <c r="U20" s="27"/>
    </row>
    <row r="21" spans="1:21" ht="15" customHeight="1" x14ac:dyDescent="0.25">
      <c r="A21" s="5" t="str">
        <f t="shared" si="3"/>
        <v>CUSTO MARKET DATA - JUNHO/26-BLOOMBERG-151474</v>
      </c>
      <c r="B21" s="30">
        <v>46174</v>
      </c>
      <c r="C21" s="7">
        <v>817393</v>
      </c>
      <c r="D21" s="5" t="s">
        <v>43</v>
      </c>
      <c r="E21" s="8">
        <f t="shared" si="4"/>
        <v>-4.3138333333333332</v>
      </c>
      <c r="F21" s="5" t="str">
        <f t="shared" si="5"/>
        <v>BLOOMBERG</v>
      </c>
      <c r="G21" s="30">
        <f t="shared" si="2"/>
        <v>46174</v>
      </c>
      <c r="H21" s="16">
        <v>1170</v>
      </c>
      <c r="J21" s="16">
        <v>151474</v>
      </c>
      <c r="K21" s="16" t="s">
        <v>41</v>
      </c>
      <c r="L21" s="31" t="s">
        <v>12</v>
      </c>
      <c r="M21" s="8">
        <v>10</v>
      </c>
      <c r="N21" s="51"/>
      <c r="O21" s="26"/>
      <c r="Q21" s="27"/>
      <c r="R21" s="27"/>
      <c r="S21" s="27"/>
      <c r="U21" s="27"/>
    </row>
    <row r="22" spans="1:21" ht="15" customHeight="1" x14ac:dyDescent="0.25">
      <c r="A22" s="5" t="str">
        <f t="shared" si="3"/>
        <v>CUSTO MARKET DATA - JUNHO/26-BLOOMBERG-151474</v>
      </c>
      <c r="B22" s="30">
        <v>46174</v>
      </c>
      <c r="C22" s="7">
        <v>817393</v>
      </c>
      <c r="D22" s="5" t="s">
        <v>36</v>
      </c>
      <c r="E22" s="8">
        <f t="shared" si="4"/>
        <v>-4.3138333333333332</v>
      </c>
      <c r="F22" s="5" t="str">
        <f t="shared" si="5"/>
        <v>BLOOMBERG</v>
      </c>
      <c r="G22" s="30">
        <f t="shared" si="2"/>
        <v>46174</v>
      </c>
      <c r="H22" s="16">
        <v>1170</v>
      </c>
      <c r="J22" s="16">
        <v>151474</v>
      </c>
      <c r="K22" s="16" t="s">
        <v>41</v>
      </c>
      <c r="L22" s="31" t="s">
        <v>12</v>
      </c>
      <c r="M22" s="8">
        <v>10</v>
      </c>
      <c r="N22" s="51"/>
      <c r="O22" s="26"/>
      <c r="Q22" s="27"/>
      <c r="R22" s="27"/>
      <c r="S22" s="27"/>
      <c r="U22" s="27"/>
    </row>
    <row r="23" spans="1:21" ht="15" customHeight="1" x14ac:dyDescent="0.25">
      <c r="A23" s="10" t="str">
        <f t="shared" si="3"/>
        <v>CUSTO MARKET DATA - JUNHO/26-BLOOMBERG-151474</v>
      </c>
      <c r="B23" s="24">
        <v>46174</v>
      </c>
      <c r="C23" s="11">
        <v>817393</v>
      </c>
      <c r="D23" s="10" t="s">
        <v>37</v>
      </c>
      <c r="E23" s="12">
        <f t="shared" si="4"/>
        <v>-4.3138333333333332</v>
      </c>
      <c r="F23" s="5" t="str">
        <f t="shared" si="5"/>
        <v>BLOOMBERG</v>
      </c>
      <c r="G23" s="24">
        <f t="shared" si="2"/>
        <v>46174</v>
      </c>
      <c r="H23" s="17">
        <v>1170</v>
      </c>
      <c r="J23" s="17">
        <v>151474</v>
      </c>
      <c r="K23" s="17" t="s">
        <v>41</v>
      </c>
      <c r="L23" s="13" t="s">
        <v>12</v>
      </c>
      <c r="M23" s="12">
        <v>10</v>
      </c>
      <c r="N23" s="48"/>
      <c r="Q23" s="27"/>
      <c r="R23" s="27"/>
      <c r="S23" s="27"/>
      <c r="U23" s="27"/>
    </row>
    <row r="24" spans="1:21" ht="15" customHeight="1" x14ac:dyDescent="0.25">
      <c r="A24" s="10" t="str">
        <f t="shared" si="3"/>
        <v>CUSTO MARKET DATA - JUNHO/26-BLOOMBERG-133472</v>
      </c>
      <c r="B24" s="24">
        <v>46174</v>
      </c>
      <c r="C24" s="11">
        <v>817393</v>
      </c>
      <c r="D24" s="10" t="s">
        <v>38</v>
      </c>
      <c r="E24" s="12">
        <f>-IF(L24="BRL",M24,IF(L24="GBP",M24*$R$1,IF(L24="CAD",M24*$T$1,M24*$P$1)))</f>
        <v>0</v>
      </c>
      <c r="F24" s="10" t="str">
        <f>UPPER(K24)</f>
        <v>BLOOMBERG</v>
      </c>
      <c r="G24" s="24">
        <f t="shared" si="2"/>
        <v>46174</v>
      </c>
      <c r="H24" s="17">
        <v>1170</v>
      </c>
      <c r="J24" s="17">
        <v>133472</v>
      </c>
      <c r="K24" s="17" t="s">
        <v>41</v>
      </c>
      <c r="L24" s="13" t="s">
        <v>12</v>
      </c>
      <c r="M24" s="43"/>
      <c r="N24" s="40" t="s">
        <v>39</v>
      </c>
      <c r="Q24" s="27"/>
      <c r="R24" s="27"/>
      <c r="S24" s="27"/>
      <c r="U24" s="27"/>
    </row>
    <row r="25" spans="1:21" ht="15" customHeight="1" x14ac:dyDescent="0.25">
      <c r="A25" s="10" t="str">
        <f>CONCATENATE($N$1,$I$1,F25,$I$1,J25)</f>
        <v>CUSTO MARKET DATA - JUNHO/26-BLOOMBERG-161123</v>
      </c>
      <c r="B25" s="24">
        <v>46174</v>
      </c>
      <c r="C25" s="11">
        <v>817393</v>
      </c>
      <c r="D25" s="10" t="s">
        <v>38</v>
      </c>
      <c r="E25" s="12">
        <f>-IF(L25="BRL",M25,IF(L25="GBP",M25*$R$1,IF(L25="CAD",M25*$T$1,M25*$P$1)))</f>
        <v>-103.532</v>
      </c>
      <c r="F25" s="10" t="str">
        <f>UPPER(K25)</f>
        <v>BLOOMBERG</v>
      </c>
      <c r="G25" s="24">
        <f>B25</f>
        <v>46174</v>
      </c>
      <c r="H25" s="17">
        <v>1170</v>
      </c>
      <c r="J25" s="17">
        <v>161123</v>
      </c>
      <c r="K25" s="17" t="s">
        <v>41</v>
      </c>
      <c r="L25" s="13" t="s">
        <v>12</v>
      </c>
      <c r="M25" s="12">
        <v>20</v>
      </c>
      <c r="N25" s="40" t="s">
        <v>56</v>
      </c>
      <c r="Q25" s="27"/>
      <c r="R25" s="27"/>
      <c r="S25" s="27"/>
      <c r="U25" s="27"/>
    </row>
    <row r="26" spans="1:21" ht="15" customHeight="1" x14ac:dyDescent="0.25">
      <c r="A26" s="10" t="str">
        <f>CONCATENATE($N$1,$I$1,F26,$I$1,J26)</f>
        <v>CUSTO MARKET DATA - JUNHO/26-REFINITIV-133472</v>
      </c>
      <c r="B26" s="24">
        <v>46174</v>
      </c>
      <c r="C26" s="11">
        <v>817393</v>
      </c>
      <c r="D26" s="10" t="s">
        <v>38</v>
      </c>
      <c r="E26" s="12">
        <f>-IF(L26="BRL",M26,IF(L26="GBP",M26*$R$1,IF(L26="CAD",M26*$T$1,M26*$P$1)))</f>
        <v>-1.516397241</v>
      </c>
      <c r="F26" s="10" t="str">
        <f>UPPER(K26)</f>
        <v>REFINITIV</v>
      </c>
      <c r="G26" s="24">
        <f>B26</f>
        <v>46174</v>
      </c>
      <c r="H26" s="17">
        <v>1170</v>
      </c>
      <c r="J26" s="17">
        <v>133472</v>
      </c>
      <c r="K26" s="17" t="s">
        <v>42</v>
      </c>
      <c r="L26" s="13" t="s">
        <v>17</v>
      </c>
      <c r="M26" s="43">
        <v>0.22092999999999999</v>
      </c>
      <c r="N26" s="40" t="s">
        <v>39</v>
      </c>
      <c r="Q26" s="27"/>
      <c r="R26" s="27"/>
      <c r="S26" s="27"/>
      <c r="U26" s="27"/>
    </row>
    <row r="27" spans="1:21" ht="15" customHeight="1" x14ac:dyDescent="0.25">
      <c r="A27" s="5" t="s">
        <v>57</v>
      </c>
      <c r="B27" s="30">
        <v>46174</v>
      </c>
      <c r="C27" s="7">
        <v>817393</v>
      </c>
      <c r="D27" s="5" t="s">
        <v>38</v>
      </c>
      <c r="E27" s="12">
        <f>-IF(L27="BRL",M27,IF(L27="GBP",M27*$R$1,IF(L27="CAD",M27*$T$1,M27*$P$1)))</f>
        <v>-51.765999999999998</v>
      </c>
      <c r="F27" s="5" t="s">
        <v>58</v>
      </c>
      <c r="G27" s="30">
        <v>46113</v>
      </c>
      <c r="H27" s="16">
        <v>1170</v>
      </c>
      <c r="J27" s="16">
        <v>161932</v>
      </c>
      <c r="K27" s="16" t="s">
        <v>41</v>
      </c>
      <c r="L27" s="31" t="s">
        <v>12</v>
      </c>
      <c r="M27" s="8">
        <v>10</v>
      </c>
      <c r="N27" s="44" t="s">
        <v>59</v>
      </c>
      <c r="Q27" s="27"/>
      <c r="R27" s="27"/>
      <c r="S27" s="27"/>
      <c r="U27" s="27"/>
    </row>
    <row r="28" spans="1:21" ht="15" customHeight="1" x14ac:dyDescent="0.25">
      <c r="A28" s="9" t="str">
        <f t="shared" si="3"/>
        <v>CUSTO MARKET DATA - JUNHO/26-BLOOMBERG-0</v>
      </c>
      <c r="B28" s="20">
        <v>46174</v>
      </c>
      <c r="C28" s="21">
        <v>817393</v>
      </c>
      <c r="D28" s="9" t="str">
        <f>IF(J28=0, "DANIEL TEIXEIRA SIQUEIRA GONÇALVES",IF(J28=57036,"ALEXANDRE DA COSTA SOARES",IF(J28=24157,"JOSE MAURICIO GOMES TEIXEIRA",IF(J28=24203,"JOSE MAURICIO GOMES TEIXEIRA",IF(J28=24149,"CHRISTIANO MARCONDES DE BARROS LIMA",IF(J28=24137,"CHRISTIANO MARCONDES DE BARROS LIMA",IF(J28=135152,"ENRICO BORTPLUZO CASSIANO",IF(J28=136568,"ENRICO BORTPLUZO CASSIANO", IF(J28=130976,"MARYLIA CARVALHO PONCE",IF(J28=136668,"ALEXANDRE DA COSTA SOARES",IF(J28=52340,"OFFSHORE LISTED",IF(J28=158778,"CLAUDIO DE SOUZA PACINI",IF(J28=159800,"CLAUDIO DE SOUZA PACINI",_xlfn.XLOOKUP(J28,[1]!Tabela33[ID ORACLE],[1]!Tabela33[BROKER],0,0,1))))))))))))))</f>
        <v>DANIEL TEIXEIRA SIQUEIRA GONÇALVES</v>
      </c>
      <c r="E28" s="22">
        <f>-IF(L28="BRL",M28,IF(L28="GBP",M28*$R$1,IF(L28="CAD",M28*$T$1,M28*$P$1)))</f>
        <v>-258.83</v>
      </c>
      <c r="F28" s="9" t="str">
        <f>IF(UPPER(K28)="Valor Analytics LLC","VALOR",UPPER(K28))</f>
        <v>BLOOMBERG</v>
      </c>
      <c r="G28" s="20">
        <f t="shared" si="2"/>
        <v>46174</v>
      </c>
      <c r="H28" s="23">
        <v>1170</v>
      </c>
      <c r="J28" s="45">
        <v>0</v>
      </c>
      <c r="K28" s="45" t="s">
        <v>41</v>
      </c>
      <c r="L28" s="45" t="s">
        <v>12</v>
      </c>
      <c r="M28" s="45">
        <v>50</v>
      </c>
      <c r="N28" s="2"/>
      <c r="Q28" s="27"/>
      <c r="R28" s="27"/>
      <c r="S28" s="27"/>
      <c r="U28" s="27"/>
    </row>
    <row r="29" spans="1:21" ht="15" customHeight="1" x14ac:dyDescent="0.25">
      <c r="A29" s="9" t="str">
        <f t="shared" si="3"/>
        <v>CUSTO MARKET DATA - JUNHO/26-REFINITIV-100142</v>
      </c>
      <c r="B29" s="20">
        <v>46174</v>
      </c>
      <c r="C29" s="21">
        <v>817393</v>
      </c>
      <c r="D29" s="9" t="str">
        <f>IF(J29=0, "DANIEL TEIXEIRA SIQUEIRA GONÇALVES",IF(J29=57036,"ALEXANDRE DA COSTA SOARES",IF(J29=24157,"JOSE MAURICIO GOMES TEIXEIRA",IF(J29=24203,"JOSE MAURICIO GOMES TEIXEIRA",IF(J29=24149,"CHRISTIANO MARCONDES DE BARROS LIMA",IF(J29=24137,"CHRISTIANO MARCONDES DE BARROS LIMA",IF(J29=135152,"ENRICO BORTPLUZO CASSIANO",IF(J29=136568,"ENRICO BORTPLUZO CASSIANO", IF(J29=130976,"MARYLIA CARVALHO PONCE",IF(J29=136668,"ALEXANDRE DA COSTA SOARES",IF(J29=52340,"OFFSHORE LISTED",IF(J29=158778,"CLAUDIO DE SOUZA PACINI",IF(J29=159800,"CLAUDIO DE SOUZA PACINI",_xlfn.XLOOKUP(J29,[1]!Tabela33[ID ORACLE],[1]!Tabela33[BROKER],0,0,1))))))))))))))</f>
        <v>RAFAEL TENORIO CAVALCANTI</v>
      </c>
      <c r="E29" s="22">
        <f t="shared" ref="E29:E92" si="6">-IF(L29="BRL",M29,IF(L29="GBP",M29*$R$1,IF(L29="CAD",M29*$T$1,M29*$P$1)))</f>
        <v>-606.89314486260002</v>
      </c>
      <c r="F29" s="9" t="str">
        <f t="shared" ref="F29:F92" si="7">IF(UPPER(K29)="Valor Analytics LLC","VALOR",UPPER(K29))</f>
        <v>REFINITIV</v>
      </c>
      <c r="G29" s="20">
        <f t="shared" si="2"/>
        <v>46174</v>
      </c>
      <c r="H29" s="23">
        <v>1170</v>
      </c>
      <c r="J29" s="45">
        <v>100142</v>
      </c>
      <c r="K29" s="45" t="s">
        <v>42</v>
      </c>
      <c r="L29" s="45" t="s">
        <v>17</v>
      </c>
      <c r="M29" s="45">
        <v>88.420698000000002</v>
      </c>
      <c r="N29" s="2"/>
      <c r="Q29" s="27"/>
      <c r="R29" s="27"/>
      <c r="S29" s="27"/>
      <c r="U29" s="27"/>
    </row>
    <row r="30" spans="1:21" ht="15" customHeight="1" x14ac:dyDescent="0.25">
      <c r="A30" s="9" t="str">
        <f t="shared" si="3"/>
        <v>CUSTO MARKET DATA - JUNHO/26-REFINITIV-105071</v>
      </c>
      <c r="B30" s="20">
        <v>46174</v>
      </c>
      <c r="C30" s="21">
        <v>817393</v>
      </c>
      <c r="D30" s="9" t="str">
        <f>IF(J30=0, "DANIEL TEIXEIRA SIQUEIRA GONÇALVES",IF(J30=57036,"ALEXANDRE DA COSTA SOARES",IF(J30=24157,"JOSE MAURICIO GOMES TEIXEIRA",IF(J30=24203,"JOSE MAURICIO GOMES TEIXEIRA",IF(J30=24149,"CHRISTIANO MARCONDES DE BARROS LIMA",IF(J30=24137,"CHRISTIANO MARCONDES DE BARROS LIMA",IF(J30=135152,"ENRICO BORTPLUZO CASSIANO",IF(J30=136568,"ENRICO BORTPLUZO CASSIANO", IF(J30=130976,"MARYLIA CARVALHO PONCE",IF(J30=136668,"ALEXANDRE DA COSTA SOARES",IF(J30=52340,"OFFSHORE LISTED",IF(J30=158778,"CLAUDIO DE SOUZA PACINI",IF(J30=159800,"CLAUDIO DE SOUZA PACINI",_xlfn.XLOOKUP(J30,[1]!Tabela33[ID ORACLE],[1]!Tabela33[BROKER],0,0,1))))))))))))))</f>
        <v>RODRIGO MOURA MARQUES</v>
      </c>
      <c r="E30" s="22">
        <f t="shared" si="6"/>
        <v>-143.09587270439999</v>
      </c>
      <c r="F30" s="9" t="str">
        <f t="shared" si="7"/>
        <v>REFINITIV</v>
      </c>
      <c r="G30" s="20">
        <f t="shared" si="2"/>
        <v>46174</v>
      </c>
      <c r="H30" s="23">
        <v>1170</v>
      </c>
      <c r="J30" s="45">
        <v>105071</v>
      </c>
      <c r="K30" s="45" t="s">
        <v>42</v>
      </c>
      <c r="L30" s="45" t="s">
        <v>17</v>
      </c>
      <c r="M30" s="45">
        <v>20.848212</v>
      </c>
      <c r="N30" s="2"/>
      <c r="Q30" s="27"/>
      <c r="R30" s="27"/>
      <c r="S30" s="27"/>
      <c r="U30" s="27"/>
    </row>
    <row r="31" spans="1:21" ht="15" customHeight="1" x14ac:dyDescent="0.25">
      <c r="A31" s="9" t="str">
        <f t="shared" si="3"/>
        <v>CUSTO MARKET DATA - JUNHO/26-BLOOMBERG-106970</v>
      </c>
      <c r="B31" s="20">
        <v>46174</v>
      </c>
      <c r="C31" s="21">
        <v>817393</v>
      </c>
      <c r="D31" s="9" t="str">
        <f>IF(J31=0, "DANIEL TEIXEIRA SIQUEIRA GONÇALVES",IF(J31=57036,"ALEXANDRE DA COSTA SOARES",IF(J31=24157,"JOSE MAURICIO GOMES TEIXEIRA",IF(J31=24203,"JOSE MAURICIO GOMES TEIXEIRA",IF(J31=24149,"CHRISTIANO MARCONDES DE BARROS LIMA",IF(J31=24137,"CHRISTIANO MARCONDES DE BARROS LIMA",IF(J31=135152,"ENRICO BORTPLUZO CASSIANO",IF(J31=136568,"ENRICO BORTPLUZO CASSIANO", IF(J31=130976,"MARYLIA CARVALHO PONCE",IF(J31=136668,"ALEXANDRE DA COSTA SOARES",IF(J31=52340,"OFFSHORE LISTED",IF(J31=158778,"CLAUDIO DE SOUZA PACINI",IF(J31=159800,"CLAUDIO DE SOUZA PACINI",_xlfn.XLOOKUP(J31,[1]!Tabela33[ID ORACLE],[1]!Tabela33[BROKER],0,0,1))))))))))))))</f>
        <v>CESAR MARIANO SCARAMBONE MENEZES</v>
      </c>
      <c r="E31" s="22">
        <f t="shared" si="6"/>
        <v>-12282.242110023599</v>
      </c>
      <c r="F31" s="9" t="str">
        <f t="shared" si="7"/>
        <v>BLOOMBERG</v>
      </c>
      <c r="G31" s="20">
        <f t="shared" si="2"/>
        <v>46174</v>
      </c>
      <c r="H31" s="23">
        <v>1170</v>
      </c>
      <c r="J31" s="45">
        <v>106970</v>
      </c>
      <c r="K31" s="45" t="s">
        <v>41</v>
      </c>
      <c r="L31" s="45" t="s">
        <v>12</v>
      </c>
      <c r="M31" s="45">
        <v>2372.6465459999999</v>
      </c>
      <c r="N31" s="2"/>
      <c r="Q31" s="27"/>
      <c r="R31" s="27"/>
      <c r="S31" s="27"/>
      <c r="U31" s="27"/>
    </row>
    <row r="32" spans="1:21" ht="15" customHeight="1" x14ac:dyDescent="0.25">
      <c r="A32" s="9" t="str">
        <f t="shared" si="3"/>
        <v>CUSTO MARKET DATA - JUNHO/26-REFINITIV-106970</v>
      </c>
      <c r="B32" s="20">
        <v>46174</v>
      </c>
      <c r="C32" s="21">
        <v>817393</v>
      </c>
      <c r="D32" s="9" t="str">
        <f>IF(J32=0, "DANIEL TEIXEIRA SIQUEIRA GONÇALVES",IF(J32=57036,"ALEXANDRE DA COSTA SOARES",IF(J32=24157,"JOSE MAURICIO GOMES TEIXEIRA",IF(J32=24203,"JOSE MAURICIO GOMES TEIXEIRA",IF(J32=24149,"CHRISTIANO MARCONDES DE BARROS LIMA",IF(J32=24137,"CHRISTIANO MARCONDES DE BARROS LIMA",IF(J32=135152,"ENRICO BORTPLUZO CASSIANO",IF(J32=136568,"ENRICO BORTPLUZO CASSIANO", IF(J32=130976,"MARYLIA CARVALHO PONCE",IF(J32=136668,"ALEXANDRE DA COSTA SOARES",IF(J32=52340,"OFFSHORE LISTED",IF(J32=158778,"CLAUDIO DE SOUZA PACINI",IF(J32=159800,"CLAUDIO DE SOUZA PACINI",_xlfn.XLOOKUP(J32,[1]!Tabela33[ID ORACLE],[1]!Tabela33[BROKER],0,0,1))))))))))))))</f>
        <v>CESAR MARIANO SCARAMBONE MENEZES</v>
      </c>
      <c r="E32" s="22">
        <f t="shared" si="6"/>
        <v>-143.09587270439999</v>
      </c>
      <c r="F32" s="9" t="str">
        <f t="shared" si="7"/>
        <v>REFINITIV</v>
      </c>
      <c r="G32" s="20">
        <f t="shared" si="2"/>
        <v>46174</v>
      </c>
      <c r="H32" s="23">
        <v>1170</v>
      </c>
      <c r="J32" s="45">
        <v>106970</v>
      </c>
      <c r="K32" s="45" t="s">
        <v>42</v>
      </c>
      <c r="L32" s="45" t="s">
        <v>17</v>
      </c>
      <c r="M32" s="45">
        <v>20.848212</v>
      </c>
      <c r="N32" s="2"/>
      <c r="Q32" s="27"/>
      <c r="R32" s="27"/>
      <c r="S32" s="27"/>
      <c r="U32" s="27"/>
    </row>
    <row r="33" spans="1:78" ht="15" customHeight="1" x14ac:dyDescent="0.25">
      <c r="A33" s="9" t="str">
        <f t="shared" si="3"/>
        <v>CUSTO MARKET DATA - JUNHO/26-REFINITIV-108911</v>
      </c>
      <c r="B33" s="20">
        <v>46174</v>
      </c>
      <c r="C33" s="21">
        <v>817393</v>
      </c>
      <c r="D33" s="9" t="str">
        <f>IF(J33=0, "DANIEL TEIXEIRA SIQUEIRA GONÇALVES",IF(J33=57036,"ALEXANDRE DA COSTA SOARES",IF(J33=24157,"JOSE MAURICIO GOMES TEIXEIRA",IF(J33=24203,"JOSE MAURICIO GOMES TEIXEIRA",IF(J33=24149,"CHRISTIANO MARCONDES DE BARROS LIMA",IF(J33=24137,"CHRISTIANO MARCONDES DE BARROS LIMA",IF(J33=135152,"ENRICO BORTPLUZO CASSIANO",IF(J33=136568,"ENRICO BORTPLUZO CASSIANO", IF(J33=130976,"MARYLIA CARVALHO PONCE",IF(J33=136668,"ALEXANDRE DA COSTA SOARES",IF(J33=52340,"OFFSHORE LISTED",IF(J33=158778,"CLAUDIO DE SOUZA PACINI",IF(J33=159800,"CLAUDIO DE SOUZA PACINI",_xlfn.XLOOKUP(J33,[1]!Tabela33[ID ORACLE],[1]!Tabela33[BROKER],0,0,1))))))))))))))</f>
        <v>ALI MOHAMAD KANSAOU</v>
      </c>
      <c r="E33" s="22">
        <f t="shared" si="6"/>
        <v>-143.09587270439999</v>
      </c>
      <c r="F33" s="9" t="str">
        <f t="shared" si="7"/>
        <v>REFINITIV</v>
      </c>
      <c r="G33" s="20">
        <f t="shared" si="2"/>
        <v>46174</v>
      </c>
      <c r="H33" s="23">
        <v>1170</v>
      </c>
      <c r="J33" s="45">
        <v>108911</v>
      </c>
      <c r="K33" s="45" t="s">
        <v>42</v>
      </c>
      <c r="L33" s="45" t="s">
        <v>17</v>
      </c>
      <c r="M33" s="45">
        <v>20.848212</v>
      </c>
      <c r="N33" s="2"/>
      <c r="Q33" s="27"/>
      <c r="R33" s="27"/>
      <c r="S33" s="27"/>
      <c r="U33" s="27"/>
    </row>
    <row r="34" spans="1:78" ht="15" customHeight="1" x14ac:dyDescent="0.25">
      <c r="A34" s="9" t="str">
        <f t="shared" si="3"/>
        <v>CUSTO MARKET DATA - JUNHO/26-BLOOMBERG-113487</v>
      </c>
      <c r="B34" s="20">
        <v>46174</v>
      </c>
      <c r="C34" s="21">
        <v>817393</v>
      </c>
      <c r="D34" s="9" t="str">
        <f>IF(J34=0, "DANIEL TEIXEIRA SIQUEIRA GONÇALVES",IF(J34=57036,"ALEXANDRE DA COSTA SOARES",IF(J34=24157,"JOSE MAURICIO GOMES TEIXEIRA",IF(J34=24203,"JOSE MAURICIO GOMES TEIXEIRA",IF(J34=24149,"CHRISTIANO MARCONDES DE BARROS LIMA",IF(J34=24137,"CHRISTIANO MARCONDES DE BARROS LIMA",IF(J34=135152,"ENRICO BORTPLUZO CASSIANO",IF(J34=136568,"ENRICO BORTPLUZO CASSIANO", IF(J34=130976,"MARYLIA CARVALHO PONCE",IF(J34=136668,"ALEXANDRE DA COSTA SOARES",IF(J34=52340,"OFFSHORE LISTED",IF(J34=158778,"CLAUDIO DE SOUZA PACINI",IF(J34=159800,"CLAUDIO DE SOUZA PACINI",_xlfn.XLOOKUP(J34,[1]!Tabela33[ID ORACLE],[1]!Tabela33[BROKER],0,0,1))))))))))))))</f>
        <v>MARYLIA CARVALHO PONCE</v>
      </c>
      <c r="E34" s="22">
        <f t="shared" si="6"/>
        <v>-12282.242110023599</v>
      </c>
      <c r="F34" s="9" t="str">
        <f t="shared" si="7"/>
        <v>BLOOMBERG</v>
      </c>
      <c r="G34" s="20">
        <f t="shared" si="2"/>
        <v>46174</v>
      </c>
      <c r="H34" s="23">
        <v>1170</v>
      </c>
      <c r="J34" s="45">
        <v>113487</v>
      </c>
      <c r="K34" s="45" t="s">
        <v>41</v>
      </c>
      <c r="L34" s="45" t="s">
        <v>12</v>
      </c>
      <c r="M34" s="45">
        <v>2372.6465459999999</v>
      </c>
      <c r="N34" s="2"/>
      <c r="Q34" s="27"/>
      <c r="R34" s="27"/>
      <c r="S34" s="27"/>
      <c r="U34" s="27"/>
    </row>
    <row r="35" spans="1:78" ht="15" customHeight="1" x14ac:dyDescent="0.25">
      <c r="A35" s="9" t="str">
        <f t="shared" si="3"/>
        <v>CUSTO MARKET DATA - JUNHO/26-REFINITIV-113487</v>
      </c>
      <c r="B35" s="20">
        <v>46174</v>
      </c>
      <c r="C35" s="21">
        <v>817393</v>
      </c>
      <c r="D35" s="9" t="str">
        <f>IF(J35=0, "DANIEL TEIXEIRA SIQUEIRA GONÇALVES",IF(J35=57036,"ALEXANDRE DA COSTA SOARES",IF(J35=24157,"JOSE MAURICIO GOMES TEIXEIRA",IF(J35=24203,"JOSE MAURICIO GOMES TEIXEIRA",IF(J35=24149,"CHRISTIANO MARCONDES DE BARROS LIMA",IF(J35=24137,"CHRISTIANO MARCONDES DE BARROS LIMA",IF(J35=135152,"ENRICO BORTPLUZO CASSIANO",IF(J35=136568,"ENRICO BORTPLUZO CASSIANO", IF(J35=130976,"MARYLIA CARVALHO PONCE",IF(J35=136668,"ALEXANDRE DA COSTA SOARES",IF(J35=52340,"OFFSHORE LISTED",IF(J35=158778,"CLAUDIO DE SOUZA PACINI",IF(J35=159800,"CLAUDIO DE SOUZA PACINI",_xlfn.XLOOKUP(J35,[1]!Tabela33[ID ORACLE],[1]!Tabela33[BROKER],0,0,1))))))))))))))</f>
        <v>MARYLIA CARVALHO PONCE</v>
      </c>
      <c r="E35" s="22">
        <f t="shared" si="6"/>
        <v>-143.09587270439999</v>
      </c>
      <c r="F35" s="9" t="str">
        <f t="shared" si="7"/>
        <v>REFINITIV</v>
      </c>
      <c r="G35" s="20">
        <f t="shared" si="2"/>
        <v>46174</v>
      </c>
      <c r="H35" s="23">
        <v>1170</v>
      </c>
      <c r="J35" s="45">
        <v>113487</v>
      </c>
      <c r="K35" s="45" t="s">
        <v>42</v>
      </c>
      <c r="L35" s="45" t="s">
        <v>17</v>
      </c>
      <c r="M35" s="45">
        <v>20.848212</v>
      </c>
      <c r="N35" s="2"/>
      <c r="Q35" s="27"/>
      <c r="R35" s="27"/>
      <c r="S35" s="27"/>
      <c r="U35" s="27"/>
    </row>
    <row r="36" spans="1:78" ht="15" customHeight="1" x14ac:dyDescent="0.25">
      <c r="A36" s="9" t="str">
        <f t="shared" si="3"/>
        <v>CUSTO MARKET DATA - JUNHO/26-CBOE GLOBAL MARKETS-115154</v>
      </c>
      <c r="B36" s="20">
        <v>46174</v>
      </c>
      <c r="C36" s="21">
        <v>817393</v>
      </c>
      <c r="D36" s="9" t="str">
        <f>IF(J36=0, "DANIEL TEIXEIRA SIQUEIRA GONÇALVES",IF(J36=57036,"ALEXANDRE DA COSTA SOARES",IF(J36=24157,"JOSE MAURICIO GOMES TEIXEIRA",IF(J36=24203,"JOSE MAURICIO GOMES TEIXEIRA",IF(J36=24149,"CHRISTIANO MARCONDES DE BARROS LIMA",IF(J36=24137,"CHRISTIANO MARCONDES DE BARROS LIMA",IF(J36=135152,"ENRICO BORTPLUZO CASSIANO",IF(J36=136568,"ENRICO BORTPLUZO CASSIANO", IF(J36=130976,"MARYLIA CARVALHO PONCE",IF(J36=136668,"ALEXANDRE DA COSTA SOARES",IF(J36=52340,"OFFSHORE LISTED",IF(J36=158778,"CLAUDIO DE SOUZA PACINI",IF(J36=159800,"CLAUDIO DE SOUZA PACINI",_xlfn.XLOOKUP(J36,[1]!Tabela33[ID ORACLE],[1]!Tabela33[BROKER],0,0,1))))))))))))))</f>
        <v>FELIPE DE ANDRADE BASILE</v>
      </c>
      <c r="E36" s="22">
        <f t="shared" si="6"/>
        <v>-1803.5274399999998</v>
      </c>
      <c r="F36" s="9" t="str">
        <f t="shared" si="7"/>
        <v>CBOE GLOBAL MARKETS</v>
      </c>
      <c r="G36" s="20">
        <f t="shared" si="2"/>
        <v>46174</v>
      </c>
      <c r="H36" s="23">
        <v>1170</v>
      </c>
      <c r="J36" s="45">
        <v>115154</v>
      </c>
      <c r="K36" s="45" t="s">
        <v>46</v>
      </c>
      <c r="L36" s="45" t="s">
        <v>12</v>
      </c>
      <c r="M36" s="45">
        <v>348.4</v>
      </c>
      <c r="N36" s="2"/>
      <c r="Q36" s="27"/>
      <c r="R36" s="27"/>
      <c r="S36" s="27"/>
      <c r="T36" s="27"/>
      <c r="U36" s="27"/>
    </row>
    <row r="37" spans="1:78" customFormat="1" ht="15" customHeight="1" x14ac:dyDescent="0.25">
      <c r="A37" s="9" t="str">
        <f t="shared" si="3"/>
        <v>CUSTO MARKET DATA - JUNHO/26-FIDESSA-115154</v>
      </c>
      <c r="B37" s="20">
        <v>46174</v>
      </c>
      <c r="C37" s="21">
        <v>817393</v>
      </c>
      <c r="D37" s="9" t="str">
        <f>IF(J37=0, "DANIEL TEIXEIRA SIQUEIRA GONÇALVES",IF(J37=57036,"ALEXANDRE DA COSTA SOARES",IF(J37=24157,"JOSE MAURICIO GOMES TEIXEIRA",IF(J37=24203,"JOSE MAURICIO GOMES TEIXEIRA",IF(J37=24149,"CHRISTIANO MARCONDES DE BARROS LIMA",IF(J37=24137,"CHRISTIANO MARCONDES DE BARROS LIMA",IF(J37=135152,"ENRICO BORTPLUZO CASSIANO",IF(J37=136568,"ENRICO BORTPLUZO CASSIANO", IF(J37=130976,"MARYLIA CARVALHO PONCE",IF(J37=136668,"ALEXANDRE DA COSTA SOARES",IF(J37=52340,"OFFSHORE LISTED",IF(J37=158778,"CLAUDIO DE SOUZA PACINI",IF(J37=159800,"CLAUDIO DE SOUZA PACINI",_xlfn.XLOOKUP(J37,[1]!Tabela33[ID ORACLE],[1]!Tabela33[BROKER],0,0,1))))))))))))))</f>
        <v>FELIPE DE ANDRADE BASILE</v>
      </c>
      <c r="E37" s="22">
        <f t="shared" si="6"/>
        <v>2193.3711759673997</v>
      </c>
      <c r="F37" s="9" t="str">
        <f t="shared" si="7"/>
        <v>FIDESSA</v>
      </c>
      <c r="G37" s="20">
        <f t="shared" si="2"/>
        <v>46174</v>
      </c>
      <c r="H37" s="23">
        <v>1170</v>
      </c>
      <c r="J37" s="45">
        <v>115154</v>
      </c>
      <c r="K37" s="45" t="s">
        <v>47</v>
      </c>
      <c r="L37" s="45" t="s">
        <v>12</v>
      </c>
      <c r="M37" s="45">
        <v>-423.70883900000001</v>
      </c>
      <c r="N37" s="2"/>
      <c r="O37" s="1"/>
      <c r="P37" s="26"/>
      <c r="Q37" s="27"/>
      <c r="R37" s="27"/>
      <c r="S37" s="27"/>
      <c r="T37" s="26"/>
      <c r="U37" s="27"/>
    </row>
    <row r="38" spans="1:78" customFormat="1" ht="15" customHeight="1" x14ac:dyDescent="0.25">
      <c r="A38" s="9" t="str">
        <f t="shared" si="3"/>
        <v>CUSTO MARKET DATA - JUNHO/26-OPTIONS PRICE REPORTING AUTHORITY (OPRA)-115154</v>
      </c>
      <c r="B38" s="20">
        <v>46174</v>
      </c>
      <c r="C38" s="21">
        <v>817393</v>
      </c>
      <c r="D38" s="9" t="str">
        <f>IF(J38=0, "DANIEL TEIXEIRA SIQUEIRA GONÇALVES",IF(J38=57036,"ALEXANDRE DA COSTA SOARES",IF(J38=24157,"JOSE MAURICIO GOMES TEIXEIRA",IF(J38=24203,"JOSE MAURICIO GOMES TEIXEIRA",IF(J38=24149,"CHRISTIANO MARCONDES DE BARROS LIMA",IF(J38=24137,"CHRISTIANO MARCONDES DE BARROS LIMA",IF(J38=135152,"ENRICO BORTPLUZO CASSIANO",IF(J38=136568,"ENRICO BORTPLUZO CASSIANO", IF(J38=130976,"MARYLIA CARVALHO PONCE",IF(J38=136668,"ALEXANDRE DA COSTA SOARES",IF(J38=52340,"OFFSHORE LISTED",IF(J38=158778,"CLAUDIO DE SOUZA PACINI",IF(J38=159800,"CLAUDIO DE SOUZA PACINI",_xlfn.XLOOKUP(J38,[1]!Tabela33[ID ORACLE],[1]!Tabela33[BROKER],0,0,1))))))))))))))</f>
        <v>FELIPE DE ANDRADE BASILE</v>
      </c>
      <c r="E38" s="22">
        <f t="shared" si="6"/>
        <v>-340.59763237499999</v>
      </c>
      <c r="F38" s="9" t="str">
        <f t="shared" si="7"/>
        <v>OPTIONS PRICE REPORTING AUTHORITY (OPRA)</v>
      </c>
      <c r="G38" s="20">
        <f t="shared" si="2"/>
        <v>46174</v>
      </c>
      <c r="H38" s="23">
        <v>1170</v>
      </c>
      <c r="J38" s="45">
        <v>115154</v>
      </c>
      <c r="K38" s="45" t="s">
        <v>45</v>
      </c>
      <c r="L38" s="45" t="s">
        <v>12</v>
      </c>
      <c r="M38" s="45">
        <v>65.795625000000001</v>
      </c>
      <c r="N38" s="2"/>
      <c r="O38" s="1"/>
      <c r="P38" s="26"/>
      <c r="Q38" s="27"/>
      <c r="R38" s="27"/>
      <c r="S38" s="27"/>
      <c r="T38" s="26"/>
      <c r="U38" s="27"/>
    </row>
    <row r="39" spans="1:78" customFormat="1" ht="15" customHeight="1" x14ac:dyDescent="0.25">
      <c r="A39" s="9" t="str">
        <f t="shared" si="3"/>
        <v>CUSTO MARKET DATA - JUNHO/26-REFINITIV-115154</v>
      </c>
      <c r="B39" s="20">
        <v>46174</v>
      </c>
      <c r="C39" s="21">
        <v>817393</v>
      </c>
      <c r="D39" s="9" t="str">
        <f>IF(J39=0, "DANIEL TEIXEIRA SIQUEIRA GONÇALVES",IF(J39=57036,"ALEXANDRE DA COSTA SOARES",IF(J39=24157,"JOSE MAURICIO GOMES TEIXEIRA",IF(J39=24203,"JOSE MAURICIO GOMES TEIXEIRA",IF(J39=24149,"CHRISTIANO MARCONDES DE BARROS LIMA",IF(J39=24137,"CHRISTIANO MARCONDES DE BARROS LIMA",IF(J39=135152,"ENRICO BORTPLUZO CASSIANO",IF(J39=136568,"ENRICO BORTPLUZO CASSIANO", IF(J39=130976,"MARYLIA CARVALHO PONCE",IF(J39=136668,"ALEXANDRE DA COSTA SOARES",IF(J39=52340,"OFFSHORE LISTED",IF(J39=158778,"CLAUDIO DE SOUZA PACINI",IF(J39=159800,"CLAUDIO DE SOUZA PACINI",_xlfn.XLOOKUP(J39,[1]!Tabela33[ID ORACLE],[1]!Tabela33[BROKER],0,0,1))))))))))))))</f>
        <v>FELIPE DE ANDRADE BASILE</v>
      </c>
      <c r="E39" s="22">
        <f t="shared" si="6"/>
        <v>-143.09587270439999</v>
      </c>
      <c r="F39" s="9" t="str">
        <f t="shared" si="7"/>
        <v>REFINITIV</v>
      </c>
      <c r="G39" s="20">
        <f t="shared" si="2"/>
        <v>46174</v>
      </c>
      <c r="H39" s="23">
        <v>1170</v>
      </c>
      <c r="J39" s="45">
        <v>115154</v>
      </c>
      <c r="K39" s="45" t="s">
        <v>42</v>
      </c>
      <c r="L39" s="45" t="s">
        <v>17</v>
      </c>
      <c r="M39" s="45">
        <v>20.848212</v>
      </c>
      <c r="N39" s="2"/>
      <c r="O39" s="1"/>
      <c r="P39" s="26"/>
      <c r="Q39" s="27"/>
      <c r="R39" s="27"/>
      <c r="S39" s="27"/>
      <c r="T39" s="26"/>
      <c r="U39" s="27"/>
    </row>
    <row r="40" spans="1:78" customFormat="1" ht="15" customHeight="1" x14ac:dyDescent="0.25">
      <c r="A40" s="9" t="str">
        <f t="shared" si="3"/>
        <v>CUSTO MARKET DATA - JUNHO/26-BLOOMBERG-119734</v>
      </c>
      <c r="B40" s="20">
        <v>46174</v>
      </c>
      <c r="C40" s="21">
        <v>817393</v>
      </c>
      <c r="D40" s="9" t="str">
        <f>IF(J40=0, "DANIEL TEIXEIRA SIQUEIRA GONÇALVES",IF(J40=57036,"ALEXANDRE DA COSTA SOARES",IF(J40=24157,"JOSE MAURICIO GOMES TEIXEIRA",IF(J40=24203,"JOSE MAURICIO GOMES TEIXEIRA",IF(J40=24149,"CHRISTIANO MARCONDES DE BARROS LIMA",IF(J40=24137,"CHRISTIANO MARCONDES DE BARROS LIMA",IF(J40=135152,"ENRICO BORTPLUZO CASSIANO",IF(J40=136568,"ENRICO BORTPLUZO CASSIANO", IF(J40=130976,"MARYLIA CARVALHO PONCE",IF(J40=136668,"ALEXANDRE DA COSTA SOARES",IF(J40=52340,"OFFSHORE LISTED",IF(J40=158778,"CLAUDIO DE SOUZA PACINI",IF(J40=159800,"CLAUDIO DE SOUZA PACINI",_xlfn.XLOOKUP(J40,[1]!Tabela33[ID ORACLE],[1]!Tabela33[BROKER],0,0,1))))))))))))))</f>
        <v>RAFAEL MARQUES MOREIRA DA COSTA</v>
      </c>
      <c r="E40" s="22">
        <f t="shared" si="6"/>
        <v>-51.765999999999998</v>
      </c>
      <c r="F40" s="9" t="str">
        <f t="shared" si="7"/>
        <v>BLOOMBERG</v>
      </c>
      <c r="G40" s="20">
        <f t="shared" si="2"/>
        <v>46174</v>
      </c>
      <c r="H40" s="23">
        <v>1170</v>
      </c>
      <c r="J40" s="45">
        <v>119734</v>
      </c>
      <c r="K40" s="45" t="s">
        <v>41</v>
      </c>
      <c r="L40" s="45" t="s">
        <v>12</v>
      </c>
      <c r="M40" s="45">
        <v>10</v>
      </c>
      <c r="N40" s="2"/>
      <c r="O40" s="1"/>
      <c r="P40" s="26"/>
      <c r="Q40" s="27"/>
      <c r="R40" s="27"/>
      <c r="S40" s="27"/>
      <c r="T40" s="26"/>
      <c r="U40" s="27"/>
    </row>
    <row r="41" spans="1:78" customFormat="1" ht="15" customHeight="1" x14ac:dyDescent="0.25">
      <c r="A41" s="9" t="str">
        <f t="shared" si="3"/>
        <v>CUSTO MARKET DATA - JUNHO/26-BROADCAST-119734</v>
      </c>
      <c r="B41" s="20">
        <v>46174</v>
      </c>
      <c r="C41" s="21">
        <v>817393</v>
      </c>
      <c r="D41" s="9" t="str">
        <f>IF(J41=0, "DANIEL TEIXEIRA SIQUEIRA GONÇALVES",IF(J41=57036,"ALEXANDRE DA COSTA SOARES",IF(J41=24157,"JOSE MAURICIO GOMES TEIXEIRA",IF(J41=24203,"JOSE MAURICIO GOMES TEIXEIRA",IF(J41=24149,"CHRISTIANO MARCONDES DE BARROS LIMA",IF(J41=24137,"CHRISTIANO MARCONDES DE BARROS LIMA",IF(J41=135152,"ENRICO BORTPLUZO CASSIANO",IF(J41=136568,"ENRICO BORTPLUZO CASSIANO", IF(J41=130976,"MARYLIA CARVALHO PONCE",IF(J41=136668,"ALEXANDRE DA COSTA SOARES",IF(J41=52340,"OFFSHORE LISTED",IF(J41=158778,"CLAUDIO DE SOUZA PACINI",IF(J41=159800,"CLAUDIO DE SOUZA PACINI",_xlfn.XLOOKUP(J41,[1]!Tabela33[ID ORACLE],[1]!Tabela33[BROKER],0,0,1))))))))))))))</f>
        <v>RAFAEL MARQUES MOREIRA DA COSTA</v>
      </c>
      <c r="E41" s="22">
        <f t="shared" si="6"/>
        <v>-2598.0012019999999</v>
      </c>
      <c r="F41" s="9" t="str">
        <f t="shared" si="7"/>
        <v>BROADCAST</v>
      </c>
      <c r="G41" s="20">
        <f t="shared" si="2"/>
        <v>46174</v>
      </c>
      <c r="H41" s="23">
        <v>1170</v>
      </c>
      <c r="J41" s="45">
        <v>119734</v>
      </c>
      <c r="K41" s="45" t="s">
        <v>48</v>
      </c>
      <c r="L41" s="45" t="s">
        <v>49</v>
      </c>
      <c r="M41" s="45">
        <v>2598.0012019999999</v>
      </c>
      <c r="N41" s="2"/>
      <c r="O41" s="1"/>
      <c r="P41" s="26"/>
      <c r="Q41" s="27"/>
      <c r="R41" s="27"/>
      <c r="S41" s="27"/>
      <c r="T41" s="26"/>
      <c r="U41" s="27"/>
    </row>
    <row r="42" spans="1:78" customFormat="1" ht="15" customHeight="1" x14ac:dyDescent="0.25">
      <c r="A42" s="9" t="str">
        <f t="shared" si="3"/>
        <v>CUSTO MARKET DATA - JUNHO/26-BLOOMBERG-122758</v>
      </c>
      <c r="B42" s="20">
        <v>46174</v>
      </c>
      <c r="C42" s="21">
        <v>817393</v>
      </c>
      <c r="D42" s="9" t="str">
        <f>IF(J42=0, "DANIEL TEIXEIRA SIQUEIRA GONÇALVES",IF(J42=57036,"ALEXANDRE DA COSTA SOARES",IF(J42=24157,"JOSE MAURICIO GOMES TEIXEIRA",IF(J42=24203,"JOSE MAURICIO GOMES TEIXEIRA",IF(J42=24149,"CHRISTIANO MARCONDES DE BARROS LIMA",IF(J42=24137,"CHRISTIANO MARCONDES DE BARROS LIMA",IF(J42=135152,"ENRICO BORTPLUZO CASSIANO",IF(J42=136568,"ENRICO BORTPLUZO CASSIANO", IF(J42=130976,"MARYLIA CARVALHO PONCE",IF(J42=136668,"ALEXANDRE DA COSTA SOARES",IF(J42=52340,"OFFSHORE LISTED",IF(J42=158778,"CLAUDIO DE SOUZA PACINI",IF(J42=159800,"CLAUDIO DE SOUZA PACINI",_xlfn.XLOOKUP(J42,[1]!Tabela33[ID ORACLE],[1]!Tabela33[BROKER],0,0,1))))))))))))))</f>
        <v>ANDRE FERREIRA DOS SANTOS</v>
      </c>
      <c r="E42" s="22">
        <f t="shared" si="6"/>
        <v>-6229.8997553649997</v>
      </c>
      <c r="F42" s="9" t="str">
        <f t="shared" si="7"/>
        <v>BLOOMBERG</v>
      </c>
      <c r="G42" s="20">
        <f t="shared" si="2"/>
        <v>46174</v>
      </c>
      <c r="H42" s="23">
        <v>1170</v>
      </c>
      <c r="J42" s="45">
        <v>122758</v>
      </c>
      <c r="K42" s="45" t="s">
        <v>41</v>
      </c>
      <c r="L42" s="45" t="s">
        <v>12</v>
      </c>
      <c r="M42" s="45">
        <v>1203.4732750000001</v>
      </c>
      <c r="N42" s="2"/>
      <c r="O42" s="1"/>
      <c r="P42" s="26"/>
      <c r="Q42" s="27"/>
      <c r="R42" s="27"/>
      <c r="S42" s="27"/>
      <c r="T42" s="26"/>
      <c r="U42" s="27"/>
    </row>
    <row r="43" spans="1:78" customFormat="1" ht="15" customHeight="1" x14ac:dyDescent="0.25">
      <c r="A43" s="9" t="str">
        <f t="shared" si="3"/>
        <v>CUSTO MARKET DATA - JUNHO/26-REFINITIV-122758</v>
      </c>
      <c r="B43" s="20">
        <v>46174</v>
      </c>
      <c r="C43" s="21">
        <v>817393</v>
      </c>
      <c r="D43" s="9" t="str">
        <f>IF(J43=0, "DANIEL TEIXEIRA SIQUEIRA GONÇALVES",IF(J43=57036,"ALEXANDRE DA COSTA SOARES",IF(J43=24157,"JOSE MAURICIO GOMES TEIXEIRA",IF(J43=24203,"JOSE MAURICIO GOMES TEIXEIRA",IF(J43=24149,"CHRISTIANO MARCONDES DE BARROS LIMA",IF(J43=24137,"CHRISTIANO MARCONDES DE BARROS LIMA",IF(J43=135152,"ENRICO BORTPLUZO CASSIANO",IF(J43=136568,"ENRICO BORTPLUZO CASSIANO", IF(J43=130976,"MARYLIA CARVALHO PONCE",IF(J43=136668,"ALEXANDRE DA COSTA SOARES",IF(J43=52340,"OFFSHORE LISTED",IF(J43=158778,"CLAUDIO DE SOUZA PACINI",IF(J43=159800,"CLAUDIO DE SOUZA PACINI",_xlfn.XLOOKUP(J43,[1]!Tabela33[ID ORACLE],[1]!Tabela33[BROKER],0,0,1))))))))))))))</f>
        <v>ANDRE FERREIRA DOS SANTOS</v>
      </c>
      <c r="E43" s="22">
        <f t="shared" si="6"/>
        <v>-143.09587270439999</v>
      </c>
      <c r="F43" s="9" t="str">
        <f t="shared" si="7"/>
        <v>REFINITIV</v>
      </c>
      <c r="G43" s="20">
        <f t="shared" si="2"/>
        <v>46174</v>
      </c>
      <c r="H43" s="23">
        <v>1170</v>
      </c>
      <c r="J43" s="45">
        <v>122758</v>
      </c>
      <c r="K43" s="45" t="s">
        <v>42</v>
      </c>
      <c r="L43" s="45" t="s">
        <v>17</v>
      </c>
      <c r="M43" s="45">
        <v>20.848212</v>
      </c>
      <c r="N43" s="2"/>
      <c r="O43" s="1"/>
      <c r="P43" s="26"/>
      <c r="Q43" s="27"/>
      <c r="R43" s="27"/>
      <c r="S43" s="27"/>
      <c r="T43" s="26"/>
      <c r="U43" s="27"/>
    </row>
    <row r="44" spans="1:78" customFormat="1" ht="15" customHeight="1" x14ac:dyDescent="0.25">
      <c r="A44" s="9" t="str">
        <f t="shared" si="3"/>
        <v>CUSTO MARKET DATA - JUNHO/26-REFINITIV-125254</v>
      </c>
      <c r="B44" s="20">
        <v>46174</v>
      </c>
      <c r="C44" s="21">
        <v>817393</v>
      </c>
      <c r="D44" s="9" t="str">
        <f>IF(J44=0, "DANIEL TEIXEIRA SIQUEIRA GONÇALVES",IF(J44=57036,"ALEXANDRE DA COSTA SOARES",IF(J44=24157,"JOSE MAURICIO GOMES TEIXEIRA",IF(J44=24203,"JOSE MAURICIO GOMES TEIXEIRA",IF(J44=24149,"CHRISTIANO MARCONDES DE BARROS LIMA",IF(J44=24137,"CHRISTIANO MARCONDES DE BARROS LIMA",IF(J44=135152,"ENRICO BORTPLUZO CASSIANO",IF(J44=136568,"ENRICO BORTPLUZO CASSIANO", IF(J44=130976,"MARYLIA CARVALHO PONCE",IF(J44=136668,"ALEXANDRE DA COSTA SOARES",IF(J44=52340,"OFFSHORE LISTED",IF(J44=158778,"CLAUDIO DE SOUZA PACINI",IF(J44=159800,"CLAUDIO DE SOUZA PACINI",_xlfn.XLOOKUP(J44,[1]!Tabela33[ID ORACLE],[1]!Tabela33[BROKER],0,0,1))))))))))))))</f>
        <v>GUSTAVO D ELBOUX FERRIELLO</v>
      </c>
      <c r="E44" s="22">
        <f t="shared" si="6"/>
        <v>-143.09587270439999</v>
      </c>
      <c r="F44" s="9" t="str">
        <f t="shared" si="7"/>
        <v>REFINITIV</v>
      </c>
      <c r="G44" s="20">
        <f t="shared" si="2"/>
        <v>46174</v>
      </c>
      <c r="H44" s="23">
        <v>1170</v>
      </c>
      <c r="J44" s="45">
        <v>125254</v>
      </c>
      <c r="K44" s="45" t="s">
        <v>42</v>
      </c>
      <c r="L44" s="45" t="s">
        <v>17</v>
      </c>
      <c r="M44" s="45">
        <v>20.848212</v>
      </c>
      <c r="N44" s="2"/>
      <c r="O44" s="1"/>
      <c r="P44" s="26"/>
      <c r="Q44" s="27"/>
      <c r="R44" s="27"/>
      <c r="S44" s="27"/>
      <c r="T44" s="26"/>
      <c r="U44" s="27"/>
    </row>
    <row r="45" spans="1:78" ht="15" customHeight="1" x14ac:dyDescent="0.25">
      <c r="A45" s="9" t="str">
        <f t="shared" si="3"/>
        <v>CUSTO MARKET DATA - JUNHO/26-FIDESSA-125412</v>
      </c>
      <c r="B45" s="20">
        <v>46174</v>
      </c>
      <c r="C45" s="21">
        <v>817393</v>
      </c>
      <c r="D45" s="9" t="str">
        <f>IF(J45=0, "DANIEL TEIXEIRA SIQUEIRA GONÇALVES",IF(J45=57036,"ALEXANDRE DA COSTA SOARES",IF(J45=24157,"JOSE MAURICIO GOMES TEIXEIRA",IF(J45=24203,"JOSE MAURICIO GOMES TEIXEIRA",IF(J45=24149,"CHRISTIANO MARCONDES DE BARROS LIMA",IF(J45=24137,"CHRISTIANO MARCONDES DE BARROS LIMA",IF(J45=135152,"ENRICO BORTPLUZO CASSIANO",IF(J45=136568,"ENRICO BORTPLUZO CASSIANO", IF(J45=130976,"MARYLIA CARVALHO PONCE",IF(J45=136668,"ALEXANDRE DA COSTA SOARES",IF(J45=52340,"OFFSHORE LISTED",IF(J45=158778,"CLAUDIO DE SOUZA PACINI",IF(J45=159800,"CLAUDIO DE SOUZA PACINI",_xlfn.XLOOKUP(J45,[1]!Tabela33[ID ORACLE],[1]!Tabela33[BROKER],0,0,1))))))))))))))</f>
        <v>GUSTAVO VALERIO FERREIRA DE ALBUQUERQUE</v>
      </c>
      <c r="E45" s="22">
        <f t="shared" si="6"/>
        <v>-1801.1039525907997</v>
      </c>
      <c r="F45" s="9" t="str">
        <f t="shared" si="7"/>
        <v>FIDESSA</v>
      </c>
      <c r="G45" s="20">
        <f t="shared" si="2"/>
        <v>46174</v>
      </c>
      <c r="H45" s="23">
        <v>1170</v>
      </c>
      <c r="J45" s="45">
        <v>125412</v>
      </c>
      <c r="K45" s="45" t="s">
        <v>47</v>
      </c>
      <c r="L45" s="45" t="s">
        <v>12</v>
      </c>
      <c r="M45" s="45">
        <v>347.93183799999997</v>
      </c>
      <c r="N45" s="2"/>
      <c r="Q45" s="27"/>
      <c r="R45" s="27"/>
      <c r="S45" s="27"/>
      <c r="U45" s="27"/>
    </row>
    <row r="46" spans="1:78" s="25" customFormat="1" ht="15" customHeight="1" x14ac:dyDescent="0.25">
      <c r="A46" s="9" t="str">
        <f t="shared" si="3"/>
        <v>CUSTO MARKET DATA - JUNHO/26-NYSE MARKET INC.-125412</v>
      </c>
      <c r="B46" s="20">
        <v>46174</v>
      </c>
      <c r="C46" s="21">
        <v>817393</v>
      </c>
      <c r="D46" s="9" t="str">
        <f>IF(J46=0, "DANIEL TEIXEIRA SIQUEIRA GONÇALVES",IF(J46=57036,"ALEXANDRE DA COSTA SOARES",IF(J46=24157,"JOSE MAURICIO GOMES TEIXEIRA",IF(J46=24203,"JOSE MAURICIO GOMES TEIXEIRA",IF(J46=24149,"CHRISTIANO MARCONDES DE BARROS LIMA",IF(J46=24137,"CHRISTIANO MARCONDES DE BARROS LIMA",IF(J46=135152,"ENRICO BORTPLUZO CASSIANO",IF(J46=136568,"ENRICO BORTPLUZO CASSIANO", IF(J46=130976,"MARYLIA CARVALHO PONCE",IF(J46=136668,"ALEXANDRE DA COSTA SOARES",IF(J46=52340,"OFFSHORE LISTED",IF(J46=158778,"CLAUDIO DE SOUZA PACINI",IF(J46=159800,"CLAUDIO DE SOUZA PACINI",_xlfn.XLOOKUP(J46,[1]!Tabela33[ID ORACLE],[1]!Tabela33[BROKER],0,0,1))))))))))))))</f>
        <v>GUSTAVO VALERIO FERREIRA DE ALBUQUERQUE</v>
      </c>
      <c r="E46" s="22">
        <f t="shared" si="6"/>
        <v>-1318.5246629983999</v>
      </c>
      <c r="F46" s="9" t="str">
        <f t="shared" si="7"/>
        <v>NYSE MARKET INC.</v>
      </c>
      <c r="G46" s="20">
        <f t="shared" si="2"/>
        <v>46174</v>
      </c>
      <c r="H46" s="23">
        <v>1170</v>
      </c>
      <c r="I46"/>
      <c r="J46" s="45">
        <v>125412</v>
      </c>
      <c r="K46" s="45" t="s">
        <v>44</v>
      </c>
      <c r="L46" s="45" t="s">
        <v>12</v>
      </c>
      <c r="M46" s="45">
        <v>254.70862399999999</v>
      </c>
      <c r="N46" s="2"/>
      <c r="O46" s="1"/>
      <c r="P46" s="26"/>
      <c r="Q46" s="27"/>
      <c r="R46" s="27"/>
      <c r="S46" s="27"/>
      <c r="T46" s="26"/>
      <c r="U46" s="27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s="25" customFormat="1" ht="15" customHeight="1" x14ac:dyDescent="0.25">
      <c r="A47" s="9" t="str">
        <f t="shared" si="3"/>
        <v>CUSTO MARKET DATA - JUNHO/26-REFINITIV-125412</v>
      </c>
      <c r="B47" s="20">
        <v>46174</v>
      </c>
      <c r="C47" s="21">
        <v>817393</v>
      </c>
      <c r="D47" s="9" t="str">
        <f>IF(J47=0, "DANIEL TEIXEIRA SIQUEIRA GONÇALVES",IF(J47=57036,"ALEXANDRE DA COSTA SOARES",IF(J47=24157,"JOSE MAURICIO GOMES TEIXEIRA",IF(J47=24203,"JOSE MAURICIO GOMES TEIXEIRA",IF(J47=24149,"CHRISTIANO MARCONDES DE BARROS LIMA",IF(J47=24137,"CHRISTIANO MARCONDES DE BARROS LIMA",IF(J47=135152,"ENRICO BORTPLUZO CASSIANO",IF(J47=136568,"ENRICO BORTPLUZO CASSIANO", IF(J47=130976,"MARYLIA CARVALHO PONCE",IF(J47=136668,"ALEXANDRE DA COSTA SOARES",IF(J47=52340,"OFFSHORE LISTED",IF(J47=158778,"CLAUDIO DE SOUZA PACINI",IF(J47=159800,"CLAUDIO DE SOUZA PACINI",_xlfn.XLOOKUP(J47,[1]!Tabela33[ID ORACLE],[1]!Tabela33[BROKER],0,0,1))))))))))))))</f>
        <v>GUSTAVO VALERIO FERREIRA DE ALBUQUERQUE</v>
      </c>
      <c r="E47" s="22">
        <f t="shared" si="6"/>
        <v>-143.09587270439999</v>
      </c>
      <c r="F47" s="9" t="str">
        <f t="shared" si="7"/>
        <v>REFINITIV</v>
      </c>
      <c r="G47" s="20">
        <f t="shared" si="2"/>
        <v>46174</v>
      </c>
      <c r="H47" s="23">
        <v>1170</v>
      </c>
      <c r="I47"/>
      <c r="J47" s="45">
        <v>125412</v>
      </c>
      <c r="K47" s="45" t="s">
        <v>42</v>
      </c>
      <c r="L47" s="45" t="s">
        <v>17</v>
      </c>
      <c r="M47" s="45">
        <v>20.848212</v>
      </c>
      <c r="N47" s="2"/>
      <c r="O47" s="1"/>
      <c r="P47" s="26"/>
      <c r="Q47" s="27"/>
      <c r="R47" s="27"/>
      <c r="S47" s="27"/>
      <c r="T47" s="26"/>
      <c r="U47" s="27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s="25" customFormat="1" ht="15" customHeight="1" x14ac:dyDescent="0.25">
      <c r="A48" s="9" t="str">
        <f t="shared" si="3"/>
        <v>CUSTO MARKET DATA - JUNHO/26-REFINITIV-125524</v>
      </c>
      <c r="B48" s="20">
        <v>46174</v>
      </c>
      <c r="C48" s="21">
        <v>817393</v>
      </c>
      <c r="D48" s="9" t="str">
        <f>IF(J48=0, "DANIEL TEIXEIRA SIQUEIRA GONÇALVES",IF(J48=57036,"ALEXANDRE DA COSTA SOARES",IF(J48=24157,"JOSE MAURICIO GOMES TEIXEIRA",IF(J48=24203,"JOSE MAURICIO GOMES TEIXEIRA",IF(J48=24149,"CHRISTIANO MARCONDES DE BARROS LIMA",IF(J48=24137,"CHRISTIANO MARCONDES DE BARROS LIMA",IF(J48=135152,"ENRICO BORTPLUZO CASSIANO",IF(J48=136568,"ENRICO BORTPLUZO CASSIANO", IF(J48=130976,"MARYLIA CARVALHO PONCE",IF(J48=136668,"ALEXANDRE DA COSTA SOARES",IF(J48=52340,"OFFSHORE LISTED",IF(J48=158778,"CLAUDIO DE SOUZA PACINI",IF(J48=159800,"CLAUDIO DE SOUZA PACINI",_xlfn.XLOOKUP(J48,[1]!Tabela33[ID ORACLE],[1]!Tabela33[BROKER],0,0,1))))))))))))))</f>
        <v>JUAREZ JOAQUIM DE LACERDA</v>
      </c>
      <c r="E48" s="22">
        <f t="shared" si="6"/>
        <v>-143.09587270439999</v>
      </c>
      <c r="F48" s="9" t="str">
        <f t="shared" si="7"/>
        <v>REFINITIV</v>
      </c>
      <c r="G48" s="20">
        <f t="shared" si="2"/>
        <v>46174</v>
      </c>
      <c r="H48" s="23">
        <v>1170</v>
      </c>
      <c r="I48"/>
      <c r="J48" s="45">
        <v>125524</v>
      </c>
      <c r="K48" s="45" t="s">
        <v>42</v>
      </c>
      <c r="L48" s="45" t="s">
        <v>17</v>
      </c>
      <c r="M48" s="45">
        <v>20.848212</v>
      </c>
      <c r="N48" s="2"/>
      <c r="O48" s="1"/>
      <c r="P48" s="26"/>
      <c r="Q48" s="27"/>
      <c r="R48" s="27"/>
      <c r="S48" s="27"/>
      <c r="T48" s="26"/>
      <c r="U48" s="27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customFormat="1" ht="15" customHeight="1" x14ac:dyDescent="0.25">
      <c r="A49" s="9" t="str">
        <f t="shared" si="3"/>
        <v>CUSTO MARKET DATA - JUNHO/26-BLOOMBERG-127165</v>
      </c>
      <c r="B49" s="20">
        <v>46174</v>
      </c>
      <c r="C49" s="21">
        <v>817393</v>
      </c>
      <c r="D49" s="9" t="str">
        <f>IF(J49=0, "DANIEL TEIXEIRA SIQUEIRA GONÇALVES",IF(J49=57036,"ALEXANDRE DA COSTA SOARES",IF(J49=24157,"JOSE MAURICIO GOMES TEIXEIRA",IF(J49=24203,"JOSE MAURICIO GOMES TEIXEIRA",IF(J49=24149,"CHRISTIANO MARCONDES DE BARROS LIMA",IF(J49=24137,"CHRISTIANO MARCONDES DE BARROS LIMA",IF(J49=135152,"ENRICO BORTPLUZO CASSIANO",IF(J49=136568,"ENRICO BORTPLUZO CASSIANO", IF(J49=130976,"MARYLIA CARVALHO PONCE",IF(J49=136668,"ALEXANDRE DA COSTA SOARES",IF(J49=52340,"OFFSHORE LISTED",IF(J49=158778,"CLAUDIO DE SOUZA PACINI",IF(J49=159800,"CLAUDIO DE SOUZA PACINI",_xlfn.XLOOKUP(J49,[1]!Tabela33[ID ORACLE],[1]!Tabela33[BROKER],0,0,1))))))))))))))</f>
        <v>RODRIGO PENTAGNA</v>
      </c>
      <c r="E49" s="22">
        <f t="shared" si="6"/>
        <v>-12789.548910023599</v>
      </c>
      <c r="F49" s="9" t="str">
        <f t="shared" si="7"/>
        <v>BLOOMBERG</v>
      </c>
      <c r="G49" s="20">
        <f t="shared" si="2"/>
        <v>46174</v>
      </c>
      <c r="H49" s="23">
        <v>1170</v>
      </c>
      <c r="J49" s="45">
        <v>127165</v>
      </c>
      <c r="K49" s="45" t="s">
        <v>41</v>
      </c>
      <c r="L49" s="45" t="s">
        <v>12</v>
      </c>
      <c r="M49" s="45">
        <v>2470.6465459999999</v>
      </c>
      <c r="N49" s="2"/>
      <c r="O49" s="1"/>
      <c r="P49" s="26"/>
      <c r="Q49" s="27"/>
      <c r="R49" s="27"/>
      <c r="S49" s="27"/>
      <c r="T49" s="26"/>
      <c r="U49" s="27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customFormat="1" ht="15" customHeight="1" x14ac:dyDescent="0.25">
      <c r="A50" s="9" t="str">
        <f t="shared" si="3"/>
        <v>CUSTO MARKET DATA - JUNHO/26-OPTIONS PRICE REPORTING AUTHORITY (OPRA)-127165</v>
      </c>
      <c r="B50" s="20">
        <v>46174</v>
      </c>
      <c r="C50" s="21">
        <v>817393</v>
      </c>
      <c r="D50" s="9" t="str">
        <f>IF(J50=0, "DANIEL TEIXEIRA SIQUEIRA GONÇALVES",IF(J50=57036,"ALEXANDRE DA COSTA SOARES",IF(J50=24157,"JOSE MAURICIO GOMES TEIXEIRA",IF(J50=24203,"JOSE MAURICIO GOMES TEIXEIRA",IF(J50=24149,"CHRISTIANO MARCONDES DE BARROS LIMA",IF(J50=24137,"CHRISTIANO MARCONDES DE BARROS LIMA",IF(J50=135152,"ENRICO BORTPLUZO CASSIANO",IF(J50=136568,"ENRICO BORTPLUZO CASSIANO", IF(J50=130976,"MARYLIA CARVALHO PONCE",IF(J50=136668,"ALEXANDRE DA COSTA SOARES",IF(J50=52340,"OFFSHORE LISTED",IF(J50=158778,"CLAUDIO DE SOUZA PACINI",IF(J50=159800,"CLAUDIO DE SOUZA PACINI",_xlfn.XLOOKUP(J50,[1]!Tabela33[ID ORACLE],[1]!Tabela33[BROKER],0,0,1))))))))))))))</f>
        <v>RODRIGO PENTAGNA</v>
      </c>
      <c r="E50" s="22">
        <f t="shared" si="6"/>
        <v>-163.06289999999998</v>
      </c>
      <c r="F50" s="9" t="str">
        <f t="shared" si="7"/>
        <v>OPTIONS PRICE REPORTING AUTHORITY (OPRA)</v>
      </c>
      <c r="G50" s="20">
        <f t="shared" si="2"/>
        <v>46174</v>
      </c>
      <c r="H50" s="23">
        <v>1170</v>
      </c>
      <c r="J50" s="45">
        <v>127165</v>
      </c>
      <c r="K50" s="45" t="s">
        <v>45</v>
      </c>
      <c r="L50" s="45" t="s">
        <v>12</v>
      </c>
      <c r="M50" s="45">
        <v>31.5</v>
      </c>
      <c r="N50" s="2"/>
      <c r="O50" s="1"/>
      <c r="P50" s="26"/>
      <c r="Q50" s="27"/>
      <c r="R50" s="27"/>
      <c r="S50" s="27"/>
      <c r="T50" s="26"/>
      <c r="U50" s="27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customFormat="1" ht="15" customHeight="1" x14ac:dyDescent="0.25">
      <c r="A51" s="9" t="str">
        <f t="shared" si="3"/>
        <v>CUSTO MARKET DATA - JUNHO/26-REFINITIV-127165</v>
      </c>
      <c r="B51" s="20">
        <v>46174</v>
      </c>
      <c r="C51" s="21">
        <v>817393</v>
      </c>
      <c r="D51" s="9" t="str">
        <f>IF(J51=0, "DANIEL TEIXEIRA SIQUEIRA GONÇALVES",IF(J51=57036,"ALEXANDRE DA COSTA SOARES",IF(J51=24157,"JOSE MAURICIO GOMES TEIXEIRA",IF(J51=24203,"JOSE MAURICIO GOMES TEIXEIRA",IF(J51=24149,"CHRISTIANO MARCONDES DE BARROS LIMA",IF(J51=24137,"CHRISTIANO MARCONDES DE BARROS LIMA",IF(J51=135152,"ENRICO BORTPLUZO CASSIANO",IF(J51=136568,"ENRICO BORTPLUZO CASSIANO", IF(J51=130976,"MARYLIA CARVALHO PONCE",IF(J51=136668,"ALEXANDRE DA COSTA SOARES",IF(J51=52340,"OFFSHORE LISTED",IF(J51=158778,"CLAUDIO DE SOUZA PACINI",IF(J51=159800,"CLAUDIO DE SOUZA PACINI",_xlfn.XLOOKUP(J51,[1]!Tabela33[ID ORACLE],[1]!Tabela33[BROKER],0,0,1))))))))))))))</f>
        <v>RODRIGO PENTAGNA</v>
      </c>
      <c r="E51" s="22">
        <f t="shared" si="6"/>
        <v>-143.09587270439999</v>
      </c>
      <c r="F51" s="9" t="str">
        <f t="shared" si="7"/>
        <v>REFINITIV</v>
      </c>
      <c r="G51" s="20">
        <f t="shared" si="2"/>
        <v>46174</v>
      </c>
      <c r="H51" s="23">
        <v>1170</v>
      </c>
      <c r="J51" s="45">
        <v>127165</v>
      </c>
      <c r="K51" s="45" t="s">
        <v>42</v>
      </c>
      <c r="L51" s="45" t="s">
        <v>17</v>
      </c>
      <c r="M51" s="45">
        <v>20.848212</v>
      </c>
      <c r="N51" s="2"/>
      <c r="O51" s="1"/>
      <c r="P51" s="26"/>
      <c r="Q51" s="27"/>
      <c r="R51" s="27"/>
      <c r="S51" s="27"/>
      <c r="T51" s="26"/>
      <c r="U51" s="27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customFormat="1" ht="15" customHeight="1" x14ac:dyDescent="0.25">
      <c r="A52" s="9" t="str">
        <f t="shared" si="3"/>
        <v>CUSTO MARKET DATA - JUNHO/26-BLOOMBERG-128628</v>
      </c>
      <c r="B52" s="20">
        <v>46174</v>
      </c>
      <c r="C52" s="21">
        <v>817393</v>
      </c>
      <c r="D52" s="9" t="str">
        <f>IF(J52=0, "DANIEL TEIXEIRA SIQUEIRA GONÇALVES",IF(J52=57036,"ALEXANDRE DA COSTA SOARES",IF(J52=24157,"JOSE MAURICIO GOMES TEIXEIRA",IF(J52=24203,"JOSE MAURICIO GOMES TEIXEIRA",IF(J52=24149,"CHRISTIANO MARCONDES DE BARROS LIMA",IF(J52=24137,"CHRISTIANO MARCONDES DE BARROS LIMA",IF(J52=135152,"ENRICO BORTPLUZO CASSIANO",IF(J52=136568,"ENRICO BORTPLUZO CASSIANO", IF(J52=130976,"MARYLIA CARVALHO PONCE",IF(J52=136668,"ALEXANDRE DA COSTA SOARES",IF(J52=52340,"OFFSHORE LISTED",IF(J52=158778,"CLAUDIO DE SOUZA PACINI",IF(J52=159800,"CLAUDIO DE SOUZA PACINI",_xlfn.XLOOKUP(J52,[1]!Tabela33[ID ORACLE],[1]!Tabela33[BROKER],0,0,1))))))))))))))</f>
        <v>MARCELLE DA SILVEIRA GIL CADILHE</v>
      </c>
      <c r="E52" s="22">
        <f t="shared" si="6"/>
        <v>-51.765999999999998</v>
      </c>
      <c r="F52" s="9" t="str">
        <f t="shared" si="7"/>
        <v>BLOOMBERG</v>
      </c>
      <c r="G52" s="20">
        <f t="shared" si="2"/>
        <v>46174</v>
      </c>
      <c r="H52" s="23">
        <v>1170</v>
      </c>
      <c r="J52" s="45">
        <v>128628</v>
      </c>
      <c r="K52" s="45" t="s">
        <v>41</v>
      </c>
      <c r="L52" s="45" t="s">
        <v>12</v>
      </c>
      <c r="M52" s="45">
        <v>10</v>
      </c>
      <c r="N52" s="2"/>
      <c r="O52" s="1"/>
      <c r="P52" s="26"/>
      <c r="Q52" s="27"/>
      <c r="R52" s="27"/>
      <c r="S52" s="27"/>
      <c r="T52" s="26"/>
      <c r="U52" s="27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customFormat="1" ht="15" customHeight="1" x14ac:dyDescent="0.25">
      <c r="A53" s="9" t="str">
        <f t="shared" si="3"/>
        <v>CUSTO MARKET DATA - JUNHO/26-REFINITIV-130976</v>
      </c>
      <c r="B53" s="20">
        <v>46174</v>
      </c>
      <c r="C53" s="21">
        <v>817393</v>
      </c>
      <c r="D53" s="9" t="str">
        <f>IF(J53=0, "DANIEL TEIXEIRA SIQUEIRA GONÇALVES",IF(J53=57036,"ALEXANDRE DA COSTA SOARES",IF(J53=24157,"JOSE MAURICIO GOMES TEIXEIRA",IF(J53=24203,"JOSE MAURICIO GOMES TEIXEIRA",IF(J53=24149,"CHRISTIANO MARCONDES DE BARROS LIMA",IF(J53=24137,"CHRISTIANO MARCONDES DE BARROS LIMA",IF(J53=135152,"ENRICO BORTPLUZO CASSIANO",IF(J53=136568,"ENRICO BORTPLUZO CASSIANO", IF(J53=130976,"MARYLIA CARVALHO PONCE",IF(J53=136668,"ALEXANDRE DA COSTA SOARES",IF(J53=52340,"OFFSHORE LISTED",IF(J53=158778,"CLAUDIO DE SOUZA PACINI",IF(J53=159800,"CLAUDIO DE SOUZA PACINI",_xlfn.XLOOKUP(J53,[1]!Tabela33[ID ORACLE],[1]!Tabela33[BROKER],0,0,1))))))))))))))</f>
        <v>MARYLIA CARVALHO PONCE</v>
      </c>
      <c r="E53" s="22">
        <f t="shared" si="6"/>
        <v>-143.09587270439999</v>
      </c>
      <c r="F53" s="9" t="str">
        <f t="shared" si="7"/>
        <v>REFINITIV</v>
      </c>
      <c r="G53" s="20">
        <f t="shared" si="2"/>
        <v>46174</v>
      </c>
      <c r="H53" s="23">
        <v>1170</v>
      </c>
      <c r="J53" s="45">
        <v>130976</v>
      </c>
      <c r="K53" s="45" t="s">
        <v>42</v>
      </c>
      <c r="L53" s="45" t="s">
        <v>17</v>
      </c>
      <c r="M53" s="45">
        <v>20.848212</v>
      </c>
      <c r="N53" s="2"/>
      <c r="O53" s="1"/>
      <c r="P53" s="26"/>
      <c r="Q53" s="27"/>
      <c r="R53" s="27"/>
      <c r="S53" s="27"/>
      <c r="T53" s="26"/>
      <c r="U53" s="27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customFormat="1" ht="15" customHeight="1" x14ac:dyDescent="0.25">
      <c r="A54" s="9" t="str">
        <f t="shared" si="3"/>
        <v>CUSTO MARKET DATA - JUNHO/26-BLOOMBERG-131299</v>
      </c>
      <c r="B54" s="20">
        <v>46174</v>
      </c>
      <c r="C54" s="21">
        <v>817393</v>
      </c>
      <c r="D54" s="9" t="str">
        <f>IF(J54=0, "DANIEL TEIXEIRA SIQUEIRA GONÇALVES",IF(J54=57036,"ALEXANDRE DA COSTA SOARES",IF(J54=24157,"JOSE MAURICIO GOMES TEIXEIRA",IF(J54=24203,"JOSE MAURICIO GOMES TEIXEIRA",IF(J54=24149,"CHRISTIANO MARCONDES DE BARROS LIMA",IF(J54=24137,"CHRISTIANO MARCONDES DE BARROS LIMA",IF(J54=135152,"ENRICO BORTPLUZO CASSIANO",IF(J54=136568,"ENRICO BORTPLUZO CASSIANO", IF(J54=130976,"MARYLIA CARVALHO PONCE",IF(J54=136668,"ALEXANDRE DA COSTA SOARES",IF(J54=52340,"OFFSHORE LISTED",IF(J54=158778,"CLAUDIO DE SOUZA PACINI",IF(J54=159800,"CLAUDIO DE SOUZA PACINI",_xlfn.XLOOKUP(J54,[1]!Tabela33[ID ORACLE],[1]!Tabela33[BROKER],0,0,1))))))))))))))</f>
        <v>RODRIGO BETTI MARQUES</v>
      </c>
      <c r="E54" s="22">
        <f t="shared" si="6"/>
        <v>-13273.561010023599</v>
      </c>
      <c r="F54" s="9" t="str">
        <f t="shared" si="7"/>
        <v>BLOOMBERG</v>
      </c>
      <c r="G54" s="20">
        <f t="shared" si="2"/>
        <v>46174</v>
      </c>
      <c r="H54" s="23">
        <v>1170</v>
      </c>
      <c r="J54" s="45">
        <v>131299</v>
      </c>
      <c r="K54" s="45" t="s">
        <v>41</v>
      </c>
      <c r="L54" s="45" t="s">
        <v>12</v>
      </c>
      <c r="M54" s="45">
        <v>2564.1465459999999</v>
      </c>
      <c r="N54" s="2"/>
      <c r="O54" s="1"/>
      <c r="P54" s="26"/>
      <c r="Q54" s="27"/>
      <c r="R54" s="27"/>
      <c r="S54" s="27"/>
      <c r="T54" s="26"/>
      <c r="U54" s="27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customFormat="1" ht="15" customHeight="1" x14ac:dyDescent="0.25">
      <c r="A55" s="9" t="str">
        <f t="shared" si="3"/>
        <v>CUSTO MARKET DATA - JUNHO/26-REFINITIV-131299</v>
      </c>
      <c r="B55" s="20">
        <v>46174</v>
      </c>
      <c r="C55" s="21">
        <v>817393</v>
      </c>
      <c r="D55" s="9" t="str">
        <f>IF(J55=0, "DANIEL TEIXEIRA SIQUEIRA GONÇALVES",IF(J55=57036,"ALEXANDRE DA COSTA SOARES",IF(J55=24157,"JOSE MAURICIO GOMES TEIXEIRA",IF(J55=24203,"JOSE MAURICIO GOMES TEIXEIRA",IF(J55=24149,"CHRISTIANO MARCONDES DE BARROS LIMA",IF(J55=24137,"CHRISTIANO MARCONDES DE BARROS LIMA",IF(J55=135152,"ENRICO BORTPLUZO CASSIANO",IF(J55=136568,"ENRICO BORTPLUZO CASSIANO", IF(J55=130976,"MARYLIA CARVALHO PONCE",IF(J55=136668,"ALEXANDRE DA COSTA SOARES",IF(J55=52340,"OFFSHORE LISTED",IF(J55=158778,"CLAUDIO DE SOUZA PACINI",IF(J55=159800,"CLAUDIO DE SOUZA PACINI",_xlfn.XLOOKUP(J55,[1]!Tabela33[ID ORACLE],[1]!Tabela33[BROKER],0,0,1))))))))))))))</f>
        <v>RODRIGO BETTI MARQUES</v>
      </c>
      <c r="E55" s="22">
        <f t="shared" si="6"/>
        <v>-606.89314486260002</v>
      </c>
      <c r="F55" s="9" t="str">
        <f t="shared" si="7"/>
        <v>REFINITIV</v>
      </c>
      <c r="G55" s="20">
        <f t="shared" si="2"/>
        <v>46174</v>
      </c>
      <c r="H55" s="23">
        <v>1170</v>
      </c>
      <c r="J55" s="45">
        <v>131299</v>
      </c>
      <c r="K55" s="45" t="s">
        <v>42</v>
      </c>
      <c r="L55" s="45" t="s">
        <v>17</v>
      </c>
      <c r="M55" s="45">
        <v>88.420698000000002</v>
      </c>
      <c r="N55" s="2"/>
      <c r="O55" s="1"/>
      <c r="P55" s="26"/>
      <c r="Q55" s="27"/>
      <c r="R55" s="27"/>
      <c r="S55" s="27"/>
      <c r="T55" s="26"/>
      <c r="U55" s="27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customFormat="1" ht="15" customHeight="1" x14ac:dyDescent="0.25">
      <c r="A56" s="9" t="str">
        <f t="shared" si="3"/>
        <v>CUSTO MARKET DATA - JUNHO/26-BLOOMBERG-132975</v>
      </c>
      <c r="B56" s="20">
        <v>46174</v>
      </c>
      <c r="C56" s="21">
        <v>817393</v>
      </c>
      <c r="D56" s="9" t="str">
        <f>IF(J56=0, "DANIEL TEIXEIRA SIQUEIRA GONÇALVES",IF(J56=57036,"ALEXANDRE DA COSTA SOARES",IF(J56=24157,"JOSE MAURICIO GOMES TEIXEIRA",IF(J56=24203,"JOSE MAURICIO GOMES TEIXEIRA",IF(J56=24149,"CHRISTIANO MARCONDES DE BARROS LIMA",IF(J56=24137,"CHRISTIANO MARCONDES DE BARROS LIMA",IF(J56=135152,"ENRICO BORTPLUZO CASSIANO",IF(J56=136568,"ENRICO BORTPLUZO CASSIANO", IF(J56=130976,"MARYLIA CARVALHO PONCE",IF(J56=136668,"ALEXANDRE DA COSTA SOARES",IF(J56=52340,"OFFSHORE LISTED",IF(J56=158778,"CLAUDIO DE SOUZA PACINI",IF(J56=159800,"CLAUDIO DE SOUZA PACINI",_xlfn.XLOOKUP(J56,[1]!Tabela33[ID ORACLE],[1]!Tabela33[BROKER],0,0,1))))))))))))))</f>
        <v>MATHEUS NACIF NESRALLAH</v>
      </c>
      <c r="E56" s="22">
        <f t="shared" si="6"/>
        <v>-51.765999999999998</v>
      </c>
      <c r="F56" s="9" t="str">
        <f t="shared" si="7"/>
        <v>BLOOMBERG</v>
      </c>
      <c r="G56" s="20">
        <f t="shared" si="2"/>
        <v>46174</v>
      </c>
      <c r="H56" s="23">
        <v>1170</v>
      </c>
      <c r="J56" s="45">
        <v>132975</v>
      </c>
      <c r="K56" s="45" t="s">
        <v>41</v>
      </c>
      <c r="L56" s="45" t="s">
        <v>12</v>
      </c>
      <c r="M56" s="45">
        <v>10</v>
      </c>
      <c r="N56" s="2"/>
      <c r="O56" s="1"/>
      <c r="P56" s="26"/>
      <c r="Q56" s="27"/>
      <c r="R56" s="27"/>
      <c r="S56" s="27"/>
      <c r="T56" s="26"/>
      <c r="U56" s="27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customFormat="1" ht="15" customHeight="1" x14ac:dyDescent="0.25">
      <c r="A57" s="9" t="str">
        <f t="shared" si="3"/>
        <v>CUSTO MARKET DATA - JUNHO/26-REFINITIV-132975</v>
      </c>
      <c r="B57" s="20">
        <v>46174</v>
      </c>
      <c r="C57" s="21">
        <v>817393</v>
      </c>
      <c r="D57" s="9" t="str">
        <f>IF(J57=0, "DANIEL TEIXEIRA SIQUEIRA GONÇALVES",IF(J57=57036,"ALEXANDRE DA COSTA SOARES",IF(J57=24157,"JOSE MAURICIO GOMES TEIXEIRA",IF(J57=24203,"JOSE MAURICIO GOMES TEIXEIRA",IF(J57=24149,"CHRISTIANO MARCONDES DE BARROS LIMA",IF(J57=24137,"CHRISTIANO MARCONDES DE BARROS LIMA",IF(J57=135152,"ENRICO BORTPLUZO CASSIANO",IF(J57=136568,"ENRICO BORTPLUZO CASSIANO", IF(J57=130976,"MARYLIA CARVALHO PONCE",IF(J57=136668,"ALEXANDRE DA COSTA SOARES",IF(J57=52340,"OFFSHORE LISTED",IF(J57=158778,"CLAUDIO DE SOUZA PACINI",IF(J57=159800,"CLAUDIO DE SOUZA PACINI",_xlfn.XLOOKUP(J57,[1]!Tabela33[ID ORACLE],[1]!Tabela33[BROKER],0,0,1))))))))))))))</f>
        <v>MATHEUS NACIF NESRALLAH</v>
      </c>
      <c r="E57" s="22">
        <f t="shared" si="6"/>
        <v>-143.09587270439999</v>
      </c>
      <c r="F57" s="9" t="str">
        <f t="shared" si="7"/>
        <v>REFINITIV</v>
      </c>
      <c r="G57" s="20">
        <f t="shared" si="2"/>
        <v>46174</v>
      </c>
      <c r="H57" s="23">
        <v>1170</v>
      </c>
      <c r="J57" s="45">
        <v>132975</v>
      </c>
      <c r="K57" s="45" t="s">
        <v>42</v>
      </c>
      <c r="L57" s="45" t="s">
        <v>17</v>
      </c>
      <c r="M57" s="45">
        <v>20.848212</v>
      </c>
      <c r="N57" s="2"/>
      <c r="O57" s="1"/>
      <c r="P57" s="26"/>
      <c r="Q57" s="27"/>
      <c r="R57" s="27"/>
      <c r="S57" s="27"/>
      <c r="T57" s="26"/>
      <c r="U57" s="27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customFormat="1" ht="15" customHeight="1" x14ac:dyDescent="0.25">
      <c r="A58" s="9" t="str">
        <f t="shared" si="3"/>
        <v>CUSTO MARKET DATA - JUNHO/26-BLOOMBERG-133842</v>
      </c>
      <c r="B58" s="20">
        <v>46174</v>
      </c>
      <c r="C58" s="21">
        <v>817393</v>
      </c>
      <c r="D58" s="9" t="str">
        <f>IF(J58=0, "DANIEL TEIXEIRA SIQUEIRA GONÇALVES",IF(J58=57036,"ALEXANDRE DA COSTA SOARES",IF(J58=24157,"JOSE MAURICIO GOMES TEIXEIRA",IF(J58=24203,"JOSE MAURICIO GOMES TEIXEIRA",IF(J58=24149,"CHRISTIANO MARCONDES DE BARROS LIMA",IF(J58=24137,"CHRISTIANO MARCONDES DE BARROS LIMA",IF(J58=135152,"ENRICO BORTPLUZO CASSIANO",IF(J58=136568,"ENRICO BORTPLUZO CASSIANO", IF(J58=130976,"MARYLIA CARVALHO PONCE",IF(J58=136668,"ALEXANDRE DA COSTA SOARES",IF(J58=52340,"OFFSHORE LISTED",IF(J58=158778,"CLAUDIO DE SOUZA PACINI",IF(J58=159800,"CLAUDIO DE SOUZA PACINI",_xlfn.XLOOKUP(J58,[1]!Tabela33[ID ORACLE],[1]!Tabela33[BROKER],0,0,1))))))))))))))</f>
        <v>FELIPE GOMES BASILE</v>
      </c>
      <c r="E58" s="22">
        <f t="shared" si="6"/>
        <v>-11717.475050023597</v>
      </c>
      <c r="F58" s="9" t="str">
        <f t="shared" si="7"/>
        <v>BLOOMBERG</v>
      </c>
      <c r="G58" s="20">
        <f t="shared" si="2"/>
        <v>46174</v>
      </c>
      <c r="H58" s="23">
        <v>1170</v>
      </c>
      <c r="J58" s="45">
        <v>133842</v>
      </c>
      <c r="K58" s="45" t="s">
        <v>41</v>
      </c>
      <c r="L58" s="45" t="s">
        <v>12</v>
      </c>
      <c r="M58" s="45">
        <v>2263.5465459999996</v>
      </c>
      <c r="N58" s="2"/>
      <c r="O58" s="1"/>
      <c r="P58" s="26"/>
      <c r="Q58" s="27"/>
      <c r="R58" s="27"/>
      <c r="S58" s="27"/>
      <c r="T58" s="26"/>
      <c r="U58" s="27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25">
      <c r="A59" s="9" t="str">
        <f t="shared" si="3"/>
        <v>CUSTO MARKET DATA - JUNHO/26-REFINITIV-133842</v>
      </c>
      <c r="B59" s="20">
        <v>46174</v>
      </c>
      <c r="C59" s="21">
        <v>817393</v>
      </c>
      <c r="D59" s="9" t="str">
        <f>IF(J59=0, "DANIEL TEIXEIRA SIQUEIRA GONÇALVES",IF(J59=57036,"ALEXANDRE DA COSTA SOARES",IF(J59=24157,"JOSE MAURICIO GOMES TEIXEIRA",IF(J59=24203,"JOSE MAURICIO GOMES TEIXEIRA",IF(J59=24149,"CHRISTIANO MARCONDES DE BARROS LIMA",IF(J59=24137,"CHRISTIANO MARCONDES DE BARROS LIMA",IF(J59=135152,"ENRICO BORTPLUZO CASSIANO",IF(J59=136568,"ENRICO BORTPLUZO CASSIANO", IF(J59=130976,"MARYLIA CARVALHO PONCE",IF(J59=136668,"ALEXANDRE DA COSTA SOARES",IF(J59=52340,"OFFSHORE LISTED",IF(J59=158778,"CLAUDIO DE SOUZA PACINI",IF(J59=159800,"CLAUDIO DE SOUZA PACINI",_xlfn.XLOOKUP(J59,[1]!Tabela33[ID ORACLE],[1]!Tabela33[BROKER],0,0,1))))))))))))))</f>
        <v>FELIPE GOMES BASILE</v>
      </c>
      <c r="E59" s="22">
        <f t="shared" si="6"/>
        <v>-143.09587270439999</v>
      </c>
      <c r="F59" s="9" t="str">
        <f t="shared" si="7"/>
        <v>REFINITIV</v>
      </c>
      <c r="G59" s="20">
        <f t="shared" si="2"/>
        <v>46174</v>
      </c>
      <c r="H59" s="23">
        <v>1170</v>
      </c>
      <c r="J59" s="45">
        <v>133842</v>
      </c>
      <c r="K59" s="45" t="s">
        <v>42</v>
      </c>
      <c r="L59" s="45" t="s">
        <v>17</v>
      </c>
      <c r="M59" s="45">
        <v>20.848212</v>
      </c>
      <c r="N59" s="2"/>
      <c r="Q59" s="27"/>
      <c r="R59" s="27"/>
      <c r="S59" s="27"/>
      <c r="U59" s="27"/>
    </row>
    <row r="60" spans="1:78" ht="15" customHeight="1" x14ac:dyDescent="0.25">
      <c r="A60" s="9" t="str">
        <f t="shared" si="3"/>
        <v>CUSTO MARKET DATA - JUNHO/26-BLOOMBERG-134703</v>
      </c>
      <c r="B60" s="20">
        <v>46174</v>
      </c>
      <c r="C60" s="21">
        <v>817393</v>
      </c>
      <c r="D60" s="9" t="str">
        <f>IF(J60=0, "DANIEL TEIXEIRA SIQUEIRA GONÇALVES",IF(J60=57036,"ALEXANDRE DA COSTA SOARES",IF(J60=24157,"JOSE MAURICIO GOMES TEIXEIRA",IF(J60=24203,"JOSE MAURICIO GOMES TEIXEIRA",IF(J60=24149,"CHRISTIANO MARCONDES DE BARROS LIMA",IF(J60=24137,"CHRISTIANO MARCONDES DE BARROS LIMA",IF(J60=135152,"ENRICO BORTPLUZO CASSIANO",IF(J60=136568,"ENRICO BORTPLUZO CASSIANO", IF(J60=130976,"MARYLIA CARVALHO PONCE",IF(J60=136668,"ALEXANDRE DA COSTA SOARES",IF(J60=52340,"OFFSHORE LISTED",IF(J60=158778,"CLAUDIO DE SOUZA PACINI",IF(J60=159800,"CLAUDIO DE SOUZA PACINI",_xlfn.XLOOKUP(J60,[1]!Tabela33[ID ORACLE],[1]!Tabela33[BROKER],0,0,1))))))))))))))</f>
        <v>DANIELA VODOVOZ</v>
      </c>
      <c r="E60" s="22">
        <f t="shared" si="6"/>
        <v>-12282.242110023599</v>
      </c>
      <c r="F60" s="9" t="str">
        <f t="shared" si="7"/>
        <v>BLOOMBERG</v>
      </c>
      <c r="G60" s="20">
        <f t="shared" si="2"/>
        <v>46174</v>
      </c>
      <c r="H60" s="23">
        <v>1170</v>
      </c>
      <c r="J60" s="45">
        <v>134703</v>
      </c>
      <c r="K60" s="45" t="s">
        <v>41</v>
      </c>
      <c r="L60" s="45" t="s">
        <v>12</v>
      </c>
      <c r="M60" s="45">
        <v>2372.6465459999999</v>
      </c>
      <c r="N60" s="2"/>
      <c r="Q60" s="27"/>
      <c r="R60" s="27"/>
      <c r="S60" s="27"/>
      <c r="U60" s="27"/>
    </row>
    <row r="61" spans="1:78" ht="15" customHeight="1" x14ac:dyDescent="0.25">
      <c r="A61" s="9" t="str">
        <f t="shared" si="3"/>
        <v>CUSTO MARKET DATA - JUNHO/26-FIDESSA-134703</v>
      </c>
      <c r="B61" s="20">
        <v>46174</v>
      </c>
      <c r="C61" s="21">
        <v>817393</v>
      </c>
      <c r="D61" s="9" t="str">
        <f>IF(J61=0, "DANIEL TEIXEIRA SIQUEIRA GONÇALVES",IF(J61=57036,"ALEXANDRE DA COSTA SOARES",IF(J61=24157,"JOSE MAURICIO GOMES TEIXEIRA",IF(J61=24203,"JOSE MAURICIO GOMES TEIXEIRA",IF(J61=24149,"CHRISTIANO MARCONDES DE BARROS LIMA",IF(J61=24137,"CHRISTIANO MARCONDES DE BARROS LIMA",IF(J61=135152,"ENRICO BORTPLUZO CASSIANO",IF(J61=136568,"ENRICO BORTPLUZO CASSIANO", IF(J61=130976,"MARYLIA CARVALHO PONCE",IF(J61=136668,"ALEXANDRE DA COSTA SOARES",IF(J61=52340,"OFFSHORE LISTED",IF(J61=158778,"CLAUDIO DE SOUZA PACINI",IF(J61=159800,"CLAUDIO DE SOUZA PACINI",_xlfn.XLOOKUP(J61,[1]!Tabela33[ID ORACLE],[1]!Tabela33[BROKER],0,0,1))))))))))))))</f>
        <v>DANIELA VODOVOZ</v>
      </c>
      <c r="E61" s="22">
        <f t="shared" si="6"/>
        <v>-4.4524609557999995</v>
      </c>
      <c r="F61" s="9" t="str">
        <f t="shared" si="7"/>
        <v>FIDESSA</v>
      </c>
      <c r="G61" s="20">
        <f t="shared" si="2"/>
        <v>46174</v>
      </c>
      <c r="H61" s="23">
        <v>1170</v>
      </c>
      <c r="J61" s="45">
        <v>134703</v>
      </c>
      <c r="K61" s="45" t="s">
        <v>47</v>
      </c>
      <c r="L61" s="45" t="s">
        <v>12</v>
      </c>
      <c r="M61" s="45">
        <v>0.86011300000000002</v>
      </c>
      <c r="N61" s="2"/>
      <c r="Q61" s="27"/>
      <c r="R61" s="27"/>
      <c r="S61" s="27"/>
      <c r="U61" s="27"/>
    </row>
    <row r="62" spans="1:78" ht="15" customHeight="1" x14ac:dyDescent="0.25">
      <c r="A62" s="9" t="str">
        <f t="shared" si="3"/>
        <v>CUSTO MARKET DATA - JUNHO/26-NYSE MARKET INC.-134703</v>
      </c>
      <c r="B62" s="20">
        <v>46174</v>
      </c>
      <c r="C62" s="21">
        <v>817393</v>
      </c>
      <c r="D62" s="9" t="str">
        <f>IF(J62=0, "DANIEL TEIXEIRA SIQUEIRA GONÇALVES",IF(J62=57036,"ALEXANDRE DA COSTA SOARES",IF(J62=24157,"JOSE MAURICIO GOMES TEIXEIRA",IF(J62=24203,"JOSE MAURICIO GOMES TEIXEIRA",IF(J62=24149,"CHRISTIANO MARCONDES DE BARROS LIMA",IF(J62=24137,"CHRISTIANO MARCONDES DE BARROS LIMA",IF(J62=135152,"ENRICO BORTPLUZO CASSIANO",IF(J62=136568,"ENRICO BORTPLUZO CASSIANO", IF(J62=130976,"MARYLIA CARVALHO PONCE",IF(J62=136668,"ALEXANDRE DA COSTA SOARES",IF(J62=52340,"OFFSHORE LISTED",IF(J62=158778,"CLAUDIO DE SOUZA PACINI",IF(J62=159800,"CLAUDIO DE SOUZA PACINI",_xlfn.XLOOKUP(J62,[1]!Tabela33[ID ORACLE],[1]!Tabela33[BROKER],0,0,1))))))))))))))</f>
        <v>DANIELA VODOVOZ</v>
      </c>
      <c r="E62" s="22">
        <f t="shared" si="6"/>
        <v>-281.80116249999998</v>
      </c>
      <c r="F62" s="9" t="str">
        <f t="shared" si="7"/>
        <v>NYSE MARKET INC.</v>
      </c>
      <c r="G62" s="20">
        <f t="shared" si="2"/>
        <v>46174</v>
      </c>
      <c r="H62" s="23">
        <v>1170</v>
      </c>
      <c r="J62" s="45">
        <v>134703</v>
      </c>
      <c r="K62" s="45" t="s">
        <v>44</v>
      </c>
      <c r="L62" s="45" t="s">
        <v>12</v>
      </c>
      <c r="M62" s="45">
        <v>54.4375</v>
      </c>
      <c r="N62" s="2"/>
      <c r="Q62" s="27"/>
      <c r="R62" s="27"/>
      <c r="S62" s="27"/>
      <c r="U62" s="27"/>
    </row>
    <row r="63" spans="1:78" ht="15" customHeight="1" x14ac:dyDescent="0.25">
      <c r="A63" s="9" t="str">
        <f t="shared" si="3"/>
        <v>CUSTO MARKET DATA - JUNHO/26-OPTIONS PRICE REPORTING AUTHORITY (OPRA)-134703</v>
      </c>
      <c r="B63" s="20">
        <v>46174</v>
      </c>
      <c r="C63" s="21">
        <v>817393</v>
      </c>
      <c r="D63" s="9" t="str">
        <f>IF(J63=0, "DANIEL TEIXEIRA SIQUEIRA GONÇALVES",IF(J63=57036,"ALEXANDRE DA COSTA SOARES",IF(J63=24157,"JOSE MAURICIO GOMES TEIXEIRA",IF(J63=24203,"JOSE MAURICIO GOMES TEIXEIRA",IF(J63=24149,"CHRISTIANO MARCONDES DE BARROS LIMA",IF(J63=24137,"CHRISTIANO MARCONDES DE BARROS LIMA",IF(J63=135152,"ENRICO BORTPLUZO CASSIANO",IF(J63=136568,"ENRICO BORTPLUZO CASSIANO", IF(J63=130976,"MARYLIA CARVALHO PONCE",IF(J63=136668,"ALEXANDRE DA COSTA SOARES",IF(J63=52340,"OFFSHORE LISTED",IF(J63=158778,"CLAUDIO DE SOUZA PACINI",IF(J63=159800,"CLAUDIO DE SOUZA PACINI",_xlfn.XLOOKUP(J63,[1]!Tabela33[ID ORACLE],[1]!Tabela33[BROKER],0,0,1))))))))))))))</f>
        <v>DANIELA VODOVOZ</v>
      </c>
      <c r="E63" s="22">
        <f t="shared" si="6"/>
        <v>-355.06946475000001</v>
      </c>
      <c r="F63" s="9" t="str">
        <f t="shared" si="7"/>
        <v>OPTIONS PRICE REPORTING AUTHORITY (OPRA)</v>
      </c>
      <c r="G63" s="20">
        <f t="shared" si="2"/>
        <v>46174</v>
      </c>
      <c r="H63" s="23">
        <v>1170</v>
      </c>
      <c r="J63" s="45">
        <v>134703</v>
      </c>
      <c r="K63" s="45" t="s">
        <v>45</v>
      </c>
      <c r="L63" s="45" t="s">
        <v>12</v>
      </c>
      <c r="M63" s="45">
        <v>68.591250000000002</v>
      </c>
      <c r="N63" s="2"/>
      <c r="Q63" s="27"/>
      <c r="R63" s="27"/>
      <c r="S63" s="27"/>
      <c r="U63" s="27"/>
    </row>
    <row r="64" spans="1:78" ht="15" customHeight="1" x14ac:dyDescent="0.25">
      <c r="A64" s="9" t="str">
        <f t="shared" si="3"/>
        <v>CUSTO MARKET DATA - JUNHO/26-REFINITIV-135064</v>
      </c>
      <c r="B64" s="20">
        <v>46174</v>
      </c>
      <c r="C64" s="21">
        <v>817393</v>
      </c>
      <c r="D64" s="9" t="str">
        <f>IF(J64=0, "DANIEL TEIXEIRA SIQUEIRA GONÇALVES",IF(J64=57036,"ALEXANDRE DA COSTA SOARES",IF(J64=24157,"JOSE MAURICIO GOMES TEIXEIRA",IF(J64=24203,"JOSE MAURICIO GOMES TEIXEIRA",IF(J64=24149,"CHRISTIANO MARCONDES DE BARROS LIMA",IF(J64=24137,"CHRISTIANO MARCONDES DE BARROS LIMA",IF(J64=135152,"ENRICO BORTPLUZO CASSIANO",IF(J64=136568,"ENRICO BORTPLUZO CASSIANO", IF(J64=130976,"MARYLIA CARVALHO PONCE",IF(J64=136668,"ALEXANDRE DA COSTA SOARES",IF(J64=52340,"OFFSHORE LISTED",IF(J64=158778,"CLAUDIO DE SOUZA PACINI",IF(J64=159800,"CLAUDIO DE SOUZA PACINI",_xlfn.XLOOKUP(J64,[1]!Tabela33[ID ORACLE],[1]!Tabela33[BROKER],0,0,1))))))))))))))</f>
        <v>ENRICO BORTPLUZO CASSIANO</v>
      </c>
      <c r="E64" s="22">
        <f t="shared" si="6"/>
        <v>-143.09587270439999</v>
      </c>
      <c r="F64" s="9" t="str">
        <f t="shared" si="7"/>
        <v>REFINITIV</v>
      </c>
      <c r="G64" s="20">
        <f t="shared" si="2"/>
        <v>46174</v>
      </c>
      <c r="H64" s="23">
        <v>1170</v>
      </c>
      <c r="J64" s="45">
        <v>135064</v>
      </c>
      <c r="K64" s="45" t="s">
        <v>42</v>
      </c>
      <c r="L64" s="45" t="s">
        <v>17</v>
      </c>
      <c r="M64" s="45">
        <v>20.848212</v>
      </c>
      <c r="N64" s="2"/>
      <c r="Q64" s="27"/>
      <c r="R64" s="27"/>
      <c r="S64" s="27"/>
      <c r="U64" s="27"/>
    </row>
    <row r="65" spans="1:78" s="4" customFormat="1" ht="15" customHeight="1" x14ac:dyDescent="0.25">
      <c r="A65" s="9" t="str">
        <f t="shared" si="3"/>
        <v>CUSTO MARKET DATA - JUNHO/26-BLOOMBERG-135152</v>
      </c>
      <c r="B65" s="20">
        <v>46174</v>
      </c>
      <c r="C65" s="21">
        <v>817393</v>
      </c>
      <c r="D65" s="9" t="str">
        <f>IF(J65=0, "DANIEL TEIXEIRA SIQUEIRA GONÇALVES",IF(J65=57036,"ALEXANDRE DA COSTA SOARES",IF(J65=24157,"JOSE MAURICIO GOMES TEIXEIRA",IF(J65=24203,"JOSE MAURICIO GOMES TEIXEIRA",IF(J65=24149,"CHRISTIANO MARCONDES DE BARROS LIMA",IF(J65=24137,"CHRISTIANO MARCONDES DE BARROS LIMA",IF(J65=135152,"ENRICO BORTPLUZO CASSIANO",IF(J65=136568,"ENRICO BORTPLUZO CASSIANO", IF(J65=130976,"MARYLIA CARVALHO PONCE",IF(J65=136668,"ALEXANDRE DA COSTA SOARES",IF(J65=52340,"OFFSHORE LISTED",IF(J65=158778,"CLAUDIO DE SOUZA PACINI",IF(J65=159800,"CLAUDIO DE SOUZA PACINI",_xlfn.XLOOKUP(J65,[1]!Tabela33[ID ORACLE],[1]!Tabela33[BROKER],0,0,1))))))))))))))</f>
        <v>ENRICO BORTPLUZO CASSIANO</v>
      </c>
      <c r="E65" s="22">
        <f t="shared" si="6"/>
        <v>-12459.799490023599</v>
      </c>
      <c r="F65" s="9" t="str">
        <f t="shared" si="7"/>
        <v>BLOOMBERG</v>
      </c>
      <c r="G65" s="20">
        <f t="shared" si="2"/>
        <v>46174</v>
      </c>
      <c r="H65" s="23">
        <v>1170</v>
      </c>
      <c r="I65"/>
      <c r="J65" s="45">
        <v>135152</v>
      </c>
      <c r="K65" s="45" t="s">
        <v>41</v>
      </c>
      <c r="L65" s="45" t="s">
        <v>12</v>
      </c>
      <c r="M65" s="45">
        <v>2406.9465460000001</v>
      </c>
      <c r="N65" s="2"/>
      <c r="O65" s="1"/>
      <c r="P65" s="26"/>
      <c r="Q65" s="27"/>
      <c r="R65" s="27"/>
      <c r="S65" s="27"/>
      <c r="T65" s="26"/>
      <c r="U65" s="27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s="4" customFormat="1" ht="15" customHeight="1" x14ac:dyDescent="0.25">
      <c r="A66" s="9" t="str">
        <f t="shared" si="3"/>
        <v>CUSTO MARKET DATA - JUNHO/26-REFINITIV-136568</v>
      </c>
      <c r="B66" s="20">
        <v>46174</v>
      </c>
      <c r="C66" s="21">
        <v>817393</v>
      </c>
      <c r="D66" s="9" t="str">
        <f>IF(J66=0, "DANIEL TEIXEIRA SIQUEIRA GONÇALVES",IF(J66=57036,"ALEXANDRE DA COSTA SOARES",IF(J66=24157,"JOSE MAURICIO GOMES TEIXEIRA",IF(J66=24203,"JOSE MAURICIO GOMES TEIXEIRA",IF(J66=24149,"CHRISTIANO MARCONDES DE BARROS LIMA",IF(J66=24137,"CHRISTIANO MARCONDES DE BARROS LIMA",IF(J66=135152,"ENRICO BORTPLUZO CASSIANO",IF(J66=136568,"ENRICO BORTPLUZO CASSIANO", IF(J66=130976,"MARYLIA CARVALHO PONCE",IF(J66=136668,"ALEXANDRE DA COSTA SOARES",IF(J66=52340,"OFFSHORE LISTED",IF(J66=158778,"CLAUDIO DE SOUZA PACINI",IF(J66=159800,"CLAUDIO DE SOUZA PACINI",_xlfn.XLOOKUP(J66,[1]!Tabela33[ID ORACLE],[1]!Tabela33[BROKER],0,0,1))))))))))))))</f>
        <v>ENRICO BORTPLUZO CASSIANO</v>
      </c>
      <c r="E66" s="22">
        <f t="shared" si="6"/>
        <v>-143.09587270439999</v>
      </c>
      <c r="F66" s="9" t="str">
        <f t="shared" si="7"/>
        <v>REFINITIV</v>
      </c>
      <c r="G66" s="20">
        <f t="shared" si="2"/>
        <v>46174</v>
      </c>
      <c r="H66" s="23">
        <v>1170</v>
      </c>
      <c r="I66"/>
      <c r="J66" s="45">
        <v>136568</v>
      </c>
      <c r="K66" s="45" t="s">
        <v>42</v>
      </c>
      <c r="L66" s="45" t="s">
        <v>17</v>
      </c>
      <c r="M66" s="45">
        <v>20.848212</v>
      </c>
      <c r="N66" s="2"/>
      <c r="O66" s="1"/>
      <c r="P66" s="26"/>
      <c r="Q66" s="27"/>
      <c r="R66" s="27"/>
      <c r="S66" s="27"/>
      <c r="T66" s="26"/>
      <c r="U66" s="27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25">
      <c r="A67" s="9" t="str">
        <f t="shared" si="3"/>
        <v>CUSTO MARKET DATA - JUNHO/26-REFINITIV-136667</v>
      </c>
      <c r="B67" s="20">
        <v>46174</v>
      </c>
      <c r="C67" s="21">
        <v>817393</v>
      </c>
      <c r="D67" s="9" t="str">
        <f>IF(J67=0, "DANIEL TEIXEIRA SIQUEIRA GONÇALVES",IF(J67=57036,"ALEXANDRE DA COSTA SOARES",IF(J67=24157,"JOSE MAURICIO GOMES TEIXEIRA",IF(J67=24203,"JOSE MAURICIO GOMES TEIXEIRA",IF(J67=24149,"CHRISTIANO MARCONDES DE BARROS LIMA",IF(J67=24137,"CHRISTIANO MARCONDES DE BARROS LIMA",IF(J67=135152,"ENRICO BORTPLUZO CASSIANO",IF(J67=136568,"ENRICO BORTPLUZO CASSIANO", IF(J67=130976,"MARYLIA CARVALHO PONCE",IF(J67=136668,"ALEXANDRE DA COSTA SOARES",IF(J67=52340,"OFFSHORE LISTED",IF(J67=158778,"CLAUDIO DE SOUZA PACINI",IF(J67=159800,"CLAUDIO DE SOUZA PACINI",_xlfn.XLOOKUP(J67,[1]!Tabela33[ID ORACLE],[1]!Tabela33[BROKER],0,0,1))))))))))))))</f>
        <v>HUGO BIANCHI RIBEIRO</v>
      </c>
      <c r="E67" s="22">
        <f t="shared" si="6"/>
        <v>-606.89314486260002</v>
      </c>
      <c r="F67" s="9" t="str">
        <f t="shared" si="7"/>
        <v>REFINITIV</v>
      </c>
      <c r="G67" s="20">
        <f t="shared" ref="G67:G130" si="8">B67</f>
        <v>46174</v>
      </c>
      <c r="H67" s="23">
        <v>1170</v>
      </c>
      <c r="J67" s="45">
        <v>136667</v>
      </c>
      <c r="K67" s="45" t="s">
        <v>42</v>
      </c>
      <c r="L67" s="45" t="s">
        <v>17</v>
      </c>
      <c r="M67" s="45">
        <v>88.420698000000002</v>
      </c>
      <c r="N67" s="2"/>
      <c r="Q67" s="27"/>
      <c r="R67" s="27"/>
      <c r="S67" s="27"/>
      <c r="U67" s="27"/>
    </row>
    <row r="68" spans="1:78" ht="15" customHeight="1" x14ac:dyDescent="0.25">
      <c r="A68" s="9" t="str">
        <f t="shared" si="3"/>
        <v>CUSTO MARKET DATA - JUNHO/26-OPTIONS PRICE REPORTING AUTHORITY (OPRA)-136668</v>
      </c>
      <c r="B68" s="20">
        <v>46174</v>
      </c>
      <c r="C68" s="21">
        <v>817393</v>
      </c>
      <c r="D68" s="9" t="str">
        <f>IF(J68=0, "DANIEL TEIXEIRA SIQUEIRA GONÇALVES",IF(J68=57036,"ALEXANDRE DA COSTA SOARES",IF(J68=24157,"JOSE MAURICIO GOMES TEIXEIRA",IF(J68=24203,"JOSE MAURICIO GOMES TEIXEIRA",IF(J68=24149,"CHRISTIANO MARCONDES DE BARROS LIMA",IF(J68=24137,"CHRISTIANO MARCONDES DE BARROS LIMA",IF(J68=135152,"ENRICO BORTPLUZO CASSIANO",IF(J68=136568,"ENRICO BORTPLUZO CASSIANO", IF(J68=130976,"MARYLIA CARVALHO PONCE",IF(J68=136668,"ALEXANDRE DA COSTA SOARES",IF(J68=52340,"OFFSHORE LISTED",IF(J68=158778,"CLAUDIO DE SOUZA PACINI",IF(J68=159800,"CLAUDIO DE SOUZA PACINI",_xlfn.XLOOKUP(J68,[1]!Tabela33[ID ORACLE],[1]!Tabela33[BROKER],0,0,1))))))))))))))</f>
        <v>ALEXANDRE DA COSTA SOARES</v>
      </c>
      <c r="E68" s="22">
        <f t="shared" si="6"/>
        <v>-163.06289999999998</v>
      </c>
      <c r="F68" s="9" t="str">
        <f t="shared" si="7"/>
        <v>OPTIONS PRICE REPORTING AUTHORITY (OPRA)</v>
      </c>
      <c r="G68" s="20">
        <f t="shared" si="8"/>
        <v>46174</v>
      </c>
      <c r="H68" s="23">
        <v>1170</v>
      </c>
      <c r="J68" s="45">
        <v>136668</v>
      </c>
      <c r="K68" s="45" t="s">
        <v>45</v>
      </c>
      <c r="L68" s="45" t="s">
        <v>12</v>
      </c>
      <c r="M68" s="45">
        <v>31.5</v>
      </c>
      <c r="N68" s="2"/>
      <c r="Q68" s="27"/>
      <c r="R68" s="27"/>
      <c r="S68" s="27"/>
      <c r="U68" s="27"/>
    </row>
    <row r="69" spans="1:78" ht="15" customHeight="1" x14ac:dyDescent="0.25">
      <c r="A69" s="9" t="str">
        <f t="shared" si="3"/>
        <v>CUSTO MARKET DATA - JUNHO/26-REFINITIV-136668</v>
      </c>
      <c r="B69" s="20">
        <v>46174</v>
      </c>
      <c r="C69" s="21">
        <v>817393</v>
      </c>
      <c r="D69" s="9" t="str">
        <f>IF(J69=0, "DANIEL TEIXEIRA SIQUEIRA GONÇALVES",IF(J69=57036,"ALEXANDRE DA COSTA SOARES",IF(J69=24157,"JOSE MAURICIO GOMES TEIXEIRA",IF(J69=24203,"JOSE MAURICIO GOMES TEIXEIRA",IF(J69=24149,"CHRISTIANO MARCONDES DE BARROS LIMA",IF(J69=24137,"CHRISTIANO MARCONDES DE BARROS LIMA",IF(J69=135152,"ENRICO BORTPLUZO CASSIANO",IF(J69=136568,"ENRICO BORTPLUZO CASSIANO", IF(J69=130976,"MARYLIA CARVALHO PONCE",IF(J69=136668,"ALEXANDRE DA COSTA SOARES",IF(J69=52340,"OFFSHORE LISTED",IF(J69=158778,"CLAUDIO DE SOUZA PACINI",IF(J69=159800,"CLAUDIO DE SOUZA PACINI",_xlfn.XLOOKUP(J69,[1]!Tabela33[ID ORACLE],[1]!Tabela33[BROKER],0,0,1))))))))))))))</f>
        <v>ALEXANDRE DA COSTA SOARES</v>
      </c>
      <c r="E69" s="22">
        <f t="shared" si="6"/>
        <v>-143.09587270439999</v>
      </c>
      <c r="F69" s="9" t="str">
        <f t="shared" si="7"/>
        <v>REFINITIV</v>
      </c>
      <c r="G69" s="20">
        <f t="shared" si="8"/>
        <v>46174</v>
      </c>
      <c r="H69" s="23">
        <v>1170</v>
      </c>
      <c r="J69" s="45">
        <v>136668</v>
      </c>
      <c r="K69" s="45" t="s">
        <v>42</v>
      </c>
      <c r="L69" s="45" t="s">
        <v>17</v>
      </c>
      <c r="M69" s="45">
        <v>20.848212</v>
      </c>
      <c r="N69" s="2"/>
      <c r="Q69" s="27"/>
      <c r="R69" s="27"/>
      <c r="S69" s="27"/>
      <c r="U69" s="27"/>
    </row>
    <row r="70" spans="1:78" ht="15" customHeight="1" x14ac:dyDescent="0.25">
      <c r="A70" s="9" t="str">
        <f t="shared" si="3"/>
        <v>CUSTO MARKET DATA - JUNHO/26-SYMPHONY COMMUNICATION SERVICES, LLC-136668</v>
      </c>
      <c r="B70" s="20">
        <v>46174</v>
      </c>
      <c r="C70" s="21">
        <v>817393</v>
      </c>
      <c r="D70" s="9" t="str">
        <f>IF(J70=0, "DANIEL TEIXEIRA SIQUEIRA GONÇALVES",IF(J70=57036,"ALEXANDRE DA COSTA SOARES",IF(J70=24157,"JOSE MAURICIO GOMES TEIXEIRA",IF(J70=24203,"JOSE MAURICIO GOMES TEIXEIRA",IF(J70=24149,"CHRISTIANO MARCONDES DE BARROS LIMA",IF(J70=24137,"CHRISTIANO MARCONDES DE BARROS LIMA",IF(J70=135152,"ENRICO BORTPLUZO CASSIANO",IF(J70=136568,"ENRICO BORTPLUZO CASSIANO", IF(J70=130976,"MARYLIA CARVALHO PONCE",IF(J70=136668,"ALEXANDRE DA COSTA SOARES",IF(J70=52340,"OFFSHORE LISTED",IF(J70=158778,"CLAUDIO DE SOUZA PACINI",IF(J70=159800,"CLAUDIO DE SOUZA PACINI",_xlfn.XLOOKUP(J70,[1]!Tabela33[ID ORACLE],[1]!Tabela33[BROKER],0,0,1))))))))))))))</f>
        <v>ALEXANDRE DA COSTA SOARES</v>
      </c>
      <c r="E70" s="22">
        <f t="shared" si="6"/>
        <v>-129.62853475</v>
      </c>
      <c r="F70" s="9" t="str">
        <f t="shared" si="7"/>
        <v>SYMPHONY COMMUNICATION SERVICES, LLC</v>
      </c>
      <c r="G70" s="20">
        <f t="shared" si="8"/>
        <v>46174</v>
      </c>
      <c r="H70" s="23">
        <v>1170</v>
      </c>
      <c r="J70" s="45">
        <v>136668</v>
      </c>
      <c r="K70" s="45" t="s">
        <v>50</v>
      </c>
      <c r="L70" s="45" t="s">
        <v>12</v>
      </c>
      <c r="M70" s="45">
        <v>25.041250000000002</v>
      </c>
      <c r="N70" s="2"/>
      <c r="Q70" s="27"/>
      <c r="R70" s="27"/>
      <c r="S70" s="27"/>
      <c r="U70" s="27"/>
    </row>
    <row r="71" spans="1:78" ht="15" customHeight="1" x14ac:dyDescent="0.25">
      <c r="A71" s="9" t="str">
        <f t="shared" si="3"/>
        <v>CUSTO MARKET DATA - JUNHO/26-BLOOMBERG-137478</v>
      </c>
      <c r="B71" s="20">
        <v>46174</v>
      </c>
      <c r="C71" s="21">
        <v>817393</v>
      </c>
      <c r="D71" s="9" t="str">
        <f>IF(J71=0, "DANIEL TEIXEIRA SIQUEIRA GONÇALVES",IF(J71=57036,"ALEXANDRE DA COSTA SOARES",IF(J71=24157,"JOSE MAURICIO GOMES TEIXEIRA",IF(J71=24203,"JOSE MAURICIO GOMES TEIXEIRA",IF(J71=24149,"CHRISTIANO MARCONDES DE BARROS LIMA",IF(J71=24137,"CHRISTIANO MARCONDES DE BARROS LIMA",IF(J71=135152,"ENRICO BORTPLUZO CASSIANO",IF(J71=136568,"ENRICO BORTPLUZO CASSIANO", IF(J71=130976,"MARYLIA CARVALHO PONCE",IF(J71=136668,"ALEXANDRE DA COSTA SOARES",IF(J71=52340,"OFFSHORE LISTED",IF(J71=158778,"CLAUDIO DE SOUZA PACINI",IF(J71=159800,"CLAUDIO DE SOUZA PACINI",_xlfn.XLOOKUP(J71,[1]!Tabela33[ID ORACLE],[1]!Tabela33[BROKER],0,0,1))))))))))))))</f>
        <v>ALEXANDRE BRENO STEVENS</v>
      </c>
      <c r="E71" s="22">
        <f t="shared" si="6"/>
        <v>-9398.1685897527987</v>
      </c>
      <c r="F71" s="9" t="str">
        <f t="shared" si="7"/>
        <v>BLOOMBERG</v>
      </c>
      <c r="G71" s="20">
        <f t="shared" si="8"/>
        <v>46174</v>
      </c>
      <c r="H71" s="23">
        <v>1170</v>
      </c>
      <c r="J71" s="45">
        <v>137478</v>
      </c>
      <c r="K71" s="45" t="s">
        <v>41</v>
      </c>
      <c r="L71" s="45" t="s">
        <v>12</v>
      </c>
      <c r="M71" s="45">
        <v>1815.509908</v>
      </c>
      <c r="N71" s="2"/>
      <c r="Q71" s="27"/>
      <c r="R71" s="27"/>
      <c r="S71" s="27"/>
      <c r="U71" s="27"/>
    </row>
    <row r="72" spans="1:78" ht="15" customHeight="1" x14ac:dyDescent="0.25">
      <c r="A72" s="9" t="str">
        <f t="shared" ref="A72:A135" si="9">CONCATENATE($N$1,$I$1,F72,$I$1,J72)</f>
        <v>CUSTO MARKET DATA - JUNHO/26-BLOOMBERG-139345</v>
      </c>
      <c r="B72" s="20">
        <v>46174</v>
      </c>
      <c r="C72" s="21">
        <v>817393</v>
      </c>
      <c r="D72" s="9" t="str">
        <f>IF(J72=0, "DANIEL TEIXEIRA SIQUEIRA GONÇALVES",IF(J72=57036,"ALEXANDRE DA COSTA SOARES",IF(J72=24157,"JOSE MAURICIO GOMES TEIXEIRA",IF(J72=24203,"JOSE MAURICIO GOMES TEIXEIRA",IF(J72=24149,"CHRISTIANO MARCONDES DE BARROS LIMA",IF(J72=24137,"CHRISTIANO MARCONDES DE BARROS LIMA",IF(J72=135152,"ENRICO BORTPLUZO CASSIANO",IF(J72=136568,"ENRICO BORTPLUZO CASSIANO", IF(J72=130976,"MARYLIA CARVALHO PONCE",IF(J72=136668,"ALEXANDRE DA COSTA SOARES",IF(J72=52340,"OFFSHORE LISTED",IF(J72=158778,"CLAUDIO DE SOUZA PACINI",IF(J72=159800,"CLAUDIO DE SOUZA PACINI",_xlfn.XLOOKUP(J72,[1]!Tabela33[ID ORACLE],[1]!Tabela33[BROKER],0,0,1))))))))))))))</f>
        <v>FELIPE MEIRELLES RACCAH</v>
      </c>
      <c r="E72" s="22">
        <f t="shared" si="6"/>
        <v>-12282.242110023599</v>
      </c>
      <c r="F72" s="9" t="str">
        <f t="shared" si="7"/>
        <v>BLOOMBERG</v>
      </c>
      <c r="G72" s="20">
        <f t="shared" si="8"/>
        <v>46174</v>
      </c>
      <c r="H72" s="23">
        <v>1170</v>
      </c>
      <c r="J72" s="45">
        <v>139345</v>
      </c>
      <c r="K72" s="45" t="s">
        <v>41</v>
      </c>
      <c r="L72" s="45" t="s">
        <v>12</v>
      </c>
      <c r="M72" s="45">
        <v>2372.6465459999999</v>
      </c>
      <c r="N72" s="2"/>
      <c r="Q72" s="27"/>
      <c r="R72" s="27"/>
      <c r="S72" s="27"/>
      <c r="U72" s="27"/>
    </row>
    <row r="73" spans="1:78" ht="15" customHeight="1" x14ac:dyDescent="0.25">
      <c r="A73" s="9" t="str">
        <f t="shared" si="9"/>
        <v>CUSTO MARKET DATA - JUNHO/26-BLOOMBERG-141745</v>
      </c>
      <c r="B73" s="20">
        <v>46174</v>
      </c>
      <c r="C73" s="21">
        <v>817393</v>
      </c>
      <c r="D73" s="9" t="str">
        <f>IF(J73=0, "DANIEL TEIXEIRA SIQUEIRA GONÇALVES",IF(J73=57036,"ALEXANDRE DA COSTA SOARES",IF(J73=24157,"JOSE MAURICIO GOMES TEIXEIRA",IF(J73=24203,"JOSE MAURICIO GOMES TEIXEIRA",IF(J73=24149,"CHRISTIANO MARCONDES DE BARROS LIMA",IF(J73=24137,"CHRISTIANO MARCONDES DE BARROS LIMA",IF(J73=135152,"ENRICO BORTPLUZO CASSIANO",IF(J73=136568,"ENRICO BORTPLUZO CASSIANO", IF(J73=130976,"MARYLIA CARVALHO PONCE",IF(J73=136668,"ALEXANDRE DA COSTA SOARES",IF(J73=52340,"OFFSHORE LISTED",IF(J73=158778,"CLAUDIO DE SOUZA PACINI",IF(J73=159800,"CLAUDIO DE SOUZA PACINI",_xlfn.XLOOKUP(J73,[1]!Tabela33[ID ORACLE],[1]!Tabela33[BROKER],0,0,1))))))))))))))</f>
        <v>EDRAS DURAES D ANUNCIACAO</v>
      </c>
      <c r="E73" s="22">
        <f t="shared" si="6"/>
        <v>-11531.635110023599</v>
      </c>
      <c r="F73" s="9" t="str">
        <f t="shared" si="7"/>
        <v>BLOOMBERG</v>
      </c>
      <c r="G73" s="20">
        <f t="shared" si="8"/>
        <v>46174</v>
      </c>
      <c r="H73" s="23">
        <v>1170</v>
      </c>
      <c r="J73" s="45">
        <v>141745</v>
      </c>
      <c r="K73" s="45" t="s">
        <v>41</v>
      </c>
      <c r="L73" s="45" t="s">
        <v>12</v>
      </c>
      <c r="M73" s="45">
        <v>2227.6465459999999</v>
      </c>
      <c r="N73" s="2"/>
      <c r="Q73" s="27"/>
      <c r="R73" s="27"/>
      <c r="S73" s="27"/>
      <c r="U73" s="27"/>
    </row>
    <row r="74" spans="1:78" ht="15" customHeight="1" x14ac:dyDescent="0.25">
      <c r="A74" s="9" t="str">
        <f t="shared" si="9"/>
        <v>CUSTO MARKET DATA - JUNHO/26-BLOOMBERG-142760</v>
      </c>
      <c r="B74" s="20">
        <v>46174</v>
      </c>
      <c r="C74" s="21">
        <v>817393</v>
      </c>
      <c r="D74" s="9" t="str">
        <f>IF(J74=0, "DANIEL TEIXEIRA SIQUEIRA GONÇALVES",IF(J74=57036,"ALEXANDRE DA COSTA SOARES",IF(J74=24157,"JOSE MAURICIO GOMES TEIXEIRA",IF(J74=24203,"JOSE MAURICIO GOMES TEIXEIRA",IF(J74=24149,"CHRISTIANO MARCONDES DE BARROS LIMA",IF(J74=24137,"CHRISTIANO MARCONDES DE BARROS LIMA",IF(J74=135152,"ENRICO BORTPLUZO CASSIANO",IF(J74=136568,"ENRICO BORTPLUZO CASSIANO", IF(J74=130976,"MARYLIA CARVALHO PONCE",IF(J74=136668,"ALEXANDRE DA COSTA SOARES",IF(J74=52340,"OFFSHORE LISTED",IF(J74=158778,"CLAUDIO DE SOUZA PACINI",IF(J74=159800,"CLAUDIO DE SOUZA PACINI",_xlfn.XLOOKUP(J74,[1]!Tabela33[ID ORACLE],[1]!Tabela33[BROKER],0,0,1))))))))))))))</f>
        <v>CARLOS THADEU DE FREITAS GOMES FILHO</v>
      </c>
      <c r="E74" s="22">
        <f t="shared" si="6"/>
        <v>-12459.799490023599</v>
      </c>
      <c r="F74" s="9" t="str">
        <f t="shared" si="7"/>
        <v>BLOOMBERG</v>
      </c>
      <c r="G74" s="20">
        <f t="shared" si="8"/>
        <v>46174</v>
      </c>
      <c r="H74" s="23">
        <v>1170</v>
      </c>
      <c r="J74" s="45">
        <v>142760</v>
      </c>
      <c r="K74" s="45" t="s">
        <v>41</v>
      </c>
      <c r="L74" s="45" t="s">
        <v>12</v>
      </c>
      <c r="M74" s="45">
        <v>2406.9465460000001</v>
      </c>
      <c r="N74" s="2"/>
      <c r="Q74" s="27"/>
      <c r="R74" s="27"/>
      <c r="S74" s="27"/>
      <c r="U74" s="27"/>
    </row>
    <row r="75" spans="1:78" ht="15" customHeight="1" x14ac:dyDescent="0.25">
      <c r="A75" s="9" t="str">
        <f t="shared" si="9"/>
        <v>CUSTO MARKET DATA - JUNHO/26-BLOOMBERG-150588</v>
      </c>
      <c r="B75" s="20">
        <v>46174</v>
      </c>
      <c r="C75" s="21">
        <v>817393</v>
      </c>
      <c r="D75" s="9" t="str">
        <f>IF(J75=0, "DANIEL TEIXEIRA SIQUEIRA GONÇALVES",IF(J75=57036,"ALEXANDRE DA COSTA SOARES",IF(J75=24157,"JOSE MAURICIO GOMES TEIXEIRA",IF(J75=24203,"JOSE MAURICIO GOMES TEIXEIRA",IF(J75=24149,"CHRISTIANO MARCONDES DE BARROS LIMA",IF(J75=24137,"CHRISTIANO MARCONDES DE BARROS LIMA",IF(J75=135152,"ENRICO BORTPLUZO CASSIANO",IF(J75=136568,"ENRICO BORTPLUZO CASSIANO", IF(J75=130976,"MARYLIA CARVALHO PONCE",IF(J75=136668,"ALEXANDRE DA COSTA SOARES",IF(J75=52340,"OFFSHORE LISTED",IF(J75=158778,"CLAUDIO DE SOUZA PACINI",IF(J75=159800,"CLAUDIO DE SOUZA PACINI",_xlfn.XLOOKUP(J75,[1]!Tabela33[ID ORACLE],[1]!Tabela33[BROKER],0,0,1))))))))))))))</f>
        <v>PAULO GUILHERME MENEZES FELIX</v>
      </c>
      <c r="E75" s="22">
        <f t="shared" si="6"/>
        <v>-51.765999999999998</v>
      </c>
      <c r="F75" s="9" t="str">
        <f t="shared" si="7"/>
        <v>BLOOMBERG</v>
      </c>
      <c r="G75" s="20">
        <f t="shared" si="8"/>
        <v>46174</v>
      </c>
      <c r="H75" s="23">
        <v>1170</v>
      </c>
      <c r="J75" s="45">
        <v>150588</v>
      </c>
      <c r="K75" s="45" t="s">
        <v>41</v>
      </c>
      <c r="L75" s="45" t="s">
        <v>12</v>
      </c>
      <c r="M75" s="45">
        <v>10</v>
      </c>
      <c r="N75" s="2"/>
      <c r="Q75" s="27"/>
      <c r="R75" s="27"/>
      <c r="S75" s="27"/>
      <c r="U75" s="27"/>
    </row>
    <row r="76" spans="1:78" ht="15" customHeight="1" x14ac:dyDescent="0.25">
      <c r="A76" s="9" t="str">
        <f t="shared" si="9"/>
        <v>CUSTO MARKET DATA - JUNHO/26-BLOOMBERG-152836</v>
      </c>
      <c r="B76" s="20">
        <v>46174</v>
      </c>
      <c r="C76" s="21">
        <v>817393</v>
      </c>
      <c r="D76" s="9" t="str">
        <f>IF(J76=0, "DANIEL TEIXEIRA SIQUEIRA GONÇALVES",IF(J76=57036,"ALEXANDRE DA COSTA SOARES",IF(J76=24157,"JOSE MAURICIO GOMES TEIXEIRA",IF(J76=24203,"JOSE MAURICIO GOMES TEIXEIRA",IF(J76=24149,"CHRISTIANO MARCONDES DE BARROS LIMA",IF(J76=24137,"CHRISTIANO MARCONDES DE BARROS LIMA",IF(J76=135152,"ENRICO BORTPLUZO CASSIANO",IF(J76=136568,"ENRICO BORTPLUZO CASSIANO", IF(J76=130976,"MARYLIA CARVALHO PONCE",IF(J76=136668,"ALEXANDRE DA COSTA SOARES",IF(J76=52340,"OFFSHORE LISTED",IF(J76=158778,"CLAUDIO DE SOUZA PACINI",IF(J76=159800,"CLAUDIO DE SOUZA PACINI",_xlfn.XLOOKUP(J76,[1]!Tabela33[ID ORACLE],[1]!Tabela33[BROKER],0,0,1))))))))))))))</f>
        <v>FELIPE DE SA TAVARES</v>
      </c>
      <c r="E76" s="22">
        <f t="shared" si="6"/>
        <v>-12459.799490023599</v>
      </c>
      <c r="F76" s="9" t="str">
        <f t="shared" si="7"/>
        <v>BLOOMBERG</v>
      </c>
      <c r="G76" s="20">
        <f t="shared" si="8"/>
        <v>46174</v>
      </c>
      <c r="H76" s="23">
        <v>1170</v>
      </c>
      <c r="J76" s="45">
        <v>152836</v>
      </c>
      <c r="K76" s="45" t="s">
        <v>41</v>
      </c>
      <c r="L76" s="45" t="s">
        <v>12</v>
      </c>
      <c r="M76" s="45">
        <v>2406.9465460000001</v>
      </c>
      <c r="N76" s="2"/>
      <c r="Q76" s="27"/>
      <c r="R76" s="27"/>
      <c r="S76" s="27"/>
      <c r="U76" s="27"/>
    </row>
    <row r="77" spans="1:78" ht="15" customHeight="1" x14ac:dyDescent="0.25">
      <c r="A77" s="9" t="str">
        <f t="shared" si="9"/>
        <v>CUSTO MARKET DATA - JUNHO/26-BLOOMBERG-153595</v>
      </c>
      <c r="B77" s="20">
        <v>46174</v>
      </c>
      <c r="C77" s="21">
        <v>817393</v>
      </c>
      <c r="D77" s="9" t="str">
        <f>IF(J77=0, "DANIEL TEIXEIRA SIQUEIRA GONÇALVES",IF(J77=57036,"ALEXANDRE DA COSTA SOARES",IF(J77=24157,"JOSE MAURICIO GOMES TEIXEIRA",IF(J77=24203,"JOSE MAURICIO GOMES TEIXEIRA",IF(J77=24149,"CHRISTIANO MARCONDES DE BARROS LIMA",IF(J77=24137,"CHRISTIANO MARCONDES DE BARROS LIMA",IF(J77=135152,"ENRICO BORTPLUZO CASSIANO",IF(J77=136568,"ENRICO BORTPLUZO CASSIANO", IF(J77=130976,"MARYLIA CARVALHO PONCE",IF(J77=136668,"ALEXANDRE DA COSTA SOARES",IF(J77=52340,"OFFSHORE LISTED",IF(J77=158778,"CLAUDIO DE SOUZA PACINI",IF(J77=159800,"CLAUDIO DE SOUZA PACINI",_xlfn.XLOOKUP(J77,[1]!Tabela33[ID ORACLE],[1]!Tabela33[BROKER],0,0,1))))))))))))))</f>
        <v>REINALDO ANDRE URBANO FILHO</v>
      </c>
      <c r="E77" s="22">
        <f t="shared" si="6"/>
        <v>-12535.377850023599</v>
      </c>
      <c r="F77" s="9" t="str">
        <f t="shared" si="7"/>
        <v>BLOOMBERG</v>
      </c>
      <c r="G77" s="20">
        <f t="shared" si="8"/>
        <v>46174</v>
      </c>
      <c r="H77" s="23">
        <v>1170</v>
      </c>
      <c r="J77" s="45">
        <v>153595</v>
      </c>
      <c r="K77" s="45" t="s">
        <v>41</v>
      </c>
      <c r="L77" s="45" t="s">
        <v>12</v>
      </c>
      <c r="M77" s="45">
        <v>2421.546546</v>
      </c>
      <c r="N77" s="2"/>
      <c r="Q77" s="27"/>
      <c r="R77" s="27"/>
      <c r="S77" s="27"/>
      <c r="U77" s="27"/>
    </row>
    <row r="78" spans="1:78" ht="15" customHeight="1" x14ac:dyDescent="0.25">
      <c r="A78" s="9" t="str">
        <f t="shared" si="9"/>
        <v>CUSTO MARKET DATA - JUNHO/26-BLOOMBERG-158778</v>
      </c>
      <c r="B78" s="20">
        <v>46174</v>
      </c>
      <c r="C78" s="21">
        <v>817393</v>
      </c>
      <c r="D78" s="9" t="str">
        <f>IF(J78=0, "DANIEL TEIXEIRA SIQUEIRA GONÇALVES",IF(J78=57036,"ALEXANDRE DA COSTA SOARES",IF(J78=24157,"JOSE MAURICIO GOMES TEIXEIRA",IF(J78=24203,"JOSE MAURICIO GOMES TEIXEIRA",IF(J78=24149,"CHRISTIANO MARCONDES DE BARROS LIMA",IF(J78=24137,"CHRISTIANO MARCONDES DE BARROS LIMA",IF(J78=135152,"ENRICO BORTPLUZO CASSIANO",IF(J78=136568,"ENRICO BORTPLUZO CASSIANO", IF(J78=130976,"MARYLIA CARVALHO PONCE",IF(J78=136668,"ALEXANDRE DA COSTA SOARES",IF(J78=52340,"OFFSHORE LISTED",IF(J78=158778,"CLAUDIO DE SOUZA PACINI",IF(J78=159800,"CLAUDIO DE SOUZA PACINI",_xlfn.XLOOKUP(J78,[1]!Tabela33[ID ORACLE],[1]!Tabela33[BROKER],0,0,1))))))))))))))</f>
        <v>CLAUDIO DE SOUZA PACINI</v>
      </c>
      <c r="E78" s="22">
        <f t="shared" si="6"/>
        <v>-12548.837010023599</v>
      </c>
      <c r="F78" s="9" t="str">
        <f t="shared" si="7"/>
        <v>BLOOMBERG</v>
      </c>
      <c r="G78" s="20">
        <f t="shared" si="8"/>
        <v>46174</v>
      </c>
      <c r="H78" s="23">
        <v>1170</v>
      </c>
      <c r="J78" s="45">
        <v>158778</v>
      </c>
      <c r="K78" s="45" t="s">
        <v>41</v>
      </c>
      <c r="L78" s="45" t="s">
        <v>12</v>
      </c>
      <c r="M78" s="45">
        <v>2424.1465459999999</v>
      </c>
      <c r="N78" s="2"/>
      <c r="Q78" s="27"/>
      <c r="R78" s="27"/>
      <c r="S78" s="27"/>
      <c r="U78" s="27"/>
    </row>
    <row r="79" spans="1:78" customFormat="1" ht="15" customHeight="1" x14ac:dyDescent="0.25">
      <c r="A79" s="9" t="str">
        <f t="shared" si="9"/>
        <v>CUSTO MARKET DATA - JUNHO/26-FIDESSA-158778</v>
      </c>
      <c r="B79" s="20">
        <v>46174</v>
      </c>
      <c r="C79" s="21">
        <v>817393</v>
      </c>
      <c r="D79" s="9" t="str">
        <f>IF(J79=0, "DANIEL TEIXEIRA SIQUEIRA GONÇALVES",IF(J79=57036,"ALEXANDRE DA COSTA SOARES",IF(J79=24157,"JOSE MAURICIO GOMES TEIXEIRA",IF(J79=24203,"JOSE MAURICIO GOMES TEIXEIRA",IF(J79=24149,"CHRISTIANO MARCONDES DE BARROS LIMA",IF(J79=24137,"CHRISTIANO MARCONDES DE BARROS LIMA",IF(J79=135152,"ENRICO BORTPLUZO CASSIANO",IF(J79=136568,"ENRICO BORTPLUZO CASSIANO", IF(J79=130976,"MARYLIA CARVALHO PONCE",IF(J79=136668,"ALEXANDRE DA COSTA SOARES",IF(J79=52340,"OFFSHORE LISTED",IF(J79=158778,"CLAUDIO DE SOUZA PACINI",IF(J79=159800,"CLAUDIO DE SOUZA PACINI",_xlfn.XLOOKUP(J79,[1]!Tabela33[ID ORACLE],[1]!Tabela33[BROKER],0,0,1))))))))))))))</f>
        <v>CLAUDIO DE SOUZA PACINI</v>
      </c>
      <c r="E79" s="22">
        <f t="shared" si="6"/>
        <v>-1805.5564135465997</v>
      </c>
      <c r="F79" s="9" t="str">
        <f t="shared" si="7"/>
        <v>FIDESSA</v>
      </c>
      <c r="G79" s="20">
        <f t="shared" si="8"/>
        <v>46174</v>
      </c>
      <c r="H79" s="23">
        <v>1170</v>
      </c>
      <c r="J79" s="45">
        <v>158778</v>
      </c>
      <c r="K79" s="45" t="s">
        <v>47</v>
      </c>
      <c r="L79" s="45" t="s">
        <v>12</v>
      </c>
      <c r="M79" s="45">
        <v>348.79195099999998</v>
      </c>
      <c r="N79" s="2"/>
      <c r="O79" s="1"/>
      <c r="P79" s="26"/>
      <c r="Q79" s="27"/>
      <c r="R79" s="27"/>
      <c r="S79" s="27"/>
      <c r="T79" s="26"/>
      <c r="U79" s="27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</row>
    <row r="80" spans="1:78" customFormat="1" ht="15" customHeight="1" x14ac:dyDescent="0.25">
      <c r="A80" s="9" t="str">
        <f t="shared" si="9"/>
        <v>CUSTO MARKET DATA - JUNHO/26-NYSE MARKET INC.-158778</v>
      </c>
      <c r="B80" s="20">
        <v>46174</v>
      </c>
      <c r="C80" s="21">
        <v>817393</v>
      </c>
      <c r="D80" s="9" t="str">
        <f>IF(J80=0, "DANIEL TEIXEIRA SIQUEIRA GONÇALVES",IF(J80=57036,"ALEXANDRE DA COSTA SOARES",IF(J80=24157,"JOSE MAURICIO GOMES TEIXEIRA",IF(J80=24203,"JOSE MAURICIO GOMES TEIXEIRA",IF(J80=24149,"CHRISTIANO MARCONDES DE BARROS LIMA",IF(J80=24137,"CHRISTIANO MARCONDES DE BARROS LIMA",IF(J80=135152,"ENRICO BORTPLUZO CASSIANO",IF(J80=136568,"ENRICO BORTPLUZO CASSIANO", IF(J80=130976,"MARYLIA CARVALHO PONCE",IF(J80=136668,"ALEXANDRE DA COSTA SOARES",IF(J80=52340,"OFFSHORE LISTED",IF(J80=158778,"CLAUDIO DE SOUZA PACINI",IF(J80=159800,"CLAUDIO DE SOUZA PACINI",_xlfn.XLOOKUP(J80,[1]!Tabela33[ID ORACLE],[1]!Tabela33[BROKER],0,0,1))))))))))))))</f>
        <v>CLAUDIO DE SOUZA PACINI</v>
      </c>
      <c r="E80" s="22">
        <f t="shared" si="6"/>
        <v>-1882.4696789183997</v>
      </c>
      <c r="F80" s="9" t="str">
        <f t="shared" si="7"/>
        <v>NYSE MARKET INC.</v>
      </c>
      <c r="G80" s="20">
        <f t="shared" si="8"/>
        <v>46174</v>
      </c>
      <c r="H80" s="23">
        <v>1170</v>
      </c>
      <c r="J80" s="45">
        <v>158778</v>
      </c>
      <c r="K80" s="45" t="s">
        <v>44</v>
      </c>
      <c r="L80" s="45" t="s">
        <v>12</v>
      </c>
      <c r="M80" s="45">
        <v>363.64982399999997</v>
      </c>
      <c r="N80" s="2"/>
      <c r="O80" s="1"/>
      <c r="P80" s="26"/>
      <c r="Q80" s="27"/>
      <c r="R80" s="27"/>
      <c r="S80" s="27"/>
      <c r="T80" s="26"/>
      <c r="U80" s="27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</row>
    <row r="81" spans="1:78" customFormat="1" ht="15" customHeight="1" x14ac:dyDescent="0.25">
      <c r="A81" s="9" t="str">
        <f t="shared" si="9"/>
        <v>CUSTO MARKET DATA - JUNHO/26-OPTIONS PRICE REPORTING AUTHORITY (OPRA)-158778</v>
      </c>
      <c r="B81" s="20">
        <v>46174</v>
      </c>
      <c r="C81" s="21">
        <v>817393</v>
      </c>
      <c r="D81" s="9" t="str">
        <f>IF(J81=0, "DANIEL TEIXEIRA SIQUEIRA GONÇALVES",IF(J81=57036,"ALEXANDRE DA COSTA SOARES",IF(J81=24157,"JOSE MAURICIO GOMES TEIXEIRA",IF(J81=24203,"JOSE MAURICIO GOMES TEIXEIRA",IF(J81=24149,"CHRISTIANO MARCONDES DE BARROS LIMA",IF(J81=24137,"CHRISTIANO MARCONDES DE BARROS LIMA",IF(J81=135152,"ENRICO BORTPLUZO CASSIANO",IF(J81=136568,"ENRICO BORTPLUZO CASSIANO", IF(J81=130976,"MARYLIA CARVALHO PONCE",IF(J81=136668,"ALEXANDRE DA COSTA SOARES",IF(J81=52340,"OFFSHORE LISTED",IF(J81=158778,"CLAUDIO DE SOUZA PACINI",IF(J81=159800,"CLAUDIO DE SOUZA PACINI",_xlfn.XLOOKUP(J81,[1]!Tabela33[ID ORACLE],[1]!Tabela33[BROKER],0,0,1))))))))))))))</f>
        <v>CLAUDIO DE SOUZA PACINI</v>
      </c>
      <c r="E81" s="22">
        <f t="shared" si="6"/>
        <v>-177.534732375</v>
      </c>
      <c r="F81" s="9" t="str">
        <f t="shared" si="7"/>
        <v>OPTIONS PRICE REPORTING AUTHORITY (OPRA)</v>
      </c>
      <c r="G81" s="20">
        <f t="shared" si="8"/>
        <v>46174</v>
      </c>
      <c r="H81" s="23">
        <v>1170</v>
      </c>
      <c r="J81" s="45">
        <v>158778</v>
      </c>
      <c r="K81" s="45" t="s">
        <v>45</v>
      </c>
      <c r="L81" s="45" t="s">
        <v>12</v>
      </c>
      <c r="M81" s="45">
        <v>34.295625000000001</v>
      </c>
      <c r="N81" s="2"/>
      <c r="O81" s="1"/>
      <c r="P81" s="26"/>
      <c r="Q81" s="27"/>
      <c r="R81" s="27"/>
      <c r="S81" s="27"/>
      <c r="T81" s="26"/>
      <c r="U81" s="27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</row>
    <row r="82" spans="1:78" customFormat="1" ht="15" customHeight="1" x14ac:dyDescent="0.25">
      <c r="A82" s="9" t="str">
        <f t="shared" si="9"/>
        <v>CUSTO MARKET DATA - JUNHO/26-BLOOMBERG-159800</v>
      </c>
      <c r="B82" s="20">
        <v>46174</v>
      </c>
      <c r="C82" s="21">
        <v>817393</v>
      </c>
      <c r="D82" s="9" t="str">
        <f>IF(J82=0, "DANIEL TEIXEIRA SIQUEIRA GONÇALVES",IF(J82=57036,"ALEXANDRE DA COSTA SOARES",IF(J82=24157,"JOSE MAURICIO GOMES TEIXEIRA",IF(J82=24203,"JOSE MAURICIO GOMES TEIXEIRA",IF(J82=24149,"CHRISTIANO MARCONDES DE BARROS LIMA",IF(J82=24137,"CHRISTIANO MARCONDES DE BARROS LIMA",IF(J82=135152,"ENRICO BORTPLUZO CASSIANO",IF(J82=136568,"ENRICO BORTPLUZO CASSIANO", IF(J82=130976,"MARYLIA CARVALHO PONCE",IF(J82=136668,"ALEXANDRE DA COSTA SOARES",IF(J82=52340,"OFFSHORE LISTED",IF(J82=158778,"CLAUDIO DE SOUZA PACINI",IF(J82=159800,"CLAUDIO DE SOUZA PACINI",_xlfn.XLOOKUP(J82,[1]!Tabela33[ID ORACLE],[1]!Tabela33[BROKER],0,0,1))))))))))))))</f>
        <v>CLAUDIO DE SOUZA PACINI</v>
      </c>
      <c r="E82" s="22">
        <f t="shared" si="6"/>
        <v>-14048.4980300236</v>
      </c>
      <c r="F82" s="9" t="str">
        <f t="shared" si="7"/>
        <v>BLOOMBERG</v>
      </c>
      <c r="G82" s="20">
        <f t="shared" si="8"/>
        <v>46174</v>
      </c>
      <c r="H82" s="23">
        <v>1170</v>
      </c>
      <c r="J82" s="45">
        <v>159800</v>
      </c>
      <c r="K82" s="45" t="s">
        <v>41</v>
      </c>
      <c r="L82" s="45" t="s">
        <v>12</v>
      </c>
      <c r="M82" s="45">
        <v>2713.8465460000002</v>
      </c>
      <c r="N82" s="2"/>
      <c r="O82" s="1"/>
      <c r="P82" s="26"/>
      <c r="Q82" s="27"/>
      <c r="R82" s="27"/>
      <c r="S82" s="27"/>
      <c r="T82" s="26"/>
      <c r="U82" s="27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</row>
    <row r="83" spans="1:78" customFormat="1" ht="15" customHeight="1" x14ac:dyDescent="0.25">
      <c r="A83" s="9" t="str">
        <f t="shared" si="9"/>
        <v>CUSTO MARKET DATA - JUNHO/26-FIDESSA-159800</v>
      </c>
      <c r="B83" s="20">
        <v>46174</v>
      </c>
      <c r="C83" s="21">
        <v>817393</v>
      </c>
      <c r="D83" s="9" t="str">
        <f>IF(J83=0, "DANIEL TEIXEIRA SIQUEIRA GONÇALVES",IF(J83=57036,"ALEXANDRE DA COSTA SOARES",IF(J83=24157,"JOSE MAURICIO GOMES TEIXEIRA",IF(J83=24203,"JOSE MAURICIO GOMES TEIXEIRA",IF(J83=24149,"CHRISTIANO MARCONDES DE BARROS LIMA",IF(J83=24137,"CHRISTIANO MARCONDES DE BARROS LIMA",IF(J83=135152,"ENRICO BORTPLUZO CASSIANO",IF(J83=136568,"ENRICO BORTPLUZO CASSIANO", IF(J83=130976,"MARYLIA CARVALHO PONCE",IF(J83=136668,"ALEXANDRE DA COSTA SOARES",IF(J83=52340,"OFFSHORE LISTED",IF(J83=158778,"CLAUDIO DE SOUZA PACINI",IF(J83=159800,"CLAUDIO DE SOUZA PACINI",_xlfn.XLOOKUP(J83,[1]!Tabela33[ID ORACLE],[1]!Tabela33[BROKER],0,0,1))))))))))))))</f>
        <v>CLAUDIO DE SOUZA PACINI</v>
      </c>
      <c r="E83" s="22">
        <f t="shared" si="6"/>
        <v>-3219.3476717973999</v>
      </c>
      <c r="F83" s="9" t="str">
        <f t="shared" si="7"/>
        <v>FIDESSA</v>
      </c>
      <c r="G83" s="20">
        <f t="shared" si="8"/>
        <v>46174</v>
      </c>
      <c r="H83" s="23">
        <v>1170</v>
      </c>
      <c r="J83" s="45">
        <v>159800</v>
      </c>
      <c r="K83" s="45" t="s">
        <v>47</v>
      </c>
      <c r="L83" s="45" t="s">
        <v>12</v>
      </c>
      <c r="M83" s="45">
        <v>621.90388900000005</v>
      </c>
      <c r="N83" s="2"/>
      <c r="O83" s="1"/>
      <c r="P83" s="26"/>
      <c r="Q83" s="27"/>
      <c r="R83" s="27"/>
      <c r="S83" s="27"/>
      <c r="T83" s="26"/>
      <c r="U83" s="27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</row>
    <row r="84" spans="1:78" customFormat="1" ht="15" customHeight="1" x14ac:dyDescent="0.25">
      <c r="A84" s="9" t="str">
        <f t="shared" si="9"/>
        <v>CUSTO MARKET DATA - JUNHO/26-NYSE MARKET INC.-159800</v>
      </c>
      <c r="B84" s="20">
        <v>46174</v>
      </c>
      <c r="C84" s="21">
        <v>817393</v>
      </c>
      <c r="D84" s="9" t="str">
        <f>IF(J84=0, "DANIEL TEIXEIRA SIQUEIRA GONÇALVES",IF(J84=57036,"ALEXANDRE DA COSTA SOARES",IF(J84=24157,"JOSE MAURICIO GOMES TEIXEIRA",IF(J84=24203,"JOSE MAURICIO GOMES TEIXEIRA",IF(J84=24149,"CHRISTIANO MARCONDES DE BARROS LIMA",IF(J84=24137,"CHRISTIANO MARCONDES DE BARROS LIMA",IF(J84=135152,"ENRICO BORTPLUZO CASSIANO",IF(J84=136568,"ENRICO BORTPLUZO CASSIANO", IF(J84=130976,"MARYLIA CARVALHO PONCE",IF(J84=136668,"ALEXANDRE DA COSTA SOARES",IF(J84=52340,"OFFSHORE LISTED",IF(J84=158778,"CLAUDIO DE SOUZA PACINI",IF(J84=159800,"CLAUDIO DE SOUZA PACINI",_xlfn.XLOOKUP(J84,[1]!Tabela33[ID ORACLE],[1]!Tabela33[BROKER],0,0,1))))))))))))))</f>
        <v>CLAUDIO DE SOUZA PACINI</v>
      </c>
      <c r="E84" s="22">
        <f t="shared" si="6"/>
        <v>-1859.4735444999999</v>
      </c>
      <c r="F84" s="9" t="str">
        <f t="shared" si="7"/>
        <v>NYSE MARKET INC.</v>
      </c>
      <c r="G84" s="20">
        <f t="shared" si="8"/>
        <v>46174</v>
      </c>
      <c r="H84" s="23">
        <v>1170</v>
      </c>
      <c r="J84" s="45">
        <v>159800</v>
      </c>
      <c r="K84" s="45" t="s">
        <v>44</v>
      </c>
      <c r="L84" s="45" t="s">
        <v>12</v>
      </c>
      <c r="M84" s="45">
        <v>359.20749999999998</v>
      </c>
      <c r="N84" s="2"/>
      <c r="O84" s="1"/>
      <c r="P84" s="26"/>
      <c r="Q84" s="27"/>
      <c r="R84" s="27"/>
      <c r="S84" s="27"/>
      <c r="T84" s="26"/>
      <c r="U84" s="27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</row>
    <row r="85" spans="1:78" customFormat="1" ht="15" customHeight="1" x14ac:dyDescent="0.25">
      <c r="A85" s="9" t="str">
        <f t="shared" si="9"/>
        <v>CUSTO MARKET DATA - JUNHO/26-OPTIONS PRICE REPORTING AUTHORITY (OPRA)-159800</v>
      </c>
      <c r="B85" s="20">
        <v>46174</v>
      </c>
      <c r="C85" s="21">
        <v>817393</v>
      </c>
      <c r="D85" s="9" t="str">
        <f>IF(J85=0, "DANIEL TEIXEIRA SIQUEIRA GONÇALVES",IF(J85=57036,"ALEXANDRE DA COSTA SOARES",IF(J85=24157,"JOSE MAURICIO GOMES TEIXEIRA",IF(J85=24203,"JOSE MAURICIO GOMES TEIXEIRA",IF(J85=24149,"CHRISTIANO MARCONDES DE BARROS LIMA",IF(J85=24137,"CHRISTIANO MARCONDES DE BARROS LIMA",IF(J85=135152,"ENRICO BORTPLUZO CASSIANO",IF(J85=136568,"ENRICO BORTPLUZO CASSIANO", IF(J85=130976,"MARYLIA CARVALHO PONCE",IF(J85=136668,"ALEXANDRE DA COSTA SOARES",IF(J85=52340,"OFFSHORE LISTED",IF(J85=158778,"CLAUDIO DE SOUZA PACINI",IF(J85=159800,"CLAUDIO DE SOUZA PACINI",_xlfn.XLOOKUP(J85,[1]!Tabela33[ID ORACLE],[1]!Tabela33[BROKER],0,0,1))))))))))))))</f>
        <v>CLAUDIO DE SOUZA PACINI</v>
      </c>
      <c r="E85" s="22">
        <f t="shared" si="6"/>
        <v>-340.59763237499999</v>
      </c>
      <c r="F85" s="9" t="str">
        <f t="shared" si="7"/>
        <v>OPTIONS PRICE REPORTING AUTHORITY (OPRA)</v>
      </c>
      <c r="G85" s="20">
        <f t="shared" si="8"/>
        <v>46174</v>
      </c>
      <c r="H85" s="23">
        <v>1170</v>
      </c>
      <c r="J85" s="45">
        <v>159800</v>
      </c>
      <c r="K85" s="45" t="s">
        <v>45</v>
      </c>
      <c r="L85" s="45" t="s">
        <v>12</v>
      </c>
      <c r="M85" s="45">
        <v>65.795625000000001</v>
      </c>
      <c r="N85" s="2"/>
      <c r="O85" s="1"/>
      <c r="P85" s="26"/>
      <c r="Q85" s="27"/>
      <c r="R85" s="27"/>
      <c r="S85" s="27"/>
      <c r="T85" s="26"/>
      <c r="U85" s="27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</row>
    <row r="86" spans="1:78" customFormat="1" ht="15" customHeight="1" x14ac:dyDescent="0.25">
      <c r="A86" s="9" t="str">
        <f t="shared" si="9"/>
        <v>CUSTO MARKET DATA - JUNHO/26-TORONTO STOCK EXCHANGE-159800</v>
      </c>
      <c r="B86" s="20">
        <v>46174</v>
      </c>
      <c r="C86" s="21">
        <v>817393</v>
      </c>
      <c r="D86" s="9" t="str">
        <f>IF(J86=0, "DANIEL TEIXEIRA SIQUEIRA GONÇALVES",IF(J86=57036,"ALEXANDRE DA COSTA SOARES",IF(J86=24157,"JOSE MAURICIO GOMES TEIXEIRA",IF(J86=24203,"JOSE MAURICIO GOMES TEIXEIRA",IF(J86=24149,"CHRISTIANO MARCONDES DE BARROS LIMA",IF(J86=24137,"CHRISTIANO MARCONDES DE BARROS LIMA",IF(J86=135152,"ENRICO BORTPLUZO CASSIANO",IF(J86=136568,"ENRICO BORTPLUZO CASSIANO", IF(J86=130976,"MARYLIA CARVALHO PONCE",IF(J86=136668,"ALEXANDRE DA COSTA SOARES",IF(J86=52340,"OFFSHORE LISTED",IF(J86=158778,"CLAUDIO DE SOUZA PACINI",IF(J86=159800,"CLAUDIO DE SOUZA PACINI",_xlfn.XLOOKUP(J86,[1]!Tabela33[ID ORACLE],[1]!Tabela33[BROKER],0,0,1))))))))))))))</f>
        <v>CLAUDIO DE SOUZA PACINI</v>
      </c>
      <c r="E86" s="22">
        <f t="shared" si="6"/>
        <v>0</v>
      </c>
      <c r="F86" s="9" t="str">
        <f t="shared" si="7"/>
        <v>TORONTO STOCK EXCHANGE</v>
      </c>
      <c r="G86" s="20">
        <f t="shared" si="8"/>
        <v>46174</v>
      </c>
      <c r="H86" s="23">
        <v>1170</v>
      </c>
      <c r="J86" s="45">
        <v>159800</v>
      </c>
      <c r="K86" s="45" t="s">
        <v>51</v>
      </c>
      <c r="L86" s="45" t="s">
        <v>12</v>
      </c>
      <c r="M86" s="45">
        <v>0</v>
      </c>
      <c r="N86" s="2"/>
      <c r="O86" s="1"/>
      <c r="P86" s="26"/>
      <c r="Q86" s="27"/>
      <c r="R86" s="27"/>
      <c r="S86" s="27"/>
      <c r="T86" s="26"/>
      <c r="U86" s="27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</row>
    <row r="87" spans="1:78" customFormat="1" ht="15" customHeight="1" x14ac:dyDescent="0.25">
      <c r="A87" s="9" t="str">
        <f t="shared" si="9"/>
        <v>CUSTO MARKET DATA - JUNHO/26-BLOOMBERG-22361</v>
      </c>
      <c r="B87" s="20">
        <v>46174</v>
      </c>
      <c r="C87" s="21">
        <v>817393</v>
      </c>
      <c r="D87" s="9" t="str">
        <f>IF(J87=0, "DANIEL TEIXEIRA SIQUEIRA GONÇALVES",IF(J87=57036,"ALEXANDRE DA COSTA SOARES",IF(J87=24157,"JOSE MAURICIO GOMES TEIXEIRA",IF(J87=24203,"JOSE MAURICIO GOMES TEIXEIRA",IF(J87=24149,"CHRISTIANO MARCONDES DE BARROS LIMA",IF(J87=24137,"CHRISTIANO MARCONDES DE BARROS LIMA",IF(J87=135152,"ENRICO BORTPLUZO CASSIANO",IF(J87=136568,"ENRICO BORTPLUZO CASSIANO", IF(J87=130976,"MARYLIA CARVALHO PONCE",IF(J87=136668,"ALEXANDRE DA COSTA SOARES",IF(J87=52340,"OFFSHORE LISTED",IF(J87=158778,"CLAUDIO DE SOUZA PACINI",IF(J87=159800,"CLAUDIO DE SOUZA PACINI",_xlfn.XLOOKUP(J87,[1]!Tabela33[ID ORACLE],[1]!Tabela33[BROKER],0,0,1))))))))))))))</f>
        <v>DANIEL TEIXEIRA SIQUEIRA GONÇALVES</v>
      </c>
      <c r="E87" s="22">
        <f t="shared" si="6"/>
        <v>-6229.8997553649997</v>
      </c>
      <c r="F87" s="9" t="str">
        <f t="shared" si="7"/>
        <v>BLOOMBERG</v>
      </c>
      <c r="G87" s="20">
        <f t="shared" si="8"/>
        <v>46174</v>
      </c>
      <c r="H87" s="23">
        <v>1170</v>
      </c>
      <c r="J87" s="45">
        <v>22361</v>
      </c>
      <c r="K87" s="45" t="s">
        <v>41</v>
      </c>
      <c r="L87" s="45" t="s">
        <v>12</v>
      </c>
      <c r="M87" s="45">
        <v>1203.4732750000001</v>
      </c>
      <c r="N87" s="2"/>
      <c r="O87" s="1"/>
      <c r="P87" s="26"/>
      <c r="Q87" s="27"/>
      <c r="R87" s="27"/>
      <c r="S87" s="27"/>
      <c r="T87" s="26"/>
      <c r="U87" s="27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</row>
    <row r="88" spans="1:78" customFormat="1" ht="15" customHeight="1" x14ac:dyDescent="0.25">
      <c r="A88" s="9" t="str">
        <f t="shared" si="9"/>
        <v>CUSTO MARKET DATA - JUNHO/26-REFINITIV-22361</v>
      </c>
      <c r="B88" s="20">
        <v>46174</v>
      </c>
      <c r="C88" s="21">
        <v>817393</v>
      </c>
      <c r="D88" s="9" t="str">
        <f>IF(J88=0, "DANIEL TEIXEIRA SIQUEIRA GONÇALVES",IF(J88=57036,"ALEXANDRE DA COSTA SOARES",IF(J88=24157,"JOSE MAURICIO GOMES TEIXEIRA",IF(J88=24203,"JOSE MAURICIO GOMES TEIXEIRA",IF(J88=24149,"CHRISTIANO MARCONDES DE BARROS LIMA",IF(J88=24137,"CHRISTIANO MARCONDES DE BARROS LIMA",IF(J88=135152,"ENRICO BORTPLUZO CASSIANO",IF(J88=136568,"ENRICO BORTPLUZO CASSIANO", IF(J88=130976,"MARYLIA CARVALHO PONCE",IF(J88=136668,"ALEXANDRE DA COSTA SOARES",IF(J88=52340,"OFFSHORE LISTED",IF(J88=158778,"CLAUDIO DE SOUZA PACINI",IF(J88=159800,"CLAUDIO DE SOUZA PACINI",_xlfn.XLOOKUP(J88,[1]!Tabela33[ID ORACLE],[1]!Tabela33[BROKER],0,0,1))))))))))))))</f>
        <v>DANIEL TEIXEIRA SIQUEIRA GONÇALVES</v>
      </c>
      <c r="E88" s="22">
        <f t="shared" si="6"/>
        <v>-143.09587270439999</v>
      </c>
      <c r="F88" s="9" t="str">
        <f t="shared" si="7"/>
        <v>REFINITIV</v>
      </c>
      <c r="G88" s="20">
        <f t="shared" si="8"/>
        <v>46174</v>
      </c>
      <c r="H88" s="23">
        <v>1170</v>
      </c>
      <c r="J88" s="45">
        <v>22361</v>
      </c>
      <c r="K88" s="45" t="s">
        <v>42</v>
      </c>
      <c r="L88" s="45" t="s">
        <v>17</v>
      </c>
      <c r="M88" s="45">
        <v>20.848212</v>
      </c>
      <c r="N88" s="2"/>
      <c r="O88" s="1"/>
      <c r="P88" s="26"/>
      <c r="Q88" s="27"/>
      <c r="R88" s="27"/>
      <c r="S88" s="27"/>
      <c r="T88" s="26"/>
      <c r="U88" s="27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</row>
    <row r="89" spans="1:78" ht="15" customHeight="1" x14ac:dyDescent="0.25">
      <c r="A89" s="9" t="str">
        <f t="shared" si="9"/>
        <v>CUSTO MARKET DATA - JUNHO/26-BLOOMBERG-24137</v>
      </c>
      <c r="B89" s="20">
        <v>46174</v>
      </c>
      <c r="C89" s="21">
        <v>817393</v>
      </c>
      <c r="D89" s="9" t="str">
        <f>IF(J89=0, "DANIEL TEIXEIRA SIQUEIRA GONÇALVES",IF(J89=57036,"ALEXANDRE DA COSTA SOARES",IF(J89=24157,"JOSE MAURICIO GOMES TEIXEIRA",IF(J89=24203,"JOSE MAURICIO GOMES TEIXEIRA",IF(J89=24149,"CHRISTIANO MARCONDES DE BARROS LIMA",IF(J89=24137,"CHRISTIANO MARCONDES DE BARROS LIMA",IF(J89=135152,"ENRICO BORTPLUZO CASSIANO",IF(J89=136568,"ENRICO BORTPLUZO CASSIANO", IF(J89=130976,"MARYLIA CARVALHO PONCE",IF(J89=136668,"ALEXANDRE DA COSTA SOARES",IF(J89=52340,"OFFSHORE LISTED",IF(J89=158778,"CLAUDIO DE SOUZA PACINI",IF(J89=159800,"CLAUDIO DE SOUZA PACINI",_xlfn.XLOOKUP(J89,[1]!Tabela33[ID ORACLE],[1]!Tabela33[BROKER],0,0,1))))))))))))))</f>
        <v>CHRISTIANO MARCONDES DE BARROS LIMA</v>
      </c>
      <c r="E89" s="22">
        <f t="shared" si="6"/>
        <v>-12801.972750023599</v>
      </c>
      <c r="F89" s="9" t="str">
        <f t="shared" si="7"/>
        <v>BLOOMBERG</v>
      </c>
      <c r="G89" s="20">
        <f t="shared" si="8"/>
        <v>46174</v>
      </c>
      <c r="H89" s="23">
        <v>1170</v>
      </c>
      <c r="J89" s="45">
        <v>24137</v>
      </c>
      <c r="K89" s="45" t="s">
        <v>41</v>
      </c>
      <c r="L89" s="45" t="s">
        <v>12</v>
      </c>
      <c r="M89" s="45">
        <v>2473.046546</v>
      </c>
      <c r="Q89" s="27"/>
      <c r="R89" s="27"/>
      <c r="S89" s="27"/>
      <c r="U89" s="27"/>
    </row>
    <row r="90" spans="1:78" ht="15" customHeight="1" x14ac:dyDescent="0.25">
      <c r="A90" s="9" t="str">
        <f t="shared" si="9"/>
        <v>CUSTO MARKET DATA - JUNHO/26-BLOOMBERG-24140</v>
      </c>
      <c r="B90" s="20">
        <v>46174</v>
      </c>
      <c r="C90" s="21">
        <v>817393</v>
      </c>
      <c r="D90" s="9" t="str">
        <f>IF(J90=0, "DANIEL TEIXEIRA SIQUEIRA GONÇALVES",IF(J90=57036,"ALEXANDRE DA COSTA SOARES",IF(J90=24157,"JOSE MAURICIO GOMES TEIXEIRA",IF(J90=24203,"JOSE MAURICIO GOMES TEIXEIRA",IF(J90=24149,"CHRISTIANO MARCONDES DE BARROS LIMA",IF(J90=24137,"CHRISTIANO MARCONDES DE BARROS LIMA",IF(J90=135152,"ENRICO BORTPLUZO CASSIANO",IF(J90=136568,"ENRICO BORTPLUZO CASSIANO", IF(J90=130976,"MARYLIA CARVALHO PONCE",IF(J90=136668,"ALEXANDRE DA COSTA SOARES",IF(J90=52340,"OFFSHORE LISTED",IF(J90=158778,"CLAUDIO DE SOUZA PACINI",IF(J90=159800,"CLAUDIO DE SOUZA PACINI",_xlfn.XLOOKUP(J90,[1]!Tabela33[ID ORACLE],[1]!Tabela33[BROKER],0,0,1))))))))))))))</f>
        <v>FRANCISCO JOSE DIAS CARVALHO</v>
      </c>
      <c r="E90" s="22">
        <f t="shared" si="6"/>
        <v>-9398.1685897527987</v>
      </c>
      <c r="F90" s="9" t="str">
        <f t="shared" si="7"/>
        <v>BLOOMBERG</v>
      </c>
      <c r="G90" s="20">
        <f t="shared" si="8"/>
        <v>46174</v>
      </c>
      <c r="H90" s="23">
        <v>1170</v>
      </c>
      <c r="J90" s="45">
        <v>24140</v>
      </c>
      <c r="K90" s="45" t="s">
        <v>41</v>
      </c>
      <c r="L90" s="45" t="s">
        <v>12</v>
      </c>
      <c r="M90" s="45">
        <v>1815.509908</v>
      </c>
      <c r="Q90" s="27"/>
      <c r="R90" s="27"/>
      <c r="S90" s="27"/>
      <c r="U90" s="27"/>
    </row>
    <row r="91" spans="1:78" ht="15" customHeight="1" x14ac:dyDescent="0.25">
      <c r="A91" s="9" t="str">
        <f t="shared" si="9"/>
        <v>CUSTO MARKET DATA - JUNHO/26-REFINITIV-24140</v>
      </c>
      <c r="B91" s="20">
        <v>46174</v>
      </c>
      <c r="C91" s="21">
        <v>817393</v>
      </c>
      <c r="D91" s="9" t="str">
        <f>IF(J91=0, "DANIEL TEIXEIRA SIQUEIRA GONÇALVES",IF(J91=57036,"ALEXANDRE DA COSTA SOARES",IF(J91=24157,"JOSE MAURICIO GOMES TEIXEIRA",IF(J91=24203,"JOSE MAURICIO GOMES TEIXEIRA",IF(J91=24149,"CHRISTIANO MARCONDES DE BARROS LIMA",IF(J91=24137,"CHRISTIANO MARCONDES DE BARROS LIMA",IF(J91=135152,"ENRICO BORTPLUZO CASSIANO",IF(J91=136568,"ENRICO BORTPLUZO CASSIANO", IF(J91=130976,"MARYLIA CARVALHO PONCE",IF(J91=136668,"ALEXANDRE DA COSTA SOARES",IF(J91=52340,"OFFSHORE LISTED",IF(J91=158778,"CLAUDIO DE SOUZA PACINI",IF(J91=159800,"CLAUDIO DE SOUZA PACINI",_xlfn.XLOOKUP(J91,[1]!Tabela33[ID ORACLE],[1]!Tabela33[BROKER],0,0,1))))))))))))))</f>
        <v>FRANCISCO JOSE DIAS CARVALHO</v>
      </c>
      <c r="E91" s="22">
        <f t="shared" si="6"/>
        <v>-143.09587270439999</v>
      </c>
      <c r="F91" s="9" t="str">
        <f t="shared" si="7"/>
        <v>REFINITIV</v>
      </c>
      <c r="G91" s="20">
        <f t="shared" si="8"/>
        <v>46174</v>
      </c>
      <c r="H91" s="23">
        <v>1170</v>
      </c>
      <c r="J91" s="45">
        <v>24140</v>
      </c>
      <c r="K91" s="45" t="s">
        <v>42</v>
      </c>
      <c r="L91" s="45" t="s">
        <v>17</v>
      </c>
      <c r="M91" s="45">
        <v>20.848212</v>
      </c>
      <c r="Q91" s="27"/>
      <c r="R91" s="27"/>
      <c r="S91" s="27"/>
      <c r="U91" s="27"/>
    </row>
    <row r="92" spans="1:78" ht="15" customHeight="1" x14ac:dyDescent="0.25">
      <c r="A92" s="9" t="str">
        <f t="shared" si="9"/>
        <v>CUSTO MARKET DATA - JUNHO/26-BLOOMBERG-24141</v>
      </c>
      <c r="B92" s="20">
        <v>46174</v>
      </c>
      <c r="C92" s="21">
        <v>817393</v>
      </c>
      <c r="D92" s="9" t="str">
        <f>IF(J92=0, "DANIEL TEIXEIRA SIQUEIRA GONÇALVES",IF(J92=57036,"ALEXANDRE DA COSTA SOARES",IF(J92=24157,"JOSE MAURICIO GOMES TEIXEIRA",IF(J92=24203,"JOSE MAURICIO GOMES TEIXEIRA",IF(J92=24149,"CHRISTIANO MARCONDES DE BARROS LIMA",IF(J92=24137,"CHRISTIANO MARCONDES DE BARROS LIMA",IF(J92=135152,"ENRICO BORTPLUZO CASSIANO",IF(J92=136568,"ENRICO BORTPLUZO CASSIANO", IF(J92=130976,"MARYLIA CARVALHO PONCE",IF(J92=136668,"ALEXANDRE DA COSTA SOARES",IF(J92=52340,"OFFSHORE LISTED",IF(J92=158778,"CLAUDIO DE SOUZA PACINI",IF(J92=159800,"CLAUDIO DE SOUZA PACINI",_xlfn.XLOOKUP(J92,[1]!Tabela33[ID ORACLE],[1]!Tabela33[BROKER],0,0,1))))))))))))))</f>
        <v>ANTONIO AUGUSTO DAS CHAGAS CARVALHO</v>
      </c>
      <c r="E92" s="22">
        <f t="shared" si="6"/>
        <v>-12535.377850023599</v>
      </c>
      <c r="F92" s="9" t="str">
        <f t="shared" si="7"/>
        <v>BLOOMBERG</v>
      </c>
      <c r="G92" s="20">
        <f t="shared" si="8"/>
        <v>46174</v>
      </c>
      <c r="H92" s="23">
        <v>1170</v>
      </c>
      <c r="J92" s="45">
        <v>24141</v>
      </c>
      <c r="K92" s="45" t="s">
        <v>41</v>
      </c>
      <c r="L92" s="45" t="s">
        <v>12</v>
      </c>
      <c r="M92" s="45">
        <v>2421.546546</v>
      </c>
      <c r="Q92" s="27"/>
      <c r="R92" s="27"/>
      <c r="S92" s="27"/>
      <c r="U92" s="27"/>
    </row>
    <row r="93" spans="1:78" customFormat="1" ht="15" customHeight="1" x14ac:dyDescent="0.25">
      <c r="A93" s="9" t="str">
        <f t="shared" si="9"/>
        <v>CUSTO MARKET DATA - JUNHO/26-REFINITIV-24141</v>
      </c>
      <c r="B93" s="20">
        <v>46174</v>
      </c>
      <c r="C93" s="21">
        <v>817393</v>
      </c>
      <c r="D93" s="9" t="str">
        <f>IF(J93=0, "DANIEL TEIXEIRA SIQUEIRA GONÇALVES",IF(J93=57036,"ALEXANDRE DA COSTA SOARES",IF(J93=24157,"JOSE MAURICIO GOMES TEIXEIRA",IF(J93=24203,"JOSE MAURICIO GOMES TEIXEIRA",IF(J93=24149,"CHRISTIANO MARCONDES DE BARROS LIMA",IF(J93=24137,"CHRISTIANO MARCONDES DE BARROS LIMA",IF(J93=135152,"ENRICO BORTPLUZO CASSIANO",IF(J93=136568,"ENRICO BORTPLUZO CASSIANO", IF(J93=130976,"MARYLIA CARVALHO PONCE",IF(J93=136668,"ALEXANDRE DA COSTA SOARES",IF(J93=52340,"OFFSHORE LISTED",IF(J93=158778,"CLAUDIO DE SOUZA PACINI",IF(J93=159800,"CLAUDIO DE SOUZA PACINI",_xlfn.XLOOKUP(J93,[1]!Tabela33[ID ORACLE],[1]!Tabela33[BROKER],0,0,1))))))))))))))</f>
        <v>ANTONIO AUGUSTO DAS CHAGAS CARVALHO</v>
      </c>
      <c r="E93" s="22">
        <f t="shared" ref="E93:E156" si="10">-IF(L93="BRL",M93,IF(L93="GBP",M93*$R$1,IF(L93="CAD",M93*$T$1,M93*$P$1)))</f>
        <v>-143.09587270439999</v>
      </c>
      <c r="F93" s="9" t="str">
        <f t="shared" ref="F93:F156" si="11">IF(UPPER(K93)="Valor Analytics LLC","VALOR",UPPER(K93))</f>
        <v>REFINITIV</v>
      </c>
      <c r="G93" s="20">
        <f t="shared" si="8"/>
        <v>46174</v>
      </c>
      <c r="H93" s="23">
        <v>1170</v>
      </c>
      <c r="J93" s="45">
        <v>24141</v>
      </c>
      <c r="K93" s="45" t="s">
        <v>42</v>
      </c>
      <c r="L93" s="45" t="s">
        <v>17</v>
      </c>
      <c r="M93" s="45">
        <v>20.848212</v>
      </c>
      <c r="O93" s="1"/>
      <c r="P93" s="26"/>
      <c r="Q93" s="27"/>
      <c r="R93" s="27"/>
      <c r="S93" s="27"/>
      <c r="T93" s="26"/>
      <c r="U93" s="27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</row>
    <row r="94" spans="1:78" customFormat="1" ht="15" customHeight="1" x14ac:dyDescent="0.25">
      <c r="A94" s="9" t="str">
        <f t="shared" si="9"/>
        <v>CUSTO MARKET DATA - JUNHO/26-BLOOMBERG-24149</v>
      </c>
      <c r="B94" s="20">
        <v>46174</v>
      </c>
      <c r="C94" s="21">
        <v>817393</v>
      </c>
      <c r="D94" s="9" t="str">
        <f>IF(J94=0, "DANIEL TEIXEIRA SIQUEIRA GONÇALVES",IF(J94=57036,"ALEXANDRE DA COSTA SOARES",IF(J94=24157,"JOSE MAURICIO GOMES TEIXEIRA",IF(J94=24203,"JOSE MAURICIO GOMES TEIXEIRA",IF(J94=24149,"CHRISTIANO MARCONDES DE BARROS LIMA",IF(J94=24137,"CHRISTIANO MARCONDES DE BARROS LIMA",IF(J94=135152,"ENRICO BORTPLUZO CASSIANO",IF(J94=136568,"ENRICO BORTPLUZO CASSIANO", IF(J94=130976,"MARYLIA CARVALHO PONCE",IF(J94=136668,"ALEXANDRE DA COSTA SOARES",IF(J94=52340,"OFFSHORE LISTED",IF(J94=158778,"CLAUDIO DE SOUZA PACINI",IF(J94=159800,"CLAUDIO DE SOUZA PACINI",_xlfn.XLOOKUP(J94,[1]!Tabela33[ID ORACLE],[1]!Tabela33[BROKER],0,0,1))))))))))))))</f>
        <v>CHRISTIANO MARCONDES DE BARROS LIMA</v>
      </c>
      <c r="E94" s="22">
        <f t="shared" si="10"/>
        <v>-1593.719842</v>
      </c>
      <c r="F94" s="9" t="str">
        <f t="shared" si="11"/>
        <v>BLOOMBERG</v>
      </c>
      <c r="G94" s="20">
        <f t="shared" si="8"/>
        <v>46174</v>
      </c>
      <c r="H94" s="23">
        <v>1170</v>
      </c>
      <c r="J94" s="45">
        <v>24149</v>
      </c>
      <c r="K94" s="45" t="s">
        <v>41</v>
      </c>
      <c r="L94" s="45" t="s">
        <v>12</v>
      </c>
      <c r="M94" s="45">
        <v>307.87</v>
      </c>
      <c r="O94" s="1"/>
      <c r="P94" s="26"/>
      <c r="Q94" s="27"/>
      <c r="R94" s="27"/>
      <c r="S94" s="27"/>
      <c r="T94" s="26"/>
      <c r="U94" s="27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</row>
    <row r="95" spans="1:78" customFormat="1" ht="15" customHeight="1" x14ac:dyDescent="0.25">
      <c r="A95" s="9" t="str">
        <f t="shared" si="9"/>
        <v>CUSTO MARKET DATA - JUNHO/26-BLOOMBERG-24156</v>
      </c>
      <c r="B95" s="20">
        <v>46174</v>
      </c>
      <c r="C95" s="21">
        <v>817393</v>
      </c>
      <c r="D95" s="9" t="str">
        <f>IF(J95=0, "DANIEL TEIXEIRA SIQUEIRA GONÇALVES",IF(J95=57036,"ALEXANDRE DA COSTA SOARES",IF(J95=24157,"JOSE MAURICIO GOMES TEIXEIRA",IF(J95=24203,"JOSE MAURICIO GOMES TEIXEIRA",IF(J95=24149,"CHRISTIANO MARCONDES DE BARROS LIMA",IF(J95=24137,"CHRISTIANO MARCONDES DE BARROS LIMA",IF(J95=135152,"ENRICO BORTPLUZO CASSIANO",IF(J95=136568,"ENRICO BORTPLUZO CASSIANO", IF(J95=130976,"MARYLIA CARVALHO PONCE",IF(J95=136668,"ALEXANDRE DA COSTA SOARES",IF(J95=52340,"OFFSHORE LISTED",IF(J95=158778,"CLAUDIO DE SOUZA PACINI",IF(J95=159800,"CLAUDIO DE SOUZA PACINI",_xlfn.XLOOKUP(J95,[1]!Tabela33[ID ORACLE],[1]!Tabela33[BROKER],0,0,1))))))))))))))</f>
        <v>JOSE MAURICIO GOMES TEIXEIRA</v>
      </c>
      <c r="E95" s="22">
        <f t="shared" si="10"/>
        <v>-12721.217790023597</v>
      </c>
      <c r="F95" s="9" t="str">
        <f t="shared" si="11"/>
        <v>BLOOMBERG</v>
      </c>
      <c r="G95" s="20">
        <f t="shared" si="8"/>
        <v>46174</v>
      </c>
      <c r="H95" s="23">
        <v>1170</v>
      </c>
      <c r="J95" s="45">
        <v>24156</v>
      </c>
      <c r="K95" s="45" t="s">
        <v>41</v>
      </c>
      <c r="L95" s="45" t="s">
        <v>12</v>
      </c>
      <c r="M95" s="45">
        <v>2457.4465459999997</v>
      </c>
      <c r="O95" s="1"/>
      <c r="P95" s="26"/>
      <c r="Q95" s="27"/>
      <c r="R95" s="27"/>
      <c r="S95" s="27"/>
      <c r="T95" s="26"/>
      <c r="U95" s="27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</row>
    <row r="96" spans="1:78" customFormat="1" ht="15" customHeight="1" x14ac:dyDescent="0.25">
      <c r="A96" s="9" t="str">
        <f t="shared" si="9"/>
        <v>CUSTO MARKET DATA - JUNHO/26-REFINITIV-24156</v>
      </c>
      <c r="B96" s="20">
        <v>46174</v>
      </c>
      <c r="C96" s="21">
        <v>817393</v>
      </c>
      <c r="D96" s="9" t="str">
        <f>IF(J96=0, "DANIEL TEIXEIRA SIQUEIRA GONÇALVES",IF(J96=57036,"ALEXANDRE DA COSTA SOARES",IF(J96=24157,"JOSE MAURICIO GOMES TEIXEIRA",IF(J96=24203,"JOSE MAURICIO GOMES TEIXEIRA",IF(J96=24149,"CHRISTIANO MARCONDES DE BARROS LIMA",IF(J96=24137,"CHRISTIANO MARCONDES DE BARROS LIMA",IF(J96=135152,"ENRICO BORTPLUZO CASSIANO",IF(J96=136568,"ENRICO BORTPLUZO CASSIANO", IF(J96=130976,"MARYLIA CARVALHO PONCE",IF(J96=136668,"ALEXANDRE DA COSTA SOARES",IF(J96=52340,"OFFSHORE LISTED",IF(J96=158778,"CLAUDIO DE SOUZA PACINI",IF(J96=159800,"CLAUDIO DE SOUZA PACINI",_xlfn.XLOOKUP(J96,[1]!Tabela33[ID ORACLE],[1]!Tabela33[BROKER],0,0,1))))))))))))))</f>
        <v>JOSE MAURICIO GOMES TEIXEIRA</v>
      </c>
      <c r="E96" s="22">
        <f t="shared" si="10"/>
        <v>-143.09587270439999</v>
      </c>
      <c r="F96" s="9" t="str">
        <f t="shared" si="11"/>
        <v>REFINITIV</v>
      </c>
      <c r="G96" s="20">
        <f t="shared" si="8"/>
        <v>46174</v>
      </c>
      <c r="H96" s="23">
        <v>1170</v>
      </c>
      <c r="J96" s="45">
        <v>24156</v>
      </c>
      <c r="K96" s="45" t="s">
        <v>42</v>
      </c>
      <c r="L96" s="45" t="s">
        <v>17</v>
      </c>
      <c r="M96" s="45">
        <v>20.848212</v>
      </c>
      <c r="O96" s="1"/>
      <c r="P96" s="26"/>
      <c r="Q96" s="27"/>
      <c r="R96" s="27"/>
      <c r="S96" s="27"/>
      <c r="T96" s="26"/>
      <c r="U96" s="27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</row>
    <row r="97" spans="1:78" customFormat="1" ht="15" customHeight="1" x14ac:dyDescent="0.25">
      <c r="A97" s="9" t="str">
        <f t="shared" si="9"/>
        <v>CUSTO MARKET DATA - JUNHO/26-BLOOMBERG-24157</v>
      </c>
      <c r="B97" s="20">
        <v>46174</v>
      </c>
      <c r="C97" s="21">
        <v>817393</v>
      </c>
      <c r="D97" s="9" t="str">
        <f>IF(J97=0, "DANIEL TEIXEIRA SIQUEIRA GONÇALVES",IF(J97=57036,"ALEXANDRE DA COSTA SOARES",IF(J97=24157,"JOSE MAURICIO GOMES TEIXEIRA",IF(J97=24203,"JOSE MAURICIO GOMES TEIXEIRA",IF(J97=24149,"CHRISTIANO MARCONDES DE BARROS LIMA",IF(J97=24137,"CHRISTIANO MARCONDES DE BARROS LIMA",IF(J97=135152,"ENRICO BORTPLUZO CASSIANO",IF(J97=136568,"ENRICO BORTPLUZO CASSIANO", IF(J97=130976,"MARYLIA CARVALHO PONCE",IF(J97=136668,"ALEXANDRE DA COSTA SOARES",IF(J97=52340,"OFFSHORE LISTED",IF(J97=158778,"CLAUDIO DE SOUZA PACINI",IF(J97=159800,"CLAUDIO DE SOUZA PACINI",_xlfn.XLOOKUP(J97,[1]!Tabela33[ID ORACLE],[1]!Tabela33[BROKER],0,0,1))))))))))))))</f>
        <v>JOSE MAURICIO GOMES TEIXEIRA</v>
      </c>
      <c r="E97" s="22">
        <f t="shared" si="10"/>
        <v>-12535.377850023599</v>
      </c>
      <c r="F97" s="9" t="str">
        <f t="shared" si="11"/>
        <v>BLOOMBERG</v>
      </c>
      <c r="G97" s="20">
        <f t="shared" si="8"/>
        <v>46174</v>
      </c>
      <c r="H97" s="23">
        <v>1170</v>
      </c>
      <c r="J97" s="45">
        <v>24157</v>
      </c>
      <c r="K97" s="45" t="s">
        <v>41</v>
      </c>
      <c r="L97" s="45" t="s">
        <v>12</v>
      </c>
      <c r="M97" s="45">
        <v>2421.546546</v>
      </c>
      <c r="O97" s="1"/>
      <c r="P97" s="26"/>
      <c r="Q97" s="27"/>
      <c r="R97" s="27"/>
      <c r="S97" s="27"/>
      <c r="T97" s="26"/>
      <c r="U97" s="27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</row>
    <row r="98" spans="1:78" customFormat="1" ht="15" customHeight="1" x14ac:dyDescent="0.25">
      <c r="A98" s="9" t="str">
        <f t="shared" si="9"/>
        <v>CUSTO MARKET DATA - JUNHO/26-REFINITIV-24157</v>
      </c>
      <c r="B98" s="20">
        <v>46174</v>
      </c>
      <c r="C98" s="21">
        <v>817393</v>
      </c>
      <c r="D98" s="9" t="str">
        <f>IF(J98=0, "DANIEL TEIXEIRA SIQUEIRA GONÇALVES",IF(J98=57036,"ALEXANDRE DA COSTA SOARES",IF(J98=24157,"JOSE MAURICIO GOMES TEIXEIRA",IF(J98=24203,"JOSE MAURICIO GOMES TEIXEIRA",IF(J98=24149,"CHRISTIANO MARCONDES DE BARROS LIMA",IF(J98=24137,"CHRISTIANO MARCONDES DE BARROS LIMA",IF(J98=135152,"ENRICO BORTPLUZO CASSIANO",IF(J98=136568,"ENRICO BORTPLUZO CASSIANO", IF(J98=130976,"MARYLIA CARVALHO PONCE",IF(J98=136668,"ALEXANDRE DA COSTA SOARES",IF(J98=52340,"OFFSHORE LISTED",IF(J98=158778,"CLAUDIO DE SOUZA PACINI",IF(J98=159800,"CLAUDIO DE SOUZA PACINI",_xlfn.XLOOKUP(J98,[1]!Tabela33[ID ORACLE],[1]!Tabela33[BROKER],0,0,1))))))))))))))</f>
        <v>JOSE MAURICIO GOMES TEIXEIRA</v>
      </c>
      <c r="E98" s="22">
        <f t="shared" si="10"/>
        <v>-749.98901756700002</v>
      </c>
      <c r="F98" s="9" t="str">
        <f t="shared" si="11"/>
        <v>REFINITIV</v>
      </c>
      <c r="G98" s="20">
        <f t="shared" si="8"/>
        <v>46174</v>
      </c>
      <c r="H98" s="23">
        <v>1170</v>
      </c>
      <c r="J98" s="45">
        <v>24157</v>
      </c>
      <c r="K98" s="45" t="s">
        <v>42</v>
      </c>
      <c r="L98" s="45" t="s">
        <v>17</v>
      </c>
      <c r="M98" s="45">
        <v>109.26891000000001</v>
      </c>
      <c r="O98" s="1"/>
      <c r="P98" s="26"/>
      <c r="Q98" s="27"/>
      <c r="R98" s="27"/>
      <c r="S98" s="27"/>
      <c r="T98" s="26"/>
      <c r="U98" s="27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</row>
    <row r="99" spans="1:78" customFormat="1" ht="15" customHeight="1" x14ac:dyDescent="0.25">
      <c r="A99" s="9" t="str">
        <f t="shared" si="9"/>
        <v>CUSTO MARKET DATA - JUNHO/26-REFINITIV-24170</v>
      </c>
      <c r="B99" s="20">
        <v>46174</v>
      </c>
      <c r="C99" s="21">
        <v>817393</v>
      </c>
      <c r="D99" s="9" t="str">
        <f>IF(J99=0, "DANIEL TEIXEIRA SIQUEIRA GONÇALVES",IF(J99=57036,"ALEXANDRE DA COSTA SOARES",IF(J99=24157,"JOSE MAURICIO GOMES TEIXEIRA",IF(J99=24203,"JOSE MAURICIO GOMES TEIXEIRA",IF(J99=24149,"CHRISTIANO MARCONDES DE BARROS LIMA",IF(J99=24137,"CHRISTIANO MARCONDES DE BARROS LIMA",IF(J99=135152,"ENRICO BORTPLUZO CASSIANO",IF(J99=136568,"ENRICO BORTPLUZO CASSIANO", IF(J99=130976,"MARYLIA CARVALHO PONCE",IF(J99=136668,"ALEXANDRE DA COSTA SOARES",IF(J99=52340,"OFFSHORE LISTED",IF(J99=158778,"CLAUDIO DE SOUZA PACINI",IF(J99=159800,"CLAUDIO DE SOUZA PACINI",_xlfn.XLOOKUP(J99,[1]!Tabela33[ID ORACLE],[1]!Tabela33[BROKER],0,0,1))))))))))))))</f>
        <v>ANDREA LICASSIA ALMEIDA SANTOS</v>
      </c>
      <c r="E99" s="22">
        <f t="shared" si="10"/>
        <v>-143.09587270439999</v>
      </c>
      <c r="F99" s="9" t="str">
        <f t="shared" si="11"/>
        <v>REFINITIV</v>
      </c>
      <c r="G99" s="20">
        <f t="shared" si="8"/>
        <v>46174</v>
      </c>
      <c r="H99" s="23">
        <v>1170</v>
      </c>
      <c r="J99" s="45">
        <v>24170</v>
      </c>
      <c r="K99" s="45" t="s">
        <v>42</v>
      </c>
      <c r="L99" s="45" t="s">
        <v>17</v>
      </c>
      <c r="M99" s="45">
        <v>20.848212</v>
      </c>
      <c r="O99" s="1"/>
      <c r="P99" s="26"/>
      <c r="Q99" s="27"/>
      <c r="R99" s="27"/>
      <c r="S99" s="27"/>
      <c r="T99" s="26"/>
      <c r="U99" s="27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</row>
    <row r="100" spans="1:78" customFormat="1" ht="15" customHeight="1" x14ac:dyDescent="0.25">
      <c r="A100" s="9" t="str">
        <f t="shared" si="9"/>
        <v>CUSTO MARKET DATA - JUNHO/26-BLOOMBERG-24182</v>
      </c>
      <c r="B100" s="20">
        <v>46174</v>
      </c>
      <c r="C100" s="21">
        <v>817393</v>
      </c>
      <c r="D100" s="9" t="str">
        <f>IF(J100=0, "DANIEL TEIXEIRA SIQUEIRA GONÇALVES",IF(J100=57036,"ALEXANDRE DA COSTA SOARES",IF(J100=24157,"JOSE MAURICIO GOMES TEIXEIRA",IF(J100=24203,"JOSE MAURICIO GOMES TEIXEIRA",IF(J100=24149,"CHRISTIANO MARCONDES DE BARROS LIMA",IF(J100=24137,"CHRISTIANO MARCONDES DE BARROS LIMA",IF(J100=135152,"ENRICO BORTPLUZO CASSIANO",IF(J100=136568,"ENRICO BORTPLUZO CASSIANO", IF(J100=130976,"MARYLIA CARVALHO PONCE",IF(J100=136668,"ALEXANDRE DA COSTA SOARES",IF(J100=52340,"OFFSHORE LISTED",IF(J100=158778,"CLAUDIO DE SOUZA PACINI",IF(J100=159800,"CLAUDIO DE SOUZA PACINI",_xlfn.XLOOKUP(J100,[1]!Tabela33[ID ORACLE],[1]!Tabela33[BROKER],0,0,1))))))))))))))</f>
        <v>ANTONIO AGIZ FILHO</v>
      </c>
      <c r="E100" s="22">
        <f t="shared" si="10"/>
        <v>-11531.635110023599</v>
      </c>
      <c r="F100" s="9" t="str">
        <f t="shared" si="11"/>
        <v>BLOOMBERG</v>
      </c>
      <c r="G100" s="20">
        <f t="shared" si="8"/>
        <v>46174</v>
      </c>
      <c r="H100" s="23">
        <v>1170</v>
      </c>
      <c r="J100" s="45">
        <v>24182</v>
      </c>
      <c r="K100" s="45" t="s">
        <v>41</v>
      </c>
      <c r="L100" s="45" t="s">
        <v>12</v>
      </c>
      <c r="M100" s="45">
        <v>2227.6465459999999</v>
      </c>
      <c r="O100" s="1"/>
      <c r="P100" s="26"/>
      <c r="Q100" s="27"/>
      <c r="R100" s="27"/>
      <c r="S100" s="27"/>
      <c r="T100" s="26"/>
      <c r="U100" s="27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</row>
    <row r="101" spans="1:78" customFormat="1" ht="15" customHeight="1" x14ac:dyDescent="0.25">
      <c r="A101" s="9" t="str">
        <f t="shared" si="9"/>
        <v>CUSTO MARKET DATA - JUNHO/26-REFINITIV-24183</v>
      </c>
      <c r="B101" s="20">
        <v>46174</v>
      </c>
      <c r="C101" s="21">
        <v>817393</v>
      </c>
      <c r="D101" s="9" t="str">
        <f>IF(J101=0, "DANIEL TEIXEIRA SIQUEIRA GONÇALVES",IF(J101=57036,"ALEXANDRE DA COSTA SOARES",IF(J101=24157,"JOSE MAURICIO GOMES TEIXEIRA",IF(J101=24203,"JOSE MAURICIO GOMES TEIXEIRA",IF(J101=24149,"CHRISTIANO MARCONDES DE BARROS LIMA",IF(J101=24137,"CHRISTIANO MARCONDES DE BARROS LIMA",IF(J101=135152,"ENRICO BORTPLUZO CASSIANO",IF(J101=136568,"ENRICO BORTPLUZO CASSIANO", IF(J101=130976,"MARYLIA CARVALHO PONCE",IF(J101=136668,"ALEXANDRE DA COSTA SOARES",IF(J101=52340,"OFFSHORE LISTED",IF(J101=158778,"CLAUDIO DE SOUZA PACINI",IF(J101=159800,"CLAUDIO DE SOUZA PACINI",_xlfn.XLOOKUP(J101,[1]!Tabela33[ID ORACLE],[1]!Tabela33[BROKER],0,0,1))))))))))))))</f>
        <v>CARLA REGINA DE SOUZA CARREIRA</v>
      </c>
      <c r="E101" s="22">
        <f t="shared" si="10"/>
        <v>-143.09587270439999</v>
      </c>
      <c r="F101" s="9" t="str">
        <f t="shared" si="11"/>
        <v>REFINITIV</v>
      </c>
      <c r="G101" s="20">
        <f t="shared" si="8"/>
        <v>46174</v>
      </c>
      <c r="H101" s="23">
        <v>1170</v>
      </c>
      <c r="J101" s="45">
        <v>24183</v>
      </c>
      <c r="K101" s="45" t="s">
        <v>42</v>
      </c>
      <c r="L101" s="45" t="s">
        <v>17</v>
      </c>
      <c r="M101" s="45">
        <v>20.848212</v>
      </c>
      <c r="O101" s="1"/>
      <c r="P101" s="26"/>
      <c r="Q101" s="27"/>
      <c r="R101" s="27"/>
      <c r="S101" s="27"/>
      <c r="T101" s="26"/>
      <c r="U101" s="27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</row>
    <row r="102" spans="1:78" customFormat="1" ht="15" customHeight="1" x14ac:dyDescent="0.25">
      <c r="A102" s="9" t="str">
        <f t="shared" si="9"/>
        <v>CUSTO MARKET DATA - JUNHO/26-BLOOMBERG-24184</v>
      </c>
      <c r="B102" s="20">
        <v>46174</v>
      </c>
      <c r="C102" s="21">
        <v>817393</v>
      </c>
      <c r="D102" s="9" t="str">
        <f>IF(J102=0, "DANIEL TEIXEIRA SIQUEIRA GONÇALVES",IF(J102=57036,"ALEXANDRE DA COSTA SOARES",IF(J102=24157,"JOSE MAURICIO GOMES TEIXEIRA",IF(J102=24203,"JOSE MAURICIO GOMES TEIXEIRA",IF(J102=24149,"CHRISTIANO MARCONDES DE BARROS LIMA",IF(J102=24137,"CHRISTIANO MARCONDES DE BARROS LIMA",IF(J102=135152,"ENRICO BORTPLUZO CASSIANO",IF(J102=136568,"ENRICO BORTPLUZO CASSIANO", IF(J102=130976,"MARYLIA CARVALHO PONCE",IF(J102=136668,"ALEXANDRE DA COSTA SOARES",IF(J102=52340,"OFFSHORE LISTED",IF(J102=158778,"CLAUDIO DE SOUZA PACINI",IF(J102=159800,"CLAUDIO DE SOUZA PACINI",_xlfn.XLOOKUP(J102,[1]!Tabela33[ID ORACLE],[1]!Tabela33[BROKER],0,0,1))))))))))))))</f>
        <v>CHRISTIANO MARCONDES DE BARROS LIMA</v>
      </c>
      <c r="E102" s="22">
        <f t="shared" si="10"/>
        <v>-12801.972750023599</v>
      </c>
      <c r="F102" s="9" t="str">
        <f t="shared" si="11"/>
        <v>BLOOMBERG</v>
      </c>
      <c r="G102" s="20">
        <f t="shared" si="8"/>
        <v>46174</v>
      </c>
      <c r="H102" s="23">
        <v>1170</v>
      </c>
      <c r="J102" s="45">
        <v>24184</v>
      </c>
      <c r="K102" s="45" t="s">
        <v>41</v>
      </c>
      <c r="L102" s="45" t="s">
        <v>12</v>
      </c>
      <c r="M102" s="45">
        <v>2473.046546</v>
      </c>
      <c r="O102" s="1"/>
      <c r="P102" s="26"/>
      <c r="Q102" s="27"/>
      <c r="R102" s="27"/>
      <c r="S102" s="27"/>
      <c r="T102" s="26"/>
      <c r="U102" s="27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</row>
    <row r="103" spans="1:78" customFormat="1" ht="15" customHeight="1" x14ac:dyDescent="0.25">
      <c r="A103" s="9" t="str">
        <f t="shared" si="9"/>
        <v>CUSTO MARKET DATA - JUNHO/26-REFINITIV-24184</v>
      </c>
      <c r="B103" s="20">
        <v>46174</v>
      </c>
      <c r="C103" s="21">
        <v>817393</v>
      </c>
      <c r="D103" s="9" t="str">
        <f>IF(J103=0, "DANIEL TEIXEIRA SIQUEIRA GONÇALVES",IF(J103=57036,"ALEXANDRE DA COSTA SOARES",IF(J103=24157,"JOSE MAURICIO GOMES TEIXEIRA",IF(J103=24203,"JOSE MAURICIO GOMES TEIXEIRA",IF(J103=24149,"CHRISTIANO MARCONDES DE BARROS LIMA",IF(J103=24137,"CHRISTIANO MARCONDES DE BARROS LIMA",IF(J103=135152,"ENRICO BORTPLUZO CASSIANO",IF(J103=136568,"ENRICO BORTPLUZO CASSIANO", IF(J103=130976,"MARYLIA CARVALHO PONCE",IF(J103=136668,"ALEXANDRE DA COSTA SOARES",IF(J103=52340,"OFFSHORE LISTED",IF(J103=158778,"CLAUDIO DE SOUZA PACINI",IF(J103=159800,"CLAUDIO DE SOUZA PACINI",_xlfn.XLOOKUP(J103,[1]!Tabela33[ID ORACLE],[1]!Tabela33[BROKER],0,0,1))))))))))))))</f>
        <v>CHRISTIANO MARCONDES DE BARROS LIMA</v>
      </c>
      <c r="E103" s="22">
        <f t="shared" si="10"/>
        <v>-143.09587270439999</v>
      </c>
      <c r="F103" s="9" t="str">
        <f t="shared" si="11"/>
        <v>REFINITIV</v>
      </c>
      <c r="G103" s="20">
        <f t="shared" si="8"/>
        <v>46174</v>
      </c>
      <c r="H103" s="23">
        <v>1170</v>
      </c>
      <c r="J103" s="45">
        <v>24184</v>
      </c>
      <c r="K103" s="45" t="s">
        <v>42</v>
      </c>
      <c r="L103" s="45" t="s">
        <v>17</v>
      </c>
      <c r="M103" s="45">
        <v>20.848212</v>
      </c>
      <c r="O103" s="1"/>
      <c r="P103" s="26"/>
      <c r="Q103" s="27"/>
      <c r="R103" s="27"/>
      <c r="S103" s="27"/>
      <c r="T103" s="26"/>
      <c r="U103" s="27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</row>
    <row r="104" spans="1:78" customFormat="1" ht="15" customHeight="1" x14ac:dyDescent="0.25">
      <c r="A104" s="9" t="str">
        <f t="shared" si="9"/>
        <v>CUSTO MARKET DATA - JUNHO/26-REFINITIV-24189</v>
      </c>
      <c r="B104" s="20">
        <v>46174</v>
      </c>
      <c r="C104" s="21">
        <v>817393</v>
      </c>
      <c r="D104" s="9" t="str">
        <f>IF(J104=0, "DANIEL TEIXEIRA SIQUEIRA GONÇALVES",IF(J104=57036,"ALEXANDRE DA COSTA SOARES",IF(J104=24157,"JOSE MAURICIO GOMES TEIXEIRA",IF(J104=24203,"JOSE MAURICIO GOMES TEIXEIRA",IF(J104=24149,"CHRISTIANO MARCONDES DE BARROS LIMA",IF(J104=24137,"CHRISTIANO MARCONDES DE BARROS LIMA",IF(J104=135152,"ENRICO BORTPLUZO CASSIANO",IF(J104=136568,"ENRICO BORTPLUZO CASSIANO", IF(J104=130976,"MARYLIA CARVALHO PONCE",IF(J104=136668,"ALEXANDRE DA COSTA SOARES",IF(J104=52340,"OFFSHORE LISTED",IF(J104=158778,"CLAUDIO DE SOUZA PACINI",IF(J104=159800,"CLAUDIO DE SOUZA PACINI",_xlfn.XLOOKUP(J104,[1]!Tabela33[ID ORACLE],[1]!Tabela33[BROKER],0,0,1))))))))))))))</f>
        <v>VINICIUS AMARAL DE MOURA</v>
      </c>
      <c r="E104" s="22">
        <f t="shared" si="10"/>
        <v>-143.09587270439999</v>
      </c>
      <c r="F104" s="9" t="str">
        <f t="shared" si="11"/>
        <v>REFINITIV</v>
      </c>
      <c r="G104" s="20">
        <f t="shared" si="8"/>
        <v>46174</v>
      </c>
      <c r="H104" s="23">
        <v>1170</v>
      </c>
      <c r="J104" s="45">
        <v>24189</v>
      </c>
      <c r="K104" s="45" t="s">
        <v>42</v>
      </c>
      <c r="L104" s="45" t="s">
        <v>17</v>
      </c>
      <c r="M104" s="45">
        <v>20.848212</v>
      </c>
      <c r="O104" s="1"/>
      <c r="P104" s="26"/>
      <c r="Q104" s="27"/>
      <c r="R104" s="27"/>
      <c r="S104" s="27"/>
      <c r="T104" s="26"/>
      <c r="U104" s="27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</row>
    <row r="105" spans="1:78" customFormat="1" ht="15" customHeight="1" x14ac:dyDescent="0.25">
      <c r="A105" s="9" t="str">
        <f t="shared" si="9"/>
        <v>CUSTO MARKET DATA - JUNHO/26-REFINITIV-24199</v>
      </c>
      <c r="B105" s="20">
        <v>46174</v>
      </c>
      <c r="C105" s="21">
        <v>817393</v>
      </c>
      <c r="D105" s="9" t="str">
        <f>IF(J105=0, "DANIEL TEIXEIRA SIQUEIRA GONÇALVES",IF(J105=57036,"ALEXANDRE DA COSTA SOARES",IF(J105=24157,"JOSE MAURICIO GOMES TEIXEIRA",IF(J105=24203,"JOSE MAURICIO GOMES TEIXEIRA",IF(J105=24149,"CHRISTIANO MARCONDES DE BARROS LIMA",IF(J105=24137,"CHRISTIANO MARCONDES DE BARROS LIMA",IF(J105=135152,"ENRICO BORTPLUZO CASSIANO",IF(J105=136568,"ENRICO BORTPLUZO CASSIANO", IF(J105=130976,"MARYLIA CARVALHO PONCE",IF(J105=136668,"ALEXANDRE DA COSTA SOARES",IF(J105=52340,"OFFSHORE LISTED",IF(J105=158778,"CLAUDIO DE SOUZA PACINI",IF(J105=159800,"CLAUDIO DE SOUZA PACINI",_xlfn.XLOOKUP(J105,[1]!Tabela33[ID ORACLE],[1]!Tabela33[BROKER],0,0,1))))))))))))))</f>
        <v>RICARDO FERREIRA DA COSTA</v>
      </c>
      <c r="E105" s="22">
        <f t="shared" si="10"/>
        <v>-143.09587270439999</v>
      </c>
      <c r="F105" s="9" t="str">
        <f t="shared" si="11"/>
        <v>REFINITIV</v>
      </c>
      <c r="G105" s="20">
        <f t="shared" si="8"/>
        <v>46174</v>
      </c>
      <c r="H105" s="23">
        <v>1170</v>
      </c>
      <c r="J105" s="45">
        <v>24199</v>
      </c>
      <c r="K105" s="45" t="s">
        <v>42</v>
      </c>
      <c r="L105" s="45" t="s">
        <v>17</v>
      </c>
      <c r="M105" s="45">
        <v>20.848212</v>
      </c>
      <c r="O105" s="1"/>
      <c r="P105" s="26"/>
      <c r="Q105" s="27"/>
      <c r="R105" s="27"/>
      <c r="S105" s="28"/>
      <c r="T105" s="26"/>
      <c r="U105" s="28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</row>
    <row r="106" spans="1:78" customFormat="1" ht="15" customHeight="1" x14ac:dyDescent="0.25">
      <c r="A106" s="9" t="str">
        <f t="shared" si="9"/>
        <v>CUSTO MARKET DATA - JUNHO/26-BLOOMBERG-24203</v>
      </c>
      <c r="B106" s="20">
        <v>46174</v>
      </c>
      <c r="C106" s="21">
        <v>817393</v>
      </c>
      <c r="D106" s="9" t="str">
        <f>IF(J106=0, "DANIEL TEIXEIRA SIQUEIRA GONÇALVES",IF(J106=57036,"ALEXANDRE DA COSTA SOARES",IF(J106=24157,"JOSE MAURICIO GOMES TEIXEIRA",IF(J106=24203,"JOSE MAURICIO GOMES TEIXEIRA",IF(J106=24149,"CHRISTIANO MARCONDES DE BARROS LIMA",IF(J106=24137,"CHRISTIANO MARCONDES DE BARROS LIMA",IF(J106=135152,"ENRICO BORTPLUZO CASSIANO",IF(J106=136568,"ENRICO BORTPLUZO CASSIANO", IF(J106=130976,"MARYLIA CARVALHO PONCE",IF(J106=136668,"ALEXANDRE DA COSTA SOARES",IF(J106=52340,"OFFSHORE LISTED",IF(J106=158778,"CLAUDIO DE SOUZA PACINI",IF(J106=159800,"CLAUDIO DE SOUZA PACINI",_xlfn.XLOOKUP(J106,[1]!Tabela33[ID ORACLE],[1]!Tabela33[BROKER],0,0,1))))))))))))))</f>
        <v>JOSE MAURICIO GOMES TEIXEIRA</v>
      </c>
      <c r="E106" s="22">
        <f t="shared" si="10"/>
        <v>-12535.377850023599</v>
      </c>
      <c r="F106" s="9" t="str">
        <f t="shared" si="11"/>
        <v>BLOOMBERG</v>
      </c>
      <c r="G106" s="20">
        <f t="shared" si="8"/>
        <v>46174</v>
      </c>
      <c r="H106" s="23">
        <v>1170</v>
      </c>
      <c r="J106" s="45">
        <v>24203</v>
      </c>
      <c r="K106" s="45" t="s">
        <v>41</v>
      </c>
      <c r="L106" s="45" t="s">
        <v>12</v>
      </c>
      <c r="M106" s="45">
        <v>2421.546546</v>
      </c>
      <c r="O106" s="1"/>
      <c r="P106" s="26"/>
      <c r="Q106" s="27"/>
      <c r="R106" s="27"/>
      <c r="S106" s="28"/>
      <c r="T106" s="26"/>
      <c r="U106" s="28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</row>
    <row r="107" spans="1:78" customFormat="1" ht="15" customHeight="1" x14ac:dyDescent="0.25">
      <c r="A107" s="9" t="str">
        <f t="shared" si="9"/>
        <v>CUSTO MARKET DATA - JUNHO/26-REFINITIV-24237</v>
      </c>
      <c r="B107" s="20">
        <v>46174</v>
      </c>
      <c r="C107" s="21">
        <v>817393</v>
      </c>
      <c r="D107" s="9" t="str">
        <f>IF(J107=0, "DANIEL TEIXEIRA SIQUEIRA GONÇALVES",IF(J107=57036,"ALEXANDRE DA COSTA SOARES",IF(J107=24157,"JOSE MAURICIO GOMES TEIXEIRA",IF(J107=24203,"JOSE MAURICIO GOMES TEIXEIRA",IF(J107=24149,"CHRISTIANO MARCONDES DE BARROS LIMA",IF(J107=24137,"CHRISTIANO MARCONDES DE BARROS LIMA",IF(J107=135152,"ENRICO BORTPLUZO CASSIANO",IF(J107=136568,"ENRICO BORTPLUZO CASSIANO", IF(J107=130976,"MARYLIA CARVALHO PONCE",IF(J107=136668,"ALEXANDRE DA COSTA SOARES",IF(J107=52340,"OFFSHORE LISTED",IF(J107=158778,"CLAUDIO DE SOUZA PACINI",IF(J107=159800,"CLAUDIO DE SOUZA PACINI",_xlfn.XLOOKUP(J107,[1]!Tabela33[ID ORACLE],[1]!Tabela33[BROKER],0,0,1))))))))))))))</f>
        <v>EDUARDO TADEU CARAPIA UTTEMBERG</v>
      </c>
      <c r="E107" s="22">
        <f t="shared" si="10"/>
        <v>-143.09587270439999</v>
      </c>
      <c r="F107" s="9" t="str">
        <f t="shared" si="11"/>
        <v>REFINITIV</v>
      </c>
      <c r="G107" s="20">
        <f t="shared" si="8"/>
        <v>46174</v>
      </c>
      <c r="H107" s="23">
        <v>1170</v>
      </c>
      <c r="J107" s="45">
        <v>24237</v>
      </c>
      <c r="K107" s="45" t="s">
        <v>42</v>
      </c>
      <c r="L107" s="45" t="s">
        <v>17</v>
      </c>
      <c r="M107" s="45">
        <v>20.848212</v>
      </c>
      <c r="O107" s="1"/>
      <c r="P107" s="26"/>
      <c r="Q107" s="27"/>
      <c r="R107" s="27"/>
      <c r="S107" s="28"/>
      <c r="T107" s="26"/>
      <c r="U107" s="28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</row>
    <row r="108" spans="1:78" customFormat="1" ht="15" customHeight="1" x14ac:dyDescent="0.25">
      <c r="A108" s="9" t="str">
        <f t="shared" si="9"/>
        <v>CUSTO MARKET DATA - JUNHO/26-BLOOMBERG-24243</v>
      </c>
      <c r="B108" s="20">
        <v>46174</v>
      </c>
      <c r="C108" s="21">
        <v>817393</v>
      </c>
      <c r="D108" s="9" t="str">
        <f>IF(J108=0, "DANIEL TEIXEIRA SIQUEIRA GONÇALVES",IF(J108=57036,"ALEXANDRE DA COSTA SOARES",IF(J108=24157,"JOSE MAURICIO GOMES TEIXEIRA",IF(J108=24203,"JOSE MAURICIO GOMES TEIXEIRA",IF(J108=24149,"CHRISTIANO MARCONDES DE BARROS LIMA",IF(J108=24137,"CHRISTIANO MARCONDES DE BARROS LIMA",IF(J108=135152,"ENRICO BORTPLUZO CASSIANO",IF(J108=136568,"ENRICO BORTPLUZO CASSIANO", IF(J108=130976,"MARYLIA CARVALHO PONCE",IF(J108=136668,"ALEXANDRE DA COSTA SOARES",IF(J108=52340,"OFFSHORE LISTED",IF(J108=158778,"CLAUDIO DE SOUZA PACINI",IF(J108=159800,"CLAUDIO DE SOUZA PACINI",_xlfn.XLOOKUP(J108,[1]!Tabela33[ID ORACLE],[1]!Tabela33[BROKER],0,0,1))))))))))))))</f>
        <v>JOSÉ VERGARA</v>
      </c>
      <c r="E108" s="22">
        <f t="shared" si="10"/>
        <v>-11709.192490023599</v>
      </c>
      <c r="F108" s="9" t="str">
        <f t="shared" si="11"/>
        <v>BLOOMBERG</v>
      </c>
      <c r="G108" s="20">
        <f t="shared" si="8"/>
        <v>46174</v>
      </c>
      <c r="H108" s="23">
        <v>1170</v>
      </c>
      <c r="J108" s="45">
        <v>24243</v>
      </c>
      <c r="K108" s="45" t="s">
        <v>41</v>
      </c>
      <c r="L108" s="45" t="s">
        <v>12</v>
      </c>
      <c r="M108" s="45">
        <v>2261.9465460000001</v>
      </c>
      <c r="O108" s="1"/>
      <c r="P108" s="26"/>
      <c r="Q108" s="27"/>
      <c r="R108" s="27"/>
      <c r="S108" s="28"/>
      <c r="T108" s="26"/>
      <c r="U108" s="28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</row>
    <row r="109" spans="1:78" customFormat="1" ht="15" customHeight="1" x14ac:dyDescent="0.25">
      <c r="A109" s="9" t="str">
        <f t="shared" si="9"/>
        <v>CUSTO MARKET DATA - JUNHO/26-BLOOMBERG-36538</v>
      </c>
      <c r="B109" s="20">
        <v>46174</v>
      </c>
      <c r="C109" s="21">
        <v>817393</v>
      </c>
      <c r="D109" s="9" t="str">
        <f>IF(J109=0, "DANIEL TEIXEIRA SIQUEIRA GONÇALVES",IF(J109=57036,"ALEXANDRE DA COSTA SOARES",IF(J109=24157,"JOSE MAURICIO GOMES TEIXEIRA",IF(J109=24203,"JOSE MAURICIO GOMES TEIXEIRA",IF(J109=24149,"CHRISTIANO MARCONDES DE BARROS LIMA",IF(J109=24137,"CHRISTIANO MARCONDES DE BARROS LIMA",IF(J109=135152,"ENRICO BORTPLUZO CASSIANO",IF(J109=136568,"ENRICO BORTPLUZO CASSIANO", IF(J109=130976,"MARYLIA CARVALHO PONCE",IF(J109=136668,"ALEXANDRE DA COSTA SOARES",IF(J109=52340,"OFFSHORE LISTED",IF(J109=158778,"CLAUDIO DE SOUZA PACINI",IF(J109=159800,"CLAUDIO DE SOUZA PACINI",_xlfn.XLOOKUP(J109,[1]!Tabela33[ID ORACLE],[1]!Tabela33[BROKER],0,0,1))))))))))))))</f>
        <v>CLYBAS PINTO FERRAZ NETO</v>
      </c>
      <c r="E109" s="22">
        <f t="shared" si="10"/>
        <v>-11709.192490023599</v>
      </c>
      <c r="F109" s="9" t="str">
        <f t="shared" si="11"/>
        <v>BLOOMBERG</v>
      </c>
      <c r="G109" s="20">
        <f t="shared" si="8"/>
        <v>46174</v>
      </c>
      <c r="H109" s="23">
        <v>1170</v>
      </c>
      <c r="J109" s="45">
        <v>36538</v>
      </c>
      <c r="K109" s="45" t="s">
        <v>41</v>
      </c>
      <c r="L109" s="45" t="s">
        <v>12</v>
      </c>
      <c r="M109" s="45">
        <v>2261.9465460000001</v>
      </c>
      <c r="O109" s="1"/>
      <c r="P109" s="26"/>
      <c r="Q109" s="27"/>
      <c r="R109" s="27"/>
      <c r="S109" s="28"/>
      <c r="T109" s="26"/>
      <c r="U109" s="28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</row>
    <row r="110" spans="1:78" customFormat="1" ht="15" customHeight="1" x14ac:dyDescent="0.25">
      <c r="A110" s="9" t="str">
        <f t="shared" si="9"/>
        <v>CUSTO MARKET DATA - JUNHO/26-REFINITIV-36538</v>
      </c>
      <c r="B110" s="20">
        <v>46174</v>
      </c>
      <c r="C110" s="21">
        <v>817393</v>
      </c>
      <c r="D110" s="9" t="str">
        <f>IF(J110=0, "DANIEL TEIXEIRA SIQUEIRA GONÇALVES",IF(J110=57036,"ALEXANDRE DA COSTA SOARES",IF(J110=24157,"JOSE MAURICIO GOMES TEIXEIRA",IF(J110=24203,"JOSE MAURICIO GOMES TEIXEIRA",IF(J110=24149,"CHRISTIANO MARCONDES DE BARROS LIMA",IF(J110=24137,"CHRISTIANO MARCONDES DE BARROS LIMA",IF(J110=135152,"ENRICO BORTPLUZO CASSIANO",IF(J110=136568,"ENRICO BORTPLUZO CASSIANO", IF(J110=130976,"MARYLIA CARVALHO PONCE",IF(J110=136668,"ALEXANDRE DA COSTA SOARES",IF(J110=52340,"OFFSHORE LISTED",IF(J110=158778,"CLAUDIO DE SOUZA PACINI",IF(J110=159800,"CLAUDIO DE SOUZA PACINI",_xlfn.XLOOKUP(J110,[1]!Tabela33[ID ORACLE],[1]!Tabela33[BROKER],0,0,1))))))))))))))</f>
        <v>CLYBAS PINTO FERRAZ NETO</v>
      </c>
      <c r="E110" s="22">
        <f t="shared" si="10"/>
        <v>-143.09587270439999</v>
      </c>
      <c r="F110" s="9" t="str">
        <f t="shared" si="11"/>
        <v>REFINITIV</v>
      </c>
      <c r="G110" s="20">
        <f t="shared" si="8"/>
        <v>46174</v>
      </c>
      <c r="H110" s="23">
        <v>1170</v>
      </c>
      <c r="J110" s="45">
        <v>36538</v>
      </c>
      <c r="K110" s="45" t="s">
        <v>42</v>
      </c>
      <c r="L110" s="45" t="s">
        <v>17</v>
      </c>
      <c r="M110" s="45">
        <v>20.848212</v>
      </c>
      <c r="O110" s="1"/>
      <c r="P110" s="26"/>
      <c r="Q110" s="27"/>
      <c r="R110" s="27"/>
      <c r="S110" s="28"/>
      <c r="T110" s="26"/>
      <c r="U110" s="28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</row>
    <row r="111" spans="1:78" customFormat="1" ht="15" customHeight="1" x14ac:dyDescent="0.25">
      <c r="A111" s="9" t="str">
        <f t="shared" si="9"/>
        <v>CUSTO MARKET DATA - JUNHO/26-BLOOMBERG-52340</v>
      </c>
      <c r="B111" s="20">
        <v>46174</v>
      </c>
      <c r="C111" s="21">
        <v>817393</v>
      </c>
      <c r="D111" s="9" t="str">
        <f>IF(J111=0, "DANIEL TEIXEIRA SIQUEIRA GONÇALVES",IF(J111=57036,"ALEXANDRE DA COSTA SOARES",IF(J111=24157,"JOSE MAURICIO GOMES TEIXEIRA",IF(J111=24203,"JOSE MAURICIO GOMES TEIXEIRA",IF(J111=24149,"CHRISTIANO MARCONDES DE BARROS LIMA",IF(J111=24137,"CHRISTIANO MARCONDES DE BARROS LIMA",IF(J111=135152,"ENRICO BORTPLUZO CASSIANO",IF(J111=136568,"ENRICO BORTPLUZO CASSIANO", IF(J111=130976,"MARYLIA CARVALHO PONCE",IF(J111=136668,"ALEXANDRE DA COSTA SOARES",IF(J111=52340,"OFFSHORE LISTED",IF(J111=158778,"CLAUDIO DE SOUZA PACINI",IF(J111=159800,"CLAUDIO DE SOUZA PACINI",_xlfn.XLOOKUP(J111,[1]!Tabela33[ID ORACLE],[1]!Tabela33[BROKER],0,0,1))))))))))))))</f>
        <v>OFFSHORE LISTED</v>
      </c>
      <c r="E111" s="22">
        <f t="shared" si="10"/>
        <v>-13846.610630023597</v>
      </c>
      <c r="F111" s="9" t="str">
        <f t="shared" si="11"/>
        <v>BLOOMBERG</v>
      </c>
      <c r="G111" s="20">
        <f t="shared" si="8"/>
        <v>46174</v>
      </c>
      <c r="H111" s="23">
        <v>1170</v>
      </c>
      <c r="J111" s="45">
        <v>52340</v>
      </c>
      <c r="K111" s="45" t="s">
        <v>41</v>
      </c>
      <c r="L111" s="45" t="s">
        <v>12</v>
      </c>
      <c r="M111" s="45">
        <v>2674.8465459999998</v>
      </c>
      <c r="O111" s="1"/>
      <c r="P111" s="26"/>
      <c r="Q111" s="27"/>
      <c r="R111" s="27"/>
      <c r="S111" s="42"/>
      <c r="T111" s="26"/>
      <c r="U111" s="42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</row>
    <row r="112" spans="1:78" customFormat="1" ht="15" customHeight="1" x14ac:dyDescent="0.25">
      <c r="A112" s="9" t="str">
        <f t="shared" si="9"/>
        <v>CUSTO MARKET DATA - JUNHO/26-FIDESSA-52340</v>
      </c>
      <c r="B112" s="20">
        <v>46174</v>
      </c>
      <c r="C112" s="21">
        <v>817393</v>
      </c>
      <c r="D112" s="9" t="str">
        <f>IF(J112=0, "DANIEL TEIXEIRA SIQUEIRA GONÇALVES",IF(J112=57036,"ALEXANDRE DA COSTA SOARES",IF(J112=24157,"JOSE MAURICIO GOMES TEIXEIRA",IF(J112=24203,"JOSE MAURICIO GOMES TEIXEIRA",IF(J112=24149,"CHRISTIANO MARCONDES DE BARROS LIMA",IF(J112=24137,"CHRISTIANO MARCONDES DE BARROS LIMA",IF(J112=135152,"ENRICO BORTPLUZO CASSIANO",IF(J112=136568,"ENRICO BORTPLUZO CASSIANO", IF(J112=130976,"MARYLIA CARVALHO PONCE",IF(J112=136668,"ALEXANDRE DA COSTA SOARES",IF(J112=52340,"OFFSHORE LISTED",IF(J112=158778,"CLAUDIO DE SOUZA PACINI",IF(J112=159800,"CLAUDIO DE SOUZA PACINI",_xlfn.XLOOKUP(J112,[1]!Tabela33[ID ORACLE],[1]!Tabela33[BROKER],0,0,1))))))))))))))</f>
        <v>OFFSHORE LISTED</v>
      </c>
      <c r="E112" s="22">
        <f t="shared" si="10"/>
        <v>-1801.1039525907997</v>
      </c>
      <c r="F112" s="9" t="str">
        <f t="shared" si="11"/>
        <v>FIDESSA</v>
      </c>
      <c r="G112" s="20">
        <f t="shared" si="8"/>
        <v>46174</v>
      </c>
      <c r="H112" s="23">
        <v>1170</v>
      </c>
      <c r="J112" s="45">
        <v>52340</v>
      </c>
      <c r="K112" s="45" t="s">
        <v>47</v>
      </c>
      <c r="L112" s="45" t="s">
        <v>12</v>
      </c>
      <c r="M112" s="45">
        <v>347.93183799999997</v>
      </c>
      <c r="O112" s="1"/>
      <c r="P112" s="26"/>
      <c r="Q112" s="27"/>
      <c r="R112" s="27"/>
      <c r="S112" s="42"/>
      <c r="T112" s="26"/>
      <c r="U112" s="42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</row>
    <row r="113" spans="1:78" customFormat="1" ht="15" customHeight="1" x14ac:dyDescent="0.25">
      <c r="A113" s="9" t="str">
        <f t="shared" si="9"/>
        <v>CUSTO MARKET DATA - JUNHO/26-NYSE MARKET INC.-52340</v>
      </c>
      <c r="B113" s="20">
        <v>46174</v>
      </c>
      <c r="C113" s="21">
        <v>817393</v>
      </c>
      <c r="D113" s="9" t="str">
        <f>IF(J113=0, "DANIEL TEIXEIRA SIQUEIRA GONÇALVES",IF(J113=57036,"ALEXANDRE DA COSTA SOARES",IF(J113=24157,"JOSE MAURICIO GOMES TEIXEIRA",IF(J113=24203,"JOSE MAURICIO GOMES TEIXEIRA",IF(J113=24149,"CHRISTIANO MARCONDES DE BARROS LIMA",IF(J113=24137,"CHRISTIANO MARCONDES DE BARROS LIMA",IF(J113=135152,"ENRICO BORTPLUZO CASSIANO",IF(J113=136568,"ENRICO BORTPLUZO CASSIANO", IF(J113=130976,"MARYLIA CARVALHO PONCE",IF(J113=136668,"ALEXANDRE DA COSTA SOARES",IF(J113=52340,"OFFSHORE LISTED",IF(J113=158778,"CLAUDIO DE SOUZA PACINI",IF(J113=159800,"CLAUDIO DE SOUZA PACINI",_xlfn.XLOOKUP(J113,[1]!Tabela33[ID ORACLE],[1]!Tabela33[BROKER],0,0,1))))))))))))))</f>
        <v>OFFSHORE LISTED</v>
      </c>
      <c r="E113" s="22">
        <f t="shared" si="10"/>
        <v>-1887.9506629983996</v>
      </c>
      <c r="F113" s="9" t="str">
        <f t="shared" si="11"/>
        <v>NYSE MARKET INC.</v>
      </c>
      <c r="G113" s="20">
        <f t="shared" si="8"/>
        <v>46174</v>
      </c>
      <c r="H113" s="23">
        <v>1170</v>
      </c>
      <c r="J113" s="45">
        <v>52340</v>
      </c>
      <c r="K113" s="45" t="s">
        <v>44</v>
      </c>
      <c r="L113" s="45" t="s">
        <v>12</v>
      </c>
      <c r="M113" s="45">
        <v>364.70862399999993</v>
      </c>
      <c r="O113" s="1"/>
      <c r="P113" s="26"/>
      <c r="Q113" s="27"/>
      <c r="R113" s="27"/>
      <c r="S113" s="42"/>
      <c r="T113" s="26"/>
      <c r="U113" s="42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</row>
    <row r="114" spans="1:78" ht="15" customHeight="1" x14ac:dyDescent="0.25">
      <c r="A114" s="9" t="str">
        <f t="shared" si="9"/>
        <v>CUSTO MARKET DATA - JUNHO/26-OPTIONS PRICE REPORTING AUTHORITY (OPRA)-52340</v>
      </c>
      <c r="B114" s="20">
        <v>46174</v>
      </c>
      <c r="C114" s="21">
        <v>817393</v>
      </c>
      <c r="D114" s="9" t="str">
        <f>IF(J114=0, "DANIEL TEIXEIRA SIQUEIRA GONÇALVES",IF(J114=57036,"ALEXANDRE DA COSTA SOARES",IF(J114=24157,"JOSE MAURICIO GOMES TEIXEIRA",IF(J114=24203,"JOSE MAURICIO GOMES TEIXEIRA",IF(J114=24149,"CHRISTIANO MARCONDES DE BARROS LIMA",IF(J114=24137,"CHRISTIANO MARCONDES DE BARROS LIMA",IF(J114=135152,"ENRICO BORTPLUZO CASSIANO",IF(J114=136568,"ENRICO BORTPLUZO CASSIANO", IF(J114=130976,"MARYLIA CARVALHO PONCE",IF(J114=136668,"ALEXANDRE DA COSTA SOARES",IF(J114=52340,"OFFSHORE LISTED",IF(J114=158778,"CLAUDIO DE SOUZA PACINI",IF(J114=159800,"CLAUDIO DE SOUZA PACINI",_xlfn.XLOOKUP(J114,[1]!Tabela33[ID ORACLE],[1]!Tabela33[BROKER],0,0,1))))))))))))))</f>
        <v>OFFSHORE LISTED</v>
      </c>
      <c r="E114" s="22">
        <f t="shared" si="10"/>
        <v>-163.06289999999998</v>
      </c>
      <c r="F114" s="9" t="str">
        <f t="shared" si="11"/>
        <v>OPTIONS PRICE REPORTING AUTHORITY (OPRA)</v>
      </c>
      <c r="G114" s="20">
        <f t="shared" si="8"/>
        <v>46174</v>
      </c>
      <c r="H114" s="23">
        <v>1170</v>
      </c>
      <c r="J114" s="45">
        <v>52340</v>
      </c>
      <c r="K114" s="45" t="s">
        <v>45</v>
      </c>
      <c r="L114" s="45" t="s">
        <v>12</v>
      </c>
      <c r="M114" s="45">
        <v>31.5</v>
      </c>
      <c r="Q114" s="27"/>
      <c r="R114" s="27"/>
      <c r="S114" s="42"/>
      <c r="U114" s="42"/>
    </row>
    <row r="115" spans="1:78" ht="15" customHeight="1" x14ac:dyDescent="0.25">
      <c r="A115" s="9" t="str">
        <f t="shared" si="9"/>
        <v>CUSTO MARKET DATA - JUNHO/26-BLOOMBERG-56258</v>
      </c>
      <c r="B115" s="20">
        <v>46174</v>
      </c>
      <c r="C115" s="21">
        <v>817393</v>
      </c>
      <c r="D115" s="9" t="str">
        <f>IF(J115=0, "DANIEL TEIXEIRA SIQUEIRA GONÇALVES",IF(J115=57036,"ALEXANDRE DA COSTA SOARES",IF(J115=24157,"JOSE MAURICIO GOMES TEIXEIRA",IF(J115=24203,"JOSE MAURICIO GOMES TEIXEIRA",IF(J115=24149,"CHRISTIANO MARCONDES DE BARROS LIMA",IF(J115=24137,"CHRISTIANO MARCONDES DE BARROS LIMA",IF(J115=135152,"ENRICO BORTPLUZO CASSIANO",IF(J115=136568,"ENRICO BORTPLUZO CASSIANO", IF(J115=130976,"MARYLIA CARVALHO PONCE",IF(J115=136668,"ALEXANDRE DA COSTA SOARES",IF(J115=52340,"OFFSHORE LISTED",IF(J115=158778,"CLAUDIO DE SOUZA PACINI",IF(J115=159800,"CLAUDIO DE SOUZA PACINI",_xlfn.XLOOKUP(J115,[1]!Tabela33[ID ORACLE],[1]!Tabela33[BROKER],0,0,1))))))))))))))</f>
        <v>RAFFAELE SCURTI NETTO</v>
      </c>
      <c r="E115" s="22">
        <f t="shared" si="10"/>
        <v>-9398.1685897527987</v>
      </c>
      <c r="F115" s="9" t="str">
        <f t="shared" si="11"/>
        <v>BLOOMBERG</v>
      </c>
      <c r="G115" s="20">
        <f t="shared" si="8"/>
        <v>46174</v>
      </c>
      <c r="H115" s="23">
        <v>1170</v>
      </c>
      <c r="J115" s="45">
        <v>56258</v>
      </c>
      <c r="K115" s="45" t="s">
        <v>41</v>
      </c>
      <c r="L115" s="45" t="s">
        <v>12</v>
      </c>
      <c r="M115" s="45">
        <v>1815.509908</v>
      </c>
      <c r="Q115" s="27"/>
      <c r="R115" s="27"/>
      <c r="S115" s="42"/>
      <c r="U115" s="42"/>
    </row>
    <row r="116" spans="1:78" ht="15" customHeight="1" x14ac:dyDescent="0.25">
      <c r="A116" s="9" t="str">
        <f t="shared" si="9"/>
        <v>CUSTO MARKET DATA - JUNHO/26-REFINITIV-56258</v>
      </c>
      <c r="B116" s="20">
        <v>46174</v>
      </c>
      <c r="C116" s="21">
        <v>817393</v>
      </c>
      <c r="D116" s="9" t="str">
        <f>IF(J116=0, "DANIEL TEIXEIRA SIQUEIRA GONÇALVES",IF(J116=57036,"ALEXANDRE DA COSTA SOARES",IF(J116=24157,"JOSE MAURICIO GOMES TEIXEIRA",IF(J116=24203,"JOSE MAURICIO GOMES TEIXEIRA",IF(J116=24149,"CHRISTIANO MARCONDES DE BARROS LIMA",IF(J116=24137,"CHRISTIANO MARCONDES DE BARROS LIMA",IF(J116=135152,"ENRICO BORTPLUZO CASSIANO",IF(J116=136568,"ENRICO BORTPLUZO CASSIANO", IF(J116=130976,"MARYLIA CARVALHO PONCE",IF(J116=136668,"ALEXANDRE DA COSTA SOARES",IF(J116=52340,"OFFSHORE LISTED",IF(J116=158778,"CLAUDIO DE SOUZA PACINI",IF(J116=159800,"CLAUDIO DE SOUZA PACINI",_xlfn.XLOOKUP(J116,[1]!Tabela33[ID ORACLE],[1]!Tabela33[BROKER],0,0,1))))))))))))))</f>
        <v>RAFFAELE SCURTI NETTO</v>
      </c>
      <c r="E116" s="22">
        <f t="shared" si="10"/>
        <v>-143.09587270439999</v>
      </c>
      <c r="F116" s="9" t="str">
        <f t="shared" si="11"/>
        <v>REFINITIV</v>
      </c>
      <c r="G116" s="20">
        <f t="shared" si="8"/>
        <v>46174</v>
      </c>
      <c r="H116" s="23">
        <v>1170</v>
      </c>
      <c r="J116" s="45">
        <v>56258</v>
      </c>
      <c r="K116" s="45" t="s">
        <v>42</v>
      </c>
      <c r="L116" s="45" t="s">
        <v>17</v>
      </c>
      <c r="M116" s="45">
        <v>20.848212</v>
      </c>
      <c r="Q116" s="27"/>
      <c r="R116" s="27"/>
      <c r="S116" s="42"/>
      <c r="U116" s="42"/>
    </row>
    <row r="117" spans="1:78" ht="15" customHeight="1" x14ac:dyDescent="0.25">
      <c r="A117" s="9" t="str">
        <f t="shared" si="9"/>
        <v>CUSTO MARKET DATA - JUNHO/26-BLOOMBERG-57036</v>
      </c>
      <c r="B117" s="20">
        <v>46174</v>
      </c>
      <c r="C117" s="21">
        <v>817393</v>
      </c>
      <c r="D117" s="9" t="str">
        <f>IF(J117=0, "DANIEL TEIXEIRA SIQUEIRA GONÇALVES",IF(J117=57036,"ALEXANDRE DA COSTA SOARES",IF(J117=24157,"JOSE MAURICIO GOMES TEIXEIRA",IF(J117=24203,"JOSE MAURICIO GOMES TEIXEIRA",IF(J117=24149,"CHRISTIANO MARCONDES DE BARROS LIMA",IF(J117=24137,"CHRISTIANO MARCONDES DE BARROS LIMA",IF(J117=135152,"ENRICO BORTPLUZO CASSIANO",IF(J117=136568,"ENRICO BORTPLUZO CASSIANO", IF(J117=130976,"MARYLIA CARVALHO PONCE",IF(J117=136668,"ALEXANDRE DA COSTA SOARES",IF(J117=52340,"OFFSHORE LISTED",IF(J117=158778,"CLAUDIO DE SOUZA PACINI",IF(J117=159800,"CLAUDIO DE SOUZA PACINI",_xlfn.XLOOKUP(J117,[1]!Tabela33[ID ORACLE],[1]!Tabela33[BROKER],0,0,1))))))))))))))</f>
        <v>ALEXANDRE DA COSTA SOARES</v>
      </c>
      <c r="E117" s="22">
        <f t="shared" si="10"/>
        <v>-13394.175790023597</v>
      </c>
      <c r="F117" s="9" t="str">
        <f t="shared" si="11"/>
        <v>BLOOMBERG</v>
      </c>
      <c r="G117" s="20">
        <f t="shared" si="8"/>
        <v>46174</v>
      </c>
      <c r="H117" s="23">
        <v>1170</v>
      </c>
      <c r="J117" s="45">
        <v>57036</v>
      </c>
      <c r="K117" s="45" t="s">
        <v>41</v>
      </c>
      <c r="L117" s="45" t="s">
        <v>12</v>
      </c>
      <c r="M117" s="45">
        <v>2587.4465459999997</v>
      </c>
      <c r="Q117" s="27"/>
      <c r="R117" s="27"/>
      <c r="S117" s="42"/>
      <c r="U117" s="42"/>
    </row>
    <row r="118" spans="1:78" ht="15" customHeight="1" x14ac:dyDescent="0.25">
      <c r="A118" s="9" t="str">
        <f t="shared" si="9"/>
        <v>CUSTO MARKET DATA - JUNHO/26-FIDESSA-57036</v>
      </c>
      <c r="B118" s="20">
        <v>46174</v>
      </c>
      <c r="C118" s="21">
        <v>817393</v>
      </c>
      <c r="D118" s="9" t="str">
        <f>IF(J118=0, "DANIEL TEIXEIRA SIQUEIRA GONÇALVES",IF(J118=57036,"ALEXANDRE DA COSTA SOARES",IF(J118=24157,"JOSE MAURICIO GOMES TEIXEIRA",IF(J118=24203,"JOSE MAURICIO GOMES TEIXEIRA",IF(J118=24149,"CHRISTIANO MARCONDES DE BARROS LIMA",IF(J118=24137,"CHRISTIANO MARCONDES DE BARROS LIMA",IF(J118=135152,"ENRICO BORTPLUZO CASSIANO",IF(J118=136568,"ENRICO BORTPLUZO CASSIANO", IF(J118=130976,"MARYLIA CARVALHO PONCE",IF(J118=136668,"ALEXANDRE DA COSTA SOARES",IF(J118=52340,"OFFSHORE LISTED",IF(J118=158778,"CLAUDIO DE SOUZA PACINI",IF(J118=159800,"CLAUDIO DE SOUZA PACINI",_xlfn.XLOOKUP(J118,[1]!Tabela33[ID ORACLE],[1]!Tabela33[BROKER],0,0,1))))))))))))))</f>
        <v>ALEXANDRE DA COSTA SOARES</v>
      </c>
      <c r="E118" s="22">
        <f t="shared" si="10"/>
        <v>-2198.7709702530001</v>
      </c>
      <c r="F118" s="9" t="str">
        <f t="shared" si="11"/>
        <v>FIDESSA</v>
      </c>
      <c r="G118" s="20">
        <f t="shared" si="8"/>
        <v>46174</v>
      </c>
      <c r="H118" s="23">
        <v>1170</v>
      </c>
      <c r="J118" s="45">
        <v>57036</v>
      </c>
      <c r="K118" s="45" t="s">
        <v>47</v>
      </c>
      <c r="L118" s="45" t="s">
        <v>12</v>
      </c>
      <c r="M118" s="45">
        <v>424.75195500000001</v>
      </c>
      <c r="Q118" s="27"/>
      <c r="R118" s="27"/>
      <c r="S118" s="42"/>
      <c r="U118" s="42"/>
    </row>
    <row r="119" spans="1:78" ht="15" customHeight="1" x14ac:dyDescent="0.25">
      <c r="A119" s="9" t="str">
        <f t="shared" si="9"/>
        <v>CUSTO MARKET DATA - JUNHO/26-NYSE MARKET INC.-57036</v>
      </c>
      <c r="B119" s="20">
        <v>46174</v>
      </c>
      <c r="C119" s="21">
        <v>817393</v>
      </c>
      <c r="D119" s="9" t="str">
        <f>IF(J119=0, "DANIEL TEIXEIRA SIQUEIRA GONÇALVES",IF(J119=57036,"ALEXANDRE DA COSTA SOARES",IF(J119=24157,"JOSE MAURICIO GOMES TEIXEIRA",IF(J119=24203,"JOSE MAURICIO GOMES TEIXEIRA",IF(J119=24149,"CHRISTIANO MARCONDES DE BARROS LIMA",IF(J119=24137,"CHRISTIANO MARCONDES DE BARROS LIMA",IF(J119=135152,"ENRICO BORTPLUZO CASSIANO",IF(J119=136568,"ENRICO BORTPLUZO CASSIANO", IF(J119=130976,"MARYLIA CARVALHO PONCE",IF(J119=136668,"ALEXANDRE DA COSTA SOARES",IF(J119=52340,"OFFSHORE LISTED",IF(J119=158778,"CLAUDIO DE SOUZA PACINI",IF(J119=159800,"CLAUDIO DE SOUZA PACINI",_xlfn.XLOOKUP(J119,[1]!Tabela33[ID ORACLE],[1]!Tabela33[BROKER],0,0,1))))))))))))))</f>
        <v>ALEXANDRE DA COSTA SOARES</v>
      </c>
      <c r="E119" s="22">
        <f t="shared" si="10"/>
        <v>-1216.6491749984</v>
      </c>
      <c r="F119" s="9" t="str">
        <f t="shared" si="11"/>
        <v>NYSE MARKET INC.</v>
      </c>
      <c r="G119" s="20">
        <f t="shared" si="8"/>
        <v>46174</v>
      </c>
      <c r="H119" s="23">
        <v>1170</v>
      </c>
      <c r="J119" s="45">
        <v>57036</v>
      </c>
      <c r="K119" s="45" t="s">
        <v>44</v>
      </c>
      <c r="L119" s="45" t="s">
        <v>12</v>
      </c>
      <c r="M119" s="45">
        <v>235.02862400000001</v>
      </c>
      <c r="Q119" s="27"/>
      <c r="R119" s="27"/>
      <c r="S119" s="42"/>
      <c r="U119" s="42"/>
    </row>
    <row r="120" spans="1:78" ht="15" customHeight="1" x14ac:dyDescent="0.25">
      <c r="A120" s="9" t="str">
        <f t="shared" si="9"/>
        <v>CUSTO MARKET DATA - JUNHO/26-OPTIONS PRICE REPORTING AUTHORITY (OPRA)-57036</v>
      </c>
      <c r="B120" s="20">
        <v>46174</v>
      </c>
      <c r="C120" s="21">
        <v>817393</v>
      </c>
      <c r="D120" s="9" t="str">
        <f>IF(J120=0, "DANIEL TEIXEIRA SIQUEIRA GONÇALVES",IF(J120=57036,"ALEXANDRE DA COSTA SOARES",IF(J120=24157,"JOSE MAURICIO GOMES TEIXEIRA",IF(J120=24203,"JOSE MAURICIO GOMES TEIXEIRA",IF(J120=24149,"CHRISTIANO MARCONDES DE BARROS LIMA",IF(J120=24137,"CHRISTIANO MARCONDES DE BARROS LIMA",IF(J120=135152,"ENRICO BORTPLUZO CASSIANO",IF(J120=136568,"ENRICO BORTPLUZO CASSIANO", IF(J120=130976,"MARYLIA CARVALHO PONCE",IF(J120=136668,"ALEXANDRE DA COSTA SOARES",IF(J120=52340,"OFFSHORE LISTED",IF(J120=158778,"CLAUDIO DE SOUZA PACINI",IF(J120=159800,"CLAUDIO DE SOUZA PACINI",_xlfn.XLOOKUP(J120,[1]!Tabela33[ID ORACLE],[1]!Tabela33[BROKER],0,0,1))))))))))))))</f>
        <v>ALEXANDRE DA COSTA SOARES</v>
      </c>
      <c r="E120" s="22">
        <f t="shared" si="10"/>
        <v>-340.59763237499999</v>
      </c>
      <c r="F120" s="9" t="str">
        <f t="shared" si="11"/>
        <v>OPTIONS PRICE REPORTING AUTHORITY (OPRA)</v>
      </c>
      <c r="G120" s="20">
        <f t="shared" si="8"/>
        <v>46174</v>
      </c>
      <c r="H120" s="23">
        <v>1170</v>
      </c>
      <c r="J120" s="45">
        <v>57036</v>
      </c>
      <c r="K120" s="45" t="s">
        <v>45</v>
      </c>
      <c r="L120" s="45" t="s">
        <v>12</v>
      </c>
      <c r="M120" s="45">
        <v>65.795625000000001</v>
      </c>
      <c r="Q120" s="27"/>
      <c r="R120" s="27"/>
      <c r="S120" s="42"/>
      <c r="U120" s="42"/>
    </row>
    <row r="121" spans="1:78" ht="15" customHeight="1" x14ac:dyDescent="0.25">
      <c r="A121" s="9" t="str">
        <f t="shared" si="9"/>
        <v>CUSTO MARKET DATA - JUNHO/26-REFINITIV-57036</v>
      </c>
      <c r="B121" s="20">
        <v>46174</v>
      </c>
      <c r="C121" s="21">
        <v>817393</v>
      </c>
      <c r="D121" s="9" t="str">
        <f>IF(J121=0, "DANIEL TEIXEIRA SIQUEIRA GONÇALVES",IF(J121=57036,"ALEXANDRE DA COSTA SOARES",IF(J121=24157,"JOSE MAURICIO GOMES TEIXEIRA",IF(J121=24203,"JOSE MAURICIO GOMES TEIXEIRA",IF(J121=24149,"CHRISTIANO MARCONDES DE BARROS LIMA",IF(J121=24137,"CHRISTIANO MARCONDES DE BARROS LIMA",IF(J121=135152,"ENRICO BORTPLUZO CASSIANO",IF(J121=136568,"ENRICO BORTPLUZO CASSIANO", IF(J121=130976,"MARYLIA CARVALHO PONCE",IF(J121=136668,"ALEXANDRE DA COSTA SOARES",IF(J121=52340,"OFFSHORE LISTED",IF(J121=158778,"CLAUDIO DE SOUZA PACINI",IF(J121=159800,"CLAUDIO DE SOUZA PACINI",_xlfn.XLOOKUP(J121,[1]!Tabela33[ID ORACLE],[1]!Tabela33[BROKER],0,0,1))))))))))))))</f>
        <v>ALEXANDRE DA COSTA SOARES</v>
      </c>
      <c r="E121" s="22">
        <f t="shared" si="10"/>
        <v>-143.09587270439999</v>
      </c>
      <c r="F121" s="9" t="str">
        <f t="shared" si="11"/>
        <v>REFINITIV</v>
      </c>
      <c r="G121" s="20">
        <f t="shared" si="8"/>
        <v>46174</v>
      </c>
      <c r="H121" s="23">
        <v>1170</v>
      </c>
      <c r="J121" s="45">
        <v>57036</v>
      </c>
      <c r="K121" s="45" t="s">
        <v>42</v>
      </c>
      <c r="L121" s="45" t="s">
        <v>17</v>
      </c>
      <c r="M121" s="45">
        <v>20.848212</v>
      </c>
      <c r="Q121" s="27"/>
      <c r="R121" s="27"/>
    </row>
    <row r="122" spans="1:78" ht="15" customHeight="1" x14ac:dyDescent="0.25">
      <c r="A122" s="9" t="str">
        <f t="shared" si="9"/>
        <v>CUSTO MARKET DATA - JUNHO/26-TORONTO STOCK EXCHANGE-57036</v>
      </c>
      <c r="B122" s="20">
        <v>46174</v>
      </c>
      <c r="C122" s="21">
        <v>817393</v>
      </c>
      <c r="D122" s="9" t="str">
        <f>IF(J122=0, "DANIEL TEIXEIRA SIQUEIRA GONÇALVES",IF(J122=57036,"ALEXANDRE DA COSTA SOARES",IF(J122=24157,"JOSE MAURICIO GOMES TEIXEIRA",IF(J122=24203,"JOSE MAURICIO GOMES TEIXEIRA",IF(J122=24149,"CHRISTIANO MARCONDES DE BARROS LIMA",IF(J122=24137,"CHRISTIANO MARCONDES DE BARROS LIMA",IF(J122=135152,"ENRICO BORTPLUZO CASSIANO",IF(J122=136568,"ENRICO BORTPLUZO CASSIANO", IF(J122=130976,"MARYLIA CARVALHO PONCE",IF(J122=136668,"ALEXANDRE DA COSTA SOARES",IF(J122=52340,"OFFSHORE LISTED",IF(J122=158778,"CLAUDIO DE SOUZA PACINI",IF(J122=159800,"CLAUDIO DE SOUZA PACINI",_xlfn.XLOOKUP(J122,[1]!Tabela33[ID ORACLE],[1]!Tabela33[BROKER],0,0,1))))))))))))))</f>
        <v>ALEXANDRE DA COSTA SOARES</v>
      </c>
      <c r="E122" s="22">
        <f t="shared" si="10"/>
        <v>-237.11566421399999</v>
      </c>
      <c r="F122" s="9" t="str">
        <f t="shared" si="11"/>
        <v>TORONTO STOCK EXCHANGE</v>
      </c>
      <c r="G122" s="20">
        <f t="shared" si="8"/>
        <v>46174</v>
      </c>
      <c r="H122" s="23">
        <v>1170</v>
      </c>
      <c r="J122" s="45">
        <v>57036</v>
      </c>
      <c r="K122" s="45" t="s">
        <v>51</v>
      </c>
      <c r="L122" s="45" t="s">
        <v>12</v>
      </c>
      <c r="M122" s="45">
        <v>45.805289999999999</v>
      </c>
      <c r="Q122" s="27"/>
      <c r="R122" s="27"/>
    </row>
    <row r="123" spans="1:78" customFormat="1" ht="15" customHeight="1" x14ac:dyDescent="0.25">
      <c r="A123" s="9" t="str">
        <f t="shared" si="9"/>
        <v>CUSTO MARKET DATA - JUNHO/26-BLOOMBERG-61086</v>
      </c>
      <c r="B123" s="20">
        <v>46174</v>
      </c>
      <c r="C123" s="21">
        <v>817393</v>
      </c>
      <c r="D123" s="9" t="str">
        <f>IF(J123=0, "DANIEL TEIXEIRA SIQUEIRA GONÇALVES",IF(J123=57036,"ALEXANDRE DA COSTA SOARES",IF(J123=24157,"JOSE MAURICIO GOMES TEIXEIRA",IF(J123=24203,"JOSE MAURICIO GOMES TEIXEIRA",IF(J123=24149,"CHRISTIANO MARCONDES DE BARROS LIMA",IF(J123=24137,"CHRISTIANO MARCONDES DE BARROS LIMA",IF(J123=135152,"ENRICO BORTPLUZO CASSIANO",IF(J123=136568,"ENRICO BORTPLUZO CASSIANO", IF(J123=130976,"MARYLIA CARVALHO PONCE",IF(J123=136668,"ALEXANDRE DA COSTA SOARES",IF(J123=52340,"OFFSHORE LISTED",IF(J123=158778,"CLAUDIO DE SOUZA PACINI",IF(J123=159800,"CLAUDIO DE SOUZA PACINI",_xlfn.XLOOKUP(J123,[1]!Tabela33[ID ORACLE],[1]!Tabela33[BROKER],0,0,1))))))))))))))</f>
        <v>ALEXANDRE DA COSTA SOARES</v>
      </c>
      <c r="E123" s="22">
        <f t="shared" si="10"/>
        <v>-13798.985910023597</v>
      </c>
      <c r="F123" s="9" t="str">
        <f t="shared" si="11"/>
        <v>BLOOMBERG</v>
      </c>
      <c r="G123" s="20">
        <f t="shared" si="8"/>
        <v>46174</v>
      </c>
      <c r="H123" s="23">
        <v>1170</v>
      </c>
      <c r="J123" s="45">
        <v>61086</v>
      </c>
      <c r="K123" s="45" t="s">
        <v>41</v>
      </c>
      <c r="L123" s="45" t="s">
        <v>12</v>
      </c>
      <c r="M123" s="45">
        <v>2665.6465459999995</v>
      </c>
      <c r="O123" s="1"/>
      <c r="P123" s="26"/>
      <c r="Q123" s="27"/>
      <c r="R123" s="27"/>
      <c r="S123" s="28"/>
      <c r="T123" s="26"/>
      <c r="U123" s="28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</row>
    <row r="124" spans="1:78" ht="15" customHeight="1" x14ac:dyDescent="0.25">
      <c r="A124" s="9" t="str">
        <f t="shared" si="9"/>
        <v>CUSTO MARKET DATA - JUNHO/26-FIDESSA-61086</v>
      </c>
      <c r="B124" s="20">
        <v>46174</v>
      </c>
      <c r="C124" s="21">
        <v>817393</v>
      </c>
      <c r="D124" s="9" t="str">
        <f>IF(J124=0, "DANIEL TEIXEIRA SIQUEIRA GONÇALVES",IF(J124=57036,"ALEXANDRE DA COSTA SOARES",IF(J124=24157,"JOSE MAURICIO GOMES TEIXEIRA",IF(J124=24203,"JOSE MAURICIO GOMES TEIXEIRA",IF(J124=24149,"CHRISTIANO MARCONDES DE BARROS LIMA",IF(J124=24137,"CHRISTIANO MARCONDES DE BARROS LIMA",IF(J124=135152,"ENRICO BORTPLUZO CASSIANO",IF(J124=136568,"ENRICO BORTPLUZO CASSIANO", IF(J124=130976,"MARYLIA CARVALHO PONCE",IF(J124=136668,"ALEXANDRE DA COSTA SOARES",IF(J124=52340,"OFFSHORE LISTED",IF(J124=158778,"CLAUDIO DE SOUZA PACINI",IF(J124=159800,"CLAUDIO DE SOUZA PACINI",_xlfn.XLOOKUP(J124,[1]!Tabela33[ID ORACLE],[1]!Tabela33[BROKER],0,0,1))))))))))))))</f>
        <v>ALEXANDRE DA COSTA SOARES</v>
      </c>
      <c r="E124" s="22">
        <f t="shared" si="10"/>
        <v>-2194.9528188016002</v>
      </c>
      <c r="F124" s="9" t="str">
        <f t="shared" si="11"/>
        <v>FIDESSA</v>
      </c>
      <c r="G124" s="20">
        <f t="shared" si="8"/>
        <v>46174</v>
      </c>
      <c r="H124" s="23">
        <v>1170</v>
      </c>
      <c r="J124" s="45">
        <v>61086</v>
      </c>
      <c r="K124" s="45" t="s">
        <v>47</v>
      </c>
      <c r="L124" s="45" t="s">
        <v>12</v>
      </c>
      <c r="M124" s="45">
        <v>424.01437600000003</v>
      </c>
      <c r="Q124" s="27"/>
      <c r="R124" s="27"/>
    </row>
    <row r="125" spans="1:78" ht="15" customHeight="1" x14ac:dyDescent="0.25">
      <c r="A125" s="9" t="str">
        <f t="shared" si="9"/>
        <v>CUSTO MARKET DATA - JUNHO/26-NYSE MARKET INC.-61086</v>
      </c>
      <c r="B125" s="20">
        <v>46174</v>
      </c>
      <c r="C125" s="21">
        <v>817393</v>
      </c>
      <c r="D125" s="9" t="str">
        <f>IF(J125=0, "DANIEL TEIXEIRA SIQUEIRA GONÇALVES",IF(J125=57036,"ALEXANDRE DA COSTA SOARES",IF(J125=24157,"JOSE MAURICIO GOMES TEIXEIRA",IF(J125=24203,"JOSE MAURICIO GOMES TEIXEIRA",IF(J125=24149,"CHRISTIANO MARCONDES DE BARROS LIMA",IF(J125=24137,"CHRISTIANO MARCONDES DE BARROS LIMA",IF(J125=135152,"ENRICO BORTPLUZO CASSIANO",IF(J125=136568,"ENRICO BORTPLUZO CASSIANO", IF(J125=130976,"MARYLIA CARVALHO PONCE",IF(J125=136668,"ALEXANDRE DA COSTA SOARES",IF(J125=52340,"OFFSHORE LISTED",IF(J125=158778,"CLAUDIO DE SOUZA PACINI",IF(J125=159800,"CLAUDIO DE SOUZA PACINI",_xlfn.XLOOKUP(J125,[1]!Tabela33[ID ORACLE],[1]!Tabela33[BROKER],0,0,1))))))))))))))</f>
        <v>ALEXANDRE DA COSTA SOARES</v>
      </c>
      <c r="E125" s="22">
        <f t="shared" si="10"/>
        <v>-1887.9506629983996</v>
      </c>
      <c r="F125" s="9" t="str">
        <f t="shared" si="11"/>
        <v>NYSE MARKET INC.</v>
      </c>
      <c r="G125" s="20">
        <f t="shared" si="8"/>
        <v>46174</v>
      </c>
      <c r="H125" s="23">
        <v>1170</v>
      </c>
      <c r="J125" s="45">
        <v>61086</v>
      </c>
      <c r="K125" s="45" t="s">
        <v>44</v>
      </c>
      <c r="L125" s="45" t="s">
        <v>12</v>
      </c>
      <c r="M125" s="45">
        <v>364.70862399999993</v>
      </c>
      <c r="Q125" s="27"/>
      <c r="R125" s="27"/>
    </row>
    <row r="126" spans="1:78" ht="15" customHeight="1" x14ac:dyDescent="0.25">
      <c r="A126" s="9" t="str">
        <f t="shared" si="9"/>
        <v>CUSTO MARKET DATA - JUNHO/26-OPTIONS PRICE REPORTING AUTHORITY (OPRA)-61086</v>
      </c>
      <c r="B126" s="20">
        <v>46174</v>
      </c>
      <c r="C126" s="21">
        <v>817393</v>
      </c>
      <c r="D126" s="9" t="str">
        <f>IF(J126=0, "DANIEL TEIXEIRA SIQUEIRA GONÇALVES",IF(J126=57036,"ALEXANDRE DA COSTA SOARES",IF(J126=24157,"JOSE MAURICIO GOMES TEIXEIRA",IF(J126=24203,"JOSE MAURICIO GOMES TEIXEIRA",IF(J126=24149,"CHRISTIANO MARCONDES DE BARROS LIMA",IF(J126=24137,"CHRISTIANO MARCONDES DE BARROS LIMA",IF(J126=135152,"ENRICO BORTPLUZO CASSIANO",IF(J126=136568,"ENRICO BORTPLUZO CASSIANO", IF(J126=130976,"MARYLIA CARVALHO PONCE",IF(J126=136668,"ALEXANDRE DA COSTA SOARES",IF(J126=52340,"OFFSHORE LISTED",IF(J126=158778,"CLAUDIO DE SOUZA PACINI",IF(J126=159800,"CLAUDIO DE SOUZA PACINI",_xlfn.XLOOKUP(J126,[1]!Tabela33[ID ORACLE],[1]!Tabela33[BROKER],0,0,1))))))))))))))</f>
        <v>ALEXANDRE DA COSTA SOARES</v>
      </c>
      <c r="E126" s="22">
        <f t="shared" si="10"/>
        <v>-340.59763237499999</v>
      </c>
      <c r="F126" s="9" t="str">
        <f t="shared" si="11"/>
        <v>OPTIONS PRICE REPORTING AUTHORITY (OPRA)</v>
      </c>
      <c r="G126" s="20">
        <f t="shared" si="8"/>
        <v>46174</v>
      </c>
      <c r="H126" s="23">
        <v>1170</v>
      </c>
      <c r="J126" s="45">
        <v>61086</v>
      </c>
      <c r="K126" s="45" t="s">
        <v>45</v>
      </c>
      <c r="L126" s="45" t="s">
        <v>12</v>
      </c>
      <c r="M126" s="45">
        <v>65.795625000000001</v>
      </c>
      <c r="N126" s="29"/>
      <c r="Q126" s="27"/>
      <c r="R126" s="27"/>
    </row>
    <row r="127" spans="1:78" ht="15" customHeight="1" x14ac:dyDescent="0.25">
      <c r="A127" s="9" t="str">
        <f t="shared" si="9"/>
        <v>CUSTO MARKET DATA - JUNHO/26-REFINITIV-61086</v>
      </c>
      <c r="B127" s="20">
        <v>46174</v>
      </c>
      <c r="C127" s="21">
        <v>817393</v>
      </c>
      <c r="D127" s="9" t="str">
        <f>IF(J127=0, "DANIEL TEIXEIRA SIQUEIRA GONÇALVES",IF(J127=57036,"ALEXANDRE DA COSTA SOARES",IF(J127=24157,"JOSE MAURICIO GOMES TEIXEIRA",IF(J127=24203,"JOSE MAURICIO GOMES TEIXEIRA",IF(J127=24149,"CHRISTIANO MARCONDES DE BARROS LIMA",IF(J127=24137,"CHRISTIANO MARCONDES DE BARROS LIMA",IF(J127=135152,"ENRICO BORTPLUZO CASSIANO",IF(J127=136568,"ENRICO BORTPLUZO CASSIANO", IF(J127=130976,"MARYLIA CARVALHO PONCE",IF(J127=136668,"ALEXANDRE DA COSTA SOARES",IF(J127=52340,"OFFSHORE LISTED",IF(J127=158778,"CLAUDIO DE SOUZA PACINI",IF(J127=159800,"CLAUDIO DE SOUZA PACINI",_xlfn.XLOOKUP(J127,[1]!Tabela33[ID ORACLE],[1]!Tabela33[BROKER],0,0,1))))))))))))))</f>
        <v>ALEXANDRE DA COSTA SOARES</v>
      </c>
      <c r="E127" s="22">
        <f t="shared" si="10"/>
        <v>-143.09587270439999</v>
      </c>
      <c r="F127" s="9" t="str">
        <f t="shared" si="11"/>
        <v>REFINITIV</v>
      </c>
      <c r="G127" s="20">
        <f t="shared" si="8"/>
        <v>46174</v>
      </c>
      <c r="H127" s="23">
        <v>1170</v>
      </c>
      <c r="J127" s="45">
        <v>61086</v>
      </c>
      <c r="K127" s="45" t="s">
        <v>42</v>
      </c>
      <c r="L127" s="45" t="s">
        <v>17</v>
      </c>
      <c r="M127" s="45">
        <v>20.848212</v>
      </c>
      <c r="N127" s="29"/>
      <c r="Q127" s="27"/>
      <c r="R127" s="27"/>
    </row>
    <row r="128" spans="1:78" customFormat="1" ht="15" customHeight="1" x14ac:dyDescent="0.25">
      <c r="A128" s="9" t="str">
        <f t="shared" si="9"/>
        <v>CUSTO MARKET DATA - JUNHO/26-TORONTO STOCK EXCHANGE-61086</v>
      </c>
      <c r="B128" s="20">
        <v>46174</v>
      </c>
      <c r="C128" s="21">
        <v>817393</v>
      </c>
      <c r="D128" s="9" t="str">
        <f>IF(J128=0, "DANIEL TEIXEIRA SIQUEIRA GONÇALVES",IF(J128=57036,"ALEXANDRE DA COSTA SOARES",IF(J128=24157,"JOSE MAURICIO GOMES TEIXEIRA",IF(J128=24203,"JOSE MAURICIO GOMES TEIXEIRA",IF(J128=24149,"CHRISTIANO MARCONDES DE BARROS LIMA",IF(J128=24137,"CHRISTIANO MARCONDES DE BARROS LIMA",IF(J128=135152,"ENRICO BORTPLUZO CASSIANO",IF(J128=136568,"ENRICO BORTPLUZO CASSIANO", IF(J128=130976,"MARYLIA CARVALHO PONCE",IF(J128=136668,"ALEXANDRE DA COSTA SOARES",IF(J128=52340,"OFFSHORE LISTED",IF(J128=158778,"CLAUDIO DE SOUZA PACINI",IF(J128=159800,"CLAUDIO DE SOUZA PACINI",_xlfn.XLOOKUP(J128,[1]!Tabela33[ID ORACLE],[1]!Tabela33[BROKER],0,0,1))))))))))))))</f>
        <v>ALEXANDRE DA COSTA SOARES</v>
      </c>
      <c r="E128" s="22">
        <f t="shared" si="10"/>
        <v>-237.1156797438</v>
      </c>
      <c r="F128" s="9" t="str">
        <f t="shared" si="11"/>
        <v>TORONTO STOCK EXCHANGE</v>
      </c>
      <c r="G128" s="20">
        <f t="shared" si="8"/>
        <v>46174</v>
      </c>
      <c r="H128" s="23">
        <v>1170</v>
      </c>
      <c r="J128" s="45">
        <v>61086</v>
      </c>
      <c r="K128" s="45" t="s">
        <v>51</v>
      </c>
      <c r="L128" s="45" t="s">
        <v>12</v>
      </c>
      <c r="M128" s="45">
        <v>45.805293000000006</v>
      </c>
      <c r="N128" s="29"/>
      <c r="O128" s="1"/>
      <c r="P128" s="26"/>
      <c r="Q128" s="27"/>
      <c r="R128" s="27"/>
      <c r="S128" s="28"/>
      <c r="T128" s="26"/>
      <c r="U128" s="28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</row>
    <row r="129" spans="1:78" customFormat="1" ht="15" customHeight="1" x14ac:dyDescent="0.25">
      <c r="A129" s="9" t="str">
        <f t="shared" si="9"/>
        <v>CUSTO MARKET DATA - JUNHO/26-BLOOMBERG-63203</v>
      </c>
      <c r="B129" s="20">
        <v>46174</v>
      </c>
      <c r="C129" s="21">
        <v>817393</v>
      </c>
      <c r="D129" s="9" t="str">
        <f>IF(J129=0, "DANIEL TEIXEIRA SIQUEIRA GONÇALVES",IF(J129=57036,"ALEXANDRE DA COSTA SOARES",IF(J129=24157,"JOSE MAURICIO GOMES TEIXEIRA",IF(J129=24203,"JOSE MAURICIO GOMES TEIXEIRA",IF(J129=24149,"CHRISTIANO MARCONDES DE BARROS LIMA",IF(J129=24137,"CHRISTIANO MARCONDES DE BARROS LIMA",IF(J129=135152,"ENRICO BORTPLUZO CASSIANO",IF(J129=136568,"ENRICO BORTPLUZO CASSIANO", IF(J129=130976,"MARYLIA CARVALHO PONCE",IF(J129=136668,"ALEXANDRE DA COSTA SOARES",IF(J129=52340,"OFFSHORE LISTED",IF(J129=158778,"CLAUDIO DE SOUZA PACINI",IF(J129=159800,"CLAUDIO DE SOUZA PACINI",_xlfn.XLOOKUP(J129,[1]!Tabela33[ID ORACLE],[1]!Tabela33[BROKER],0,0,1))))))))))))))</f>
        <v>FABIO SOARES PFAENDER</v>
      </c>
      <c r="E129" s="22">
        <f t="shared" si="10"/>
        <v>-13197.982650023599</v>
      </c>
      <c r="F129" s="9" t="str">
        <f t="shared" si="11"/>
        <v>BLOOMBERG</v>
      </c>
      <c r="G129" s="20">
        <f t="shared" si="8"/>
        <v>46174</v>
      </c>
      <c r="H129" s="23">
        <v>1170</v>
      </c>
      <c r="J129" s="45">
        <v>63203</v>
      </c>
      <c r="K129" s="45" t="s">
        <v>41</v>
      </c>
      <c r="L129" s="45" t="s">
        <v>12</v>
      </c>
      <c r="M129" s="45">
        <v>2549.546546</v>
      </c>
      <c r="N129" s="29"/>
      <c r="O129" s="1"/>
      <c r="P129" s="26"/>
      <c r="Q129" s="27"/>
      <c r="R129" s="27"/>
      <c r="S129" s="28"/>
      <c r="T129" s="26"/>
      <c r="U129" s="28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</row>
    <row r="130" spans="1:78" ht="15" customHeight="1" x14ac:dyDescent="0.25">
      <c r="A130" s="9" t="str">
        <f t="shared" si="9"/>
        <v>CUSTO MARKET DATA - JUNHO/26-REFINITIV-63203</v>
      </c>
      <c r="B130" s="20">
        <v>46174</v>
      </c>
      <c r="C130" s="21">
        <v>817393</v>
      </c>
      <c r="D130" s="9" t="str">
        <f>IF(J130=0, "DANIEL TEIXEIRA SIQUEIRA GONÇALVES",IF(J130=57036,"ALEXANDRE DA COSTA SOARES",IF(J130=24157,"JOSE MAURICIO GOMES TEIXEIRA",IF(J130=24203,"JOSE MAURICIO GOMES TEIXEIRA",IF(J130=24149,"CHRISTIANO MARCONDES DE BARROS LIMA",IF(J130=24137,"CHRISTIANO MARCONDES DE BARROS LIMA",IF(J130=135152,"ENRICO BORTPLUZO CASSIANO",IF(J130=136568,"ENRICO BORTPLUZO CASSIANO", IF(J130=130976,"MARYLIA CARVALHO PONCE",IF(J130=136668,"ALEXANDRE DA COSTA SOARES",IF(J130=52340,"OFFSHORE LISTED",IF(J130=158778,"CLAUDIO DE SOUZA PACINI",IF(J130=159800,"CLAUDIO DE SOUZA PACINI",_xlfn.XLOOKUP(J130,[1]!Tabela33[ID ORACLE],[1]!Tabela33[BROKER],0,0,1))))))))))))))</f>
        <v>FABIO SOARES PFAENDER</v>
      </c>
      <c r="E130" s="22">
        <f t="shared" si="10"/>
        <v>-749.98901756700002</v>
      </c>
      <c r="F130" s="9" t="str">
        <f t="shared" si="11"/>
        <v>REFINITIV</v>
      </c>
      <c r="G130" s="20">
        <f t="shared" si="8"/>
        <v>46174</v>
      </c>
      <c r="H130" s="23">
        <v>1170</v>
      </c>
      <c r="J130" s="45">
        <v>63203</v>
      </c>
      <c r="K130" s="45" t="s">
        <v>42</v>
      </c>
      <c r="L130" s="45" t="s">
        <v>17</v>
      </c>
      <c r="M130" s="45">
        <v>109.26891000000001</v>
      </c>
      <c r="N130" s="29"/>
      <c r="O130" s="41"/>
      <c r="Q130" s="27"/>
      <c r="R130" s="27"/>
    </row>
    <row r="131" spans="1:78" ht="15" customHeight="1" x14ac:dyDescent="0.25">
      <c r="A131" s="9" t="str">
        <f t="shared" si="9"/>
        <v>CUSTO MARKET DATA - JUNHO/26-BLOOMBERG-63705</v>
      </c>
      <c r="B131" s="20">
        <v>46174</v>
      </c>
      <c r="C131" s="21">
        <v>817393</v>
      </c>
      <c r="D131" s="9" t="str">
        <f>IF(J131=0, "DANIEL TEIXEIRA SIQUEIRA GONÇALVES",IF(J131=57036,"ALEXANDRE DA COSTA SOARES",IF(J131=24157,"JOSE MAURICIO GOMES TEIXEIRA",IF(J131=24203,"JOSE MAURICIO GOMES TEIXEIRA",IF(J131=24149,"CHRISTIANO MARCONDES DE BARROS LIMA",IF(J131=24137,"CHRISTIANO MARCONDES DE BARROS LIMA",IF(J131=135152,"ENRICO BORTPLUZO CASSIANO",IF(J131=136568,"ENRICO BORTPLUZO CASSIANO", IF(J131=130976,"MARYLIA CARVALHO PONCE",IF(J131=136668,"ALEXANDRE DA COSTA SOARES",IF(J131=52340,"OFFSHORE LISTED",IF(J131=158778,"CLAUDIO DE SOUZA PACINI",IF(J131=159800,"CLAUDIO DE SOUZA PACINI",_xlfn.XLOOKUP(J131,[1]!Tabela33[ID ORACLE],[1]!Tabela33[BROKER],0,0,1))))))))))))))</f>
        <v>ALEXANDRE DE CARVALHO GALHARDO</v>
      </c>
      <c r="E131" s="22">
        <f t="shared" si="10"/>
        <v>-12540.554450023599</v>
      </c>
      <c r="F131" s="9" t="str">
        <f t="shared" si="11"/>
        <v>BLOOMBERG</v>
      </c>
      <c r="G131" s="20">
        <f t="shared" ref="G131:G164" si="12">B131</f>
        <v>46174</v>
      </c>
      <c r="H131" s="23">
        <v>1170</v>
      </c>
      <c r="J131" s="45">
        <v>63705</v>
      </c>
      <c r="K131" s="45" t="s">
        <v>41</v>
      </c>
      <c r="L131" s="45" t="s">
        <v>12</v>
      </c>
      <c r="M131" s="45">
        <v>2422.546546</v>
      </c>
      <c r="N131" s="29"/>
      <c r="O131" s="41"/>
      <c r="Q131" s="27"/>
      <c r="R131" s="27"/>
    </row>
    <row r="132" spans="1:78" ht="15" customHeight="1" x14ac:dyDescent="0.25">
      <c r="A132" s="9" t="str">
        <f t="shared" si="9"/>
        <v>CUSTO MARKET DATA - JUNHO/26-NYSE MARKET INC.-63705</v>
      </c>
      <c r="B132" s="20">
        <v>46174</v>
      </c>
      <c r="C132" s="21">
        <v>817393</v>
      </c>
      <c r="D132" s="9" t="str">
        <f>IF(J132=0, "DANIEL TEIXEIRA SIQUEIRA GONÇALVES",IF(J132=57036,"ALEXANDRE DA COSTA SOARES",IF(J132=24157,"JOSE MAURICIO GOMES TEIXEIRA",IF(J132=24203,"JOSE MAURICIO GOMES TEIXEIRA",IF(J132=24149,"CHRISTIANO MARCONDES DE BARROS LIMA",IF(J132=24137,"CHRISTIANO MARCONDES DE BARROS LIMA",IF(J132=135152,"ENRICO BORTPLUZO CASSIANO",IF(J132=136568,"ENRICO BORTPLUZO CASSIANO", IF(J132=130976,"MARYLIA CARVALHO PONCE",IF(J132=136668,"ALEXANDRE DA COSTA SOARES",IF(J132=52340,"OFFSHORE LISTED",IF(J132=158778,"CLAUDIO DE SOUZA PACINI",IF(J132=159800,"CLAUDIO DE SOUZA PACINI",_xlfn.XLOOKUP(J132,[1]!Tabela33[ID ORACLE],[1]!Tabela33[BROKER],0,0,1))))))))))))))</f>
        <v>ALEXANDRE DE CARVALHO GALHARDO</v>
      </c>
      <c r="E132" s="22">
        <f t="shared" si="10"/>
        <v>-139.76819999999998</v>
      </c>
      <c r="F132" s="9" t="str">
        <f t="shared" si="11"/>
        <v>NYSE MARKET INC.</v>
      </c>
      <c r="G132" s="20">
        <f t="shared" si="12"/>
        <v>46174</v>
      </c>
      <c r="H132" s="23">
        <v>1170</v>
      </c>
      <c r="J132" s="45">
        <v>63705</v>
      </c>
      <c r="K132" s="45" t="s">
        <v>44</v>
      </c>
      <c r="L132" s="45" t="s">
        <v>12</v>
      </c>
      <c r="M132" s="45">
        <v>27</v>
      </c>
      <c r="N132" s="29"/>
      <c r="O132" s="41"/>
      <c r="Q132" s="27"/>
      <c r="R132" s="27"/>
    </row>
    <row r="133" spans="1:78" ht="15" customHeight="1" x14ac:dyDescent="0.25">
      <c r="A133" s="9" t="str">
        <f t="shared" si="9"/>
        <v>CUSTO MARKET DATA - JUNHO/26-REFINITIV-63705</v>
      </c>
      <c r="B133" s="20">
        <v>46174</v>
      </c>
      <c r="C133" s="21">
        <v>817393</v>
      </c>
      <c r="D133" s="9" t="str">
        <f>IF(J133=0, "DANIEL TEIXEIRA SIQUEIRA GONÇALVES",IF(J133=57036,"ALEXANDRE DA COSTA SOARES",IF(J133=24157,"JOSE MAURICIO GOMES TEIXEIRA",IF(J133=24203,"JOSE MAURICIO GOMES TEIXEIRA",IF(J133=24149,"CHRISTIANO MARCONDES DE BARROS LIMA",IF(J133=24137,"CHRISTIANO MARCONDES DE BARROS LIMA",IF(J133=135152,"ENRICO BORTPLUZO CASSIANO",IF(J133=136568,"ENRICO BORTPLUZO CASSIANO", IF(J133=130976,"MARYLIA CARVALHO PONCE",IF(J133=136668,"ALEXANDRE DA COSTA SOARES",IF(J133=52340,"OFFSHORE LISTED",IF(J133=158778,"CLAUDIO DE SOUZA PACINI",IF(J133=159800,"CLAUDIO DE SOUZA PACINI",_xlfn.XLOOKUP(J133,[1]!Tabela33[ID ORACLE],[1]!Tabela33[BROKER],0,0,1))))))))))))))</f>
        <v>ALEXANDRE DE CARVALHO GALHARDO</v>
      </c>
      <c r="E133" s="22">
        <f t="shared" si="10"/>
        <v>-606.89314486260002</v>
      </c>
      <c r="F133" s="9" t="str">
        <f t="shared" si="11"/>
        <v>REFINITIV</v>
      </c>
      <c r="G133" s="20">
        <f t="shared" si="12"/>
        <v>46174</v>
      </c>
      <c r="H133" s="23">
        <v>1170</v>
      </c>
      <c r="J133" s="45">
        <v>63705</v>
      </c>
      <c r="K133" s="45" t="s">
        <v>42</v>
      </c>
      <c r="L133" s="45" t="s">
        <v>17</v>
      </c>
      <c r="M133" s="45">
        <v>88.420698000000002</v>
      </c>
      <c r="N133" s="29"/>
      <c r="O133" s="41"/>
      <c r="Q133" s="27"/>
      <c r="R133" s="27"/>
    </row>
    <row r="134" spans="1:78" s="26" customFormat="1" ht="15" customHeight="1" x14ac:dyDescent="0.25">
      <c r="A134" s="9" t="str">
        <f t="shared" si="9"/>
        <v>CUSTO MARKET DATA - JUNHO/26-BLOOMBERG-64098</v>
      </c>
      <c r="B134" s="20">
        <v>46174</v>
      </c>
      <c r="C134" s="21">
        <v>817393</v>
      </c>
      <c r="D134" s="9" t="str">
        <f>IF(J134=0, "DANIEL TEIXEIRA SIQUEIRA GONÇALVES",IF(J134=57036,"ALEXANDRE DA COSTA SOARES",IF(J134=24157,"JOSE MAURICIO GOMES TEIXEIRA",IF(J134=24203,"JOSE MAURICIO GOMES TEIXEIRA",IF(J134=24149,"CHRISTIANO MARCONDES DE BARROS LIMA",IF(J134=24137,"CHRISTIANO MARCONDES DE BARROS LIMA",IF(J134=135152,"ENRICO BORTPLUZO CASSIANO",IF(J134=136568,"ENRICO BORTPLUZO CASSIANO", IF(J134=130976,"MARYLIA CARVALHO PONCE",IF(J134=136668,"ALEXANDRE DA COSTA SOARES",IF(J134=52340,"OFFSHORE LISTED",IF(J134=158778,"CLAUDIO DE SOUZA PACINI",IF(J134=159800,"CLAUDIO DE SOUZA PACINI",_xlfn.XLOOKUP(J134,[1]!Tabela33[ID ORACLE],[1]!Tabela33[BROKER],0,0,1))))))))))))))</f>
        <v>HAMILTON DEL MONACO FILHO</v>
      </c>
      <c r="E134" s="22">
        <f t="shared" si="10"/>
        <v>-13404.528990023597</v>
      </c>
      <c r="F134" s="9" t="str">
        <f t="shared" si="11"/>
        <v>BLOOMBERG</v>
      </c>
      <c r="G134" s="20">
        <f t="shared" si="12"/>
        <v>46174</v>
      </c>
      <c r="H134" s="23">
        <v>1170</v>
      </c>
      <c r="I134"/>
      <c r="J134" s="45">
        <v>64098</v>
      </c>
      <c r="K134" s="45" t="s">
        <v>41</v>
      </c>
      <c r="L134" s="45" t="s">
        <v>12</v>
      </c>
      <c r="M134" s="45">
        <v>2589.4465459999997</v>
      </c>
      <c r="N134" s="29"/>
      <c r="O134" s="41"/>
      <c r="Q134" s="27"/>
      <c r="R134" s="27"/>
      <c r="S134" s="28"/>
      <c r="U134" s="28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</row>
    <row r="135" spans="1:78" s="26" customFormat="1" ht="15" customHeight="1" x14ac:dyDescent="0.25">
      <c r="A135" s="9" t="str">
        <f t="shared" si="9"/>
        <v>CUSTO MARKET DATA - JUNHO/26-NYSE MARKET INC.-64098</v>
      </c>
      <c r="B135" s="20">
        <v>46174</v>
      </c>
      <c r="C135" s="21">
        <v>817393</v>
      </c>
      <c r="D135" s="9" t="str">
        <f>IF(J135=0, "DANIEL TEIXEIRA SIQUEIRA GONÇALVES",IF(J135=57036,"ALEXANDRE DA COSTA SOARES",IF(J135=24157,"JOSE MAURICIO GOMES TEIXEIRA",IF(J135=24203,"JOSE MAURICIO GOMES TEIXEIRA",IF(J135=24149,"CHRISTIANO MARCONDES DE BARROS LIMA",IF(J135=24137,"CHRISTIANO MARCONDES DE BARROS LIMA",IF(J135=135152,"ENRICO BORTPLUZO CASSIANO",IF(J135=136568,"ENRICO BORTPLUZO CASSIANO", IF(J135=130976,"MARYLIA CARVALHO PONCE",IF(J135=136668,"ALEXANDRE DA COSTA SOARES",IF(J135=52340,"OFFSHORE LISTED",IF(J135=158778,"CLAUDIO DE SOUZA PACINI",IF(J135=159800,"CLAUDIO DE SOUZA PACINI",_xlfn.XLOOKUP(J135,[1]!Tabela33[ID ORACLE],[1]!Tabela33[BROKER],0,0,1))))))))))))))</f>
        <v>HAMILTON DEL MONACO FILHO</v>
      </c>
      <c r="E135" s="22">
        <f t="shared" si="10"/>
        <v>-1837.693</v>
      </c>
      <c r="F135" s="9" t="str">
        <f t="shared" si="11"/>
        <v>NYSE MARKET INC.</v>
      </c>
      <c r="G135" s="20">
        <f t="shared" si="12"/>
        <v>46174</v>
      </c>
      <c r="H135" s="23">
        <v>1170</v>
      </c>
      <c r="I135"/>
      <c r="J135" s="45">
        <v>64098</v>
      </c>
      <c r="K135" s="45" t="s">
        <v>44</v>
      </c>
      <c r="L135" s="45" t="s">
        <v>12</v>
      </c>
      <c r="M135" s="45">
        <v>355</v>
      </c>
      <c r="N135" s="29"/>
      <c r="O135" s="41"/>
      <c r="Q135" s="27"/>
      <c r="R135" s="27"/>
      <c r="S135" s="28"/>
      <c r="U135" s="28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</row>
    <row r="136" spans="1:78" s="26" customFormat="1" ht="15" customHeight="1" x14ac:dyDescent="0.25">
      <c r="A136" s="9" t="str">
        <f t="shared" ref="A136:A164" si="13">CONCATENATE($N$1,$I$1,F136,$I$1,J136)</f>
        <v>CUSTO MARKET DATA - JUNHO/26-OPTIONS PRICE REPORTING AUTHORITY (OPRA)-64098</v>
      </c>
      <c r="B136" s="20">
        <v>46174</v>
      </c>
      <c r="C136" s="21">
        <v>817393</v>
      </c>
      <c r="D136" s="9" t="str">
        <f>IF(J136=0, "DANIEL TEIXEIRA SIQUEIRA GONÇALVES",IF(J136=57036,"ALEXANDRE DA COSTA SOARES",IF(J136=24157,"JOSE MAURICIO GOMES TEIXEIRA",IF(J136=24203,"JOSE MAURICIO GOMES TEIXEIRA",IF(J136=24149,"CHRISTIANO MARCONDES DE BARROS LIMA",IF(J136=24137,"CHRISTIANO MARCONDES DE BARROS LIMA",IF(J136=135152,"ENRICO BORTPLUZO CASSIANO",IF(J136=136568,"ENRICO BORTPLUZO CASSIANO", IF(J136=130976,"MARYLIA CARVALHO PONCE",IF(J136=136668,"ALEXANDRE DA COSTA SOARES",IF(J136=52340,"OFFSHORE LISTED",IF(J136=158778,"CLAUDIO DE SOUZA PACINI",IF(J136=159800,"CLAUDIO DE SOUZA PACINI",_xlfn.XLOOKUP(J136,[1]!Tabela33[ID ORACLE],[1]!Tabela33[BROKER],0,0,1))))))))))))))</f>
        <v>HAMILTON DEL MONACO FILHO</v>
      </c>
      <c r="E136" s="22">
        <f t="shared" si="10"/>
        <v>-163.06289999999998</v>
      </c>
      <c r="F136" s="9" t="str">
        <f t="shared" si="11"/>
        <v>OPTIONS PRICE REPORTING AUTHORITY (OPRA)</v>
      </c>
      <c r="G136" s="20">
        <f t="shared" si="12"/>
        <v>46174</v>
      </c>
      <c r="H136" s="23">
        <v>1170</v>
      </c>
      <c r="I136"/>
      <c r="J136" s="45">
        <v>64098</v>
      </c>
      <c r="K136" s="45" t="s">
        <v>45</v>
      </c>
      <c r="L136" s="45" t="s">
        <v>12</v>
      </c>
      <c r="M136" s="45">
        <v>31.5</v>
      </c>
      <c r="N136" s="29"/>
      <c r="O136" s="41"/>
      <c r="Q136" s="27"/>
      <c r="R136" s="27"/>
      <c r="S136" s="28"/>
      <c r="U136" s="28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</row>
    <row r="137" spans="1:78" s="26" customFormat="1" ht="15" customHeight="1" x14ac:dyDescent="0.25">
      <c r="A137" s="9" t="str">
        <f t="shared" si="13"/>
        <v>CUSTO MARKET DATA - JUNHO/26-REFINITIV-64098</v>
      </c>
      <c r="B137" s="20">
        <v>46174</v>
      </c>
      <c r="C137" s="21">
        <v>817393</v>
      </c>
      <c r="D137" s="9" t="str">
        <f>IF(J137=0, "DANIEL TEIXEIRA SIQUEIRA GONÇALVES",IF(J137=57036,"ALEXANDRE DA COSTA SOARES",IF(J137=24157,"JOSE MAURICIO GOMES TEIXEIRA",IF(J137=24203,"JOSE MAURICIO GOMES TEIXEIRA",IF(J137=24149,"CHRISTIANO MARCONDES DE BARROS LIMA",IF(J137=24137,"CHRISTIANO MARCONDES DE BARROS LIMA",IF(J137=135152,"ENRICO BORTPLUZO CASSIANO",IF(J137=136568,"ENRICO BORTPLUZO CASSIANO", IF(J137=130976,"MARYLIA CARVALHO PONCE",IF(J137=136668,"ALEXANDRE DA COSTA SOARES",IF(J137=52340,"OFFSHORE LISTED",IF(J137=158778,"CLAUDIO DE SOUZA PACINI",IF(J137=159800,"CLAUDIO DE SOUZA PACINI",_xlfn.XLOOKUP(J137,[1]!Tabela33[ID ORACLE],[1]!Tabela33[BROKER],0,0,1))))))))))))))</f>
        <v>HAMILTON DEL MONACO FILHO</v>
      </c>
      <c r="E137" s="22">
        <f t="shared" si="10"/>
        <v>-143.09587270439999</v>
      </c>
      <c r="F137" s="9" t="str">
        <f t="shared" si="11"/>
        <v>REFINITIV</v>
      </c>
      <c r="G137" s="20">
        <f t="shared" si="12"/>
        <v>46174</v>
      </c>
      <c r="H137" s="23">
        <v>1170</v>
      </c>
      <c r="I137"/>
      <c r="J137" s="45">
        <v>64098</v>
      </c>
      <c r="K137" s="45" t="s">
        <v>42</v>
      </c>
      <c r="L137" s="45" t="s">
        <v>17</v>
      </c>
      <c r="M137" s="45">
        <v>20.848212</v>
      </c>
      <c r="N137" s="41"/>
      <c r="O137" s="1"/>
      <c r="Q137" s="27"/>
      <c r="R137" s="27"/>
      <c r="S137" s="28"/>
      <c r="U137" s="28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</row>
    <row r="138" spans="1:78" s="26" customFormat="1" ht="15" customHeight="1" x14ac:dyDescent="0.25">
      <c r="A138" s="9" t="str">
        <f t="shared" si="13"/>
        <v>CUSTO MARKET DATA - JUNHO/26-SYMPHONY COMMUNICATION SERVICES, LLC-64098</v>
      </c>
      <c r="B138" s="20">
        <v>46174</v>
      </c>
      <c r="C138" s="21">
        <v>817393</v>
      </c>
      <c r="D138" s="9" t="str">
        <f>IF(J138=0, "DANIEL TEIXEIRA SIQUEIRA GONÇALVES",IF(J138=57036,"ALEXANDRE DA COSTA SOARES",IF(J138=24157,"JOSE MAURICIO GOMES TEIXEIRA",IF(J138=24203,"JOSE MAURICIO GOMES TEIXEIRA",IF(J138=24149,"CHRISTIANO MARCONDES DE BARROS LIMA",IF(J138=24137,"CHRISTIANO MARCONDES DE BARROS LIMA",IF(J138=135152,"ENRICO BORTPLUZO CASSIANO",IF(J138=136568,"ENRICO BORTPLUZO CASSIANO", IF(J138=130976,"MARYLIA CARVALHO PONCE",IF(J138=136668,"ALEXANDRE DA COSTA SOARES",IF(J138=52340,"OFFSHORE LISTED",IF(J138=158778,"CLAUDIO DE SOUZA PACINI",IF(J138=159800,"CLAUDIO DE SOUZA PACINI",_xlfn.XLOOKUP(J138,[1]!Tabela33[ID ORACLE],[1]!Tabela33[BROKER],0,0,1))))))))))))))</f>
        <v>HAMILTON DEL MONACO FILHO</v>
      </c>
      <c r="E138" s="22">
        <f t="shared" si="10"/>
        <v>-129.62853475</v>
      </c>
      <c r="F138" s="9" t="str">
        <f t="shared" si="11"/>
        <v>SYMPHONY COMMUNICATION SERVICES, LLC</v>
      </c>
      <c r="G138" s="20">
        <f t="shared" si="12"/>
        <v>46174</v>
      </c>
      <c r="H138" s="23">
        <v>1170</v>
      </c>
      <c r="I138"/>
      <c r="J138" s="45">
        <v>64098</v>
      </c>
      <c r="K138" s="45" t="s">
        <v>50</v>
      </c>
      <c r="L138" s="45" t="s">
        <v>12</v>
      </c>
      <c r="M138" s="45">
        <v>25.041250000000002</v>
      </c>
      <c r="N138" s="41"/>
      <c r="O138" s="1"/>
      <c r="Q138" s="27"/>
      <c r="R138" s="27"/>
      <c r="S138" s="28"/>
      <c r="U138" s="28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</row>
    <row r="139" spans="1:78" s="26" customFormat="1" ht="15" customHeight="1" x14ac:dyDescent="0.25">
      <c r="A139" s="9" t="str">
        <f t="shared" si="13"/>
        <v>CUSTO MARKET DATA - JUNHO/26-BLOOMBERG-66546</v>
      </c>
      <c r="B139" s="20">
        <v>46174</v>
      </c>
      <c r="C139" s="21">
        <v>817393</v>
      </c>
      <c r="D139" s="9" t="str">
        <f>IF(J139=0, "DANIEL TEIXEIRA SIQUEIRA GONÇALVES",IF(J139=57036,"ALEXANDRE DA COSTA SOARES",IF(J139=24157,"JOSE MAURICIO GOMES TEIXEIRA",IF(J139=24203,"JOSE MAURICIO GOMES TEIXEIRA",IF(J139=24149,"CHRISTIANO MARCONDES DE BARROS LIMA",IF(J139=24137,"CHRISTIANO MARCONDES DE BARROS LIMA",IF(J139=135152,"ENRICO BORTPLUZO CASSIANO",IF(J139=136568,"ENRICO BORTPLUZO CASSIANO", IF(J139=130976,"MARYLIA CARVALHO PONCE",IF(J139=136668,"ALEXANDRE DA COSTA SOARES",IF(J139=52340,"OFFSHORE LISTED",IF(J139=158778,"CLAUDIO DE SOUZA PACINI",IF(J139=159800,"CLAUDIO DE SOUZA PACINI",_xlfn.XLOOKUP(J139,[1]!Tabela33[ID ORACLE],[1]!Tabela33[BROKER],0,0,1))))))))))))))</f>
        <v>ERMINIO OLIVI LUCCI</v>
      </c>
      <c r="E139" s="22">
        <f t="shared" si="10"/>
        <v>-12282.242110023599</v>
      </c>
      <c r="F139" s="9" t="str">
        <f t="shared" si="11"/>
        <v>BLOOMBERG</v>
      </c>
      <c r="G139" s="20">
        <f t="shared" si="12"/>
        <v>46174</v>
      </c>
      <c r="H139" s="23">
        <v>1170</v>
      </c>
      <c r="I139"/>
      <c r="J139" s="45">
        <v>66546</v>
      </c>
      <c r="K139" s="45" t="s">
        <v>41</v>
      </c>
      <c r="L139" s="45" t="s">
        <v>12</v>
      </c>
      <c r="M139" s="45">
        <v>2372.6465459999999</v>
      </c>
      <c r="N139" s="41"/>
      <c r="O139" s="1"/>
      <c r="Q139" s="27"/>
      <c r="R139" s="27"/>
      <c r="S139" s="28"/>
      <c r="U139" s="28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</row>
    <row r="140" spans="1:78" s="26" customFormat="1" ht="15" customHeight="1" x14ac:dyDescent="0.25">
      <c r="A140" s="9" t="str">
        <f t="shared" si="13"/>
        <v>CUSTO MARKET DATA - JUNHO/26-REFINITIV-66729</v>
      </c>
      <c r="B140" s="20">
        <v>46174</v>
      </c>
      <c r="C140" s="21">
        <v>817393</v>
      </c>
      <c r="D140" s="9" t="str">
        <f>IF(J140=0, "DANIEL TEIXEIRA SIQUEIRA GONÇALVES",IF(J140=57036,"ALEXANDRE DA COSTA SOARES",IF(J140=24157,"JOSE MAURICIO GOMES TEIXEIRA",IF(J140=24203,"JOSE MAURICIO GOMES TEIXEIRA",IF(J140=24149,"CHRISTIANO MARCONDES DE BARROS LIMA",IF(J140=24137,"CHRISTIANO MARCONDES DE BARROS LIMA",IF(J140=135152,"ENRICO BORTPLUZO CASSIANO",IF(J140=136568,"ENRICO BORTPLUZO CASSIANO", IF(J140=130976,"MARYLIA CARVALHO PONCE",IF(J140=136668,"ALEXANDRE DA COSTA SOARES",IF(J140=52340,"OFFSHORE LISTED",IF(J140=158778,"CLAUDIO DE SOUZA PACINI",IF(J140=159800,"CLAUDIO DE SOUZA PACINI",_xlfn.XLOOKUP(J140,[1]!Tabela33[ID ORACLE],[1]!Tabela33[BROKER],0,0,1))))))))))))))</f>
        <v>PAOLO FRANCA LIDA</v>
      </c>
      <c r="E140" s="22">
        <f t="shared" si="10"/>
        <v>-606.89314486260002</v>
      </c>
      <c r="F140" s="9" t="str">
        <f t="shared" si="11"/>
        <v>REFINITIV</v>
      </c>
      <c r="G140" s="20">
        <f t="shared" si="12"/>
        <v>46174</v>
      </c>
      <c r="H140" s="23">
        <v>1170</v>
      </c>
      <c r="I140"/>
      <c r="J140" s="45">
        <v>66729</v>
      </c>
      <c r="K140" s="45" t="s">
        <v>42</v>
      </c>
      <c r="L140" s="45" t="s">
        <v>17</v>
      </c>
      <c r="M140" s="45">
        <v>88.420698000000002</v>
      </c>
      <c r="N140" s="41"/>
      <c r="O140" s="1"/>
      <c r="Q140" s="27"/>
      <c r="R140" s="27"/>
      <c r="S140" s="28"/>
      <c r="U140" s="28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</row>
    <row r="141" spans="1:78" s="26" customFormat="1" ht="15" customHeight="1" x14ac:dyDescent="0.25">
      <c r="A141" s="9" t="str">
        <f t="shared" si="13"/>
        <v>CUSTO MARKET DATA - JUNHO/26-REFINITIV-67829</v>
      </c>
      <c r="B141" s="20">
        <v>46174</v>
      </c>
      <c r="C141" s="21">
        <v>817393</v>
      </c>
      <c r="D141" s="9" t="str">
        <f>IF(J141=0, "DANIEL TEIXEIRA SIQUEIRA GONÇALVES",IF(J141=57036,"ALEXANDRE DA COSTA SOARES",IF(J141=24157,"JOSE MAURICIO GOMES TEIXEIRA",IF(J141=24203,"JOSE MAURICIO GOMES TEIXEIRA",IF(J141=24149,"CHRISTIANO MARCONDES DE BARROS LIMA",IF(J141=24137,"CHRISTIANO MARCONDES DE BARROS LIMA",IF(J141=135152,"ENRICO BORTPLUZO CASSIANO",IF(J141=136568,"ENRICO BORTPLUZO CASSIANO", IF(J141=130976,"MARYLIA CARVALHO PONCE",IF(J141=136668,"ALEXANDRE DA COSTA SOARES",IF(J141=52340,"OFFSHORE LISTED",IF(J141=158778,"CLAUDIO DE SOUZA PACINI",IF(J141=159800,"CLAUDIO DE SOUZA PACINI",_xlfn.XLOOKUP(J141,[1]!Tabela33[ID ORACLE],[1]!Tabela33[BROKER],0,0,1))))))))))))))</f>
        <v>WESLEY MARQUES DA SILVA</v>
      </c>
      <c r="E141" s="22">
        <f t="shared" si="10"/>
        <v>-143.09587270439999</v>
      </c>
      <c r="F141" s="9" t="str">
        <f t="shared" si="11"/>
        <v>REFINITIV</v>
      </c>
      <c r="G141" s="20">
        <f t="shared" si="12"/>
        <v>46174</v>
      </c>
      <c r="H141" s="23">
        <v>1170</v>
      </c>
      <c r="I141"/>
      <c r="J141" s="45">
        <v>67829</v>
      </c>
      <c r="K141" s="45" t="s">
        <v>42</v>
      </c>
      <c r="L141" s="45" t="s">
        <v>17</v>
      </c>
      <c r="M141" s="45">
        <v>20.848212</v>
      </c>
      <c r="N141" s="41"/>
      <c r="O141" s="1"/>
      <c r="Q141" s="27"/>
      <c r="R141" s="27"/>
      <c r="S141" s="28"/>
      <c r="U141" s="28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</row>
    <row r="142" spans="1:78" s="26" customFormat="1" ht="15" customHeight="1" x14ac:dyDescent="0.25">
      <c r="A142" s="9" t="str">
        <f t="shared" si="13"/>
        <v>CUSTO MARKET DATA - JUNHO/26-BLOOMBERG-67841</v>
      </c>
      <c r="B142" s="20">
        <v>46174</v>
      </c>
      <c r="C142" s="21">
        <v>817393</v>
      </c>
      <c r="D142" s="9" t="str">
        <f>IF(J142=0, "DANIEL TEIXEIRA SIQUEIRA GONÇALVES",IF(J142=57036,"ALEXANDRE DA COSTA SOARES",IF(J142=24157,"JOSE MAURICIO GOMES TEIXEIRA",IF(J142=24203,"JOSE MAURICIO GOMES TEIXEIRA",IF(J142=24149,"CHRISTIANO MARCONDES DE BARROS LIMA",IF(J142=24137,"CHRISTIANO MARCONDES DE BARROS LIMA",IF(J142=135152,"ENRICO BORTPLUZO CASSIANO",IF(J142=136568,"ENRICO BORTPLUZO CASSIANO", IF(J142=130976,"MARYLIA CARVALHO PONCE",IF(J142=136668,"ALEXANDRE DA COSTA SOARES",IF(J142=52340,"OFFSHORE LISTED",IF(J142=158778,"CLAUDIO DE SOUZA PACINI",IF(J142=159800,"CLAUDIO DE SOUZA PACINI",_xlfn.XLOOKUP(J142,[1]!Tabela33[ID ORACLE],[1]!Tabela33[BROKER],0,0,1))))))))))))))</f>
        <v>FERNANDO FERREIRA FEITOSA</v>
      </c>
      <c r="E142" s="22">
        <f t="shared" si="10"/>
        <v>-51.765999999999998</v>
      </c>
      <c r="F142" s="9" t="str">
        <f t="shared" si="11"/>
        <v>BLOOMBERG</v>
      </c>
      <c r="G142" s="20">
        <f t="shared" si="12"/>
        <v>46174</v>
      </c>
      <c r="H142" s="23">
        <v>1170</v>
      </c>
      <c r="I142"/>
      <c r="J142" s="45">
        <v>67841</v>
      </c>
      <c r="K142" s="45" t="s">
        <v>41</v>
      </c>
      <c r="L142" s="45" t="s">
        <v>12</v>
      </c>
      <c r="M142" s="45">
        <v>10</v>
      </c>
      <c r="N142" s="41"/>
      <c r="O142" s="1"/>
      <c r="Q142" s="27"/>
      <c r="R142" s="27"/>
      <c r="S142" s="28"/>
      <c r="U142" s="28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</row>
    <row r="143" spans="1:78" s="26" customFormat="1" ht="15" customHeight="1" x14ac:dyDescent="0.25">
      <c r="A143" s="9" t="str">
        <f t="shared" si="13"/>
        <v>CUSTO MARKET DATA - JUNHO/26-REFINITIV-67841</v>
      </c>
      <c r="B143" s="20">
        <v>46174</v>
      </c>
      <c r="C143" s="21">
        <v>817393</v>
      </c>
      <c r="D143" s="9" t="str">
        <f>IF(J143=0, "DANIEL TEIXEIRA SIQUEIRA GONÇALVES",IF(J143=57036,"ALEXANDRE DA COSTA SOARES",IF(J143=24157,"JOSE MAURICIO GOMES TEIXEIRA",IF(J143=24203,"JOSE MAURICIO GOMES TEIXEIRA",IF(J143=24149,"CHRISTIANO MARCONDES DE BARROS LIMA",IF(J143=24137,"CHRISTIANO MARCONDES DE BARROS LIMA",IF(J143=135152,"ENRICO BORTPLUZO CASSIANO",IF(J143=136568,"ENRICO BORTPLUZO CASSIANO", IF(J143=130976,"MARYLIA CARVALHO PONCE",IF(J143=136668,"ALEXANDRE DA COSTA SOARES",IF(J143=52340,"OFFSHORE LISTED",IF(J143=158778,"CLAUDIO DE SOUZA PACINI",IF(J143=159800,"CLAUDIO DE SOUZA PACINI",_xlfn.XLOOKUP(J143,[1]!Tabela33[ID ORACLE],[1]!Tabela33[BROKER],0,0,1))))))))))))))</f>
        <v>FERNANDO FERREIRA FEITOSA</v>
      </c>
      <c r="E143" s="22">
        <f t="shared" si="10"/>
        <v>-143.09587270439999</v>
      </c>
      <c r="F143" s="9" t="str">
        <f t="shared" si="11"/>
        <v>REFINITIV</v>
      </c>
      <c r="G143" s="20">
        <f t="shared" si="12"/>
        <v>46174</v>
      </c>
      <c r="H143" s="23">
        <v>1170</v>
      </c>
      <c r="I143"/>
      <c r="J143" s="45">
        <v>67841</v>
      </c>
      <c r="K143" s="45" t="s">
        <v>42</v>
      </c>
      <c r="L143" s="45" t="s">
        <v>17</v>
      </c>
      <c r="M143" s="45">
        <v>20.848212</v>
      </c>
      <c r="N143" s="41"/>
      <c r="O143" s="1"/>
      <c r="Q143" s="27"/>
      <c r="R143" s="27"/>
      <c r="S143" s="28"/>
      <c r="U143" s="28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</row>
    <row r="144" spans="1:78" s="26" customFormat="1" ht="15" customHeight="1" x14ac:dyDescent="0.25">
      <c r="A144" s="9" t="str">
        <f t="shared" si="13"/>
        <v>CUSTO MARKET DATA - JUNHO/26-BLOOMBERG-67843</v>
      </c>
      <c r="B144" s="20">
        <v>46174</v>
      </c>
      <c r="C144" s="21">
        <v>817393</v>
      </c>
      <c r="D144" s="9" t="str">
        <f>IF(J144=0, "DANIEL TEIXEIRA SIQUEIRA GONÇALVES",IF(J144=57036,"ALEXANDRE DA COSTA SOARES",IF(J144=24157,"JOSE MAURICIO GOMES TEIXEIRA",IF(J144=24203,"JOSE MAURICIO GOMES TEIXEIRA",IF(J144=24149,"CHRISTIANO MARCONDES DE BARROS LIMA",IF(J144=24137,"CHRISTIANO MARCONDES DE BARROS LIMA",IF(J144=135152,"ENRICO BORTPLUZO CASSIANO",IF(J144=136568,"ENRICO BORTPLUZO CASSIANO", IF(J144=130976,"MARYLIA CARVALHO PONCE",IF(J144=136668,"ALEXANDRE DA COSTA SOARES",IF(J144=52340,"OFFSHORE LISTED",IF(J144=158778,"CLAUDIO DE SOUZA PACINI",IF(J144=159800,"CLAUDIO DE SOUZA PACINI",_xlfn.XLOOKUP(J144,[1]!Tabela33[ID ORACLE],[1]!Tabela33[BROKER],0,0,1))))))))))))))</f>
        <v>ANTÔNIO MARTINS NETO</v>
      </c>
      <c r="E144" s="22">
        <f t="shared" si="10"/>
        <v>-12282.242110023599</v>
      </c>
      <c r="F144" s="9" t="str">
        <f t="shared" si="11"/>
        <v>BLOOMBERG</v>
      </c>
      <c r="G144" s="20">
        <f t="shared" si="12"/>
        <v>46174</v>
      </c>
      <c r="H144" s="23">
        <v>1170</v>
      </c>
      <c r="I144"/>
      <c r="J144" s="45">
        <v>67843</v>
      </c>
      <c r="K144" s="45" t="s">
        <v>41</v>
      </c>
      <c r="L144" s="45" t="s">
        <v>12</v>
      </c>
      <c r="M144" s="45">
        <v>2372.6465459999999</v>
      </c>
      <c r="N144"/>
      <c r="O144" s="1"/>
      <c r="Q144" s="27"/>
      <c r="R144" s="27"/>
      <c r="S144" s="28"/>
      <c r="U144" s="28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</row>
    <row r="145" spans="1:18" ht="15" customHeight="1" x14ac:dyDescent="0.25">
      <c r="A145" s="9" t="str">
        <f t="shared" si="13"/>
        <v>CUSTO MARKET DATA - JUNHO/26-REFINITIV-67843</v>
      </c>
      <c r="B145" s="20">
        <v>46174</v>
      </c>
      <c r="C145" s="21">
        <v>817393</v>
      </c>
      <c r="D145" s="9" t="str">
        <f>IF(J145=0, "DANIEL TEIXEIRA SIQUEIRA GONÇALVES",IF(J145=57036,"ALEXANDRE DA COSTA SOARES",IF(J145=24157,"JOSE MAURICIO GOMES TEIXEIRA",IF(J145=24203,"JOSE MAURICIO GOMES TEIXEIRA",IF(J145=24149,"CHRISTIANO MARCONDES DE BARROS LIMA",IF(J145=24137,"CHRISTIANO MARCONDES DE BARROS LIMA",IF(J145=135152,"ENRICO BORTPLUZO CASSIANO",IF(J145=136568,"ENRICO BORTPLUZO CASSIANO", IF(J145=130976,"MARYLIA CARVALHO PONCE",IF(J145=136668,"ALEXANDRE DA COSTA SOARES",IF(J145=52340,"OFFSHORE LISTED",IF(J145=158778,"CLAUDIO DE SOUZA PACINI",IF(J145=159800,"CLAUDIO DE SOUZA PACINI",_xlfn.XLOOKUP(J145,[1]!Tabela33[ID ORACLE],[1]!Tabela33[BROKER],0,0,1))))))))))))))</f>
        <v>ANTÔNIO MARTINS NETO</v>
      </c>
      <c r="E145" s="22">
        <f t="shared" si="10"/>
        <v>-143.09587270439999</v>
      </c>
      <c r="F145" s="9" t="str">
        <f t="shared" si="11"/>
        <v>REFINITIV</v>
      </c>
      <c r="G145" s="20">
        <f t="shared" si="12"/>
        <v>46174</v>
      </c>
      <c r="H145" s="23">
        <v>1170</v>
      </c>
      <c r="J145" s="45">
        <v>67843</v>
      </c>
      <c r="K145" s="45" t="s">
        <v>42</v>
      </c>
      <c r="L145" s="45" t="s">
        <v>17</v>
      </c>
      <c r="M145" s="45">
        <v>20.848212</v>
      </c>
      <c r="Q145" s="27"/>
      <c r="R145" s="27"/>
    </row>
    <row r="146" spans="1:18" ht="15" customHeight="1" x14ac:dyDescent="0.25">
      <c r="A146" s="9" t="str">
        <f t="shared" si="13"/>
        <v>CUSTO MARKET DATA - JUNHO/26-BLOOMBERG-70461</v>
      </c>
      <c r="B146" s="20">
        <v>46174</v>
      </c>
      <c r="C146" s="21">
        <v>817393</v>
      </c>
      <c r="D146" s="9" t="str">
        <f>IF(J146=0, "DANIEL TEIXEIRA SIQUEIRA GONÇALVES",IF(J146=57036,"ALEXANDRE DA COSTA SOARES",IF(J146=24157,"JOSE MAURICIO GOMES TEIXEIRA",IF(J146=24203,"JOSE MAURICIO GOMES TEIXEIRA",IF(J146=24149,"CHRISTIANO MARCONDES DE BARROS LIMA",IF(J146=24137,"CHRISTIANO MARCONDES DE BARROS LIMA",IF(J146=135152,"ENRICO BORTPLUZO CASSIANO",IF(J146=136568,"ENRICO BORTPLUZO CASSIANO", IF(J146=130976,"MARYLIA CARVALHO PONCE",IF(J146=136668,"ALEXANDRE DA COSTA SOARES",IF(J146=52340,"OFFSHORE LISTED",IF(J146=158778,"CLAUDIO DE SOUZA PACINI",IF(J146=159800,"CLAUDIO DE SOUZA PACINI",_xlfn.XLOOKUP(J146,[1]!Tabela33[ID ORACLE],[1]!Tabela33[BROKER],0,0,1))))))))))))))</f>
        <v>ALVARO LUIZ RICOTTA SOARES</v>
      </c>
      <c r="E146" s="22">
        <f t="shared" si="10"/>
        <v>-9398.1685897527987</v>
      </c>
      <c r="F146" s="9" t="str">
        <f t="shared" si="11"/>
        <v>BLOOMBERG</v>
      </c>
      <c r="G146" s="20">
        <f t="shared" si="12"/>
        <v>46174</v>
      </c>
      <c r="H146" s="23">
        <v>1170</v>
      </c>
      <c r="J146" s="45">
        <v>70461</v>
      </c>
      <c r="K146" s="45" t="s">
        <v>41</v>
      </c>
      <c r="L146" s="45" t="s">
        <v>12</v>
      </c>
      <c r="M146" s="45">
        <v>1815.509908</v>
      </c>
      <c r="Q146" s="27"/>
      <c r="R146" s="27"/>
    </row>
    <row r="147" spans="1:18" ht="15" customHeight="1" x14ac:dyDescent="0.25">
      <c r="A147" s="9" t="str">
        <f t="shared" si="13"/>
        <v>CUSTO MARKET DATA - JUNHO/26-BLOOMBERG-70953</v>
      </c>
      <c r="B147" s="20">
        <v>46174</v>
      </c>
      <c r="C147" s="21">
        <v>817393</v>
      </c>
      <c r="D147" s="9" t="str">
        <f>IF(J147=0, "DANIEL TEIXEIRA SIQUEIRA GONÇALVES",IF(J147=57036,"ALEXANDRE DA COSTA SOARES",IF(J147=24157,"JOSE MAURICIO GOMES TEIXEIRA",IF(J147=24203,"JOSE MAURICIO GOMES TEIXEIRA",IF(J147=24149,"CHRISTIANO MARCONDES DE BARROS LIMA",IF(J147=24137,"CHRISTIANO MARCONDES DE BARROS LIMA",IF(J147=135152,"ENRICO BORTPLUZO CASSIANO",IF(J147=136568,"ENRICO BORTPLUZO CASSIANO", IF(J147=130976,"MARYLIA CARVALHO PONCE",IF(J147=136668,"ALEXANDRE DA COSTA SOARES",IF(J147=52340,"OFFSHORE LISTED",IF(J147=158778,"CLAUDIO DE SOUZA PACINI",IF(J147=159800,"CLAUDIO DE SOUZA PACINI",_xlfn.XLOOKUP(J147,[1]!Tabela33[ID ORACLE],[1]!Tabela33[BROKER],0,0,1))))))))))))))</f>
        <v>CARLOS BASILE</v>
      </c>
      <c r="E147" s="22">
        <f t="shared" si="10"/>
        <v>-12721.217790023597</v>
      </c>
      <c r="F147" s="9" t="str">
        <f t="shared" si="11"/>
        <v>BLOOMBERG</v>
      </c>
      <c r="G147" s="20">
        <f t="shared" si="12"/>
        <v>46174</v>
      </c>
      <c r="H147" s="23">
        <v>1170</v>
      </c>
      <c r="J147" s="45">
        <v>70953</v>
      </c>
      <c r="K147" s="45" t="s">
        <v>41</v>
      </c>
      <c r="L147" s="45" t="s">
        <v>12</v>
      </c>
      <c r="M147" s="45">
        <v>2457.4465459999997</v>
      </c>
      <c r="Q147" s="27"/>
      <c r="R147" s="27"/>
    </row>
    <row r="148" spans="1:18" ht="15" customHeight="1" x14ac:dyDescent="0.25">
      <c r="A148" s="9" t="str">
        <f t="shared" si="13"/>
        <v>CUSTO MARKET DATA - JUNHO/26-REFINITIV-70953</v>
      </c>
      <c r="B148" s="20">
        <v>46174</v>
      </c>
      <c r="C148" s="21">
        <v>817393</v>
      </c>
      <c r="D148" s="9" t="str">
        <f>IF(J148=0, "DANIEL TEIXEIRA SIQUEIRA GONÇALVES",IF(J148=57036,"ALEXANDRE DA COSTA SOARES",IF(J148=24157,"JOSE MAURICIO GOMES TEIXEIRA",IF(J148=24203,"JOSE MAURICIO GOMES TEIXEIRA",IF(J148=24149,"CHRISTIANO MARCONDES DE BARROS LIMA",IF(J148=24137,"CHRISTIANO MARCONDES DE BARROS LIMA",IF(J148=135152,"ENRICO BORTPLUZO CASSIANO",IF(J148=136568,"ENRICO BORTPLUZO CASSIANO", IF(J148=130976,"MARYLIA CARVALHO PONCE",IF(J148=136668,"ALEXANDRE DA COSTA SOARES",IF(J148=52340,"OFFSHORE LISTED",IF(J148=158778,"CLAUDIO DE SOUZA PACINI",IF(J148=159800,"CLAUDIO DE SOUZA PACINI",_xlfn.XLOOKUP(J148,[1]!Tabela33[ID ORACLE],[1]!Tabela33[BROKER],0,0,1))))))))))))))</f>
        <v>CARLOS BASILE</v>
      </c>
      <c r="E148" s="22">
        <f t="shared" si="10"/>
        <v>-606.89314486260002</v>
      </c>
      <c r="F148" s="9" t="str">
        <f t="shared" si="11"/>
        <v>REFINITIV</v>
      </c>
      <c r="G148" s="20">
        <f t="shared" si="12"/>
        <v>46174</v>
      </c>
      <c r="H148" s="23">
        <v>1170</v>
      </c>
      <c r="J148" s="45">
        <v>70953</v>
      </c>
      <c r="K148" s="45" t="s">
        <v>42</v>
      </c>
      <c r="L148" s="45" t="s">
        <v>17</v>
      </c>
      <c r="M148" s="45">
        <v>88.420698000000016</v>
      </c>
      <c r="Q148" s="27"/>
      <c r="R148" s="27"/>
    </row>
    <row r="149" spans="1:18" ht="15" customHeight="1" x14ac:dyDescent="0.25">
      <c r="A149" s="9" t="str">
        <f t="shared" si="13"/>
        <v>CUSTO MARKET DATA - JUNHO/26-REFINITIV-72574</v>
      </c>
      <c r="B149" s="20">
        <v>46174</v>
      </c>
      <c r="C149" s="21">
        <v>817393</v>
      </c>
      <c r="D149" s="9" t="str">
        <f>IF(J149=0, "DANIEL TEIXEIRA SIQUEIRA GONÇALVES",IF(J149=57036,"ALEXANDRE DA COSTA SOARES",IF(J149=24157,"JOSE MAURICIO GOMES TEIXEIRA",IF(J149=24203,"JOSE MAURICIO GOMES TEIXEIRA",IF(J149=24149,"CHRISTIANO MARCONDES DE BARROS LIMA",IF(J149=24137,"CHRISTIANO MARCONDES DE BARROS LIMA",IF(J149=135152,"ENRICO BORTPLUZO CASSIANO",IF(J149=136568,"ENRICO BORTPLUZO CASSIANO", IF(J149=130976,"MARYLIA CARVALHO PONCE",IF(J149=136668,"ALEXANDRE DA COSTA SOARES",IF(J149=52340,"OFFSHORE LISTED",IF(J149=158778,"CLAUDIO DE SOUZA PACINI",IF(J149=159800,"CLAUDIO DE SOUZA PACINI",_xlfn.XLOOKUP(J149,[1]!Tabela33[ID ORACLE],[1]!Tabela33[BROKER],0,0,1))))))))))))))</f>
        <v>CARLOS JOSE SEPPE MILANI</v>
      </c>
      <c r="E149" s="22">
        <f t="shared" si="10"/>
        <v>-143.09587270439999</v>
      </c>
      <c r="F149" s="9" t="str">
        <f t="shared" si="11"/>
        <v>REFINITIV</v>
      </c>
      <c r="G149" s="20">
        <f t="shared" si="12"/>
        <v>46174</v>
      </c>
      <c r="H149" s="23">
        <v>1170</v>
      </c>
      <c r="J149" s="45">
        <v>72574</v>
      </c>
      <c r="K149" s="45" t="s">
        <v>42</v>
      </c>
      <c r="L149" s="45" t="s">
        <v>17</v>
      </c>
      <c r="M149" s="45">
        <v>20.848212</v>
      </c>
      <c r="Q149" s="27"/>
      <c r="R149" s="27"/>
    </row>
    <row r="150" spans="1:18" ht="15" customHeight="1" x14ac:dyDescent="0.25">
      <c r="A150" s="9" t="str">
        <f t="shared" si="13"/>
        <v>CUSTO MARKET DATA - JUNHO/26-BLOOMBERG-100142</v>
      </c>
      <c r="B150" s="20">
        <v>46174</v>
      </c>
      <c r="C150" s="21">
        <v>817393</v>
      </c>
      <c r="D150" s="9" t="str">
        <f>IF(J150=0, "DANIEL TEIXEIRA SIQUEIRA GONÇALVES",IF(J150=57036,"ALEXANDRE DA COSTA SOARES",IF(J150=24157,"JOSE MAURICIO GOMES TEIXEIRA",IF(J150=24203,"JOSE MAURICIO GOMES TEIXEIRA",IF(J150=24149,"CHRISTIANO MARCONDES DE BARROS LIMA",IF(J150=24137,"CHRISTIANO MARCONDES DE BARROS LIMA",IF(J150=135152,"ENRICO BORTPLUZO CASSIANO",IF(J150=136568,"ENRICO BORTPLUZO CASSIANO", IF(J150=130976,"MARYLIA CARVALHO PONCE",IF(J150=136668,"ALEXANDRE DA COSTA SOARES",IF(J150=52340,"OFFSHORE LISTED",IF(J150=158778,"CLAUDIO DE SOUZA PACINI",IF(J150=159800,"CLAUDIO DE SOUZA PACINI",_xlfn.XLOOKUP(J150,[1]!Tabela33[ID ORACLE],[1]!Tabela33[BROKER],0,0,1))))))))))))))</f>
        <v>RAFAEL TENORIO CAVALCANTI</v>
      </c>
      <c r="E150" s="22">
        <f t="shared" si="10"/>
        <v>-206.02867999999998</v>
      </c>
      <c r="F150" s="9" t="str">
        <f t="shared" si="11"/>
        <v>BLOOMBERG</v>
      </c>
      <c r="G150" s="20">
        <f t="shared" si="12"/>
        <v>46174</v>
      </c>
      <c r="H150" s="23">
        <v>1170</v>
      </c>
      <c r="J150" s="45">
        <v>100142</v>
      </c>
      <c r="K150" s="45" t="s">
        <v>41</v>
      </c>
      <c r="L150" s="45" t="s">
        <v>12</v>
      </c>
      <c r="M150" s="45">
        <v>39.799999999999997</v>
      </c>
      <c r="Q150" s="27"/>
      <c r="R150" s="27"/>
    </row>
    <row r="151" spans="1:18" ht="15" customHeight="1" x14ac:dyDescent="0.25">
      <c r="A151" s="9" t="str">
        <f t="shared" si="13"/>
        <v>CUSTO MARKET DATA - JUNHO/26-BLOOMBERG-100142</v>
      </c>
      <c r="B151" s="20">
        <v>46174</v>
      </c>
      <c r="C151" s="21">
        <v>817393</v>
      </c>
      <c r="D151" s="9" t="str">
        <f>IF(J151=0, "DANIEL TEIXEIRA SIQUEIRA GONÇALVES",IF(J151=57036,"ALEXANDRE DA COSTA SOARES",IF(J151=24157,"JOSE MAURICIO GOMES TEIXEIRA",IF(J151=24203,"JOSE MAURICIO GOMES TEIXEIRA",IF(J151=24149,"CHRISTIANO MARCONDES DE BARROS LIMA",IF(J151=24137,"CHRISTIANO MARCONDES DE BARROS LIMA",IF(J151=135152,"ENRICO BORTPLUZO CASSIANO",IF(J151=136568,"ENRICO BORTPLUZO CASSIANO", IF(J151=130976,"MARYLIA CARVALHO PONCE",IF(J151=136668,"ALEXANDRE DA COSTA SOARES",IF(J151=52340,"OFFSHORE LISTED",IF(J151=158778,"CLAUDIO DE SOUZA PACINI",IF(J151=159800,"CLAUDIO DE SOUZA PACINI",_xlfn.XLOOKUP(J151,[1]!Tabela33[ID ORACLE],[1]!Tabela33[BROKER],0,0,1))))))))))))))</f>
        <v>RAFAEL TENORIO CAVALCANTI</v>
      </c>
      <c r="E151" s="22">
        <f t="shared" si="10"/>
        <v>-12216.776</v>
      </c>
      <c r="F151" s="9" t="str">
        <f t="shared" si="11"/>
        <v>BLOOMBERG</v>
      </c>
      <c r="G151" s="20">
        <f t="shared" si="12"/>
        <v>46174</v>
      </c>
      <c r="H151" s="23">
        <v>1170</v>
      </c>
      <c r="J151" s="45">
        <v>100142</v>
      </c>
      <c r="K151" s="45" t="s">
        <v>41</v>
      </c>
      <c r="L151" s="45" t="s">
        <v>12</v>
      </c>
      <c r="M151" s="45">
        <v>2360</v>
      </c>
      <c r="Q151" s="27"/>
      <c r="R151" s="27"/>
    </row>
    <row r="152" spans="1:18" ht="15" customHeight="1" x14ac:dyDescent="0.25">
      <c r="A152" s="9" t="str">
        <f t="shared" si="13"/>
        <v>CUSTO MARKET DATA - JUNHO/26-BLOOMBERG-136667</v>
      </c>
      <c r="B152" s="20">
        <v>46174</v>
      </c>
      <c r="C152" s="21">
        <v>817393</v>
      </c>
      <c r="D152" s="9" t="str">
        <f>IF(J152=0, "DANIEL TEIXEIRA SIQUEIRA GONÇALVES",IF(J152=57036,"ALEXANDRE DA COSTA SOARES",IF(J152=24157,"JOSE MAURICIO GOMES TEIXEIRA",IF(J152=24203,"JOSE MAURICIO GOMES TEIXEIRA",IF(J152=24149,"CHRISTIANO MARCONDES DE BARROS LIMA",IF(J152=24137,"CHRISTIANO MARCONDES DE BARROS LIMA",IF(J152=135152,"ENRICO BORTPLUZO CASSIANO",IF(J152=136568,"ENRICO BORTPLUZO CASSIANO", IF(J152=130976,"MARYLIA CARVALHO PONCE",IF(J152=136668,"ALEXANDRE DA COSTA SOARES",IF(J152=52340,"OFFSHORE LISTED",IF(J152=158778,"CLAUDIO DE SOUZA PACINI",IF(J152=159800,"CLAUDIO DE SOUZA PACINI",_xlfn.XLOOKUP(J152,[1]!Tabela33[ID ORACLE],[1]!Tabela33[BROKER],0,0,1))))))))))))))</f>
        <v>HUGO BIANCHI RIBEIRO</v>
      </c>
      <c r="E152" s="22">
        <f t="shared" si="10"/>
        <v>-206.02867999999998</v>
      </c>
      <c r="F152" s="9" t="str">
        <f t="shared" si="11"/>
        <v>BLOOMBERG</v>
      </c>
      <c r="G152" s="20">
        <f t="shared" si="12"/>
        <v>46174</v>
      </c>
      <c r="H152" s="23">
        <v>1170</v>
      </c>
      <c r="J152" s="45">
        <v>136667</v>
      </c>
      <c r="K152" s="45" t="s">
        <v>41</v>
      </c>
      <c r="L152" s="45" t="s">
        <v>12</v>
      </c>
      <c r="M152" s="45">
        <v>39.799999999999997</v>
      </c>
      <c r="Q152" s="27"/>
      <c r="R152" s="27"/>
    </row>
    <row r="153" spans="1:18" ht="15" customHeight="1" x14ac:dyDescent="0.25">
      <c r="A153" s="9" t="str">
        <f t="shared" si="13"/>
        <v>CUSTO MARKET DATA - JUNHO/26-BLOOMBERG-136667</v>
      </c>
      <c r="B153" s="20">
        <v>46174</v>
      </c>
      <c r="C153" s="21">
        <v>817393</v>
      </c>
      <c r="D153" s="9" t="str">
        <f>IF(J153=0, "DANIEL TEIXEIRA SIQUEIRA GONÇALVES",IF(J153=57036,"ALEXANDRE DA COSTA SOARES",IF(J153=24157,"JOSE MAURICIO GOMES TEIXEIRA",IF(J153=24203,"JOSE MAURICIO GOMES TEIXEIRA",IF(J153=24149,"CHRISTIANO MARCONDES DE BARROS LIMA",IF(J153=24137,"CHRISTIANO MARCONDES DE BARROS LIMA",IF(J153=135152,"ENRICO BORTPLUZO CASSIANO",IF(J153=136568,"ENRICO BORTPLUZO CASSIANO", IF(J153=130976,"MARYLIA CARVALHO PONCE",IF(J153=136668,"ALEXANDRE DA COSTA SOARES",IF(J153=52340,"OFFSHORE LISTED",IF(J153=158778,"CLAUDIO DE SOUZA PACINI",IF(J153=159800,"CLAUDIO DE SOUZA PACINI",_xlfn.XLOOKUP(J153,[1]!Tabela33[ID ORACLE],[1]!Tabela33[BROKER],0,0,1))))))))))))))</f>
        <v>HUGO BIANCHI RIBEIRO</v>
      </c>
      <c r="E153" s="22">
        <f t="shared" si="10"/>
        <v>-12216.776</v>
      </c>
      <c r="F153" s="9" t="str">
        <f t="shared" si="11"/>
        <v>BLOOMBERG</v>
      </c>
      <c r="G153" s="20">
        <f t="shared" si="12"/>
        <v>46174</v>
      </c>
      <c r="H153" s="23">
        <v>1170</v>
      </c>
      <c r="J153" s="45">
        <v>136667</v>
      </c>
      <c r="K153" s="45" t="s">
        <v>41</v>
      </c>
      <c r="L153" s="45" t="s">
        <v>12</v>
      </c>
      <c r="M153" s="45">
        <v>2360</v>
      </c>
      <c r="Q153" s="27"/>
      <c r="R153" s="27"/>
    </row>
    <row r="154" spans="1:18" ht="15" customHeight="1" x14ac:dyDescent="0.25">
      <c r="A154" s="9" t="str">
        <f t="shared" si="13"/>
        <v>CUSTO MARKET DATA - JUNHO/26-BLOOMBERG-66729</v>
      </c>
      <c r="B154" s="20">
        <v>46174</v>
      </c>
      <c r="C154" s="21">
        <v>817393</v>
      </c>
      <c r="D154" s="9" t="str">
        <f>IF(J154=0, "DANIEL TEIXEIRA SIQUEIRA GONÇALVES",IF(J154=57036,"ALEXANDRE DA COSTA SOARES",IF(J154=24157,"JOSE MAURICIO GOMES TEIXEIRA",IF(J154=24203,"JOSE MAURICIO GOMES TEIXEIRA",IF(J154=24149,"CHRISTIANO MARCONDES DE BARROS LIMA",IF(J154=24137,"CHRISTIANO MARCONDES DE BARROS LIMA",IF(J154=135152,"ENRICO BORTPLUZO CASSIANO",IF(J154=136568,"ENRICO BORTPLUZO CASSIANO", IF(J154=130976,"MARYLIA CARVALHO PONCE",IF(J154=136668,"ALEXANDRE DA COSTA SOARES",IF(J154=52340,"OFFSHORE LISTED",IF(J154=158778,"CLAUDIO DE SOUZA PACINI",IF(J154=159800,"CLAUDIO DE SOUZA PACINI",_xlfn.XLOOKUP(J154,[1]!Tabela33[ID ORACLE],[1]!Tabela33[BROKER],0,0,1))))))))))))))</f>
        <v>PAOLO FRANCA LIDA</v>
      </c>
      <c r="E154" s="22">
        <f t="shared" si="10"/>
        <v>-206.02867999999998</v>
      </c>
      <c r="F154" s="9" t="str">
        <f t="shared" si="11"/>
        <v>BLOOMBERG</v>
      </c>
      <c r="G154" s="20">
        <f t="shared" si="12"/>
        <v>46174</v>
      </c>
      <c r="H154" s="23">
        <v>1170</v>
      </c>
      <c r="J154" s="1">
        <v>66729</v>
      </c>
      <c r="K154" s="1" t="s">
        <v>41</v>
      </c>
      <c r="L154" s="1" t="s">
        <v>12</v>
      </c>
      <c r="M154" s="2">
        <v>39.799999999999997</v>
      </c>
      <c r="Q154" s="27"/>
      <c r="R154" s="27"/>
    </row>
    <row r="155" spans="1:18" ht="15" customHeight="1" x14ac:dyDescent="0.25">
      <c r="A155" s="9" t="str">
        <f t="shared" si="13"/>
        <v>CUSTO MARKET DATA - JUNHO/26-BLOOMBERG-66729</v>
      </c>
      <c r="B155" s="20">
        <v>46174</v>
      </c>
      <c r="C155" s="21">
        <v>817393</v>
      </c>
      <c r="D155" s="9" t="str">
        <f>IF(J155=0, "DANIEL TEIXEIRA SIQUEIRA GONÇALVES",IF(J155=57036,"ALEXANDRE DA COSTA SOARES",IF(J155=24157,"JOSE MAURICIO GOMES TEIXEIRA",IF(J155=24203,"JOSE MAURICIO GOMES TEIXEIRA",IF(J155=24149,"CHRISTIANO MARCONDES DE BARROS LIMA",IF(J155=24137,"CHRISTIANO MARCONDES DE BARROS LIMA",IF(J155=135152,"ENRICO BORTPLUZO CASSIANO",IF(J155=136568,"ENRICO BORTPLUZO CASSIANO", IF(J155=130976,"MARYLIA CARVALHO PONCE",IF(J155=136668,"ALEXANDRE DA COSTA SOARES",IF(J155=52340,"OFFSHORE LISTED",IF(J155=158778,"CLAUDIO DE SOUZA PACINI",IF(J155=159800,"CLAUDIO DE SOUZA PACINI",_xlfn.XLOOKUP(J155,[1]!Tabela33[ID ORACLE],[1]!Tabela33[BROKER],0,0,1))))))))))))))</f>
        <v>PAOLO FRANCA LIDA</v>
      </c>
      <c r="E155" s="22">
        <f t="shared" si="10"/>
        <v>-11466.169</v>
      </c>
      <c r="F155" s="9" t="str">
        <f t="shared" si="11"/>
        <v>BLOOMBERG</v>
      </c>
      <c r="G155" s="20">
        <f t="shared" si="12"/>
        <v>46174</v>
      </c>
      <c r="H155" s="23">
        <v>1170</v>
      </c>
      <c r="J155" s="45">
        <v>66729</v>
      </c>
      <c r="K155" s="45" t="s">
        <v>41</v>
      </c>
      <c r="L155" s="45" t="s">
        <v>12</v>
      </c>
      <c r="M155" s="45">
        <v>2215</v>
      </c>
      <c r="Q155" s="27"/>
      <c r="R155" s="27"/>
    </row>
    <row r="156" spans="1:18" ht="15" customHeight="1" x14ac:dyDescent="0.25">
      <c r="A156" s="9" t="str">
        <f t="shared" si="13"/>
        <v>CUSTO MARKET DATA - JUNHO/26-BLOOMBERG-128550</v>
      </c>
      <c r="B156" s="20">
        <v>46174</v>
      </c>
      <c r="C156" s="21">
        <v>817393</v>
      </c>
      <c r="D156" s="9" t="str">
        <f>IF(J156=0, "DANIEL TEIXEIRA SIQUEIRA GONÇALVES",IF(J156=57036,"ALEXANDRE DA COSTA SOARES",IF(J156=24157,"JOSE MAURICIO GOMES TEIXEIRA",IF(J156=24203,"JOSE MAURICIO GOMES TEIXEIRA",IF(J156=24149,"CHRISTIANO MARCONDES DE BARROS LIMA",IF(J156=24137,"CHRISTIANO MARCONDES DE BARROS LIMA",IF(J156=135152,"ENRICO BORTPLUZO CASSIANO",IF(J156=136568,"ENRICO BORTPLUZO CASSIANO", IF(J156=130976,"MARYLIA CARVALHO PONCE",IF(J156=136668,"ALEXANDRE DA COSTA SOARES",IF(J156=52340,"OFFSHORE LISTED",IF(J156=158778,"CLAUDIO DE SOUZA PACINI",IF(J156=159800,"CLAUDIO DE SOUZA PACINI",_xlfn.XLOOKUP(J156,[1]!Tabela33[ID ORACLE],[1]!Tabela33[BROKER],0,0,1))))))))))))))</f>
        <v>ALINE FAUSTINI</v>
      </c>
      <c r="E156" s="22">
        <f t="shared" si="10"/>
        <v>-14089.5827629986</v>
      </c>
      <c r="F156" s="9" t="str">
        <f t="shared" si="11"/>
        <v>BLOOMBERG</v>
      </c>
      <c r="G156" s="20">
        <f t="shared" si="12"/>
        <v>46174</v>
      </c>
      <c r="H156" s="23">
        <v>1170</v>
      </c>
      <c r="J156" s="45">
        <v>128550</v>
      </c>
      <c r="K156" s="45" t="s">
        <v>41</v>
      </c>
      <c r="L156" s="45" t="s">
        <v>12</v>
      </c>
      <c r="M156" s="45">
        <v>2721.783171</v>
      </c>
      <c r="Q156" s="27"/>
      <c r="R156" s="27"/>
    </row>
    <row r="157" spans="1:18" ht="15" customHeight="1" x14ac:dyDescent="0.25">
      <c r="A157" s="9" t="str">
        <f t="shared" si="13"/>
        <v>CUSTO MARKET DATA - JUNHO/26-NYSE MARKET INC.-128550</v>
      </c>
      <c r="B157" s="20">
        <v>46174</v>
      </c>
      <c r="C157" s="21">
        <v>817393</v>
      </c>
      <c r="D157" s="9" t="str">
        <f>IF(J157=0, "DANIEL TEIXEIRA SIQUEIRA GONÇALVES",IF(J157=57036,"ALEXANDRE DA COSTA SOARES",IF(J157=24157,"JOSE MAURICIO GOMES TEIXEIRA",IF(J157=24203,"JOSE MAURICIO GOMES TEIXEIRA",IF(J157=24149,"CHRISTIANO MARCONDES DE BARROS LIMA",IF(J157=24137,"CHRISTIANO MARCONDES DE BARROS LIMA",IF(J157=135152,"ENRICO BORTPLUZO CASSIANO",IF(J157=136568,"ENRICO BORTPLUZO CASSIANO", IF(J157=130976,"MARYLIA CARVALHO PONCE",IF(J157=136668,"ALEXANDRE DA COSTA SOARES",IF(J157=52340,"OFFSHORE LISTED",IF(J157=158778,"CLAUDIO DE SOUZA PACINI",IF(J157=159800,"CLAUDIO DE SOUZA PACINI",_xlfn.XLOOKUP(J157,[1]!Tabela33[ID ORACLE],[1]!Tabela33[BROKER],0,0,1))))))))))))))</f>
        <v>ALINE FAUSTINI</v>
      </c>
      <c r="E157" s="22">
        <f>-IF(L157="BRL",M157,IF(L157="GBP",M157*$R$1,IF(L157="CAD",M157*$T$1,M157*$P$1)))</f>
        <v>-152.02023899919999</v>
      </c>
      <c r="F157" s="9" t="str">
        <f>IF(UPPER(K157)="Valor Analytics LLC","VALOR",UPPER(K157))</f>
        <v>NYSE MARKET INC.</v>
      </c>
      <c r="G157" s="20">
        <f t="shared" si="12"/>
        <v>46174</v>
      </c>
      <c r="H157" s="23">
        <v>1170</v>
      </c>
      <c r="J157" s="45">
        <v>128550</v>
      </c>
      <c r="K157" s="45" t="s">
        <v>44</v>
      </c>
      <c r="L157" s="45" t="s">
        <v>12</v>
      </c>
      <c r="M157" s="45">
        <v>29.366811999999999</v>
      </c>
      <c r="Q157" s="27"/>
      <c r="R157" s="27"/>
    </row>
    <row r="158" spans="1:18" ht="15" customHeight="1" x14ac:dyDescent="0.25">
      <c r="A158" s="9" t="str">
        <f t="shared" si="13"/>
        <v>CUSTO MARKET DATA - JUNHO/26-REFINITIV-128550</v>
      </c>
      <c r="B158" s="20">
        <v>46174</v>
      </c>
      <c r="C158" s="21">
        <v>817393</v>
      </c>
      <c r="D158" s="9" t="str">
        <f>IF(J158=0, "DANIEL TEIXEIRA SIQUEIRA GONÇALVES",IF(J158=57036,"ALEXANDRE DA COSTA SOARES",IF(J158=24157,"JOSE MAURICIO GOMES TEIXEIRA",IF(J158=24203,"JOSE MAURICIO GOMES TEIXEIRA",IF(J158=24149,"CHRISTIANO MARCONDES DE BARROS LIMA",IF(J158=24137,"CHRISTIANO MARCONDES DE BARROS LIMA",IF(J158=135152,"ENRICO BORTPLUZO CASSIANO",IF(J158=136568,"ENRICO BORTPLUZO CASSIANO", IF(J158=130976,"MARYLIA CARVALHO PONCE",IF(J158=136668,"ALEXANDRE DA COSTA SOARES",IF(J158=52340,"OFFSHORE LISTED",IF(J158=158778,"CLAUDIO DE SOUZA PACINI",IF(J158=159800,"CLAUDIO DE SOUZA PACINI",_xlfn.XLOOKUP(J158,[1]!Tabela33[ID ORACLE],[1]!Tabela33[BROKER],0,0,1))))))))))))))</f>
        <v>ALINE FAUSTINI</v>
      </c>
      <c r="E158" s="22">
        <f>-IF(L158="BRL",M158,IF(L158="GBP",M158*$R$1,IF(L158="CAD",M158*$T$1,M158*$P$1)))</f>
        <v>-606.89314486260002</v>
      </c>
      <c r="F158" s="9" t="str">
        <f>IF(UPPER(K158)="Valor Analytics LLC","VALOR",UPPER(K158))</f>
        <v>REFINITIV</v>
      </c>
      <c r="G158" s="20">
        <f t="shared" si="12"/>
        <v>46174</v>
      </c>
      <c r="H158" s="23">
        <v>1170</v>
      </c>
      <c r="J158" s="45">
        <v>128550</v>
      </c>
      <c r="K158" s="45" t="s">
        <v>42</v>
      </c>
      <c r="L158" s="45" t="s">
        <v>17</v>
      </c>
      <c r="M158" s="45">
        <v>88.420698000000002</v>
      </c>
      <c r="Q158" s="27"/>
      <c r="R158" s="27"/>
    </row>
    <row r="159" spans="1:18" ht="15" customHeight="1" x14ac:dyDescent="0.25">
      <c r="A159" s="9" t="str">
        <f t="shared" si="13"/>
        <v>CUSTO MARKET DATA - JUNHO/26-BLOOMBERG-153754</v>
      </c>
      <c r="B159" s="20">
        <v>46174</v>
      </c>
      <c r="C159" s="21">
        <v>817393</v>
      </c>
      <c r="D159" s="9" t="str">
        <f>IF(J159=0, "DANIEL TEIXEIRA SIQUEIRA GONÇALVES",IF(J159=57036,"ALEXANDRE DA COSTA SOARES",IF(J159=24157,"JOSE MAURICIO GOMES TEIXEIRA",IF(J159=24203,"JOSE MAURICIO GOMES TEIXEIRA",IF(J159=24149,"CHRISTIANO MARCONDES DE BARROS LIMA",IF(J159=24137,"CHRISTIANO MARCONDES DE BARROS LIMA",IF(J159=135152,"ENRICO BORTPLUZO CASSIANO",IF(J159=136568,"ENRICO BORTPLUZO CASSIANO", IF(J159=130976,"MARYLIA CARVALHO PONCE",IF(J159=136668,"ALEXANDRE DA COSTA SOARES",IF(J159=52340,"OFFSHORE LISTED",IF(J159=158778,"CLAUDIO DE SOUZA PACINI",IF(J159=159800,"CLAUDIO DE SOUZA PACINI",_xlfn.XLOOKUP(J159,[1]!Tabela33[ID ORACLE],[1]!Tabela33[BROKER],0,0,1))))))))))))))</f>
        <v>CLAUDIO DE SOUZA PACINI</v>
      </c>
      <c r="E159" s="22">
        <f>-IF(L159="BRL",M159,IF(L159="GBP",M159*$R$1,IF(L159="CAD",M159*$T$1,M159*$P$1)))</f>
        <v>-17814.892964954797</v>
      </c>
      <c r="F159" s="9" t="str">
        <f>IF(UPPER(K159)="Valor Analytics LLC","VALOR",UPPER(K159))</f>
        <v>BLOOMBERG</v>
      </c>
      <c r="G159" s="20">
        <f t="shared" si="12"/>
        <v>46174</v>
      </c>
      <c r="H159" s="23">
        <v>1170</v>
      </c>
      <c r="J159" s="45">
        <v>153754</v>
      </c>
      <c r="K159" s="45" t="s">
        <v>41</v>
      </c>
      <c r="L159" s="45" t="s">
        <v>12</v>
      </c>
      <c r="M159" s="45">
        <v>3441.4273779999999</v>
      </c>
      <c r="Q159" s="27"/>
      <c r="R159" s="27"/>
    </row>
    <row r="160" spans="1:18" ht="15" customHeight="1" x14ac:dyDescent="0.25">
      <c r="A160" s="9" t="str">
        <f t="shared" si="13"/>
        <v>CUSTO MARKET DATA - JUNHO/26-FIDESSA-153754</v>
      </c>
      <c r="B160" s="20">
        <v>46174</v>
      </c>
      <c r="C160" s="21">
        <v>817393</v>
      </c>
      <c r="D160" s="9" t="str">
        <f>IF(J160=0, "DANIEL TEIXEIRA SIQUEIRA GONÇALVES",IF(J160=57036,"ALEXANDRE DA COSTA SOARES",IF(J160=24157,"JOSE MAURICIO GOMES TEIXEIRA",IF(J160=24203,"JOSE MAURICIO GOMES TEIXEIRA",IF(J160=24149,"CHRISTIANO MARCONDES DE BARROS LIMA",IF(J160=24137,"CHRISTIANO MARCONDES DE BARROS LIMA",IF(J160=135152,"ENRICO BORTPLUZO CASSIANO",IF(J160=136568,"ENRICO BORTPLUZO CASSIANO", IF(J160=130976,"MARYLIA CARVALHO PONCE",IF(J160=136668,"ALEXANDRE DA COSTA SOARES",IF(J160=52340,"OFFSHORE LISTED",IF(J160=158778,"CLAUDIO DE SOUZA PACINI",IF(J160=159800,"CLAUDIO DE SOUZA PACINI",_xlfn.XLOOKUP(J160,[1]!Tabela33[ID ORACLE],[1]!Tabela33[BROKER],0,0,1))))))))))))))</f>
        <v>CLAUDIO DE SOUZA PACINI</v>
      </c>
      <c r="E160" s="22">
        <f>-IF(L160="BRL",M160,IF(L160="GBP",M160*$R$1,IF(L160="CAD",M160*$T$1,M160*$P$1)))</f>
        <v>-3219.3476717973995</v>
      </c>
      <c r="F160" s="9" t="str">
        <f>IF(UPPER(K160)="Valor Analytics LLC","VALOR",UPPER(K160))</f>
        <v>FIDESSA</v>
      </c>
      <c r="G160" s="20">
        <f t="shared" si="12"/>
        <v>46174</v>
      </c>
      <c r="H160" s="23">
        <v>1170</v>
      </c>
      <c r="J160" s="45">
        <v>153754</v>
      </c>
      <c r="K160" s="45" t="s">
        <v>47</v>
      </c>
      <c r="L160" s="45" t="s">
        <v>12</v>
      </c>
      <c r="M160" s="45">
        <v>621.90388899999994</v>
      </c>
      <c r="Q160" s="27"/>
      <c r="R160" s="27"/>
    </row>
    <row r="161" spans="1:18" ht="15" customHeight="1" x14ac:dyDescent="0.25">
      <c r="A161" s="9" t="str">
        <f t="shared" si="13"/>
        <v>CUSTO MARKET DATA - JUNHO/26-NYSE MARKET INC.-153754</v>
      </c>
      <c r="B161" s="20">
        <v>46174</v>
      </c>
      <c r="C161" s="21">
        <v>817393</v>
      </c>
      <c r="D161" s="9" t="str">
        <f>IF(J161=0, "DANIEL TEIXEIRA SIQUEIRA GONÇALVES",IF(J161=57036,"ALEXANDRE DA COSTA SOARES",IF(J161=24157,"JOSE MAURICIO GOMES TEIXEIRA",IF(J161=24203,"JOSE MAURICIO GOMES TEIXEIRA",IF(J161=24149,"CHRISTIANO MARCONDES DE BARROS LIMA",IF(J161=24137,"CHRISTIANO MARCONDES DE BARROS LIMA",IF(J161=135152,"ENRICO BORTPLUZO CASSIANO",IF(J161=136568,"ENRICO BORTPLUZO CASSIANO", IF(J161=130976,"MARYLIA CARVALHO PONCE",IF(J161=136668,"ALEXANDRE DA COSTA SOARES",IF(J161=52340,"OFFSHORE LISTED",IF(J161=158778,"CLAUDIO DE SOUZA PACINI",IF(J161=159800,"CLAUDIO DE SOUZA PACINI",_xlfn.XLOOKUP(J161,[1]!Tabela33[ID ORACLE],[1]!Tabela33[BROKER],0,0,1))))))))))))))</f>
        <v>CLAUDIO DE SOUZA PACINI</v>
      </c>
      <c r="E161" s="22">
        <f>-IF(L161="BRL",M161,IF(L161="GBP",M161*$R$1,IF(L161="CAD",M161*$T$1,M161*$P$1)))</f>
        <v>-1887.9506629983998</v>
      </c>
      <c r="F161" s="9" t="str">
        <f>IF(UPPER(K161)="Valor Analytics LLC","VALOR",UPPER(K161))</f>
        <v>NYSE MARKET INC.</v>
      </c>
      <c r="G161" s="20">
        <f t="shared" si="12"/>
        <v>46174</v>
      </c>
      <c r="H161" s="46">
        <v>1170</v>
      </c>
      <c r="J161" s="45">
        <v>153754</v>
      </c>
      <c r="K161" s="45" t="s">
        <v>44</v>
      </c>
      <c r="L161" s="45" t="s">
        <v>12</v>
      </c>
      <c r="M161" s="45">
        <v>364.70862399999999</v>
      </c>
      <c r="Q161" s="27"/>
      <c r="R161" s="27"/>
    </row>
    <row r="162" spans="1:18" ht="15" customHeight="1" x14ac:dyDescent="0.25">
      <c r="A162" s="9" t="str">
        <f t="shared" si="13"/>
        <v>CUSTO MARKET DATA - JUNHO/26-OPTIONS PRICE REPORTING AUTHORITY (OPRA)-153754</v>
      </c>
      <c r="B162" s="20">
        <v>46174</v>
      </c>
      <c r="C162" s="21">
        <v>817393</v>
      </c>
      <c r="D162" s="9" t="str">
        <f>IF(J162=0, "DANIEL TEIXEIRA SIQUEIRA GONÇALVES",IF(J162=57036,"ALEXANDRE DA COSTA SOARES",IF(J162=24157,"JOSE MAURICIO GOMES TEIXEIRA",IF(J162=24203,"JOSE MAURICIO GOMES TEIXEIRA",IF(J162=24149,"CHRISTIANO MARCONDES DE BARROS LIMA",IF(J162=24137,"CHRISTIANO MARCONDES DE BARROS LIMA",IF(J162=135152,"ENRICO BORTPLUZO CASSIANO",IF(J162=136568,"ENRICO BORTPLUZO CASSIANO", IF(J162=130976,"MARYLIA CARVALHO PONCE",IF(J162=136668,"ALEXANDRE DA COSTA SOARES",IF(J162=52340,"OFFSHORE LISTED",IF(J162=158778,"CLAUDIO DE SOUZA PACINI",IF(J162=159800,"CLAUDIO DE SOUZA PACINI",_xlfn.XLOOKUP(J162,[1]!Tabela33[ID ORACLE],[1]!Tabela33[BROKER],0,0,1))))))))))))))</f>
        <v>CLAUDIO DE SOUZA PACINI</v>
      </c>
      <c r="E162" s="22">
        <f t="shared" ref="E162:E164" si="14">-IF(L162="BRL",M162,IF(L162="GBP",M162*$R$1,IF(L162="CAD",M162*$T$1,M162*$P$1)))</f>
        <v>-1155.9121323749998</v>
      </c>
      <c r="F162" s="9" t="str">
        <f t="shared" ref="F162:F164" si="15">IF(UPPER(K162)="Valor Analytics LLC","VALOR",UPPER(K162))</f>
        <v>OPTIONS PRICE REPORTING AUTHORITY (OPRA)</v>
      </c>
      <c r="G162" s="20">
        <f t="shared" si="12"/>
        <v>46174</v>
      </c>
      <c r="H162" s="46">
        <v>1170</v>
      </c>
      <c r="J162" s="45">
        <v>153754</v>
      </c>
      <c r="K162" s="45" t="s">
        <v>45</v>
      </c>
      <c r="L162" s="45" t="s">
        <v>12</v>
      </c>
      <c r="M162" s="45">
        <v>223.295625</v>
      </c>
      <c r="Q162" s="27"/>
      <c r="R162" s="27"/>
    </row>
    <row r="163" spans="1:18" ht="15" customHeight="1" x14ac:dyDescent="0.25">
      <c r="A163" s="9" t="str">
        <f t="shared" si="13"/>
        <v>CUSTO MARKET DATA - JUNHO/26-TORONTO STOCK EXCHANGE-153754</v>
      </c>
      <c r="B163" s="20">
        <v>46174</v>
      </c>
      <c r="C163" s="21">
        <v>817393</v>
      </c>
      <c r="D163" s="9" t="str">
        <f>IF(J163=0, "DANIEL TEIXEIRA SIQUEIRA GONÇALVES",IF(J163=57036,"ALEXANDRE DA COSTA SOARES",IF(J163=24157,"JOSE MAURICIO GOMES TEIXEIRA",IF(J163=24203,"JOSE MAURICIO GOMES TEIXEIRA",IF(J163=24149,"CHRISTIANO MARCONDES DE BARROS LIMA",IF(J163=24137,"CHRISTIANO MARCONDES DE BARROS LIMA",IF(J163=135152,"ENRICO BORTPLUZO CASSIANO",IF(J163=136568,"ENRICO BORTPLUZO CASSIANO", IF(J163=130976,"MARYLIA CARVALHO PONCE",IF(J163=136668,"ALEXANDRE DA COSTA SOARES",IF(J163=52340,"OFFSHORE LISTED",IF(J163=158778,"CLAUDIO DE SOUZA PACINI",IF(J163=159800,"CLAUDIO DE SOUZA PACINI",_xlfn.XLOOKUP(J163,[1]!Tabela33[ID ORACLE],[1]!Tabela33[BROKER],0,0,1))))))))))))))</f>
        <v>CLAUDIO DE SOUZA PACINI</v>
      </c>
      <c r="E163" s="22">
        <f t="shared" si="14"/>
        <v>-367.47820460780002</v>
      </c>
      <c r="F163" s="9" t="str">
        <f t="shared" si="15"/>
        <v>TORONTO STOCK EXCHANGE</v>
      </c>
      <c r="G163" s="20">
        <f t="shared" si="12"/>
        <v>46174</v>
      </c>
      <c r="H163" s="46">
        <v>1170</v>
      </c>
      <c r="J163" s="45">
        <v>153754</v>
      </c>
      <c r="K163" s="45" t="s">
        <v>51</v>
      </c>
      <c r="L163" s="45" t="s">
        <v>12</v>
      </c>
      <c r="M163" s="45">
        <v>70.988333000000011</v>
      </c>
      <c r="Q163" s="27"/>
      <c r="R163" s="27"/>
    </row>
    <row r="164" spans="1:18" ht="15" customHeight="1" x14ac:dyDescent="0.25">
      <c r="A164" s="9" t="str">
        <f t="shared" si="13"/>
        <v>CUSTO MARKET DATA - JUNHO/26-TRADE THE NEWS, INC.-153754</v>
      </c>
      <c r="B164" s="20">
        <v>46174</v>
      </c>
      <c r="C164" s="21">
        <v>817393</v>
      </c>
      <c r="D164" s="9" t="str">
        <f>IF(J164=0, "DANIEL TEIXEIRA SIQUEIRA GONÇALVES",IF(J164=57036,"ALEXANDRE DA COSTA SOARES",IF(J164=24157,"JOSE MAURICIO GOMES TEIXEIRA",IF(J164=24203,"JOSE MAURICIO GOMES TEIXEIRA",IF(J164=24149,"CHRISTIANO MARCONDES DE BARROS LIMA",IF(J164=24137,"CHRISTIANO MARCONDES DE BARROS LIMA",IF(J164=135152,"ENRICO BORTPLUZO CASSIANO",IF(J164=136568,"ENRICO BORTPLUZO CASSIANO", IF(J164=130976,"MARYLIA CARVALHO PONCE",IF(J164=136668,"ALEXANDRE DA COSTA SOARES",IF(J164=52340,"OFFSHORE LISTED",IF(J164=158778,"CLAUDIO DE SOUZA PACINI",IF(J164=159800,"CLAUDIO DE SOUZA PACINI",_xlfn.XLOOKUP(J164,[1]!Tabela33[ID ORACLE],[1]!Tabela33[BROKER],0,0,1))))))))))))))</f>
        <v>CLAUDIO DE SOUZA PACINI</v>
      </c>
      <c r="E164" s="22">
        <f t="shared" si="14"/>
        <v>-1240.3133599999999</v>
      </c>
      <c r="F164" s="9" t="str">
        <f t="shared" si="15"/>
        <v>TRADE THE NEWS, INC.</v>
      </c>
      <c r="G164" s="20">
        <f t="shared" si="12"/>
        <v>46174</v>
      </c>
      <c r="H164" s="46">
        <v>1170</v>
      </c>
      <c r="J164" s="45">
        <v>153754</v>
      </c>
      <c r="K164" s="45" t="s">
        <v>52</v>
      </c>
      <c r="L164" s="45" t="s">
        <v>12</v>
      </c>
      <c r="M164" s="45">
        <v>239.6</v>
      </c>
      <c r="Q164" s="27"/>
      <c r="R164" s="27"/>
    </row>
    <row r="165" spans="1:18" ht="15" customHeight="1" x14ac:dyDescent="0.25">
      <c r="J165" s="45"/>
      <c r="K165" s="45"/>
      <c r="L165" s="45"/>
      <c r="M165" s="45"/>
    </row>
    <row r="166" spans="1:18" ht="15" customHeight="1" x14ac:dyDescent="0.25">
      <c r="J166" s="45"/>
      <c r="K166" s="45"/>
      <c r="L166" s="45"/>
      <c r="M166" s="45"/>
    </row>
    <row r="1048548" spans="3:3" ht="15" customHeight="1" x14ac:dyDescent="0.25">
      <c r="C1048548" s="21"/>
    </row>
  </sheetData>
  <autoFilter ref="A1:T164" xr:uid="{D70B35B3-77FF-43AD-AE42-8938E8C76D36}"/>
  <mergeCells count="11">
    <mergeCell ref="N2:N3"/>
    <mergeCell ref="O2:O3"/>
    <mergeCell ref="N4:N5"/>
    <mergeCell ref="O4:O5"/>
    <mergeCell ref="N6:N7"/>
    <mergeCell ref="O6:O7"/>
    <mergeCell ref="N8:N9"/>
    <mergeCell ref="O8:O9"/>
    <mergeCell ref="N10:N11"/>
    <mergeCell ref="O10:O11"/>
    <mergeCell ref="N12:N23"/>
  </mergeCells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4F24C-61F1-48BD-ABC3-EBA86517B261}">
  <dimension ref="A1:BZ1048548"/>
  <sheetViews>
    <sheetView showGridLines="0" zoomScaleNormal="100" workbookViewId="0">
      <selection activeCell="A2" sqref="A2:A27"/>
    </sheetView>
  </sheetViews>
  <sheetFormatPr defaultRowHeight="15" customHeight="1" x14ac:dyDescent="0.25"/>
  <cols>
    <col min="1" max="1" width="48.85546875" style="1" customWidth="1"/>
    <col min="2" max="2" width="19.140625" style="3" bestFit="1" customWidth="1"/>
    <col min="3" max="3" width="8.42578125" style="4" customWidth="1"/>
    <col min="4" max="4" width="34.7109375" style="1" bestFit="1" customWidth="1"/>
    <col min="5" max="5" width="10" style="2" bestFit="1" customWidth="1"/>
    <col min="6" max="6" width="17.42578125" style="1" bestFit="1" customWidth="1"/>
    <col min="7" max="7" width="19.140625" style="3" bestFit="1" customWidth="1"/>
    <col min="8" max="8" width="16.28515625" style="19" bestFit="1" customWidth="1"/>
    <col min="9" max="9" width="2.7109375" customWidth="1"/>
    <col min="10" max="10" width="14" style="1" customWidth="1"/>
    <col min="11" max="11" width="28.28515625" style="1" bestFit="1" customWidth="1"/>
    <col min="12" max="12" width="8.7109375" style="1" customWidth="1"/>
    <col min="13" max="13" width="23.28515625" style="2" bestFit="1" customWidth="1"/>
    <col min="14" max="14" width="53.5703125" bestFit="1" customWidth="1"/>
    <col min="15" max="15" width="6.140625" style="1" bestFit="1" customWidth="1"/>
    <col min="16" max="16" width="11.5703125" style="26" bestFit="1" customWidth="1"/>
    <col min="17" max="17" width="21.42578125" style="28" customWidth="1"/>
    <col min="18" max="18" width="31.85546875" style="26" bestFit="1" customWidth="1"/>
    <col min="19" max="19" width="9.140625" style="28" bestFit="1" customWidth="1"/>
    <col min="20" max="20" width="11.5703125" style="26" bestFit="1" customWidth="1"/>
    <col min="21" max="21" width="9.140625" style="28"/>
    <col min="22" max="16384" width="9.140625" style="1"/>
  </cols>
  <sheetData>
    <row r="1" spans="1:21" ht="15" customHeight="1" x14ac:dyDescent="0.2">
      <c r="A1" s="33" t="s">
        <v>0</v>
      </c>
      <c r="B1" s="30" t="s">
        <v>7</v>
      </c>
      <c r="C1" s="33" t="s">
        <v>1</v>
      </c>
      <c r="D1" s="33" t="s">
        <v>2</v>
      </c>
      <c r="E1" s="34" t="s">
        <v>3</v>
      </c>
      <c r="F1" s="33" t="s">
        <v>4</v>
      </c>
      <c r="G1" s="30" t="s">
        <v>5</v>
      </c>
      <c r="H1" s="33" t="s">
        <v>6</v>
      </c>
      <c r="I1" s="33" t="s">
        <v>16</v>
      </c>
      <c r="J1" s="35" t="s">
        <v>8</v>
      </c>
      <c r="K1" s="35" t="s">
        <v>9</v>
      </c>
      <c r="L1" s="35" t="s">
        <v>10</v>
      </c>
      <c r="M1" s="36" t="s">
        <v>11</v>
      </c>
      <c r="N1" s="32" t="s">
        <v>62</v>
      </c>
      <c r="P1" s="37">
        <v>5.0773000000000001</v>
      </c>
      <c r="Q1" s="38" t="s">
        <v>12</v>
      </c>
      <c r="R1" s="39">
        <v>6.8391000000000002</v>
      </c>
      <c r="S1" s="38" t="s">
        <v>17</v>
      </c>
      <c r="T1" s="37">
        <v>3.6198999999999999</v>
      </c>
      <c r="U1" s="38" t="s">
        <v>23</v>
      </c>
    </row>
    <row r="2" spans="1:21" ht="15" customHeight="1" x14ac:dyDescent="0.25">
      <c r="A2" s="5" t="str">
        <f t="shared" ref="A2:A65" si="0">CONCATENATE($N$1,$I$1,F2,$I$1,J2)</f>
        <v>CUSTO MARKET DATA - JULHO/26-BLOOMBERG-67829</v>
      </c>
      <c r="B2" s="6">
        <v>46204</v>
      </c>
      <c r="C2" s="7">
        <v>817393</v>
      </c>
      <c r="D2" s="5" t="s">
        <v>15</v>
      </c>
      <c r="E2" s="8">
        <f>-IF(L2="BRL",M2,M2*$P$1)/2</f>
        <v>-6118.5571672559008</v>
      </c>
      <c r="F2" s="5" t="str">
        <f>UPPER(K2)</f>
        <v>BLOOMBERG</v>
      </c>
      <c r="G2" s="6">
        <f>B2</f>
        <v>46204</v>
      </c>
      <c r="H2" s="16">
        <v>1170</v>
      </c>
      <c r="J2" s="18">
        <v>67829</v>
      </c>
      <c r="K2" s="14" t="s">
        <v>41</v>
      </c>
      <c r="L2" s="15" t="s">
        <v>12</v>
      </c>
      <c r="M2" s="8">
        <v>2410.1617660000002</v>
      </c>
      <c r="N2" s="47" t="s">
        <v>26</v>
      </c>
      <c r="O2" s="49">
        <v>67829</v>
      </c>
      <c r="Q2" s="27"/>
      <c r="R2" s="27"/>
      <c r="S2" s="27"/>
      <c r="U2" s="27"/>
    </row>
    <row r="3" spans="1:21" ht="15" customHeight="1" x14ac:dyDescent="0.25">
      <c r="A3" s="10" t="str">
        <f t="shared" si="0"/>
        <v>CUSTO MARKET DATA - JULHO/26-BLOOMBERG-67829</v>
      </c>
      <c r="B3" s="24">
        <v>46204</v>
      </c>
      <c r="C3" s="11">
        <v>817393</v>
      </c>
      <c r="D3" s="10" t="s">
        <v>24</v>
      </c>
      <c r="E3" s="12">
        <f>-IF(L3="BRL",M3,M3*$P$1)/2</f>
        <v>-6118.5571672559008</v>
      </c>
      <c r="F3" s="10" t="str">
        <f t="shared" ref="F3:F11" si="1">UPPER(K3)</f>
        <v>BLOOMBERG</v>
      </c>
      <c r="G3" s="24">
        <f t="shared" ref="G3:G66" si="2">B3</f>
        <v>46204</v>
      </c>
      <c r="H3" s="17">
        <v>1170</v>
      </c>
      <c r="J3" s="17">
        <v>67829</v>
      </c>
      <c r="K3" s="17" t="s">
        <v>41</v>
      </c>
      <c r="L3" s="13" t="s">
        <v>12</v>
      </c>
      <c r="M3" s="12">
        <v>2410.1617660000002</v>
      </c>
      <c r="N3" s="48"/>
      <c r="O3" s="50"/>
      <c r="Q3" s="27"/>
      <c r="R3" s="27"/>
      <c r="S3" s="27"/>
      <c r="U3" s="27"/>
    </row>
    <row r="4" spans="1:21" ht="15" customHeight="1" x14ac:dyDescent="0.25">
      <c r="A4" s="5" t="str">
        <f t="shared" si="0"/>
        <v>CUSTO MARKET DATA - JULHO/26-BLOOMBERG-67825</v>
      </c>
      <c r="B4" s="30">
        <v>46204</v>
      </c>
      <c r="C4" s="7">
        <v>817393</v>
      </c>
      <c r="D4" s="5" t="s">
        <v>28</v>
      </c>
      <c r="E4" s="8">
        <f>-IF(L4="BRL",M4,M4*$P$1)/2</f>
        <v>-6149.7825622559012</v>
      </c>
      <c r="F4" s="5" t="str">
        <f t="shared" si="1"/>
        <v>BLOOMBERG</v>
      </c>
      <c r="G4" s="6">
        <f t="shared" si="2"/>
        <v>46204</v>
      </c>
      <c r="H4" s="16">
        <v>1170</v>
      </c>
      <c r="J4" s="18">
        <v>67825</v>
      </c>
      <c r="K4" s="18" t="s">
        <v>41</v>
      </c>
      <c r="L4" s="15" t="s">
        <v>12</v>
      </c>
      <c r="M4" s="8">
        <v>2422.4617660000004</v>
      </c>
      <c r="N4" s="47" t="s">
        <v>25</v>
      </c>
      <c r="O4" s="49">
        <v>67825</v>
      </c>
      <c r="Q4" s="27"/>
      <c r="R4" s="27"/>
      <c r="S4" s="27"/>
      <c r="U4" s="27"/>
    </row>
    <row r="5" spans="1:21" ht="15" customHeight="1" x14ac:dyDescent="0.25">
      <c r="A5" s="10" t="str">
        <f t="shared" si="0"/>
        <v>CUSTO MARKET DATA - JULHO/26-BLOOMBERG-67825</v>
      </c>
      <c r="B5" s="24">
        <v>46204</v>
      </c>
      <c r="C5" s="11">
        <v>817393</v>
      </c>
      <c r="D5" s="10" t="s">
        <v>27</v>
      </c>
      <c r="E5" s="12">
        <f>-IF(L5="BRL",M5,M5*$P$1)/2</f>
        <v>-6149.7825622559012</v>
      </c>
      <c r="F5" s="10" t="str">
        <f t="shared" si="1"/>
        <v>BLOOMBERG</v>
      </c>
      <c r="G5" s="24">
        <f t="shared" si="2"/>
        <v>46204</v>
      </c>
      <c r="H5" s="17">
        <v>1170</v>
      </c>
      <c r="J5" s="17">
        <v>67825</v>
      </c>
      <c r="K5" s="17" t="s">
        <v>41</v>
      </c>
      <c r="L5" s="13" t="s">
        <v>12</v>
      </c>
      <c r="M5" s="12">
        <v>2422.4617660000004</v>
      </c>
      <c r="N5" s="48"/>
      <c r="O5" s="50"/>
      <c r="Q5" s="27"/>
      <c r="R5" s="27"/>
      <c r="S5" s="27"/>
      <c r="U5" s="27"/>
    </row>
    <row r="6" spans="1:21" ht="15" customHeight="1" x14ac:dyDescent="0.25">
      <c r="A6" s="5" t="str">
        <f t="shared" si="0"/>
        <v>CUSTO MARKET DATA - JULHO/26-REFINITIV-103090</v>
      </c>
      <c r="B6" s="30">
        <v>46204</v>
      </c>
      <c r="C6" s="7">
        <v>817393</v>
      </c>
      <c r="D6" s="5" t="s">
        <v>13</v>
      </c>
      <c r="E6" s="8">
        <f>-IF(L6="BRL",M6,IF(L6="GBP",M6*R1,M6*$P$1))/2</f>
        <v>-70.3533703194</v>
      </c>
      <c r="F6" s="5" t="str">
        <f t="shared" si="1"/>
        <v>REFINITIV</v>
      </c>
      <c r="G6" s="6">
        <f t="shared" si="2"/>
        <v>46204</v>
      </c>
      <c r="H6" s="16">
        <v>1170</v>
      </c>
      <c r="J6" s="18">
        <v>103090</v>
      </c>
      <c r="K6" s="18" t="s">
        <v>42</v>
      </c>
      <c r="L6" s="15" t="s">
        <v>17</v>
      </c>
      <c r="M6" s="8">
        <v>20.573868000000001</v>
      </c>
      <c r="N6" s="47" t="s">
        <v>18</v>
      </c>
      <c r="O6" s="49">
        <v>103090</v>
      </c>
      <c r="Q6" s="27"/>
      <c r="R6" s="27"/>
      <c r="S6" s="27"/>
      <c r="U6" s="27"/>
    </row>
    <row r="7" spans="1:21" ht="15" customHeight="1" x14ac:dyDescent="0.25">
      <c r="A7" s="10" t="str">
        <f t="shared" si="0"/>
        <v>CUSTO MARKET DATA - JULHO/26-REFINITIV-103090</v>
      </c>
      <c r="B7" s="24">
        <v>46204</v>
      </c>
      <c r="C7" s="11">
        <v>817393</v>
      </c>
      <c r="D7" s="10" t="s">
        <v>14</v>
      </c>
      <c r="E7" s="12">
        <f>-IF(L7="BRL",M7,IF(L7="GBP",M7*R1,M7*$P$1))/2</f>
        <v>-70.3533703194</v>
      </c>
      <c r="F7" s="10" t="str">
        <f t="shared" si="1"/>
        <v>REFINITIV</v>
      </c>
      <c r="G7" s="24">
        <f t="shared" si="2"/>
        <v>46204</v>
      </c>
      <c r="H7" s="17">
        <v>1170</v>
      </c>
      <c r="J7" s="17">
        <v>103090</v>
      </c>
      <c r="K7" s="17" t="s">
        <v>42</v>
      </c>
      <c r="L7" s="13" t="s">
        <v>17</v>
      </c>
      <c r="M7" s="12">
        <v>20.573868000000001</v>
      </c>
      <c r="N7" s="48"/>
      <c r="O7" s="50"/>
      <c r="Q7" s="27"/>
      <c r="R7" s="27"/>
      <c r="S7" s="27"/>
      <c r="U7" s="27"/>
    </row>
    <row r="8" spans="1:21" ht="15" customHeight="1" x14ac:dyDescent="0.25">
      <c r="A8" s="5" t="str">
        <f t="shared" si="0"/>
        <v>CUSTO MARKET DATA - JULHO/26-BLOOMBERG-72574</v>
      </c>
      <c r="B8" s="30">
        <v>46204</v>
      </c>
      <c r="C8" s="7">
        <v>817393</v>
      </c>
      <c r="D8" s="5" t="s">
        <v>43</v>
      </c>
      <c r="E8" s="8">
        <f>-IF(L8="BRL",M8,IF(L8="GBP",M8*#REF!,M8*$P$1))/2</f>
        <v>-6124.3960622559007</v>
      </c>
      <c r="F8" s="5" t="str">
        <f t="shared" si="1"/>
        <v>BLOOMBERG</v>
      </c>
      <c r="G8" s="6">
        <f t="shared" si="2"/>
        <v>46204</v>
      </c>
      <c r="H8" s="16">
        <v>1170</v>
      </c>
      <c r="J8" s="18">
        <v>72574</v>
      </c>
      <c r="K8" s="18" t="s">
        <v>41</v>
      </c>
      <c r="L8" s="15" t="s">
        <v>12</v>
      </c>
      <c r="M8" s="8">
        <v>2412.4617660000004</v>
      </c>
      <c r="N8" s="47" t="s">
        <v>21</v>
      </c>
      <c r="O8" s="49"/>
      <c r="Q8" s="27"/>
      <c r="R8" s="27"/>
      <c r="S8" s="27"/>
      <c r="U8" s="27"/>
    </row>
    <row r="9" spans="1:21" ht="15" customHeight="1" x14ac:dyDescent="0.25">
      <c r="A9" s="10" t="str">
        <f t="shared" si="0"/>
        <v>CUSTO MARKET DATA - JULHO/26-BLOOMBERG-72574</v>
      </c>
      <c r="B9" s="24">
        <v>46204</v>
      </c>
      <c r="C9" s="11">
        <v>817393</v>
      </c>
      <c r="D9" s="10" t="s">
        <v>20</v>
      </c>
      <c r="E9" s="12">
        <f>-IF(L9="BRL",M9,IF(L9="GBP",M9*#REF!,M9*$P$1))/2</f>
        <v>-6124.3960622559007</v>
      </c>
      <c r="F9" s="10" t="str">
        <f t="shared" si="1"/>
        <v>BLOOMBERG</v>
      </c>
      <c r="G9" s="24">
        <f t="shared" si="2"/>
        <v>46204</v>
      </c>
      <c r="H9" s="17">
        <v>1170</v>
      </c>
      <c r="J9" s="17">
        <v>72574</v>
      </c>
      <c r="K9" s="17" t="s">
        <v>41</v>
      </c>
      <c r="L9" s="13" t="s">
        <v>12</v>
      </c>
      <c r="M9" s="12">
        <v>2412.4617660000004</v>
      </c>
      <c r="N9" s="48"/>
      <c r="O9" s="50"/>
      <c r="Q9" s="27"/>
      <c r="R9" s="27"/>
      <c r="S9" s="27"/>
      <c r="U9" s="27"/>
    </row>
    <row r="10" spans="1:21" ht="15" customHeight="1" x14ac:dyDescent="0.25">
      <c r="A10" s="5" t="str">
        <f t="shared" si="0"/>
        <v>CUSTO MARKET DATA - JULHO/26-BLOOMBERG-135064</v>
      </c>
      <c r="B10" s="30">
        <v>46204</v>
      </c>
      <c r="C10" s="7">
        <v>817393</v>
      </c>
      <c r="D10" s="5" t="s">
        <v>29</v>
      </c>
      <c r="E10" s="8">
        <f>-IF(L10="BRL",M10,IF(L10="GBP",M10*#REF!,M10*$P$1))/2</f>
        <v>-6093.1706672559003</v>
      </c>
      <c r="F10" s="5" t="str">
        <f t="shared" si="1"/>
        <v>BLOOMBERG</v>
      </c>
      <c r="G10" s="6">
        <f t="shared" si="2"/>
        <v>46204</v>
      </c>
      <c r="H10" s="16">
        <v>1170</v>
      </c>
      <c r="J10" s="18">
        <v>135064</v>
      </c>
      <c r="K10" s="18" t="s">
        <v>41</v>
      </c>
      <c r="L10" s="15" t="s">
        <v>12</v>
      </c>
      <c r="M10" s="8">
        <v>2400.1617660000002</v>
      </c>
      <c r="N10" s="47" t="s">
        <v>30</v>
      </c>
      <c r="O10" s="49"/>
      <c r="Q10" s="27"/>
      <c r="R10" s="27"/>
      <c r="S10" s="27"/>
      <c r="U10" s="27"/>
    </row>
    <row r="11" spans="1:21" ht="15" customHeight="1" x14ac:dyDescent="0.25">
      <c r="A11" s="10" t="str">
        <f t="shared" si="0"/>
        <v>CUSTO MARKET DATA - JULHO/26-BLOOMBERG-135064</v>
      </c>
      <c r="B11" s="24">
        <v>46204</v>
      </c>
      <c r="C11" s="11">
        <v>817393</v>
      </c>
      <c r="D11" s="10" t="s">
        <v>22</v>
      </c>
      <c r="E11" s="12">
        <f>-IF(L11="BRL",M11,IF(L11="GBP",M11*#REF!,M11*$P$1))/2</f>
        <v>-6093.1706672559003</v>
      </c>
      <c r="F11" s="10" t="str">
        <f t="shared" si="1"/>
        <v>BLOOMBERG</v>
      </c>
      <c r="G11" s="24">
        <f t="shared" si="2"/>
        <v>46204</v>
      </c>
      <c r="H11" s="17">
        <v>1170</v>
      </c>
      <c r="J11" s="17">
        <v>135064</v>
      </c>
      <c r="K11" s="17" t="s">
        <v>41</v>
      </c>
      <c r="L11" s="13" t="s">
        <v>12</v>
      </c>
      <c r="M11" s="12">
        <v>2400.1617660000002</v>
      </c>
      <c r="N11" s="48"/>
      <c r="O11" s="50"/>
      <c r="Q11" s="27"/>
      <c r="R11" s="27"/>
      <c r="S11" s="27"/>
      <c r="U11" s="27"/>
    </row>
    <row r="12" spans="1:21" ht="15" customHeight="1" x14ac:dyDescent="0.25">
      <c r="A12" s="5" t="str">
        <f t="shared" si="0"/>
        <v>CUSTO MARKET DATA - JULHO/26-BLOOMBERG-151474</v>
      </c>
      <c r="B12" s="30">
        <v>46204</v>
      </c>
      <c r="C12" s="7">
        <v>817393</v>
      </c>
      <c r="D12" s="5" t="s">
        <v>32</v>
      </c>
      <c r="E12" s="8">
        <f>-IF(L12="BRL",M12,IF(L12="GBP",M12*$R$1,IF(L12="CAD",M12*$T$1,M12*$P$1)))/12</f>
        <v>-4.2310833333333333</v>
      </c>
      <c r="F12" s="5" t="str">
        <f>UPPER(K12)</f>
        <v>BLOOMBERG</v>
      </c>
      <c r="G12" s="30">
        <f t="shared" si="2"/>
        <v>46204</v>
      </c>
      <c r="H12" s="16">
        <v>1170</v>
      </c>
      <c r="J12" s="16">
        <v>151474</v>
      </c>
      <c r="K12" s="16" t="s">
        <v>41</v>
      </c>
      <c r="L12" s="31" t="s">
        <v>12</v>
      </c>
      <c r="M12" s="8">
        <v>10</v>
      </c>
      <c r="N12" s="47" t="s">
        <v>31</v>
      </c>
      <c r="O12" s="26"/>
      <c r="Q12" s="27"/>
      <c r="R12" s="27"/>
      <c r="S12" s="27"/>
      <c r="U12" s="27"/>
    </row>
    <row r="13" spans="1:21" ht="15" customHeight="1" x14ac:dyDescent="0.25">
      <c r="A13" s="5" t="str">
        <f t="shared" si="0"/>
        <v>CUSTO MARKET DATA - JULHO/26-BLOOMBERG-151474</v>
      </c>
      <c r="B13" s="30">
        <v>46204</v>
      </c>
      <c r="C13" s="7">
        <v>817393</v>
      </c>
      <c r="D13" s="5" t="s">
        <v>24</v>
      </c>
      <c r="E13" s="8">
        <f t="shared" ref="E13:E23" si="3">-IF(L13="BRL",M13,IF(L13="GBP",M13*$R$1,IF(L13="CAD",M13*$T$1,M13*$P$1)))/12</f>
        <v>-4.2310833333333333</v>
      </c>
      <c r="F13" s="5" t="str">
        <f t="shared" ref="F13:F23" si="4">UPPER(K13)</f>
        <v>BLOOMBERG</v>
      </c>
      <c r="G13" s="30">
        <f t="shared" si="2"/>
        <v>46204</v>
      </c>
      <c r="H13" s="16">
        <v>1170</v>
      </c>
      <c r="J13" s="16">
        <v>151474</v>
      </c>
      <c r="K13" s="16" t="s">
        <v>41</v>
      </c>
      <c r="L13" s="31" t="s">
        <v>12</v>
      </c>
      <c r="M13" s="8">
        <v>10</v>
      </c>
      <c r="N13" s="51"/>
      <c r="O13" s="26"/>
      <c r="Q13" s="27"/>
      <c r="R13" s="27"/>
      <c r="S13" s="27"/>
      <c r="U13" s="27"/>
    </row>
    <row r="14" spans="1:21" ht="15" customHeight="1" x14ac:dyDescent="0.25">
      <c r="A14" s="5" t="str">
        <f t="shared" si="0"/>
        <v>CUSTO MARKET DATA - JULHO/26-BLOOMBERG-151474</v>
      </c>
      <c r="B14" s="30">
        <v>46204</v>
      </c>
      <c r="C14" s="7">
        <v>817393</v>
      </c>
      <c r="D14" s="5" t="s">
        <v>33</v>
      </c>
      <c r="E14" s="8">
        <f t="shared" si="3"/>
        <v>-4.2310833333333333</v>
      </c>
      <c r="F14" s="5" t="str">
        <f t="shared" si="4"/>
        <v>BLOOMBERG</v>
      </c>
      <c r="G14" s="30">
        <f t="shared" si="2"/>
        <v>46204</v>
      </c>
      <c r="H14" s="16">
        <v>1170</v>
      </c>
      <c r="J14" s="16">
        <v>151474</v>
      </c>
      <c r="K14" s="16" t="s">
        <v>41</v>
      </c>
      <c r="L14" s="31" t="s">
        <v>12</v>
      </c>
      <c r="M14" s="8">
        <v>10</v>
      </c>
      <c r="N14" s="51"/>
      <c r="O14" s="26"/>
      <c r="Q14" s="27"/>
      <c r="R14" s="27"/>
      <c r="S14" s="27"/>
      <c r="U14" s="27"/>
    </row>
    <row r="15" spans="1:21" ht="15" customHeight="1" x14ac:dyDescent="0.25">
      <c r="A15" s="10" t="str">
        <f t="shared" si="0"/>
        <v>CUSTO MARKET DATA - JULHO/26-BLOOMBERG-151474</v>
      </c>
      <c r="B15" s="30">
        <v>46204</v>
      </c>
      <c r="C15" s="7">
        <v>817393</v>
      </c>
      <c r="D15" s="5" t="s">
        <v>34</v>
      </c>
      <c r="E15" s="8">
        <f t="shared" si="3"/>
        <v>-4.2310833333333333</v>
      </c>
      <c r="F15" s="5" t="str">
        <f t="shared" si="4"/>
        <v>BLOOMBERG</v>
      </c>
      <c r="G15" s="30">
        <f t="shared" si="2"/>
        <v>46204</v>
      </c>
      <c r="H15" s="16">
        <v>1170</v>
      </c>
      <c r="J15" s="16">
        <v>151474</v>
      </c>
      <c r="K15" s="16" t="s">
        <v>41</v>
      </c>
      <c r="L15" s="31" t="s">
        <v>12</v>
      </c>
      <c r="M15" s="8">
        <v>10</v>
      </c>
      <c r="N15" s="51"/>
      <c r="O15" s="26"/>
      <c r="Q15" s="27"/>
      <c r="R15" s="27"/>
      <c r="S15" s="27"/>
      <c r="U15" s="27"/>
    </row>
    <row r="16" spans="1:21" ht="15" customHeight="1" x14ac:dyDescent="0.25">
      <c r="A16" s="5" t="str">
        <f t="shared" si="0"/>
        <v>CUSTO MARKET DATA - JULHO/26-BLOOMBERG-151474</v>
      </c>
      <c r="B16" s="30">
        <v>46204</v>
      </c>
      <c r="C16" s="7">
        <v>817393</v>
      </c>
      <c r="D16" s="5" t="s">
        <v>15</v>
      </c>
      <c r="E16" s="8">
        <f t="shared" si="3"/>
        <v>-4.2310833333333333</v>
      </c>
      <c r="F16" s="5" t="str">
        <f t="shared" si="4"/>
        <v>BLOOMBERG</v>
      </c>
      <c r="G16" s="30">
        <f t="shared" si="2"/>
        <v>46204</v>
      </c>
      <c r="H16" s="16">
        <v>1170</v>
      </c>
      <c r="J16" s="16">
        <v>151474</v>
      </c>
      <c r="K16" s="16" t="s">
        <v>41</v>
      </c>
      <c r="L16" s="31" t="s">
        <v>12</v>
      </c>
      <c r="M16" s="8">
        <v>10</v>
      </c>
      <c r="N16" s="51"/>
      <c r="O16" s="26"/>
      <c r="Q16" s="27"/>
      <c r="R16" s="27"/>
      <c r="S16" s="27"/>
      <c r="U16" s="27"/>
    </row>
    <row r="17" spans="1:21" ht="15" customHeight="1" x14ac:dyDescent="0.25">
      <c r="A17" s="5" t="str">
        <f t="shared" si="0"/>
        <v>CUSTO MARKET DATA - JULHO/26-BLOOMBERG-151474</v>
      </c>
      <c r="B17" s="30">
        <v>46204</v>
      </c>
      <c r="C17" s="7">
        <v>817393</v>
      </c>
      <c r="D17" s="5" t="s">
        <v>27</v>
      </c>
      <c r="E17" s="8">
        <f t="shared" si="3"/>
        <v>-4.2310833333333333</v>
      </c>
      <c r="F17" s="5" t="str">
        <f t="shared" si="4"/>
        <v>BLOOMBERG</v>
      </c>
      <c r="G17" s="30">
        <f t="shared" si="2"/>
        <v>46204</v>
      </c>
      <c r="H17" s="16">
        <v>1170</v>
      </c>
      <c r="J17" s="16">
        <v>151474</v>
      </c>
      <c r="K17" s="16" t="s">
        <v>41</v>
      </c>
      <c r="L17" s="31" t="s">
        <v>12</v>
      </c>
      <c r="M17" s="8">
        <v>10</v>
      </c>
      <c r="N17" s="51"/>
      <c r="O17" s="26"/>
      <c r="Q17" s="27"/>
      <c r="R17" s="27"/>
      <c r="S17" s="27"/>
      <c r="U17" s="27"/>
    </row>
    <row r="18" spans="1:21" ht="15" customHeight="1" x14ac:dyDescent="0.25">
      <c r="A18" s="5" t="str">
        <f t="shared" si="0"/>
        <v>CUSTO MARKET DATA - JULHO/26-BLOOMBERG-151474</v>
      </c>
      <c r="B18" s="30">
        <v>46204</v>
      </c>
      <c r="C18" s="7">
        <v>817393</v>
      </c>
      <c r="D18" s="5" t="s">
        <v>28</v>
      </c>
      <c r="E18" s="8">
        <f t="shared" si="3"/>
        <v>-4.2310833333333333</v>
      </c>
      <c r="F18" s="5" t="str">
        <f t="shared" si="4"/>
        <v>BLOOMBERG</v>
      </c>
      <c r="G18" s="30">
        <f t="shared" si="2"/>
        <v>46204</v>
      </c>
      <c r="H18" s="16">
        <v>1170</v>
      </c>
      <c r="J18" s="16">
        <v>151474</v>
      </c>
      <c r="K18" s="16" t="s">
        <v>41</v>
      </c>
      <c r="L18" s="31" t="s">
        <v>12</v>
      </c>
      <c r="M18" s="8">
        <v>10</v>
      </c>
      <c r="N18" s="51"/>
      <c r="O18" s="26"/>
      <c r="Q18" s="27"/>
      <c r="R18" s="27"/>
      <c r="S18" s="27"/>
      <c r="U18" s="27"/>
    </row>
    <row r="19" spans="1:21" ht="15" customHeight="1" x14ac:dyDescent="0.25">
      <c r="A19" s="5" t="str">
        <f t="shared" si="0"/>
        <v>CUSTO MARKET DATA - JULHO/26-BLOOMBERG-151474</v>
      </c>
      <c r="B19" s="30">
        <v>46204</v>
      </c>
      <c r="C19" s="7">
        <v>817393</v>
      </c>
      <c r="D19" s="5" t="s">
        <v>35</v>
      </c>
      <c r="E19" s="8">
        <f t="shared" si="3"/>
        <v>-4.2310833333333333</v>
      </c>
      <c r="F19" s="5" t="str">
        <f t="shared" si="4"/>
        <v>BLOOMBERG</v>
      </c>
      <c r="G19" s="30">
        <f t="shared" si="2"/>
        <v>46204</v>
      </c>
      <c r="H19" s="16">
        <v>1170</v>
      </c>
      <c r="J19" s="16">
        <v>151474</v>
      </c>
      <c r="K19" s="16" t="s">
        <v>41</v>
      </c>
      <c r="L19" s="31" t="s">
        <v>12</v>
      </c>
      <c r="M19" s="8">
        <v>10</v>
      </c>
      <c r="N19" s="51"/>
      <c r="O19" s="26"/>
      <c r="Q19" s="27"/>
      <c r="R19" s="27"/>
      <c r="S19" s="27"/>
      <c r="U19" s="27"/>
    </row>
    <row r="20" spans="1:21" ht="15" customHeight="1" x14ac:dyDescent="0.25">
      <c r="A20" s="5" t="str">
        <f t="shared" si="0"/>
        <v>CUSTO MARKET DATA - JULHO/26-BLOOMBERG-151474</v>
      </c>
      <c r="B20" s="30">
        <v>46204</v>
      </c>
      <c r="C20" s="7">
        <v>817393</v>
      </c>
      <c r="D20" s="5" t="s">
        <v>20</v>
      </c>
      <c r="E20" s="8">
        <f t="shared" si="3"/>
        <v>-4.2310833333333333</v>
      </c>
      <c r="F20" s="5" t="str">
        <f t="shared" si="4"/>
        <v>BLOOMBERG</v>
      </c>
      <c r="G20" s="30">
        <f t="shared" si="2"/>
        <v>46204</v>
      </c>
      <c r="H20" s="16">
        <v>1170</v>
      </c>
      <c r="J20" s="16">
        <v>151474</v>
      </c>
      <c r="K20" s="16" t="s">
        <v>41</v>
      </c>
      <c r="L20" s="31" t="s">
        <v>12</v>
      </c>
      <c r="M20" s="8">
        <v>10</v>
      </c>
      <c r="N20" s="51"/>
      <c r="O20" s="26"/>
      <c r="Q20" s="27"/>
      <c r="R20" s="27"/>
      <c r="S20" s="27"/>
      <c r="U20" s="27"/>
    </row>
    <row r="21" spans="1:21" ht="15" customHeight="1" x14ac:dyDescent="0.25">
      <c r="A21" s="5" t="str">
        <f t="shared" si="0"/>
        <v>CUSTO MARKET DATA - JULHO/26-BLOOMBERG-151474</v>
      </c>
      <c r="B21" s="30">
        <v>46204</v>
      </c>
      <c r="C21" s="7">
        <v>817393</v>
      </c>
      <c r="D21" s="5" t="s">
        <v>43</v>
      </c>
      <c r="E21" s="8">
        <f t="shared" si="3"/>
        <v>-4.2310833333333333</v>
      </c>
      <c r="F21" s="5" t="str">
        <f t="shared" si="4"/>
        <v>BLOOMBERG</v>
      </c>
      <c r="G21" s="30">
        <f t="shared" si="2"/>
        <v>46204</v>
      </c>
      <c r="H21" s="16">
        <v>1170</v>
      </c>
      <c r="J21" s="16">
        <v>151474</v>
      </c>
      <c r="K21" s="16" t="s">
        <v>41</v>
      </c>
      <c r="L21" s="31" t="s">
        <v>12</v>
      </c>
      <c r="M21" s="8">
        <v>10</v>
      </c>
      <c r="N21" s="51"/>
      <c r="O21" s="26"/>
      <c r="Q21" s="27"/>
      <c r="R21" s="27"/>
      <c r="S21" s="27"/>
      <c r="U21" s="27"/>
    </row>
    <row r="22" spans="1:21" ht="15" customHeight="1" x14ac:dyDescent="0.25">
      <c r="A22" s="5" t="str">
        <f t="shared" si="0"/>
        <v>CUSTO MARKET DATA - JULHO/26-BLOOMBERG-151474</v>
      </c>
      <c r="B22" s="30">
        <v>46204</v>
      </c>
      <c r="C22" s="7">
        <v>817393</v>
      </c>
      <c r="D22" s="5" t="s">
        <v>36</v>
      </c>
      <c r="E22" s="8">
        <f t="shared" si="3"/>
        <v>-4.2310833333333333</v>
      </c>
      <c r="F22" s="5" t="str">
        <f t="shared" si="4"/>
        <v>BLOOMBERG</v>
      </c>
      <c r="G22" s="30">
        <f t="shared" si="2"/>
        <v>46204</v>
      </c>
      <c r="H22" s="16">
        <v>1170</v>
      </c>
      <c r="J22" s="16">
        <v>151474</v>
      </c>
      <c r="K22" s="16" t="s">
        <v>41</v>
      </c>
      <c r="L22" s="31" t="s">
        <v>12</v>
      </c>
      <c r="M22" s="8">
        <v>10</v>
      </c>
      <c r="N22" s="51"/>
      <c r="O22" s="26"/>
      <c r="Q22" s="27"/>
      <c r="R22" s="27"/>
      <c r="S22" s="27"/>
      <c r="U22" s="27"/>
    </row>
    <row r="23" spans="1:21" ht="15" customHeight="1" x14ac:dyDescent="0.25">
      <c r="A23" s="10" t="str">
        <f t="shared" si="0"/>
        <v>CUSTO MARKET DATA - JULHO/26-BLOOMBERG-151474</v>
      </c>
      <c r="B23" s="24">
        <v>46204</v>
      </c>
      <c r="C23" s="11">
        <v>817393</v>
      </c>
      <c r="D23" s="10" t="s">
        <v>37</v>
      </c>
      <c r="E23" s="12">
        <f t="shared" si="3"/>
        <v>-4.2310833333333333</v>
      </c>
      <c r="F23" s="5" t="str">
        <f t="shared" si="4"/>
        <v>BLOOMBERG</v>
      </c>
      <c r="G23" s="24">
        <f t="shared" si="2"/>
        <v>46204</v>
      </c>
      <c r="H23" s="17">
        <v>1170</v>
      </c>
      <c r="J23" s="17">
        <v>151474</v>
      </c>
      <c r="K23" s="17" t="s">
        <v>41</v>
      </c>
      <c r="L23" s="13" t="s">
        <v>12</v>
      </c>
      <c r="M23" s="12">
        <v>10</v>
      </c>
      <c r="N23" s="48"/>
      <c r="Q23" s="27"/>
      <c r="R23" s="27"/>
      <c r="S23" s="27"/>
      <c r="U23" s="27"/>
    </row>
    <row r="24" spans="1:21" ht="15" customHeight="1" x14ac:dyDescent="0.25">
      <c r="A24" s="10" t="str">
        <f t="shared" si="0"/>
        <v>CUSTO MARKET DATA - JULHO/26-BLOOMBERG-133472</v>
      </c>
      <c r="B24" s="24">
        <v>46204</v>
      </c>
      <c r="C24" s="11">
        <v>817393</v>
      </c>
      <c r="D24" s="10" t="s">
        <v>38</v>
      </c>
      <c r="E24" s="12">
        <f>-IF(L24="BRL",M24,IF(L24="GBP",M24*$R$1,IF(L24="CAD",M24*$T$1,M24*$P$1)))</f>
        <v>0</v>
      </c>
      <c r="F24" s="10" t="str">
        <f>UPPER(K24)</f>
        <v>BLOOMBERG</v>
      </c>
      <c r="G24" s="24">
        <f t="shared" si="2"/>
        <v>46204</v>
      </c>
      <c r="H24" s="17">
        <v>1170</v>
      </c>
      <c r="J24" s="17">
        <v>133472</v>
      </c>
      <c r="K24" s="17" t="s">
        <v>41</v>
      </c>
      <c r="L24" s="13" t="s">
        <v>12</v>
      </c>
      <c r="M24" s="43"/>
      <c r="N24" s="40" t="s">
        <v>39</v>
      </c>
      <c r="Q24" s="27"/>
      <c r="R24" s="27"/>
      <c r="S24" s="27"/>
      <c r="U24" s="27"/>
    </row>
    <row r="25" spans="1:21" ht="15" customHeight="1" x14ac:dyDescent="0.25">
      <c r="A25" s="10" t="str">
        <f t="shared" si="0"/>
        <v>CUSTO MARKET DATA - JULHO/26-BLOOMBERG-161123</v>
      </c>
      <c r="B25" s="24">
        <v>46204</v>
      </c>
      <c r="C25" s="11">
        <v>817393</v>
      </c>
      <c r="D25" s="10" t="s">
        <v>38</v>
      </c>
      <c r="E25" s="12">
        <f>-IF(L25="BRL",M25,IF(L25="GBP",M25*$R$1,IF(L25="CAD",M25*$T$1,M25*$P$1)))</f>
        <v>-50.773000000000003</v>
      </c>
      <c r="F25" s="10" t="str">
        <f>UPPER(K25)</f>
        <v>BLOOMBERG</v>
      </c>
      <c r="G25" s="24">
        <f>B25</f>
        <v>46204</v>
      </c>
      <c r="H25" s="17">
        <v>1170</v>
      </c>
      <c r="J25" s="17">
        <v>161123</v>
      </c>
      <c r="K25" s="17" t="s">
        <v>41</v>
      </c>
      <c r="L25" s="13" t="s">
        <v>12</v>
      </c>
      <c r="M25" s="12">
        <v>10</v>
      </c>
      <c r="N25" s="40" t="s">
        <v>56</v>
      </c>
      <c r="Q25" s="27"/>
      <c r="R25" s="27"/>
      <c r="S25" s="27"/>
      <c r="U25" s="27"/>
    </row>
    <row r="26" spans="1:21" ht="15" customHeight="1" x14ac:dyDescent="0.25">
      <c r="A26" s="10" t="str">
        <f t="shared" si="0"/>
        <v>CUSTO MARKET DATA - JULHO/26-REFINITIV-133472</v>
      </c>
      <c r="B26" s="24">
        <v>46204</v>
      </c>
      <c r="C26" s="11">
        <v>817393</v>
      </c>
      <c r="D26" s="10" t="s">
        <v>38</v>
      </c>
      <c r="E26" s="12">
        <f>-IF(L26="BRL",M26,IF(L26="GBP",M26*$R$1,IF(L26="CAD",M26*$T$1,M26*$P$1)))</f>
        <v>-12.7539982215</v>
      </c>
      <c r="F26" s="10" t="str">
        <f>UPPER(K26)</f>
        <v>REFINITIV</v>
      </c>
      <c r="G26" s="24">
        <f>B26</f>
        <v>46204</v>
      </c>
      <c r="H26" s="17">
        <v>1170</v>
      </c>
      <c r="J26" s="17">
        <v>133472</v>
      </c>
      <c r="K26" s="17" t="s">
        <v>42</v>
      </c>
      <c r="L26" s="13" t="s">
        <v>17</v>
      </c>
      <c r="M26" s="43">
        <v>1.864865</v>
      </c>
      <c r="N26" s="40" t="s">
        <v>39</v>
      </c>
      <c r="Q26" s="27"/>
      <c r="R26" s="27"/>
      <c r="S26" s="27"/>
      <c r="U26" s="27"/>
    </row>
    <row r="27" spans="1:21" ht="15" customHeight="1" x14ac:dyDescent="0.25">
      <c r="A27" s="10" t="str">
        <f t="shared" si="0"/>
        <v>CUSTO MARKET DATA - JULHO/26-BLOOMBERG-161932</v>
      </c>
      <c r="B27" s="30">
        <v>46204</v>
      </c>
      <c r="C27" s="7">
        <v>817393</v>
      </c>
      <c r="D27" s="5" t="s">
        <v>38</v>
      </c>
      <c r="E27" s="12">
        <f>-IF(L27="BRL",M27,IF(L27="GBP",M27*$R$1,IF(L27="CAD",M27*$T$1,M27*$P$1)))</f>
        <v>-50.773000000000003</v>
      </c>
      <c r="F27" s="5" t="s">
        <v>58</v>
      </c>
      <c r="G27" s="24">
        <f t="shared" si="2"/>
        <v>46204</v>
      </c>
      <c r="H27" s="16">
        <v>1170</v>
      </c>
      <c r="J27" s="16">
        <v>161932</v>
      </c>
      <c r="K27" s="16" t="s">
        <v>41</v>
      </c>
      <c r="L27" s="31" t="s">
        <v>12</v>
      </c>
      <c r="M27" s="8">
        <v>10</v>
      </c>
      <c r="N27" s="44" t="s">
        <v>59</v>
      </c>
      <c r="Q27" s="27"/>
      <c r="R27" s="27"/>
      <c r="S27" s="27"/>
      <c r="U27" s="27"/>
    </row>
    <row r="28" spans="1:21" ht="15" customHeight="1" x14ac:dyDescent="0.25">
      <c r="A28" s="5" t="str">
        <f t="shared" si="0"/>
        <v>CUSTO MARKET DATA - JULHO/26-REFINITIV-100142</v>
      </c>
      <c r="B28" s="20">
        <v>46204</v>
      </c>
      <c r="C28" s="21">
        <v>817393</v>
      </c>
      <c r="D28" s="9" t="str">
        <f>IF(J28=57036,"ALEXANDRE DA COSTA SOARES",IF(J28=24157,"JOSE MAURICIO GOMES TEIXEIRA",IF(J28=24203,"JOSE MAURICIO GOMES TEIXEIRA",IF(J28=24149,"CHRISTIANO MARCONDES DE BARROS LIMA",IF(J28=24137,"CHRISTIANO MARCONDES DE BARROS LIMA",IF(J28=135152,"ENRICO BORTPLUZO CASSIANO",IF(J28=136568,"ENRICO BORTPLUZO CASSIANO", IF(J28=130976,"MARYLIA CARVALHO PONCE",IF(J28=136668,"ALEXANDRE DA COSTA SOARES",IF(J28=52340,"OFFSHORE LISTED",IF(J28=158778,"CLAUDIO DE SOUZA PACINI",IF(J28=159800,"CLAUDIO DE SOUZA PACINI",_xlfn.XLOOKUP(J28,[1]!Tabela33[ID ORACLE],[1]!Tabela33[BROKER],0,0,1)))))))))))))</f>
        <v>RAFAEL TENORIO CAVALCANTI</v>
      </c>
      <c r="E28" s="22">
        <f>-IF(L28="BRL",M28,IF(L28="GBP",M28*$R$1,IF(L28="CAD",M28*$T$1,M28*$P$1)))</f>
        <v>-619.18598863799991</v>
      </c>
      <c r="F28" s="9" t="str">
        <f>IF(UPPER(K28)="Valor Analytics LLC","VALOR",UPPER(K28))</f>
        <v>REFINITIV</v>
      </c>
      <c r="G28" s="20">
        <f t="shared" si="2"/>
        <v>46204</v>
      </c>
      <c r="H28" s="23">
        <v>1170</v>
      </c>
      <c r="J28" s="45">
        <v>100142</v>
      </c>
      <c r="K28" s="45" t="s">
        <v>42</v>
      </c>
      <c r="L28" s="45" t="s">
        <v>17</v>
      </c>
      <c r="M28" s="45">
        <v>90.536179999999987</v>
      </c>
      <c r="N28" s="2"/>
      <c r="Q28" s="27"/>
      <c r="R28" s="27"/>
      <c r="S28" s="27"/>
      <c r="U28" s="27"/>
    </row>
    <row r="29" spans="1:21" ht="15" customHeight="1" x14ac:dyDescent="0.25">
      <c r="A29" s="5" t="str">
        <f t="shared" si="0"/>
        <v>CUSTO MARKET DATA - JULHO/26-REFINITIV-105071</v>
      </c>
      <c r="B29" s="20">
        <v>46204</v>
      </c>
      <c r="C29" s="21">
        <v>817393</v>
      </c>
      <c r="D29" s="9" t="str">
        <f>IF(J29=57036,"ALEXANDRE DA COSTA SOARES",IF(J29=24157,"JOSE MAURICIO GOMES TEIXEIRA",IF(J29=24203,"JOSE MAURICIO GOMES TEIXEIRA",IF(J29=24149,"CHRISTIANO MARCONDES DE BARROS LIMA",IF(J29=24137,"CHRISTIANO MARCONDES DE BARROS LIMA",IF(J29=135152,"ENRICO BORTPLUZO CASSIANO",IF(J29=136568,"ENRICO BORTPLUZO CASSIANO", IF(J29=130976,"MARYLIA CARVALHO PONCE",IF(J29=136668,"ALEXANDRE DA COSTA SOARES",IF(J29=52340,"OFFSHORE LISTED",IF(J29=158778,"CLAUDIO DE SOUZA PACINI",IF(J29=159800,"CLAUDIO DE SOUZA PACINI",_xlfn.XLOOKUP(J29,[1]!Tabela33[ID ORACLE],[1]!Tabela33[BROKER],0,0,1)))))))))))))</f>
        <v>RODRIGO MOURA MARQUES</v>
      </c>
      <c r="E29" s="22">
        <f t="shared" ref="E29:E92" si="5">-IF(L29="BRL",M29,IF(L29="GBP",M29*$R$1,IF(L29="CAD",M29*$T$1,M29*$P$1)))</f>
        <v>-140.7067406388</v>
      </c>
      <c r="F29" s="9" t="str">
        <f t="shared" ref="F29:F92" si="6">IF(UPPER(K29)="Valor Analytics LLC","VALOR",UPPER(K29))</f>
        <v>REFINITIV</v>
      </c>
      <c r="G29" s="20">
        <f t="shared" si="2"/>
        <v>46204</v>
      </c>
      <c r="H29" s="23">
        <v>1170</v>
      </c>
      <c r="J29" s="45">
        <v>105071</v>
      </c>
      <c r="K29" s="45" t="s">
        <v>42</v>
      </c>
      <c r="L29" s="45" t="s">
        <v>17</v>
      </c>
      <c r="M29" s="45">
        <v>20.573868000000001</v>
      </c>
      <c r="N29" s="2"/>
      <c r="Q29" s="27"/>
      <c r="R29" s="27"/>
      <c r="S29" s="27"/>
      <c r="U29" s="27"/>
    </row>
    <row r="30" spans="1:21" ht="15" customHeight="1" x14ac:dyDescent="0.25">
      <c r="A30" s="5" t="str">
        <f t="shared" si="0"/>
        <v>CUSTO MARKET DATA - JULHO/26-BLOOMBERG-106970</v>
      </c>
      <c r="B30" s="20">
        <v>46204</v>
      </c>
      <c r="C30" s="21">
        <v>817393</v>
      </c>
      <c r="D30" s="9" t="str">
        <f>IF(J30=57036,"ALEXANDRE DA COSTA SOARES",IF(J30=24157,"JOSE MAURICIO GOMES TEIXEIRA",IF(J30=24203,"JOSE MAURICIO GOMES TEIXEIRA",IF(J30=24149,"CHRISTIANO MARCONDES DE BARROS LIMA",IF(J30=24137,"CHRISTIANO MARCONDES DE BARROS LIMA",IF(J30=135152,"ENRICO BORTPLUZO CASSIANO",IF(J30=136568,"ENRICO BORTPLUZO CASSIANO", IF(J30=130976,"MARYLIA CARVALHO PONCE",IF(J30=136668,"ALEXANDRE DA COSTA SOARES",IF(J30=52340,"OFFSHORE LISTED",IF(J30=158778,"CLAUDIO DE SOUZA PACINI",IF(J30=159800,"CLAUDIO DE SOUZA PACINI",_xlfn.XLOOKUP(J30,[1]!Tabela33[ID ORACLE],[1]!Tabela33[BROKER],0,0,1)))))))))))))</f>
        <v>CESAR MARIANO SCARAMBONE MENEZES</v>
      </c>
      <c r="E30" s="22">
        <f t="shared" si="5"/>
        <v>-12046.715584511801</v>
      </c>
      <c r="F30" s="9" t="str">
        <f t="shared" si="6"/>
        <v>BLOOMBERG</v>
      </c>
      <c r="G30" s="20">
        <f t="shared" si="2"/>
        <v>46204</v>
      </c>
      <c r="H30" s="23">
        <v>1170</v>
      </c>
      <c r="J30" s="45">
        <v>106970</v>
      </c>
      <c r="K30" s="45" t="s">
        <v>41</v>
      </c>
      <c r="L30" s="45" t="s">
        <v>12</v>
      </c>
      <c r="M30" s="45">
        <v>2372.6617660000002</v>
      </c>
      <c r="N30" s="2"/>
      <c r="Q30" s="27"/>
      <c r="R30" s="27"/>
      <c r="S30" s="27"/>
      <c r="U30" s="27"/>
    </row>
    <row r="31" spans="1:21" ht="15" customHeight="1" x14ac:dyDescent="0.25">
      <c r="A31" s="5" t="str">
        <f t="shared" si="0"/>
        <v>CUSTO MARKET DATA - JULHO/26-REFINITIV-106970</v>
      </c>
      <c r="B31" s="20">
        <v>46204</v>
      </c>
      <c r="C31" s="21">
        <v>817393</v>
      </c>
      <c r="D31" s="9" t="str">
        <f>IF(J31=57036,"ALEXANDRE DA COSTA SOARES",IF(J31=24157,"JOSE MAURICIO GOMES TEIXEIRA",IF(J31=24203,"JOSE MAURICIO GOMES TEIXEIRA",IF(J31=24149,"CHRISTIANO MARCONDES DE BARROS LIMA",IF(J31=24137,"CHRISTIANO MARCONDES DE BARROS LIMA",IF(J31=135152,"ENRICO BORTPLUZO CASSIANO",IF(J31=136568,"ENRICO BORTPLUZO CASSIANO", IF(J31=130976,"MARYLIA CARVALHO PONCE",IF(J31=136668,"ALEXANDRE DA COSTA SOARES",IF(J31=52340,"OFFSHORE LISTED",IF(J31=158778,"CLAUDIO DE SOUZA PACINI",IF(J31=159800,"CLAUDIO DE SOUZA PACINI",_xlfn.XLOOKUP(J31,[1]!Tabela33[ID ORACLE],[1]!Tabela33[BROKER],0,0,1)))))))))))))</f>
        <v>CESAR MARIANO SCARAMBONE MENEZES</v>
      </c>
      <c r="E31" s="22">
        <f t="shared" si="5"/>
        <v>-140.7067406388</v>
      </c>
      <c r="F31" s="9" t="str">
        <f t="shared" si="6"/>
        <v>REFINITIV</v>
      </c>
      <c r="G31" s="20">
        <f t="shared" si="2"/>
        <v>46204</v>
      </c>
      <c r="H31" s="23">
        <v>1170</v>
      </c>
      <c r="J31" s="45">
        <v>106970</v>
      </c>
      <c r="K31" s="45" t="s">
        <v>42</v>
      </c>
      <c r="L31" s="45" t="s">
        <v>17</v>
      </c>
      <c r="M31" s="45">
        <v>20.573868000000001</v>
      </c>
      <c r="N31" s="2"/>
      <c r="Q31" s="27"/>
      <c r="R31" s="27"/>
      <c r="S31" s="27"/>
      <c r="U31" s="27"/>
    </row>
    <row r="32" spans="1:21" ht="15" customHeight="1" x14ac:dyDescent="0.25">
      <c r="A32" s="5" t="str">
        <f t="shared" si="0"/>
        <v>CUSTO MARKET DATA - JULHO/26-REFINITIV-108911</v>
      </c>
      <c r="B32" s="20">
        <v>46204</v>
      </c>
      <c r="C32" s="21">
        <v>817393</v>
      </c>
      <c r="D32" s="9" t="str">
        <f>IF(J32=57036,"ALEXANDRE DA COSTA SOARES",IF(J32=24157,"JOSE MAURICIO GOMES TEIXEIRA",IF(J32=24203,"JOSE MAURICIO GOMES TEIXEIRA",IF(J32=24149,"CHRISTIANO MARCONDES DE BARROS LIMA",IF(J32=24137,"CHRISTIANO MARCONDES DE BARROS LIMA",IF(J32=135152,"ENRICO BORTPLUZO CASSIANO",IF(J32=136568,"ENRICO BORTPLUZO CASSIANO", IF(J32=130976,"MARYLIA CARVALHO PONCE",IF(J32=136668,"ALEXANDRE DA COSTA SOARES",IF(J32=52340,"OFFSHORE LISTED",IF(J32=158778,"CLAUDIO DE SOUZA PACINI",IF(J32=159800,"CLAUDIO DE SOUZA PACINI",_xlfn.XLOOKUP(J32,[1]!Tabela33[ID ORACLE],[1]!Tabela33[BROKER],0,0,1)))))))))))))</f>
        <v>ALI MOHAMAD KANSAOU</v>
      </c>
      <c r="E32" s="22">
        <f t="shared" si="5"/>
        <v>-140.7067406388</v>
      </c>
      <c r="F32" s="9" t="str">
        <f t="shared" si="6"/>
        <v>REFINITIV</v>
      </c>
      <c r="G32" s="20">
        <f t="shared" si="2"/>
        <v>46204</v>
      </c>
      <c r="H32" s="23">
        <v>1170</v>
      </c>
      <c r="J32" s="45">
        <v>108911</v>
      </c>
      <c r="K32" s="45" t="s">
        <v>42</v>
      </c>
      <c r="L32" s="45" t="s">
        <v>17</v>
      </c>
      <c r="M32" s="45">
        <v>20.573868000000001</v>
      </c>
      <c r="N32" s="2"/>
      <c r="Q32" s="27"/>
      <c r="R32" s="27"/>
      <c r="S32" s="27"/>
      <c r="U32" s="27"/>
    </row>
    <row r="33" spans="1:78" ht="15" customHeight="1" x14ac:dyDescent="0.25">
      <c r="A33" s="5" t="str">
        <f t="shared" si="0"/>
        <v>CUSTO MARKET DATA - JULHO/26-BLOOMBERG-113487</v>
      </c>
      <c r="B33" s="20">
        <v>46204</v>
      </c>
      <c r="C33" s="21">
        <v>817393</v>
      </c>
      <c r="D33" s="9" t="str">
        <f>IF(J33=57036,"ALEXANDRE DA COSTA SOARES",IF(J33=24157,"JOSE MAURICIO GOMES TEIXEIRA",IF(J33=24203,"JOSE MAURICIO GOMES TEIXEIRA",IF(J33=24149,"CHRISTIANO MARCONDES DE BARROS LIMA",IF(J33=24137,"CHRISTIANO MARCONDES DE BARROS LIMA",IF(J33=135152,"ENRICO BORTPLUZO CASSIANO",IF(J33=136568,"ENRICO BORTPLUZO CASSIANO", IF(J33=130976,"MARYLIA CARVALHO PONCE",IF(J33=136668,"ALEXANDRE DA COSTA SOARES",IF(J33=52340,"OFFSHORE LISTED",IF(J33=158778,"CLAUDIO DE SOUZA PACINI",IF(J33=159800,"CLAUDIO DE SOUZA PACINI",_xlfn.XLOOKUP(J33,[1]!Tabela33[ID ORACLE],[1]!Tabela33[BROKER],0,0,1)))))))))))))</f>
        <v>MARYLIA CARVALHO PONCE</v>
      </c>
      <c r="E33" s="22">
        <f t="shared" si="5"/>
        <v>-12046.715584511801</v>
      </c>
      <c r="F33" s="9" t="str">
        <f t="shared" si="6"/>
        <v>BLOOMBERG</v>
      </c>
      <c r="G33" s="20">
        <f t="shared" si="2"/>
        <v>46204</v>
      </c>
      <c r="H33" s="23">
        <v>1170</v>
      </c>
      <c r="J33" s="45">
        <v>113487</v>
      </c>
      <c r="K33" s="45" t="s">
        <v>41</v>
      </c>
      <c r="L33" s="45" t="s">
        <v>12</v>
      </c>
      <c r="M33" s="45">
        <v>2372.6617660000002</v>
      </c>
      <c r="N33" s="2"/>
      <c r="Q33" s="27"/>
      <c r="R33" s="27"/>
      <c r="S33" s="27"/>
      <c r="U33" s="27"/>
    </row>
    <row r="34" spans="1:78" ht="15" customHeight="1" x14ac:dyDescent="0.25">
      <c r="A34" s="5" t="str">
        <f t="shared" si="0"/>
        <v>CUSTO MARKET DATA - JULHO/26-REFINITIV-113487</v>
      </c>
      <c r="B34" s="20">
        <v>46204</v>
      </c>
      <c r="C34" s="21">
        <v>817393</v>
      </c>
      <c r="D34" s="9" t="str">
        <f>IF(J34=57036,"ALEXANDRE DA COSTA SOARES",IF(J34=24157,"JOSE MAURICIO GOMES TEIXEIRA",IF(J34=24203,"JOSE MAURICIO GOMES TEIXEIRA",IF(J34=24149,"CHRISTIANO MARCONDES DE BARROS LIMA",IF(J34=24137,"CHRISTIANO MARCONDES DE BARROS LIMA",IF(J34=135152,"ENRICO BORTPLUZO CASSIANO",IF(J34=136568,"ENRICO BORTPLUZO CASSIANO", IF(J34=130976,"MARYLIA CARVALHO PONCE",IF(J34=136668,"ALEXANDRE DA COSTA SOARES",IF(J34=52340,"OFFSHORE LISTED",IF(J34=158778,"CLAUDIO DE SOUZA PACINI",IF(J34=159800,"CLAUDIO DE SOUZA PACINI",_xlfn.XLOOKUP(J34,[1]!Tabela33[ID ORACLE],[1]!Tabela33[BROKER],0,0,1)))))))))))))</f>
        <v>MARYLIA CARVALHO PONCE</v>
      </c>
      <c r="E34" s="22">
        <f t="shared" si="5"/>
        <v>-140.7067406388</v>
      </c>
      <c r="F34" s="9" t="str">
        <f t="shared" si="6"/>
        <v>REFINITIV</v>
      </c>
      <c r="G34" s="20">
        <f t="shared" si="2"/>
        <v>46204</v>
      </c>
      <c r="H34" s="23">
        <v>1170</v>
      </c>
      <c r="J34" s="45">
        <v>113487</v>
      </c>
      <c r="K34" s="45" t="s">
        <v>42</v>
      </c>
      <c r="L34" s="45" t="s">
        <v>17</v>
      </c>
      <c r="M34" s="45">
        <v>20.573868000000001</v>
      </c>
      <c r="N34" s="2"/>
      <c r="Q34" s="27"/>
      <c r="R34" s="27"/>
      <c r="S34" s="27"/>
      <c r="U34" s="27"/>
    </row>
    <row r="35" spans="1:78" ht="15" customHeight="1" x14ac:dyDescent="0.25">
      <c r="A35" s="5" t="str">
        <f t="shared" si="0"/>
        <v>CUSTO MARKET DATA - JULHO/26-CBOE GLOBAL MARKETS-115154</v>
      </c>
      <c r="B35" s="20">
        <v>46204</v>
      </c>
      <c r="C35" s="21">
        <v>817393</v>
      </c>
      <c r="D35" s="9" t="str">
        <f>IF(J35=57036,"ALEXANDRE DA COSTA SOARES",IF(J35=24157,"JOSE MAURICIO GOMES TEIXEIRA",IF(J35=24203,"JOSE MAURICIO GOMES TEIXEIRA",IF(J35=24149,"CHRISTIANO MARCONDES DE BARROS LIMA",IF(J35=24137,"CHRISTIANO MARCONDES DE BARROS LIMA",IF(J35=135152,"ENRICO BORTPLUZO CASSIANO",IF(J35=136568,"ENRICO BORTPLUZO CASSIANO", IF(J35=130976,"MARYLIA CARVALHO PONCE",IF(J35=136668,"ALEXANDRE DA COSTA SOARES",IF(J35=52340,"OFFSHORE LISTED",IF(J35=158778,"CLAUDIO DE SOUZA PACINI",IF(J35=159800,"CLAUDIO DE SOUZA PACINI",_xlfn.XLOOKUP(J35,[1]!Tabela33[ID ORACLE],[1]!Tabela33[BROKER],0,0,1)))))))))))))</f>
        <v>FELIPE DE ANDRADE BASILE</v>
      </c>
      <c r="E35" s="22">
        <f t="shared" si="5"/>
        <v>-1768.9313199999999</v>
      </c>
      <c r="F35" s="9" t="str">
        <f t="shared" si="6"/>
        <v>CBOE GLOBAL MARKETS</v>
      </c>
      <c r="G35" s="20">
        <f t="shared" si="2"/>
        <v>46204</v>
      </c>
      <c r="H35" s="23">
        <v>1170</v>
      </c>
      <c r="J35" s="45">
        <v>115154</v>
      </c>
      <c r="K35" s="45" t="s">
        <v>46</v>
      </c>
      <c r="L35" s="45" t="s">
        <v>12</v>
      </c>
      <c r="M35" s="45">
        <v>348.4</v>
      </c>
      <c r="N35" s="2"/>
      <c r="Q35" s="27"/>
      <c r="R35" s="27"/>
      <c r="S35" s="27"/>
      <c r="U35" s="27"/>
    </row>
    <row r="36" spans="1:78" ht="15" customHeight="1" x14ac:dyDescent="0.25">
      <c r="A36" s="5" t="str">
        <f t="shared" si="0"/>
        <v>CUSTO MARKET DATA - JULHO/26-OPTIONS PRICE REPORTING AUTHORITY (OPRA)-115154</v>
      </c>
      <c r="B36" s="20">
        <v>46204</v>
      </c>
      <c r="C36" s="21">
        <v>817393</v>
      </c>
      <c r="D36" s="9" t="str">
        <f>IF(J36=57036,"ALEXANDRE DA COSTA SOARES",IF(J36=24157,"JOSE MAURICIO GOMES TEIXEIRA",IF(J36=24203,"JOSE MAURICIO GOMES TEIXEIRA",IF(J36=24149,"CHRISTIANO MARCONDES DE BARROS LIMA",IF(J36=24137,"CHRISTIANO MARCONDES DE BARROS LIMA",IF(J36=135152,"ENRICO BORTPLUZO CASSIANO",IF(J36=136568,"ENRICO BORTPLUZO CASSIANO", IF(J36=130976,"MARYLIA CARVALHO PONCE",IF(J36=136668,"ALEXANDRE DA COSTA SOARES",IF(J36=52340,"OFFSHORE LISTED",IF(J36=158778,"CLAUDIO DE SOUZA PACINI",IF(J36=159800,"CLAUDIO DE SOUZA PACINI",_xlfn.XLOOKUP(J36,[1]!Tabela33[ID ORACLE],[1]!Tabela33[BROKER],0,0,1)))))))))))))</f>
        <v>FELIPE DE ANDRADE BASILE</v>
      </c>
      <c r="E36" s="22">
        <f t="shared" si="5"/>
        <v>-334.06412681250004</v>
      </c>
      <c r="F36" s="9" t="str">
        <f t="shared" si="6"/>
        <v>OPTIONS PRICE REPORTING AUTHORITY (OPRA)</v>
      </c>
      <c r="G36" s="20">
        <f t="shared" si="2"/>
        <v>46204</v>
      </c>
      <c r="H36" s="23">
        <v>1170</v>
      </c>
      <c r="J36" s="45">
        <v>115154</v>
      </c>
      <c r="K36" s="45" t="s">
        <v>45</v>
      </c>
      <c r="L36" s="45" t="s">
        <v>12</v>
      </c>
      <c r="M36" s="45">
        <v>65.795625000000001</v>
      </c>
      <c r="N36" s="2"/>
      <c r="Q36" s="27"/>
      <c r="R36" s="27"/>
      <c r="S36" s="27"/>
      <c r="T36" s="27"/>
      <c r="U36" s="27"/>
    </row>
    <row r="37" spans="1:78" customFormat="1" ht="15" customHeight="1" x14ac:dyDescent="0.25">
      <c r="A37" s="5" t="str">
        <f t="shared" si="0"/>
        <v>CUSTO MARKET DATA - JULHO/26-REFINITIV-115154</v>
      </c>
      <c r="B37" s="20">
        <v>46204</v>
      </c>
      <c r="C37" s="21">
        <v>817393</v>
      </c>
      <c r="D37" s="9" t="str">
        <f>IF(J37=57036,"ALEXANDRE DA COSTA SOARES",IF(J37=24157,"JOSE MAURICIO GOMES TEIXEIRA",IF(J37=24203,"JOSE MAURICIO GOMES TEIXEIRA",IF(J37=24149,"CHRISTIANO MARCONDES DE BARROS LIMA",IF(J37=24137,"CHRISTIANO MARCONDES DE BARROS LIMA",IF(J37=135152,"ENRICO BORTPLUZO CASSIANO",IF(J37=136568,"ENRICO BORTPLUZO CASSIANO", IF(J37=130976,"MARYLIA CARVALHO PONCE",IF(J37=136668,"ALEXANDRE DA COSTA SOARES",IF(J37=52340,"OFFSHORE LISTED",IF(J37=158778,"CLAUDIO DE SOUZA PACINI",IF(J37=159800,"CLAUDIO DE SOUZA PACINI",_xlfn.XLOOKUP(J37,[1]!Tabela33[ID ORACLE],[1]!Tabela33[BROKER],0,0,1)))))))))))))</f>
        <v>FELIPE DE ANDRADE BASILE</v>
      </c>
      <c r="E37" s="22">
        <f t="shared" si="5"/>
        <v>-140.7067406388</v>
      </c>
      <c r="F37" s="9" t="str">
        <f t="shared" si="6"/>
        <v>REFINITIV</v>
      </c>
      <c r="G37" s="20">
        <f t="shared" si="2"/>
        <v>46204</v>
      </c>
      <c r="H37" s="23">
        <v>1170</v>
      </c>
      <c r="J37" s="45">
        <v>115154</v>
      </c>
      <c r="K37" s="45" t="s">
        <v>42</v>
      </c>
      <c r="L37" s="45" t="s">
        <v>17</v>
      </c>
      <c r="M37" s="45">
        <v>20.573868000000001</v>
      </c>
      <c r="N37" s="2"/>
      <c r="O37" s="1"/>
      <c r="P37" s="26"/>
      <c r="Q37" s="27"/>
      <c r="R37" s="27"/>
      <c r="S37" s="27"/>
      <c r="T37" s="26"/>
      <c r="U37" s="27"/>
    </row>
    <row r="38" spans="1:78" customFormat="1" ht="15" customHeight="1" x14ac:dyDescent="0.25">
      <c r="A38" s="5" t="str">
        <f t="shared" si="0"/>
        <v>CUSTO MARKET DATA - JULHO/26-BLOOMBERG-119734</v>
      </c>
      <c r="B38" s="20">
        <v>46204</v>
      </c>
      <c r="C38" s="21">
        <v>817393</v>
      </c>
      <c r="D38" s="9" t="str">
        <f>IF(J38=57036,"ALEXANDRE DA COSTA SOARES",IF(J38=24157,"JOSE MAURICIO GOMES TEIXEIRA",IF(J38=24203,"JOSE MAURICIO GOMES TEIXEIRA",IF(J38=24149,"CHRISTIANO MARCONDES DE BARROS LIMA",IF(J38=24137,"CHRISTIANO MARCONDES DE BARROS LIMA",IF(J38=135152,"ENRICO BORTPLUZO CASSIANO",IF(J38=136568,"ENRICO BORTPLUZO CASSIANO", IF(J38=130976,"MARYLIA CARVALHO PONCE",IF(J38=136668,"ALEXANDRE DA COSTA SOARES",IF(J38=52340,"OFFSHORE LISTED",IF(J38=158778,"CLAUDIO DE SOUZA PACINI",IF(J38=159800,"CLAUDIO DE SOUZA PACINI",_xlfn.XLOOKUP(J38,[1]!Tabela33[ID ORACLE],[1]!Tabela33[BROKER],0,0,1)))))))))))))</f>
        <v>RAFAEL MARQUES MOREIRA DA COSTA</v>
      </c>
      <c r="E38" s="22">
        <f t="shared" si="5"/>
        <v>-50.773000000000003</v>
      </c>
      <c r="F38" s="9" t="str">
        <f t="shared" si="6"/>
        <v>BLOOMBERG</v>
      </c>
      <c r="G38" s="20">
        <f t="shared" si="2"/>
        <v>46204</v>
      </c>
      <c r="H38" s="23">
        <v>1170</v>
      </c>
      <c r="J38" s="45">
        <v>119734</v>
      </c>
      <c r="K38" s="45" t="s">
        <v>41</v>
      </c>
      <c r="L38" s="45" t="s">
        <v>12</v>
      </c>
      <c r="M38" s="45">
        <v>10</v>
      </c>
      <c r="N38" s="2"/>
      <c r="O38" s="1"/>
      <c r="P38" s="26"/>
      <c r="Q38" s="27"/>
      <c r="R38" s="27"/>
      <c r="S38" s="27"/>
      <c r="T38" s="26"/>
      <c r="U38" s="27"/>
    </row>
    <row r="39" spans="1:78" customFormat="1" ht="15" customHeight="1" x14ac:dyDescent="0.25">
      <c r="A39" s="5" t="str">
        <f t="shared" si="0"/>
        <v>CUSTO MARKET DATA - JULHO/26-BROADCAST-119734</v>
      </c>
      <c r="B39" s="20">
        <v>46204</v>
      </c>
      <c r="C39" s="21">
        <v>817393</v>
      </c>
      <c r="D39" s="9" t="str">
        <f>IF(J39=57036,"ALEXANDRE DA COSTA SOARES",IF(J39=24157,"JOSE MAURICIO GOMES TEIXEIRA",IF(J39=24203,"JOSE MAURICIO GOMES TEIXEIRA",IF(J39=24149,"CHRISTIANO MARCONDES DE BARROS LIMA",IF(J39=24137,"CHRISTIANO MARCONDES DE BARROS LIMA",IF(J39=135152,"ENRICO BORTPLUZO CASSIANO",IF(J39=136568,"ENRICO BORTPLUZO CASSIANO", IF(J39=130976,"MARYLIA CARVALHO PONCE",IF(J39=136668,"ALEXANDRE DA COSTA SOARES",IF(J39=52340,"OFFSHORE LISTED",IF(J39=158778,"CLAUDIO DE SOUZA PACINI",IF(J39=159800,"CLAUDIO DE SOUZA PACINI",_xlfn.XLOOKUP(J39,[1]!Tabela33[ID ORACLE],[1]!Tabela33[BROKER],0,0,1)))))))))))))</f>
        <v>RAFAEL MARQUES MOREIRA DA COSTA</v>
      </c>
      <c r="E39" s="22">
        <f t="shared" si="5"/>
        <v>-2598.0012019999999</v>
      </c>
      <c r="F39" s="9" t="str">
        <f t="shared" si="6"/>
        <v>BROADCAST</v>
      </c>
      <c r="G39" s="20">
        <f t="shared" si="2"/>
        <v>46204</v>
      </c>
      <c r="H39" s="23">
        <v>1170</v>
      </c>
      <c r="J39" s="45">
        <v>119734</v>
      </c>
      <c r="K39" s="45" t="s">
        <v>48</v>
      </c>
      <c r="L39" s="45" t="s">
        <v>49</v>
      </c>
      <c r="M39" s="45">
        <v>2598.0012019999999</v>
      </c>
      <c r="N39" s="2"/>
      <c r="O39" s="1"/>
      <c r="P39" s="26"/>
      <c r="Q39" s="27"/>
      <c r="R39" s="27"/>
      <c r="S39" s="27"/>
      <c r="T39" s="26"/>
      <c r="U39" s="27"/>
    </row>
    <row r="40" spans="1:78" customFormat="1" ht="15" customHeight="1" x14ac:dyDescent="0.25">
      <c r="A40" s="5" t="str">
        <f t="shared" si="0"/>
        <v>CUSTO MARKET DATA - JULHO/26-BLOOMBERG-122758</v>
      </c>
      <c r="B40" s="20">
        <v>46204</v>
      </c>
      <c r="C40" s="21">
        <v>817393</v>
      </c>
      <c r="D40" s="9" t="str">
        <f>IF(J40=57036,"ALEXANDRE DA COSTA SOARES",IF(J40=24157,"JOSE MAURICIO GOMES TEIXEIRA",IF(J40=24203,"JOSE MAURICIO GOMES TEIXEIRA",IF(J40=24149,"CHRISTIANO MARCONDES DE BARROS LIMA",IF(J40=24137,"CHRISTIANO MARCONDES DE BARROS LIMA",IF(J40=135152,"ENRICO BORTPLUZO CASSIANO",IF(J40=136568,"ENRICO BORTPLUZO CASSIANO", IF(J40=130976,"MARYLIA CARVALHO PONCE",IF(J40=136668,"ALEXANDRE DA COSTA SOARES",IF(J40=52340,"OFFSHORE LISTED",IF(J40=158778,"CLAUDIO DE SOUZA PACINI",IF(J40=159800,"CLAUDIO DE SOUZA PACINI",_xlfn.XLOOKUP(J40,[1]!Tabela33[ID ORACLE],[1]!Tabela33[BROKER],0,0,1)))))))))))))</f>
        <v>ANDRE FERREIRA DOS SANTOS</v>
      </c>
      <c r="E40" s="22">
        <f t="shared" si="5"/>
        <v>-6093.1706774105005</v>
      </c>
      <c r="F40" s="9" t="str">
        <f t="shared" si="6"/>
        <v>BLOOMBERG</v>
      </c>
      <c r="G40" s="20">
        <f t="shared" si="2"/>
        <v>46204</v>
      </c>
      <c r="H40" s="23">
        <v>1170</v>
      </c>
      <c r="J40" s="45">
        <v>122758</v>
      </c>
      <c r="K40" s="45" t="s">
        <v>41</v>
      </c>
      <c r="L40" s="45" t="s">
        <v>12</v>
      </c>
      <c r="M40" s="45">
        <v>1200.0808850000001</v>
      </c>
      <c r="N40" s="2"/>
      <c r="O40" s="1"/>
      <c r="P40" s="26"/>
      <c r="Q40" s="27"/>
      <c r="R40" s="27"/>
      <c r="S40" s="27"/>
      <c r="T40" s="26"/>
      <c r="U40" s="27"/>
    </row>
    <row r="41" spans="1:78" customFormat="1" ht="15" customHeight="1" x14ac:dyDescent="0.25">
      <c r="A41" s="5" t="str">
        <f t="shared" si="0"/>
        <v>CUSTO MARKET DATA - JULHO/26-REFINITIV-122758</v>
      </c>
      <c r="B41" s="20">
        <v>46204</v>
      </c>
      <c r="C41" s="21">
        <v>817393</v>
      </c>
      <c r="D41" s="9" t="str">
        <f>IF(J41=57036,"ALEXANDRE DA COSTA SOARES",IF(J41=24157,"JOSE MAURICIO GOMES TEIXEIRA",IF(J41=24203,"JOSE MAURICIO GOMES TEIXEIRA",IF(J41=24149,"CHRISTIANO MARCONDES DE BARROS LIMA",IF(J41=24137,"CHRISTIANO MARCONDES DE BARROS LIMA",IF(J41=135152,"ENRICO BORTPLUZO CASSIANO",IF(J41=136568,"ENRICO BORTPLUZO CASSIANO", IF(J41=130976,"MARYLIA CARVALHO PONCE",IF(J41=136668,"ALEXANDRE DA COSTA SOARES",IF(J41=52340,"OFFSHORE LISTED",IF(J41=158778,"CLAUDIO DE SOUZA PACINI",IF(J41=159800,"CLAUDIO DE SOUZA PACINI",_xlfn.XLOOKUP(J41,[1]!Tabela33[ID ORACLE],[1]!Tabela33[BROKER],0,0,1)))))))))))))</f>
        <v>ANDRE FERREIRA DOS SANTOS</v>
      </c>
      <c r="E41" s="22">
        <f t="shared" si="5"/>
        <v>-140.7067406388</v>
      </c>
      <c r="F41" s="9" t="str">
        <f t="shared" si="6"/>
        <v>REFINITIV</v>
      </c>
      <c r="G41" s="20">
        <f t="shared" si="2"/>
        <v>46204</v>
      </c>
      <c r="H41" s="23">
        <v>1170</v>
      </c>
      <c r="J41" s="45">
        <v>122758</v>
      </c>
      <c r="K41" s="45" t="s">
        <v>42</v>
      </c>
      <c r="L41" s="45" t="s">
        <v>17</v>
      </c>
      <c r="M41" s="45">
        <v>20.573868000000001</v>
      </c>
      <c r="N41" s="2"/>
      <c r="O41" s="1"/>
      <c r="P41" s="26"/>
      <c r="Q41" s="27"/>
      <c r="R41" s="27"/>
      <c r="S41" s="27"/>
      <c r="T41" s="26"/>
      <c r="U41" s="27"/>
    </row>
    <row r="42" spans="1:78" customFormat="1" ht="15" customHeight="1" x14ac:dyDescent="0.25">
      <c r="A42" s="5" t="str">
        <f t="shared" si="0"/>
        <v>CUSTO MARKET DATA - JULHO/26-REFINITIV-125254</v>
      </c>
      <c r="B42" s="20">
        <v>46204</v>
      </c>
      <c r="C42" s="21">
        <v>817393</v>
      </c>
      <c r="D42" s="9" t="str">
        <f>IF(J42=57036,"ALEXANDRE DA COSTA SOARES",IF(J42=24157,"JOSE MAURICIO GOMES TEIXEIRA",IF(J42=24203,"JOSE MAURICIO GOMES TEIXEIRA",IF(J42=24149,"CHRISTIANO MARCONDES DE BARROS LIMA",IF(J42=24137,"CHRISTIANO MARCONDES DE BARROS LIMA",IF(J42=135152,"ENRICO BORTPLUZO CASSIANO",IF(J42=136568,"ENRICO BORTPLUZO CASSIANO", IF(J42=130976,"MARYLIA CARVALHO PONCE",IF(J42=136668,"ALEXANDRE DA COSTA SOARES",IF(J42=52340,"OFFSHORE LISTED",IF(J42=158778,"CLAUDIO DE SOUZA PACINI",IF(J42=159800,"CLAUDIO DE SOUZA PACINI",_xlfn.XLOOKUP(J42,[1]!Tabela33[ID ORACLE],[1]!Tabela33[BROKER],0,0,1)))))))))))))</f>
        <v>GUSTAVO D ELBOUX FERRIELLO</v>
      </c>
      <c r="E42" s="22">
        <f t="shared" si="5"/>
        <v>-140.7067406388</v>
      </c>
      <c r="F42" s="9" t="str">
        <f t="shared" si="6"/>
        <v>REFINITIV</v>
      </c>
      <c r="G42" s="20">
        <f t="shared" si="2"/>
        <v>46204</v>
      </c>
      <c r="H42" s="23">
        <v>1170</v>
      </c>
      <c r="J42" s="45">
        <v>125254</v>
      </c>
      <c r="K42" s="45" t="s">
        <v>42</v>
      </c>
      <c r="L42" s="45" t="s">
        <v>17</v>
      </c>
      <c r="M42" s="45">
        <v>20.573868000000001</v>
      </c>
      <c r="N42" s="2"/>
      <c r="O42" s="1"/>
      <c r="P42" s="26"/>
      <c r="Q42" s="27"/>
      <c r="R42" s="27"/>
      <c r="S42" s="27"/>
      <c r="T42" s="26"/>
      <c r="U42" s="27"/>
    </row>
    <row r="43" spans="1:78" customFormat="1" ht="15" customHeight="1" x14ac:dyDescent="0.25">
      <c r="A43" s="5" t="str">
        <f t="shared" si="0"/>
        <v>CUSTO MARKET DATA - JULHO/26-FIDESSA-125412</v>
      </c>
      <c r="B43" s="20">
        <v>46204</v>
      </c>
      <c r="C43" s="21">
        <v>817393</v>
      </c>
      <c r="D43" s="9" t="str">
        <f>IF(J43=57036,"ALEXANDRE DA COSTA SOARES",IF(J43=24157,"JOSE MAURICIO GOMES TEIXEIRA",IF(J43=24203,"JOSE MAURICIO GOMES TEIXEIRA",IF(J43=24149,"CHRISTIANO MARCONDES DE BARROS LIMA",IF(J43=24137,"CHRISTIANO MARCONDES DE BARROS LIMA",IF(J43=135152,"ENRICO BORTPLUZO CASSIANO",IF(J43=136568,"ENRICO BORTPLUZO CASSIANO", IF(J43=130976,"MARYLIA CARVALHO PONCE",IF(J43=136668,"ALEXANDRE DA COSTA SOARES",IF(J43=52340,"OFFSHORE LISTED",IF(J43=158778,"CLAUDIO DE SOUZA PACINI",IF(J43=159800,"CLAUDIO DE SOUZA PACINI",_xlfn.XLOOKUP(J43,[1]!Tabela33[ID ORACLE],[1]!Tabela33[BROKER],0,0,1)))))))))))))</f>
        <v>GUSTAVO VALERIO FERREIRA DE ALBUQUERQUE</v>
      </c>
      <c r="E43" s="22">
        <f t="shared" si="5"/>
        <v>-1766.5543210773999</v>
      </c>
      <c r="F43" s="9" t="str">
        <f t="shared" si="6"/>
        <v>FIDESSA</v>
      </c>
      <c r="G43" s="20">
        <f t="shared" si="2"/>
        <v>46204</v>
      </c>
      <c r="H43" s="23">
        <v>1170</v>
      </c>
      <c r="J43" s="45">
        <v>125412</v>
      </c>
      <c r="K43" s="45" t="s">
        <v>47</v>
      </c>
      <c r="L43" s="45" t="s">
        <v>12</v>
      </c>
      <c r="M43" s="45">
        <v>347.93183799999997</v>
      </c>
      <c r="N43" s="2"/>
      <c r="O43" s="1"/>
      <c r="P43" s="26"/>
      <c r="Q43" s="27"/>
      <c r="R43" s="27"/>
      <c r="S43" s="27"/>
      <c r="T43" s="26"/>
      <c r="U43" s="27"/>
    </row>
    <row r="44" spans="1:78" customFormat="1" ht="15" customHeight="1" x14ac:dyDescent="0.25">
      <c r="A44" s="5" t="str">
        <f t="shared" si="0"/>
        <v>CUSTO MARKET DATA - JULHO/26-NYSE MARKET INC.-125412</v>
      </c>
      <c r="B44" s="20">
        <v>46204</v>
      </c>
      <c r="C44" s="21">
        <v>817393</v>
      </c>
      <c r="D44" s="9" t="str">
        <f>IF(J44=57036,"ALEXANDRE DA COSTA SOARES",IF(J44=24157,"JOSE MAURICIO GOMES TEIXEIRA",IF(J44=24203,"JOSE MAURICIO GOMES TEIXEIRA",IF(J44=24149,"CHRISTIANO MARCONDES DE BARROS LIMA",IF(J44=24137,"CHRISTIANO MARCONDES DE BARROS LIMA",IF(J44=135152,"ENRICO BORTPLUZO CASSIANO",IF(J44=136568,"ENRICO BORTPLUZO CASSIANO", IF(J44=130976,"MARYLIA CARVALHO PONCE",IF(J44=136668,"ALEXANDRE DA COSTA SOARES",IF(J44=52340,"OFFSHORE LISTED",IF(J44=158778,"CLAUDIO DE SOUZA PACINI",IF(J44=159800,"CLAUDIO DE SOUZA PACINI",_xlfn.XLOOKUP(J44,[1]!Tabela33[ID ORACLE],[1]!Tabela33[BROKER],0,0,1)))))))))))))</f>
        <v>GUSTAVO VALERIO FERREIRA DE ALBUQUERQUE</v>
      </c>
      <c r="E44" s="22">
        <f t="shared" si="5"/>
        <v>-1293.53102775</v>
      </c>
      <c r="F44" s="9" t="str">
        <f t="shared" si="6"/>
        <v>NYSE MARKET INC.</v>
      </c>
      <c r="G44" s="20">
        <f t="shared" si="2"/>
        <v>46204</v>
      </c>
      <c r="H44" s="23">
        <v>1170</v>
      </c>
      <c r="J44" s="45">
        <v>125412</v>
      </c>
      <c r="K44" s="45" t="s">
        <v>44</v>
      </c>
      <c r="L44" s="45" t="s">
        <v>12</v>
      </c>
      <c r="M44" s="45">
        <v>254.76749999999998</v>
      </c>
      <c r="N44" s="2"/>
      <c r="O44" s="1"/>
      <c r="P44" s="26"/>
      <c r="Q44" s="27"/>
      <c r="R44" s="27"/>
      <c r="S44" s="27"/>
      <c r="T44" s="26"/>
      <c r="U44" s="27"/>
    </row>
    <row r="45" spans="1:78" ht="15" customHeight="1" x14ac:dyDescent="0.25">
      <c r="A45" s="5" t="str">
        <f t="shared" si="0"/>
        <v>CUSTO MARKET DATA - JULHO/26-REFINITIV-125412</v>
      </c>
      <c r="B45" s="20">
        <v>46204</v>
      </c>
      <c r="C45" s="21">
        <v>817393</v>
      </c>
      <c r="D45" s="9" t="str">
        <f>IF(J45=57036,"ALEXANDRE DA COSTA SOARES",IF(J45=24157,"JOSE MAURICIO GOMES TEIXEIRA",IF(J45=24203,"JOSE MAURICIO GOMES TEIXEIRA",IF(J45=24149,"CHRISTIANO MARCONDES DE BARROS LIMA",IF(J45=24137,"CHRISTIANO MARCONDES DE BARROS LIMA",IF(J45=135152,"ENRICO BORTPLUZO CASSIANO",IF(J45=136568,"ENRICO BORTPLUZO CASSIANO", IF(J45=130976,"MARYLIA CARVALHO PONCE",IF(J45=136668,"ALEXANDRE DA COSTA SOARES",IF(J45=52340,"OFFSHORE LISTED",IF(J45=158778,"CLAUDIO DE SOUZA PACINI",IF(J45=159800,"CLAUDIO DE SOUZA PACINI",_xlfn.XLOOKUP(J45,[1]!Tabela33[ID ORACLE],[1]!Tabela33[BROKER],0,0,1)))))))))))))</f>
        <v>GUSTAVO VALERIO FERREIRA DE ALBUQUERQUE</v>
      </c>
      <c r="E45" s="22">
        <f t="shared" si="5"/>
        <v>-140.7067406388</v>
      </c>
      <c r="F45" s="9" t="str">
        <f t="shared" si="6"/>
        <v>REFINITIV</v>
      </c>
      <c r="G45" s="20">
        <f t="shared" si="2"/>
        <v>46204</v>
      </c>
      <c r="H45" s="23">
        <v>1170</v>
      </c>
      <c r="J45" s="45">
        <v>125412</v>
      </c>
      <c r="K45" s="45" t="s">
        <v>42</v>
      </c>
      <c r="L45" s="45" t="s">
        <v>17</v>
      </c>
      <c r="M45" s="45">
        <v>20.573868000000001</v>
      </c>
      <c r="N45" s="2"/>
      <c r="Q45" s="27"/>
      <c r="R45" s="27"/>
      <c r="S45" s="27"/>
      <c r="U45" s="27"/>
    </row>
    <row r="46" spans="1:78" s="25" customFormat="1" ht="15" customHeight="1" x14ac:dyDescent="0.25">
      <c r="A46" s="5" t="str">
        <f t="shared" si="0"/>
        <v>CUSTO MARKET DATA - JULHO/26-REFINITIV-125524</v>
      </c>
      <c r="B46" s="20">
        <v>46204</v>
      </c>
      <c r="C46" s="21">
        <v>817393</v>
      </c>
      <c r="D46" s="9" t="str">
        <f>IF(J46=57036,"ALEXANDRE DA COSTA SOARES",IF(J46=24157,"JOSE MAURICIO GOMES TEIXEIRA",IF(J46=24203,"JOSE MAURICIO GOMES TEIXEIRA",IF(J46=24149,"CHRISTIANO MARCONDES DE BARROS LIMA",IF(J46=24137,"CHRISTIANO MARCONDES DE BARROS LIMA",IF(J46=135152,"ENRICO BORTPLUZO CASSIANO",IF(J46=136568,"ENRICO BORTPLUZO CASSIANO", IF(J46=130976,"MARYLIA CARVALHO PONCE",IF(J46=136668,"ALEXANDRE DA COSTA SOARES",IF(J46=52340,"OFFSHORE LISTED",IF(J46=158778,"CLAUDIO DE SOUZA PACINI",IF(J46=159800,"CLAUDIO DE SOUZA PACINI",_xlfn.XLOOKUP(J46,[1]!Tabela33[ID ORACLE],[1]!Tabela33[BROKER],0,0,1)))))))))))))</f>
        <v>JUAREZ JOAQUIM DE LACERDA</v>
      </c>
      <c r="E46" s="22">
        <f t="shared" si="5"/>
        <v>-140.7067406388</v>
      </c>
      <c r="F46" s="9" t="str">
        <f t="shared" si="6"/>
        <v>REFINITIV</v>
      </c>
      <c r="G46" s="20">
        <f t="shared" si="2"/>
        <v>46204</v>
      </c>
      <c r="H46" s="23">
        <v>1170</v>
      </c>
      <c r="I46"/>
      <c r="J46" s="45">
        <v>125524</v>
      </c>
      <c r="K46" s="45" t="s">
        <v>42</v>
      </c>
      <c r="L46" s="45" t="s">
        <v>17</v>
      </c>
      <c r="M46" s="45">
        <v>20.573868000000001</v>
      </c>
      <c r="N46" s="2"/>
      <c r="O46" s="1"/>
      <c r="P46" s="26"/>
      <c r="Q46" s="27"/>
      <c r="R46" s="27"/>
      <c r="S46" s="27"/>
      <c r="T46" s="26"/>
      <c r="U46" s="27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s="25" customFormat="1" ht="15" customHeight="1" x14ac:dyDescent="0.25">
      <c r="A47" s="5" t="str">
        <f t="shared" si="0"/>
        <v>CUSTO MARKET DATA - JULHO/26-BLOOMBERG-127165</v>
      </c>
      <c r="B47" s="20">
        <v>46204</v>
      </c>
      <c r="C47" s="21">
        <v>817393</v>
      </c>
      <c r="D47" s="9" t="str">
        <f>IF(J47=57036,"ALEXANDRE DA COSTA SOARES",IF(J47=24157,"JOSE MAURICIO GOMES TEIXEIRA",IF(J47=24203,"JOSE MAURICIO GOMES TEIXEIRA",IF(J47=24149,"CHRISTIANO MARCONDES DE BARROS LIMA",IF(J47=24137,"CHRISTIANO MARCONDES DE BARROS LIMA",IF(J47=135152,"ENRICO BORTPLUZO CASSIANO",IF(J47=136568,"ENRICO BORTPLUZO CASSIANO", IF(J47=130976,"MARYLIA CARVALHO PONCE",IF(J47=136668,"ALEXANDRE DA COSTA SOARES",IF(J47=52340,"OFFSHORE LISTED",IF(J47=158778,"CLAUDIO DE SOUZA PACINI",IF(J47=159800,"CLAUDIO DE SOUZA PACINI",_xlfn.XLOOKUP(J47,[1]!Tabela33[ID ORACLE],[1]!Tabela33[BROKER],0,0,1)))))))))))))</f>
        <v>RODRIGO PENTAGNA</v>
      </c>
      <c r="E47" s="22">
        <f t="shared" si="5"/>
        <v>-12432.082654511802</v>
      </c>
      <c r="F47" s="9" t="str">
        <f t="shared" si="6"/>
        <v>BLOOMBERG</v>
      </c>
      <c r="G47" s="20">
        <f t="shared" si="2"/>
        <v>46204</v>
      </c>
      <c r="H47" s="23">
        <v>1170</v>
      </c>
      <c r="I47"/>
      <c r="J47" s="45">
        <v>127165</v>
      </c>
      <c r="K47" s="45" t="s">
        <v>41</v>
      </c>
      <c r="L47" s="45" t="s">
        <v>12</v>
      </c>
      <c r="M47" s="45">
        <v>2448.5617660000003</v>
      </c>
      <c r="N47" s="2"/>
      <c r="O47" s="1"/>
      <c r="P47" s="26"/>
      <c r="Q47" s="27"/>
      <c r="R47" s="27"/>
      <c r="S47" s="27"/>
      <c r="T47" s="26"/>
      <c r="U47" s="27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s="25" customFormat="1" ht="15" customHeight="1" x14ac:dyDescent="0.25">
      <c r="A48" s="5" t="str">
        <f t="shared" si="0"/>
        <v>CUSTO MARKET DATA - JULHO/26-OPTIONS PRICE REPORTING AUTHORITY (OPRA)-127165</v>
      </c>
      <c r="B48" s="20">
        <v>46204</v>
      </c>
      <c r="C48" s="21">
        <v>817393</v>
      </c>
      <c r="D48" s="9" t="str">
        <f>IF(J48=57036,"ALEXANDRE DA COSTA SOARES",IF(J48=24157,"JOSE MAURICIO GOMES TEIXEIRA",IF(J48=24203,"JOSE MAURICIO GOMES TEIXEIRA",IF(J48=24149,"CHRISTIANO MARCONDES DE BARROS LIMA",IF(J48=24137,"CHRISTIANO MARCONDES DE BARROS LIMA",IF(J48=135152,"ENRICO BORTPLUZO CASSIANO",IF(J48=136568,"ENRICO BORTPLUZO CASSIANO", IF(J48=130976,"MARYLIA CARVALHO PONCE",IF(J48=136668,"ALEXANDRE DA COSTA SOARES",IF(J48=52340,"OFFSHORE LISTED",IF(J48=158778,"CLAUDIO DE SOUZA PACINI",IF(J48=159800,"CLAUDIO DE SOUZA PACINI",_xlfn.XLOOKUP(J48,[1]!Tabela33[ID ORACLE],[1]!Tabela33[BROKER],0,0,1)))))))))))))</f>
        <v>RODRIGO PENTAGNA</v>
      </c>
      <c r="E48" s="22">
        <f t="shared" si="5"/>
        <v>-159.93495000000001</v>
      </c>
      <c r="F48" s="9" t="str">
        <f t="shared" si="6"/>
        <v>OPTIONS PRICE REPORTING AUTHORITY (OPRA)</v>
      </c>
      <c r="G48" s="20">
        <f t="shared" si="2"/>
        <v>46204</v>
      </c>
      <c r="H48" s="23">
        <v>1170</v>
      </c>
      <c r="I48"/>
      <c r="J48" s="45">
        <v>127165</v>
      </c>
      <c r="K48" s="45" t="s">
        <v>45</v>
      </c>
      <c r="L48" s="45" t="s">
        <v>12</v>
      </c>
      <c r="M48" s="45">
        <v>31.5</v>
      </c>
      <c r="N48" s="2"/>
      <c r="O48" s="1"/>
      <c r="P48" s="26"/>
      <c r="Q48" s="27"/>
      <c r="R48" s="27"/>
      <c r="S48" s="27"/>
      <c r="T48" s="26"/>
      <c r="U48" s="27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customFormat="1" ht="15" customHeight="1" x14ac:dyDescent="0.25">
      <c r="A49" s="5" t="str">
        <f t="shared" si="0"/>
        <v>CUSTO MARKET DATA - JULHO/26-REFINITIV-127165</v>
      </c>
      <c r="B49" s="20">
        <v>46204</v>
      </c>
      <c r="C49" s="21">
        <v>817393</v>
      </c>
      <c r="D49" s="9" t="str">
        <f>IF(J49=57036,"ALEXANDRE DA COSTA SOARES",IF(J49=24157,"JOSE MAURICIO GOMES TEIXEIRA",IF(J49=24203,"JOSE MAURICIO GOMES TEIXEIRA",IF(J49=24149,"CHRISTIANO MARCONDES DE BARROS LIMA",IF(J49=24137,"CHRISTIANO MARCONDES DE BARROS LIMA",IF(J49=135152,"ENRICO BORTPLUZO CASSIANO",IF(J49=136568,"ENRICO BORTPLUZO CASSIANO", IF(J49=130976,"MARYLIA CARVALHO PONCE",IF(J49=136668,"ALEXANDRE DA COSTA SOARES",IF(J49=52340,"OFFSHORE LISTED",IF(J49=158778,"CLAUDIO DE SOUZA PACINI",IF(J49=159800,"CLAUDIO DE SOUZA PACINI",_xlfn.XLOOKUP(J49,[1]!Tabela33[ID ORACLE],[1]!Tabela33[BROKER],0,0,1)))))))))))))</f>
        <v>RODRIGO PENTAGNA</v>
      </c>
      <c r="E49" s="22">
        <f t="shared" si="5"/>
        <v>-140.7067406388</v>
      </c>
      <c r="F49" s="9" t="str">
        <f t="shared" si="6"/>
        <v>REFINITIV</v>
      </c>
      <c r="G49" s="20">
        <f t="shared" si="2"/>
        <v>46204</v>
      </c>
      <c r="H49" s="23">
        <v>1170</v>
      </c>
      <c r="J49" s="45">
        <v>127165</v>
      </c>
      <c r="K49" s="45" t="s">
        <v>42</v>
      </c>
      <c r="L49" s="45" t="s">
        <v>17</v>
      </c>
      <c r="M49" s="45">
        <v>20.573868000000001</v>
      </c>
      <c r="N49" s="2"/>
      <c r="O49" s="1"/>
      <c r="P49" s="26"/>
      <c r="Q49" s="27"/>
      <c r="R49" s="27"/>
      <c r="S49" s="27"/>
      <c r="T49" s="26"/>
      <c r="U49" s="27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customFormat="1" ht="15" customHeight="1" x14ac:dyDescent="0.25">
      <c r="A50" s="5" t="str">
        <f t="shared" si="0"/>
        <v>CUSTO MARKET DATA - JULHO/26-BLOOMBERG-128628</v>
      </c>
      <c r="B50" s="20">
        <v>46204</v>
      </c>
      <c r="C50" s="21">
        <v>817393</v>
      </c>
      <c r="D50" s="9" t="str">
        <f>IF(J50=57036,"ALEXANDRE DA COSTA SOARES",IF(J50=24157,"JOSE MAURICIO GOMES TEIXEIRA",IF(J50=24203,"JOSE MAURICIO GOMES TEIXEIRA",IF(J50=24149,"CHRISTIANO MARCONDES DE BARROS LIMA",IF(J50=24137,"CHRISTIANO MARCONDES DE BARROS LIMA",IF(J50=135152,"ENRICO BORTPLUZO CASSIANO",IF(J50=136568,"ENRICO BORTPLUZO CASSIANO", IF(J50=130976,"MARYLIA CARVALHO PONCE",IF(J50=136668,"ALEXANDRE DA COSTA SOARES",IF(J50=52340,"OFFSHORE LISTED",IF(J50=158778,"CLAUDIO DE SOUZA PACINI",IF(J50=159800,"CLAUDIO DE SOUZA PACINI",_xlfn.XLOOKUP(J50,[1]!Tabela33[ID ORACLE],[1]!Tabela33[BROKER],0,0,1)))))))))))))</f>
        <v>MARCELLE DA SILVEIRA GIL CADILHE</v>
      </c>
      <c r="E50" s="22">
        <f t="shared" si="5"/>
        <v>-50.773000000000003</v>
      </c>
      <c r="F50" s="9" t="str">
        <f t="shared" si="6"/>
        <v>BLOOMBERG</v>
      </c>
      <c r="G50" s="20">
        <f t="shared" si="2"/>
        <v>46204</v>
      </c>
      <c r="H50" s="23">
        <v>1170</v>
      </c>
      <c r="J50" s="45">
        <v>128628</v>
      </c>
      <c r="K50" s="45" t="s">
        <v>41</v>
      </c>
      <c r="L50" s="45" t="s">
        <v>12</v>
      </c>
      <c r="M50" s="45">
        <v>10</v>
      </c>
      <c r="N50" s="2"/>
      <c r="O50" s="1"/>
      <c r="P50" s="26"/>
      <c r="Q50" s="27"/>
      <c r="R50" s="27"/>
      <c r="S50" s="27"/>
      <c r="T50" s="26"/>
      <c r="U50" s="27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customFormat="1" ht="15" customHeight="1" x14ac:dyDescent="0.25">
      <c r="A51" s="5" t="str">
        <f t="shared" si="0"/>
        <v>CUSTO MARKET DATA - JULHO/26-REFINITIV-130976</v>
      </c>
      <c r="B51" s="20">
        <v>46204</v>
      </c>
      <c r="C51" s="21">
        <v>817393</v>
      </c>
      <c r="D51" s="9" t="str">
        <f>IF(J51=57036,"ALEXANDRE DA COSTA SOARES",IF(J51=24157,"JOSE MAURICIO GOMES TEIXEIRA",IF(J51=24203,"JOSE MAURICIO GOMES TEIXEIRA",IF(J51=24149,"CHRISTIANO MARCONDES DE BARROS LIMA",IF(J51=24137,"CHRISTIANO MARCONDES DE BARROS LIMA",IF(J51=135152,"ENRICO BORTPLUZO CASSIANO",IF(J51=136568,"ENRICO BORTPLUZO CASSIANO", IF(J51=130976,"MARYLIA CARVALHO PONCE",IF(J51=136668,"ALEXANDRE DA COSTA SOARES",IF(J51=52340,"OFFSHORE LISTED",IF(J51=158778,"CLAUDIO DE SOUZA PACINI",IF(J51=159800,"CLAUDIO DE SOUZA PACINI",_xlfn.XLOOKUP(J51,[1]!Tabela33[ID ORACLE],[1]!Tabela33[BROKER],0,0,1)))))))))))))</f>
        <v>MARYLIA CARVALHO PONCE</v>
      </c>
      <c r="E51" s="22">
        <f t="shared" si="5"/>
        <v>-140.7067406388</v>
      </c>
      <c r="F51" s="9" t="str">
        <f t="shared" si="6"/>
        <v>REFINITIV</v>
      </c>
      <c r="G51" s="20">
        <f t="shared" si="2"/>
        <v>46204</v>
      </c>
      <c r="H51" s="23">
        <v>1170</v>
      </c>
      <c r="J51" s="45">
        <v>130976</v>
      </c>
      <c r="K51" s="45" t="s">
        <v>42</v>
      </c>
      <c r="L51" s="45" t="s">
        <v>17</v>
      </c>
      <c r="M51" s="45">
        <v>20.573868000000001</v>
      </c>
      <c r="N51" s="2"/>
      <c r="O51" s="1"/>
      <c r="P51" s="26"/>
      <c r="Q51" s="27"/>
      <c r="R51" s="27"/>
      <c r="S51" s="27"/>
      <c r="T51" s="26"/>
      <c r="U51" s="27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customFormat="1" ht="15" customHeight="1" x14ac:dyDescent="0.25">
      <c r="A52" s="5" t="str">
        <f t="shared" si="0"/>
        <v>CUSTO MARKET DATA - JULHO/26-BLOOMBERG-131299</v>
      </c>
      <c r="B52" s="20">
        <v>46204</v>
      </c>
      <c r="C52" s="21">
        <v>817393</v>
      </c>
      <c r="D52" s="9" t="str">
        <f>IF(J52=57036,"ALEXANDRE DA COSTA SOARES",IF(J52=24157,"JOSE MAURICIO GOMES TEIXEIRA",IF(J52=24203,"JOSE MAURICIO GOMES TEIXEIRA",IF(J52=24149,"CHRISTIANO MARCONDES DE BARROS LIMA",IF(J52=24137,"CHRISTIANO MARCONDES DE BARROS LIMA",IF(J52=135152,"ENRICO BORTPLUZO CASSIANO",IF(J52=136568,"ENRICO BORTPLUZO CASSIANO", IF(J52=130976,"MARYLIA CARVALHO PONCE",IF(J52=136668,"ALEXANDRE DA COSTA SOARES",IF(J52=52340,"OFFSHORE LISTED",IF(J52=158778,"CLAUDIO DE SOUZA PACINI",IF(J52=159800,"CLAUDIO DE SOUZA PACINI",_xlfn.XLOOKUP(J52,[1]!Tabela33[ID ORACLE],[1]!Tabela33[BROKER],0,0,1)))))))))))))</f>
        <v>RODRIGO BETTI MARQUES</v>
      </c>
      <c r="E52" s="22">
        <f t="shared" si="5"/>
        <v>-14622.937604511802</v>
      </c>
      <c r="F52" s="9" t="str">
        <f t="shared" si="6"/>
        <v>BLOOMBERG</v>
      </c>
      <c r="G52" s="20">
        <f t="shared" si="2"/>
        <v>46204</v>
      </c>
      <c r="H52" s="23">
        <v>1170</v>
      </c>
      <c r="J52" s="45">
        <v>131299</v>
      </c>
      <c r="K52" s="45" t="s">
        <v>41</v>
      </c>
      <c r="L52" s="45" t="s">
        <v>12</v>
      </c>
      <c r="M52" s="45">
        <v>2880.0617660000003</v>
      </c>
      <c r="N52" s="2"/>
      <c r="O52" s="1"/>
      <c r="P52" s="26"/>
      <c r="Q52" s="27"/>
      <c r="R52" s="27"/>
      <c r="S52" s="27"/>
      <c r="T52" s="26"/>
      <c r="U52" s="27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customFormat="1" ht="15" customHeight="1" x14ac:dyDescent="0.25">
      <c r="A53" s="5" t="str">
        <f t="shared" si="0"/>
        <v>CUSTO MARKET DATA - JULHO/26-REFINITIV-131299</v>
      </c>
      <c r="B53" s="20">
        <v>46204</v>
      </c>
      <c r="C53" s="21">
        <v>817393</v>
      </c>
      <c r="D53" s="9" t="str">
        <f>IF(J53=57036,"ALEXANDRE DA COSTA SOARES",IF(J53=24157,"JOSE MAURICIO GOMES TEIXEIRA",IF(J53=24203,"JOSE MAURICIO GOMES TEIXEIRA",IF(J53=24149,"CHRISTIANO MARCONDES DE BARROS LIMA",IF(J53=24137,"CHRISTIANO MARCONDES DE BARROS LIMA",IF(J53=135152,"ENRICO BORTPLUZO CASSIANO",IF(J53=136568,"ENRICO BORTPLUZO CASSIANO", IF(J53=130976,"MARYLIA CARVALHO PONCE",IF(J53=136668,"ALEXANDRE DA COSTA SOARES",IF(J53=52340,"OFFSHORE LISTED",IF(J53=158778,"CLAUDIO DE SOUZA PACINI",IF(J53=159800,"CLAUDIO DE SOUZA PACINI",_xlfn.XLOOKUP(J53,[1]!Tabela33[ID ORACLE],[1]!Tabela33[BROKER],0,0,1)))))))))))))</f>
        <v>RODRIGO BETTI MARQUES</v>
      </c>
      <c r="E53" s="22">
        <f t="shared" si="5"/>
        <v>-619.18598863799991</v>
      </c>
      <c r="F53" s="9" t="str">
        <f t="shared" si="6"/>
        <v>REFINITIV</v>
      </c>
      <c r="G53" s="20">
        <f t="shared" si="2"/>
        <v>46204</v>
      </c>
      <c r="H53" s="23">
        <v>1170</v>
      </c>
      <c r="J53" s="45">
        <v>131299</v>
      </c>
      <c r="K53" s="45" t="s">
        <v>42</v>
      </c>
      <c r="L53" s="45" t="s">
        <v>17</v>
      </c>
      <c r="M53" s="45">
        <v>90.536179999999987</v>
      </c>
      <c r="N53" s="2"/>
      <c r="O53" s="1"/>
      <c r="P53" s="26"/>
      <c r="Q53" s="27"/>
      <c r="R53" s="27"/>
      <c r="S53" s="27"/>
      <c r="T53" s="26"/>
      <c r="U53" s="27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customFormat="1" ht="15" customHeight="1" x14ac:dyDescent="0.25">
      <c r="A54" s="5" t="str">
        <f t="shared" si="0"/>
        <v>CUSTO MARKET DATA - JULHO/26-BLOOMBERG-132975</v>
      </c>
      <c r="B54" s="20">
        <v>46204</v>
      </c>
      <c r="C54" s="21">
        <v>817393</v>
      </c>
      <c r="D54" s="9" t="str">
        <f>IF(J54=57036,"ALEXANDRE DA COSTA SOARES",IF(J54=24157,"JOSE MAURICIO GOMES TEIXEIRA",IF(J54=24203,"JOSE MAURICIO GOMES TEIXEIRA",IF(J54=24149,"CHRISTIANO MARCONDES DE BARROS LIMA",IF(J54=24137,"CHRISTIANO MARCONDES DE BARROS LIMA",IF(J54=135152,"ENRICO BORTPLUZO CASSIANO",IF(J54=136568,"ENRICO BORTPLUZO CASSIANO", IF(J54=130976,"MARYLIA CARVALHO PONCE",IF(J54=136668,"ALEXANDRE DA COSTA SOARES",IF(J54=52340,"OFFSHORE LISTED",IF(J54=158778,"CLAUDIO DE SOUZA PACINI",IF(J54=159800,"CLAUDIO DE SOUZA PACINI",_xlfn.XLOOKUP(J54,[1]!Tabela33[ID ORACLE],[1]!Tabela33[BROKER],0,0,1)))))))))))))</f>
        <v>MATHEUS NACIF NESRALLAH</v>
      </c>
      <c r="E54" s="22">
        <f t="shared" si="5"/>
        <v>-50.773000000000003</v>
      </c>
      <c r="F54" s="9" t="str">
        <f t="shared" si="6"/>
        <v>BLOOMBERG</v>
      </c>
      <c r="G54" s="20">
        <f t="shared" si="2"/>
        <v>46204</v>
      </c>
      <c r="H54" s="23">
        <v>1170</v>
      </c>
      <c r="J54" s="45">
        <v>132975</v>
      </c>
      <c r="K54" s="45" t="s">
        <v>41</v>
      </c>
      <c r="L54" s="45" t="s">
        <v>12</v>
      </c>
      <c r="M54" s="45">
        <v>10</v>
      </c>
      <c r="N54" s="2"/>
      <c r="O54" s="1"/>
      <c r="P54" s="26"/>
      <c r="Q54" s="27"/>
      <c r="R54" s="27"/>
      <c r="S54" s="27"/>
      <c r="T54" s="26"/>
      <c r="U54" s="27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customFormat="1" ht="15" customHeight="1" x14ac:dyDescent="0.25">
      <c r="A55" s="5" t="str">
        <f t="shared" si="0"/>
        <v>CUSTO MARKET DATA - JULHO/26-REFINITIV-132975</v>
      </c>
      <c r="B55" s="20">
        <v>46204</v>
      </c>
      <c r="C55" s="21">
        <v>817393</v>
      </c>
      <c r="D55" s="9" t="str">
        <f>IF(J55=57036,"ALEXANDRE DA COSTA SOARES",IF(J55=24157,"JOSE MAURICIO GOMES TEIXEIRA",IF(J55=24203,"JOSE MAURICIO GOMES TEIXEIRA",IF(J55=24149,"CHRISTIANO MARCONDES DE BARROS LIMA",IF(J55=24137,"CHRISTIANO MARCONDES DE BARROS LIMA",IF(J55=135152,"ENRICO BORTPLUZO CASSIANO",IF(J55=136568,"ENRICO BORTPLUZO CASSIANO", IF(J55=130976,"MARYLIA CARVALHO PONCE",IF(J55=136668,"ALEXANDRE DA COSTA SOARES",IF(J55=52340,"OFFSHORE LISTED",IF(J55=158778,"CLAUDIO DE SOUZA PACINI",IF(J55=159800,"CLAUDIO DE SOUZA PACINI",_xlfn.XLOOKUP(J55,[1]!Tabela33[ID ORACLE],[1]!Tabela33[BROKER],0,0,1)))))))))))))</f>
        <v>MATHEUS NACIF NESRALLAH</v>
      </c>
      <c r="E55" s="22">
        <f t="shared" si="5"/>
        <v>-140.7067406388</v>
      </c>
      <c r="F55" s="9" t="str">
        <f t="shared" si="6"/>
        <v>REFINITIV</v>
      </c>
      <c r="G55" s="20">
        <f t="shared" si="2"/>
        <v>46204</v>
      </c>
      <c r="H55" s="23">
        <v>1170</v>
      </c>
      <c r="J55" s="45">
        <v>132975</v>
      </c>
      <c r="K55" s="45" t="s">
        <v>42</v>
      </c>
      <c r="L55" s="45" t="s">
        <v>17</v>
      </c>
      <c r="M55" s="45">
        <v>20.573868000000001</v>
      </c>
      <c r="N55" s="2"/>
      <c r="O55" s="1"/>
      <c r="P55" s="26"/>
      <c r="Q55" s="27"/>
      <c r="R55" s="27"/>
      <c r="S55" s="27"/>
      <c r="T55" s="26"/>
      <c r="U55" s="27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customFormat="1" ht="15" customHeight="1" x14ac:dyDescent="0.25">
      <c r="A56" s="5" t="str">
        <f t="shared" si="0"/>
        <v>CUSTO MARKET DATA - JULHO/26-BLOOMBERG-133842</v>
      </c>
      <c r="B56" s="20">
        <v>46204</v>
      </c>
      <c r="C56" s="21">
        <v>817393</v>
      </c>
      <c r="D56" s="9" t="str">
        <f>IF(J56=57036,"ALEXANDRE DA COSTA SOARES",IF(J56=24157,"JOSE MAURICIO GOMES TEIXEIRA",IF(J56=24203,"JOSE MAURICIO GOMES TEIXEIRA",IF(J56=24149,"CHRISTIANO MARCONDES DE BARROS LIMA",IF(J56=24137,"CHRISTIANO MARCONDES DE BARROS LIMA",IF(J56=135152,"ENRICO BORTPLUZO CASSIANO",IF(J56=136568,"ENRICO BORTPLUZO CASSIANO", IF(J56=130976,"MARYLIA CARVALHO PONCE",IF(J56=136668,"ALEXANDRE DA COSTA SOARES",IF(J56=52340,"OFFSHORE LISTED",IF(J56=158778,"CLAUDIO DE SOUZA PACINI",IF(J56=159800,"CLAUDIO DE SOUZA PACINI",_xlfn.XLOOKUP(J56,[1]!Tabela33[ID ORACLE],[1]!Tabela33[BROKER],0,0,1)))))))))))))</f>
        <v>FELIPE GOMES BASILE</v>
      </c>
      <c r="E56" s="22">
        <f t="shared" si="5"/>
        <v>-11446.0709945118</v>
      </c>
      <c r="F56" s="9" t="str">
        <f t="shared" si="6"/>
        <v>BLOOMBERG</v>
      </c>
      <c r="G56" s="20">
        <f t="shared" si="2"/>
        <v>46204</v>
      </c>
      <c r="H56" s="23">
        <v>1170</v>
      </c>
      <c r="J56" s="45">
        <v>133842</v>
      </c>
      <c r="K56" s="45" t="s">
        <v>41</v>
      </c>
      <c r="L56" s="45" t="s">
        <v>12</v>
      </c>
      <c r="M56" s="45">
        <v>2254.361766</v>
      </c>
      <c r="N56" s="2"/>
      <c r="O56" s="1"/>
      <c r="P56" s="26"/>
      <c r="Q56" s="27"/>
      <c r="R56" s="27"/>
      <c r="S56" s="27"/>
      <c r="T56" s="26"/>
      <c r="U56" s="27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customFormat="1" ht="15" customHeight="1" x14ac:dyDescent="0.25">
      <c r="A57" s="5" t="str">
        <f t="shared" si="0"/>
        <v>CUSTO MARKET DATA - JULHO/26-REFINITIV-133842</v>
      </c>
      <c r="B57" s="20">
        <v>46204</v>
      </c>
      <c r="C57" s="21">
        <v>817393</v>
      </c>
      <c r="D57" s="9" t="str">
        <f>IF(J57=57036,"ALEXANDRE DA COSTA SOARES",IF(J57=24157,"JOSE MAURICIO GOMES TEIXEIRA",IF(J57=24203,"JOSE MAURICIO GOMES TEIXEIRA",IF(J57=24149,"CHRISTIANO MARCONDES DE BARROS LIMA",IF(J57=24137,"CHRISTIANO MARCONDES DE BARROS LIMA",IF(J57=135152,"ENRICO BORTPLUZO CASSIANO",IF(J57=136568,"ENRICO BORTPLUZO CASSIANO", IF(J57=130976,"MARYLIA CARVALHO PONCE",IF(J57=136668,"ALEXANDRE DA COSTA SOARES",IF(J57=52340,"OFFSHORE LISTED",IF(J57=158778,"CLAUDIO DE SOUZA PACINI",IF(J57=159800,"CLAUDIO DE SOUZA PACINI",_xlfn.XLOOKUP(J57,[1]!Tabela33[ID ORACLE],[1]!Tabela33[BROKER],0,0,1)))))))))))))</f>
        <v>FELIPE GOMES BASILE</v>
      </c>
      <c r="E57" s="22">
        <f t="shared" si="5"/>
        <v>-140.7067406388</v>
      </c>
      <c r="F57" s="9" t="str">
        <f t="shared" si="6"/>
        <v>REFINITIV</v>
      </c>
      <c r="G57" s="20">
        <f t="shared" si="2"/>
        <v>46204</v>
      </c>
      <c r="H57" s="23">
        <v>1170</v>
      </c>
      <c r="J57" s="45">
        <v>133842</v>
      </c>
      <c r="K57" s="45" t="s">
        <v>42</v>
      </c>
      <c r="L57" s="45" t="s">
        <v>17</v>
      </c>
      <c r="M57" s="45">
        <v>20.573868000000001</v>
      </c>
      <c r="N57" s="2"/>
      <c r="O57" s="1"/>
      <c r="P57" s="26"/>
      <c r="Q57" s="27"/>
      <c r="R57" s="27"/>
      <c r="S57" s="27"/>
      <c r="T57" s="26"/>
      <c r="U57" s="27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customFormat="1" ht="15" customHeight="1" x14ac:dyDescent="0.25">
      <c r="A58" s="5" t="str">
        <f t="shared" si="0"/>
        <v>CUSTO MARKET DATA - JULHO/26-BLOOMBERG-134703</v>
      </c>
      <c r="B58" s="20">
        <v>46204</v>
      </c>
      <c r="C58" s="21">
        <v>817393</v>
      </c>
      <c r="D58" s="9" t="str">
        <f>IF(J58=57036,"ALEXANDRE DA COSTA SOARES",IF(J58=24157,"JOSE MAURICIO GOMES TEIXEIRA",IF(J58=24203,"JOSE MAURICIO GOMES TEIXEIRA",IF(J58=24149,"CHRISTIANO MARCONDES DE BARROS LIMA",IF(J58=24137,"CHRISTIANO MARCONDES DE BARROS LIMA",IF(J58=135152,"ENRICO BORTPLUZO CASSIANO",IF(J58=136568,"ENRICO BORTPLUZO CASSIANO", IF(J58=130976,"MARYLIA CARVALHO PONCE",IF(J58=136668,"ALEXANDRE DA COSTA SOARES",IF(J58=52340,"OFFSHORE LISTED",IF(J58=158778,"CLAUDIO DE SOUZA PACINI",IF(J58=159800,"CLAUDIO DE SOUZA PACINI",_xlfn.XLOOKUP(J58,[1]!Tabela33[ID ORACLE],[1]!Tabela33[BROKER],0,0,1)))))))))))))</f>
        <v>DANIELA VODOVOZ</v>
      </c>
      <c r="E58" s="22">
        <f t="shared" si="5"/>
        <v>-12046.715584511801</v>
      </c>
      <c r="F58" s="9" t="str">
        <f t="shared" si="6"/>
        <v>BLOOMBERG</v>
      </c>
      <c r="G58" s="20">
        <f t="shared" si="2"/>
        <v>46204</v>
      </c>
      <c r="H58" s="23">
        <v>1170</v>
      </c>
      <c r="J58" s="45">
        <v>134703</v>
      </c>
      <c r="K58" s="45" t="s">
        <v>41</v>
      </c>
      <c r="L58" s="45" t="s">
        <v>12</v>
      </c>
      <c r="M58" s="45">
        <v>2372.6617660000002</v>
      </c>
      <c r="N58" s="2"/>
      <c r="O58" s="1"/>
      <c r="P58" s="26"/>
      <c r="Q58" s="27"/>
      <c r="R58" s="27"/>
      <c r="S58" s="27"/>
      <c r="T58" s="26"/>
      <c r="U58" s="27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25">
      <c r="A59" s="5" t="str">
        <f t="shared" si="0"/>
        <v>CUSTO MARKET DATA - JULHO/26-FIDESSA-134703</v>
      </c>
      <c r="B59" s="20">
        <v>46204</v>
      </c>
      <c r="C59" s="21">
        <v>817393</v>
      </c>
      <c r="D59" s="9" t="str">
        <f>IF(J59=57036,"ALEXANDRE DA COSTA SOARES",IF(J59=24157,"JOSE MAURICIO GOMES TEIXEIRA",IF(J59=24203,"JOSE MAURICIO GOMES TEIXEIRA",IF(J59=24149,"CHRISTIANO MARCONDES DE BARROS LIMA",IF(J59=24137,"CHRISTIANO MARCONDES DE BARROS LIMA",IF(J59=135152,"ENRICO BORTPLUZO CASSIANO",IF(J59=136568,"ENRICO BORTPLUZO CASSIANO", IF(J59=130976,"MARYLIA CARVALHO PONCE",IF(J59=136668,"ALEXANDRE DA COSTA SOARES",IF(J59=52340,"OFFSHORE LISTED",IF(J59=158778,"CLAUDIO DE SOUZA PACINI",IF(J59=159800,"CLAUDIO DE SOUZA PACINI",_xlfn.XLOOKUP(J59,[1]!Tabela33[ID ORACLE],[1]!Tabela33[BROKER],0,0,1)))))))))))))</f>
        <v>DANIELA VODOVOZ</v>
      </c>
      <c r="E59" s="22">
        <f t="shared" si="5"/>
        <v>-4.3670517349000004</v>
      </c>
      <c r="F59" s="9" t="str">
        <f t="shared" si="6"/>
        <v>FIDESSA</v>
      </c>
      <c r="G59" s="20">
        <f t="shared" si="2"/>
        <v>46204</v>
      </c>
      <c r="H59" s="23">
        <v>1170</v>
      </c>
      <c r="J59" s="45">
        <v>134703</v>
      </c>
      <c r="K59" s="45" t="s">
        <v>47</v>
      </c>
      <c r="L59" s="45" t="s">
        <v>12</v>
      </c>
      <c r="M59" s="45">
        <v>0.86011300000000002</v>
      </c>
      <c r="N59" s="2"/>
      <c r="Q59" s="27"/>
      <c r="R59" s="27"/>
      <c r="S59" s="27"/>
      <c r="U59" s="27"/>
    </row>
    <row r="60" spans="1:78" ht="15" customHeight="1" x14ac:dyDescent="0.25">
      <c r="A60" s="5" t="str">
        <f t="shared" si="0"/>
        <v>CUSTO MARKET DATA - JULHO/26-NYSE MARKET INC.-134703</v>
      </c>
      <c r="B60" s="20">
        <v>46204</v>
      </c>
      <c r="C60" s="21">
        <v>817393</v>
      </c>
      <c r="D60" s="9" t="str">
        <f>IF(J60=57036,"ALEXANDRE DA COSTA SOARES",IF(J60=24157,"JOSE MAURICIO GOMES TEIXEIRA",IF(J60=24203,"JOSE MAURICIO GOMES TEIXEIRA",IF(J60=24149,"CHRISTIANO MARCONDES DE BARROS LIMA",IF(J60=24137,"CHRISTIANO MARCONDES DE BARROS LIMA",IF(J60=135152,"ENRICO BORTPLUZO CASSIANO",IF(J60=136568,"ENRICO BORTPLUZO CASSIANO", IF(J60=130976,"MARYLIA CARVALHO PONCE",IF(J60=136668,"ALEXANDRE DA COSTA SOARES",IF(J60=52340,"OFFSHORE LISTED",IF(J60=158778,"CLAUDIO DE SOUZA PACINI",IF(J60=159800,"CLAUDIO DE SOUZA PACINI",_xlfn.XLOOKUP(J60,[1]!Tabela33[ID ORACLE],[1]!Tabela33[BROKER],0,0,1)))))))))))))</f>
        <v>DANIELA VODOVOZ</v>
      </c>
      <c r="E60" s="22">
        <f t="shared" si="5"/>
        <v>-276.39551875000001</v>
      </c>
      <c r="F60" s="9" t="str">
        <f t="shared" si="6"/>
        <v>NYSE MARKET INC.</v>
      </c>
      <c r="G60" s="20">
        <f t="shared" si="2"/>
        <v>46204</v>
      </c>
      <c r="H60" s="23">
        <v>1170</v>
      </c>
      <c r="J60" s="45">
        <v>134703</v>
      </c>
      <c r="K60" s="45" t="s">
        <v>44</v>
      </c>
      <c r="L60" s="45" t="s">
        <v>12</v>
      </c>
      <c r="M60" s="45">
        <v>54.4375</v>
      </c>
      <c r="N60" s="2"/>
      <c r="Q60" s="27"/>
      <c r="R60" s="27"/>
      <c r="S60" s="27"/>
      <c r="U60" s="27"/>
    </row>
    <row r="61" spans="1:78" ht="15" customHeight="1" x14ac:dyDescent="0.25">
      <c r="A61" s="5" t="str">
        <f t="shared" si="0"/>
        <v>CUSTO MARKET DATA - JULHO/26-OPTIONS PRICE REPORTING AUTHORITY (OPRA)-134703</v>
      </c>
      <c r="B61" s="20">
        <v>46204</v>
      </c>
      <c r="C61" s="21">
        <v>817393</v>
      </c>
      <c r="D61" s="9" t="str">
        <f>IF(J61=57036,"ALEXANDRE DA COSTA SOARES",IF(J61=24157,"JOSE MAURICIO GOMES TEIXEIRA",IF(J61=24203,"JOSE MAURICIO GOMES TEIXEIRA",IF(J61=24149,"CHRISTIANO MARCONDES DE BARROS LIMA",IF(J61=24137,"CHRISTIANO MARCONDES DE BARROS LIMA",IF(J61=135152,"ENRICO BORTPLUZO CASSIANO",IF(J61=136568,"ENRICO BORTPLUZO CASSIANO", IF(J61=130976,"MARYLIA CARVALHO PONCE",IF(J61=136668,"ALEXANDRE DA COSTA SOARES",IF(J61=52340,"OFFSHORE LISTED",IF(J61=158778,"CLAUDIO DE SOUZA PACINI",IF(J61=159800,"CLAUDIO DE SOUZA PACINI",_xlfn.XLOOKUP(J61,[1]!Tabela33[ID ORACLE],[1]!Tabela33[BROKER],0,0,1)))))))))))))</f>
        <v>DANIELA VODOVOZ</v>
      </c>
      <c r="E61" s="22">
        <f t="shared" si="5"/>
        <v>-348.25835362500004</v>
      </c>
      <c r="F61" s="9" t="str">
        <f t="shared" si="6"/>
        <v>OPTIONS PRICE REPORTING AUTHORITY (OPRA)</v>
      </c>
      <c r="G61" s="20">
        <f t="shared" si="2"/>
        <v>46204</v>
      </c>
      <c r="H61" s="23">
        <v>1170</v>
      </c>
      <c r="J61" s="45">
        <v>134703</v>
      </c>
      <c r="K61" s="45" t="s">
        <v>45</v>
      </c>
      <c r="L61" s="45" t="s">
        <v>12</v>
      </c>
      <c r="M61" s="45">
        <v>68.591250000000002</v>
      </c>
      <c r="N61" s="2"/>
      <c r="Q61" s="27"/>
      <c r="R61" s="27"/>
      <c r="S61" s="27"/>
      <c r="U61" s="27"/>
    </row>
    <row r="62" spans="1:78" ht="15" customHeight="1" x14ac:dyDescent="0.25">
      <c r="A62" s="5" t="str">
        <f t="shared" si="0"/>
        <v>CUSTO MARKET DATA - JULHO/26-REFINITIV-135064</v>
      </c>
      <c r="B62" s="20">
        <v>46204</v>
      </c>
      <c r="C62" s="21">
        <v>817393</v>
      </c>
      <c r="D62" s="9" t="str">
        <f>IF(J62=57036,"ALEXANDRE DA COSTA SOARES",IF(J62=24157,"JOSE MAURICIO GOMES TEIXEIRA",IF(J62=24203,"JOSE MAURICIO GOMES TEIXEIRA",IF(J62=24149,"CHRISTIANO MARCONDES DE BARROS LIMA",IF(J62=24137,"CHRISTIANO MARCONDES DE BARROS LIMA",IF(J62=135152,"ENRICO BORTPLUZO CASSIANO",IF(J62=136568,"ENRICO BORTPLUZO CASSIANO", IF(J62=130976,"MARYLIA CARVALHO PONCE",IF(J62=136668,"ALEXANDRE DA COSTA SOARES",IF(J62=52340,"OFFSHORE LISTED",IF(J62=158778,"CLAUDIO DE SOUZA PACINI",IF(J62=159800,"CLAUDIO DE SOUZA PACINI",_xlfn.XLOOKUP(J62,[1]!Tabela33[ID ORACLE],[1]!Tabela33[BROKER],0,0,1)))))))))))))</f>
        <v>ENRICO BORTPLUZO CASSIANO</v>
      </c>
      <c r="E62" s="22">
        <f t="shared" si="5"/>
        <v>-140.7067406388</v>
      </c>
      <c r="F62" s="9" t="str">
        <f t="shared" si="6"/>
        <v>REFINITIV</v>
      </c>
      <c r="G62" s="20">
        <f t="shared" si="2"/>
        <v>46204</v>
      </c>
      <c r="H62" s="23">
        <v>1170</v>
      </c>
      <c r="J62" s="45">
        <v>135064</v>
      </c>
      <c r="K62" s="45" t="s">
        <v>42</v>
      </c>
      <c r="L62" s="45" t="s">
        <v>17</v>
      </c>
      <c r="M62" s="45">
        <v>20.573868000000001</v>
      </c>
      <c r="N62" s="2"/>
      <c r="Q62" s="27"/>
      <c r="R62" s="27"/>
      <c r="S62" s="27"/>
      <c r="U62" s="27"/>
    </row>
    <row r="63" spans="1:78" ht="15" customHeight="1" x14ac:dyDescent="0.25">
      <c r="A63" s="5" t="str">
        <f t="shared" si="0"/>
        <v>CUSTO MARKET DATA - JULHO/26-BLOOMBERG-135152</v>
      </c>
      <c r="B63" s="20">
        <v>46204</v>
      </c>
      <c r="C63" s="21">
        <v>817393</v>
      </c>
      <c r="D63" s="9" t="str">
        <f>IF(J63=57036,"ALEXANDRE DA COSTA SOARES",IF(J63=24157,"JOSE MAURICIO GOMES TEIXEIRA",IF(J63=24203,"JOSE MAURICIO GOMES TEIXEIRA",IF(J63=24149,"CHRISTIANO MARCONDES DE BARROS LIMA",IF(J63=24137,"CHRISTIANO MARCONDES DE BARROS LIMA",IF(J63=135152,"ENRICO BORTPLUZO CASSIANO",IF(J63=136568,"ENRICO BORTPLUZO CASSIANO", IF(J63=130976,"MARYLIA CARVALHO PONCE",IF(J63=136668,"ALEXANDRE DA COSTA SOARES",IF(J63=52340,"OFFSHORE LISTED",IF(J63=158778,"CLAUDIO DE SOUZA PACINI",IF(J63=159800,"CLAUDIO DE SOUZA PACINI",_xlfn.XLOOKUP(J63,[1]!Tabela33[ID ORACLE],[1]!Tabela33[BROKER],0,0,1)))))))))))))</f>
        <v>ENRICO BORTPLUZO CASSIANO</v>
      </c>
      <c r="E63" s="22">
        <f t="shared" si="5"/>
        <v>-12186.341334511801</v>
      </c>
      <c r="F63" s="9" t="str">
        <f t="shared" si="6"/>
        <v>BLOOMBERG</v>
      </c>
      <c r="G63" s="20">
        <f t="shared" si="2"/>
        <v>46204</v>
      </c>
      <c r="H63" s="23">
        <v>1170</v>
      </c>
      <c r="J63" s="45">
        <v>135152</v>
      </c>
      <c r="K63" s="45" t="s">
        <v>41</v>
      </c>
      <c r="L63" s="45" t="s">
        <v>12</v>
      </c>
      <c r="M63" s="45">
        <v>2400.1617660000002</v>
      </c>
      <c r="N63" s="2"/>
      <c r="Q63" s="27"/>
      <c r="R63" s="27"/>
      <c r="S63" s="27"/>
      <c r="U63" s="27"/>
    </row>
    <row r="64" spans="1:78" ht="15" customHeight="1" x14ac:dyDescent="0.25">
      <c r="A64" s="5" t="str">
        <f t="shared" si="0"/>
        <v>CUSTO MARKET DATA - JULHO/26-REFINITIV-136568</v>
      </c>
      <c r="B64" s="20">
        <v>46204</v>
      </c>
      <c r="C64" s="21">
        <v>817393</v>
      </c>
      <c r="D64" s="9" t="str">
        <f>IF(J64=57036,"ALEXANDRE DA COSTA SOARES",IF(J64=24157,"JOSE MAURICIO GOMES TEIXEIRA",IF(J64=24203,"JOSE MAURICIO GOMES TEIXEIRA",IF(J64=24149,"CHRISTIANO MARCONDES DE BARROS LIMA",IF(J64=24137,"CHRISTIANO MARCONDES DE BARROS LIMA",IF(J64=135152,"ENRICO BORTPLUZO CASSIANO",IF(J64=136568,"ENRICO BORTPLUZO CASSIANO", IF(J64=130976,"MARYLIA CARVALHO PONCE",IF(J64=136668,"ALEXANDRE DA COSTA SOARES",IF(J64=52340,"OFFSHORE LISTED",IF(J64=158778,"CLAUDIO DE SOUZA PACINI",IF(J64=159800,"CLAUDIO DE SOUZA PACINI",_xlfn.XLOOKUP(J64,[1]!Tabela33[ID ORACLE],[1]!Tabela33[BROKER],0,0,1)))))))))))))</f>
        <v>ENRICO BORTPLUZO CASSIANO</v>
      </c>
      <c r="E64" s="22">
        <f t="shared" si="5"/>
        <v>-140.7067406388</v>
      </c>
      <c r="F64" s="9" t="str">
        <f t="shared" si="6"/>
        <v>REFINITIV</v>
      </c>
      <c r="G64" s="20">
        <f t="shared" si="2"/>
        <v>46204</v>
      </c>
      <c r="H64" s="23">
        <v>1170</v>
      </c>
      <c r="J64" s="45">
        <v>136568</v>
      </c>
      <c r="K64" s="45" t="s">
        <v>42</v>
      </c>
      <c r="L64" s="45" t="s">
        <v>17</v>
      </c>
      <c r="M64" s="45">
        <v>20.573868000000001</v>
      </c>
      <c r="N64" s="2"/>
      <c r="Q64" s="27"/>
      <c r="R64" s="27"/>
      <c r="S64" s="27"/>
      <c r="U64" s="27"/>
    </row>
    <row r="65" spans="1:78" s="4" customFormat="1" ht="15" customHeight="1" x14ac:dyDescent="0.25">
      <c r="A65" s="5" t="str">
        <f t="shared" si="0"/>
        <v>CUSTO MARKET DATA - JULHO/26-REFINITIV-136667</v>
      </c>
      <c r="B65" s="20">
        <v>46204</v>
      </c>
      <c r="C65" s="21">
        <v>817393</v>
      </c>
      <c r="D65" s="9" t="str">
        <f>IF(J65=57036,"ALEXANDRE DA COSTA SOARES",IF(J65=24157,"JOSE MAURICIO GOMES TEIXEIRA",IF(J65=24203,"JOSE MAURICIO GOMES TEIXEIRA",IF(J65=24149,"CHRISTIANO MARCONDES DE BARROS LIMA",IF(J65=24137,"CHRISTIANO MARCONDES DE BARROS LIMA",IF(J65=135152,"ENRICO BORTPLUZO CASSIANO",IF(J65=136568,"ENRICO BORTPLUZO CASSIANO", IF(J65=130976,"MARYLIA CARVALHO PONCE",IF(J65=136668,"ALEXANDRE DA COSTA SOARES",IF(J65=52340,"OFFSHORE LISTED",IF(J65=158778,"CLAUDIO DE SOUZA PACINI",IF(J65=159800,"CLAUDIO DE SOUZA PACINI",_xlfn.XLOOKUP(J65,[1]!Tabela33[ID ORACLE],[1]!Tabela33[BROKER],0,0,1)))))))))))))</f>
        <v>HUGO BIANCHI RIBEIRO</v>
      </c>
      <c r="E65" s="22">
        <f t="shared" si="5"/>
        <v>-619.18598863799991</v>
      </c>
      <c r="F65" s="9" t="str">
        <f t="shared" si="6"/>
        <v>REFINITIV</v>
      </c>
      <c r="G65" s="20">
        <f t="shared" si="2"/>
        <v>46204</v>
      </c>
      <c r="H65" s="23">
        <v>1170</v>
      </c>
      <c r="I65"/>
      <c r="J65" s="45">
        <v>136667</v>
      </c>
      <c r="K65" s="45" t="s">
        <v>42</v>
      </c>
      <c r="L65" s="45" t="s">
        <v>17</v>
      </c>
      <c r="M65" s="45">
        <v>90.536179999999987</v>
      </c>
      <c r="N65" s="2"/>
      <c r="O65" s="1"/>
      <c r="P65" s="26"/>
      <c r="Q65" s="27"/>
      <c r="R65" s="27"/>
      <c r="S65" s="27"/>
      <c r="T65" s="26"/>
      <c r="U65" s="27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s="4" customFormat="1" ht="15" customHeight="1" x14ac:dyDescent="0.25">
      <c r="A66" s="5" t="str">
        <f t="shared" ref="A66:A129" si="7">CONCATENATE($N$1,$I$1,F66,$I$1,J66)</f>
        <v>CUSTO MARKET DATA - JULHO/26-OPTIONS PRICE REPORTING AUTHORITY (OPRA)-136668</v>
      </c>
      <c r="B66" s="20">
        <v>46204</v>
      </c>
      <c r="C66" s="21">
        <v>817393</v>
      </c>
      <c r="D66" s="9" t="str">
        <f>IF(J66=57036,"ALEXANDRE DA COSTA SOARES",IF(J66=24157,"JOSE MAURICIO GOMES TEIXEIRA",IF(J66=24203,"JOSE MAURICIO GOMES TEIXEIRA",IF(J66=24149,"CHRISTIANO MARCONDES DE BARROS LIMA",IF(J66=24137,"CHRISTIANO MARCONDES DE BARROS LIMA",IF(J66=135152,"ENRICO BORTPLUZO CASSIANO",IF(J66=136568,"ENRICO BORTPLUZO CASSIANO", IF(J66=130976,"MARYLIA CARVALHO PONCE",IF(J66=136668,"ALEXANDRE DA COSTA SOARES",IF(J66=52340,"OFFSHORE LISTED",IF(J66=158778,"CLAUDIO DE SOUZA PACINI",IF(J66=159800,"CLAUDIO DE SOUZA PACINI",_xlfn.XLOOKUP(J66,[1]!Tabela33[ID ORACLE],[1]!Tabela33[BROKER],0,0,1)))))))))))))</f>
        <v>ALEXANDRE DA COSTA SOARES</v>
      </c>
      <c r="E66" s="22">
        <f t="shared" si="5"/>
        <v>-159.93495000000001</v>
      </c>
      <c r="F66" s="9" t="str">
        <f t="shared" si="6"/>
        <v>OPTIONS PRICE REPORTING AUTHORITY (OPRA)</v>
      </c>
      <c r="G66" s="20">
        <f t="shared" si="2"/>
        <v>46204</v>
      </c>
      <c r="H66" s="23">
        <v>1170</v>
      </c>
      <c r="I66"/>
      <c r="J66" s="45">
        <v>136668</v>
      </c>
      <c r="K66" s="45" t="s">
        <v>45</v>
      </c>
      <c r="L66" s="45" t="s">
        <v>12</v>
      </c>
      <c r="M66" s="45">
        <v>31.5</v>
      </c>
      <c r="N66" s="2"/>
      <c r="O66" s="1"/>
      <c r="P66" s="26"/>
      <c r="Q66" s="27"/>
      <c r="R66" s="27"/>
      <c r="S66" s="27"/>
      <c r="T66" s="26"/>
      <c r="U66" s="27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25">
      <c r="A67" s="5" t="str">
        <f t="shared" si="7"/>
        <v>CUSTO MARKET DATA - JULHO/26-REFINITIV-136668</v>
      </c>
      <c r="B67" s="20">
        <v>46204</v>
      </c>
      <c r="C67" s="21">
        <v>817393</v>
      </c>
      <c r="D67" s="9" t="str">
        <f>IF(J67=57036,"ALEXANDRE DA COSTA SOARES",IF(J67=24157,"JOSE MAURICIO GOMES TEIXEIRA",IF(J67=24203,"JOSE MAURICIO GOMES TEIXEIRA",IF(J67=24149,"CHRISTIANO MARCONDES DE BARROS LIMA",IF(J67=24137,"CHRISTIANO MARCONDES DE BARROS LIMA",IF(J67=135152,"ENRICO BORTPLUZO CASSIANO",IF(J67=136568,"ENRICO BORTPLUZO CASSIANO", IF(J67=130976,"MARYLIA CARVALHO PONCE",IF(J67=136668,"ALEXANDRE DA COSTA SOARES",IF(J67=52340,"OFFSHORE LISTED",IF(J67=158778,"CLAUDIO DE SOUZA PACINI",IF(J67=159800,"CLAUDIO DE SOUZA PACINI",_xlfn.XLOOKUP(J67,[1]!Tabela33[ID ORACLE],[1]!Tabela33[BROKER],0,0,1)))))))))))))</f>
        <v>ALEXANDRE DA COSTA SOARES</v>
      </c>
      <c r="E67" s="22">
        <f t="shared" si="5"/>
        <v>-140.7067406388</v>
      </c>
      <c r="F67" s="9" t="str">
        <f t="shared" si="6"/>
        <v>REFINITIV</v>
      </c>
      <c r="G67" s="20">
        <f t="shared" ref="G67:G130" si="8">B67</f>
        <v>46204</v>
      </c>
      <c r="H67" s="23">
        <v>1170</v>
      </c>
      <c r="J67" s="45">
        <v>136668</v>
      </c>
      <c r="K67" s="45" t="s">
        <v>42</v>
      </c>
      <c r="L67" s="45" t="s">
        <v>17</v>
      </c>
      <c r="M67" s="45">
        <v>20.573868000000001</v>
      </c>
      <c r="N67" s="2"/>
      <c r="Q67" s="27"/>
      <c r="R67" s="27"/>
      <c r="S67" s="27"/>
      <c r="U67" s="27"/>
    </row>
    <row r="68" spans="1:78" ht="15" customHeight="1" x14ac:dyDescent="0.25">
      <c r="A68" s="5" t="str">
        <f t="shared" si="7"/>
        <v>CUSTO MARKET DATA - JULHO/26-SYMPHONY COMMUNICATION SERVICES, LLC-136668</v>
      </c>
      <c r="B68" s="20">
        <v>46204</v>
      </c>
      <c r="C68" s="21">
        <v>817393</v>
      </c>
      <c r="D68" s="9" t="str">
        <f>IF(J68=57036,"ALEXANDRE DA COSTA SOARES",IF(J68=24157,"JOSE MAURICIO GOMES TEIXEIRA",IF(J68=24203,"JOSE MAURICIO GOMES TEIXEIRA",IF(J68=24149,"CHRISTIANO MARCONDES DE BARROS LIMA",IF(J68=24137,"CHRISTIANO MARCONDES DE BARROS LIMA",IF(J68=135152,"ENRICO BORTPLUZO CASSIANO",IF(J68=136568,"ENRICO BORTPLUZO CASSIANO", IF(J68=130976,"MARYLIA CARVALHO PONCE",IF(J68=136668,"ALEXANDRE DA COSTA SOARES",IF(J68=52340,"OFFSHORE LISTED",IF(J68=158778,"CLAUDIO DE SOUZA PACINI",IF(J68=159800,"CLAUDIO DE SOUZA PACINI",_xlfn.XLOOKUP(J68,[1]!Tabela33[ID ORACLE],[1]!Tabela33[BROKER],0,0,1)))))))))))))</f>
        <v>ALEXANDRE DA COSTA SOARES</v>
      </c>
      <c r="E68" s="22">
        <f t="shared" si="5"/>
        <v>-127.14193862500001</v>
      </c>
      <c r="F68" s="9" t="str">
        <f t="shared" si="6"/>
        <v>SYMPHONY COMMUNICATION SERVICES, LLC</v>
      </c>
      <c r="G68" s="20">
        <f t="shared" si="8"/>
        <v>46204</v>
      </c>
      <c r="H68" s="23">
        <v>1170</v>
      </c>
      <c r="J68" s="45">
        <v>136668</v>
      </c>
      <c r="K68" s="45" t="s">
        <v>50</v>
      </c>
      <c r="L68" s="45" t="s">
        <v>12</v>
      </c>
      <c r="M68" s="45">
        <v>25.041250000000002</v>
      </c>
      <c r="N68" s="2"/>
      <c r="Q68" s="27"/>
      <c r="R68" s="27"/>
      <c r="S68" s="27"/>
      <c r="U68" s="27"/>
    </row>
    <row r="69" spans="1:78" ht="15" customHeight="1" x14ac:dyDescent="0.25">
      <c r="A69" s="5" t="str">
        <f t="shared" si="7"/>
        <v>CUSTO MARKET DATA - JULHO/26-BLOOMBERG-137478</v>
      </c>
      <c r="B69" s="20">
        <v>46204</v>
      </c>
      <c r="C69" s="21">
        <v>817393</v>
      </c>
      <c r="D69" s="9" t="str">
        <f>IF(J69=57036,"ALEXANDRE DA COSTA SOARES",IF(J69=24157,"JOSE MAURICIO GOMES TEIXEIRA",IF(J69=24203,"JOSE MAURICIO GOMES TEIXEIRA",IF(J69=24149,"CHRISTIANO MARCONDES DE BARROS LIMA",IF(J69=24137,"CHRISTIANO MARCONDES DE BARROS LIMA",IF(J69=135152,"ENRICO BORTPLUZO CASSIANO",IF(J69=136568,"ENRICO BORTPLUZO CASSIANO", IF(J69=130976,"MARYLIA CARVALHO PONCE",IF(J69=136668,"ALEXANDRE DA COSTA SOARES",IF(J69=52340,"OFFSHORE LISTED",IF(J69=158778,"CLAUDIO DE SOUZA PACINI",IF(J69=159800,"CLAUDIO DE SOUZA PACINI",_xlfn.XLOOKUP(J69,[1]!Tabela33[ID ORACLE],[1]!Tabela33[BROKER],0,0,1)))))))))))))</f>
        <v>ALEXANDRE BRENO STEVENS</v>
      </c>
      <c r="E69" s="22">
        <f t="shared" si="5"/>
        <v>-9592.9050030359995</v>
      </c>
      <c r="F69" s="9" t="str">
        <f t="shared" si="6"/>
        <v>BLOOMBERG</v>
      </c>
      <c r="G69" s="20">
        <f t="shared" si="8"/>
        <v>46204</v>
      </c>
      <c r="H69" s="23">
        <v>1170</v>
      </c>
      <c r="J69" s="45">
        <v>137478</v>
      </c>
      <c r="K69" s="45" t="s">
        <v>41</v>
      </c>
      <c r="L69" s="45" t="s">
        <v>12</v>
      </c>
      <c r="M69" s="45">
        <v>1889.37132</v>
      </c>
      <c r="N69" s="2"/>
      <c r="Q69" s="27"/>
      <c r="R69" s="27"/>
      <c r="S69" s="27"/>
      <c r="U69" s="27"/>
    </row>
    <row r="70" spans="1:78" ht="15" customHeight="1" x14ac:dyDescent="0.25">
      <c r="A70" s="5" t="str">
        <f t="shared" si="7"/>
        <v>CUSTO MARKET DATA - JULHO/26-BLOOMBERG-139345</v>
      </c>
      <c r="B70" s="20">
        <v>46204</v>
      </c>
      <c r="C70" s="21">
        <v>817393</v>
      </c>
      <c r="D70" s="9" t="str">
        <f>IF(J70=57036,"ALEXANDRE DA COSTA SOARES",IF(J70=24157,"JOSE MAURICIO GOMES TEIXEIRA",IF(J70=24203,"JOSE MAURICIO GOMES TEIXEIRA",IF(J70=24149,"CHRISTIANO MARCONDES DE BARROS LIMA",IF(J70=24137,"CHRISTIANO MARCONDES DE BARROS LIMA",IF(J70=135152,"ENRICO BORTPLUZO CASSIANO",IF(J70=136568,"ENRICO BORTPLUZO CASSIANO", IF(J70=130976,"MARYLIA CARVALHO PONCE",IF(J70=136668,"ALEXANDRE DA COSTA SOARES",IF(J70=52340,"OFFSHORE LISTED",IF(J70=158778,"CLAUDIO DE SOUZA PACINI",IF(J70=159800,"CLAUDIO DE SOUZA PACINI",_xlfn.XLOOKUP(J70,[1]!Tabela33[ID ORACLE],[1]!Tabela33[BROKER],0,0,1)))))))))))))</f>
        <v>FELIPE MEIRELLES RACCAH</v>
      </c>
      <c r="E70" s="22">
        <f t="shared" si="5"/>
        <v>-12046.715584511801</v>
      </c>
      <c r="F70" s="9" t="str">
        <f t="shared" si="6"/>
        <v>BLOOMBERG</v>
      </c>
      <c r="G70" s="20">
        <f t="shared" si="8"/>
        <v>46204</v>
      </c>
      <c r="H70" s="23">
        <v>1170</v>
      </c>
      <c r="J70" s="45">
        <v>139345</v>
      </c>
      <c r="K70" s="45" t="s">
        <v>41</v>
      </c>
      <c r="L70" s="45" t="s">
        <v>12</v>
      </c>
      <c r="M70" s="45">
        <v>2372.6617660000002</v>
      </c>
      <c r="N70" s="2"/>
      <c r="Q70" s="27"/>
      <c r="R70" s="27"/>
      <c r="S70" s="27"/>
      <c r="U70" s="27"/>
    </row>
    <row r="71" spans="1:78" ht="15" customHeight="1" x14ac:dyDescent="0.25">
      <c r="A71" s="5" t="str">
        <f t="shared" si="7"/>
        <v>CUSTO MARKET DATA - JULHO/26-BLOOMBERG-141745</v>
      </c>
      <c r="B71" s="20">
        <v>46204</v>
      </c>
      <c r="C71" s="21">
        <v>817393</v>
      </c>
      <c r="D71" s="9" t="str">
        <f>IF(J71=57036,"ALEXANDRE DA COSTA SOARES",IF(J71=24157,"JOSE MAURICIO GOMES TEIXEIRA",IF(J71=24203,"JOSE MAURICIO GOMES TEIXEIRA",IF(J71=24149,"CHRISTIANO MARCONDES DE BARROS LIMA",IF(J71=24137,"CHRISTIANO MARCONDES DE BARROS LIMA",IF(J71=135152,"ENRICO BORTPLUZO CASSIANO",IF(J71=136568,"ENRICO BORTPLUZO CASSIANO", IF(J71=130976,"MARYLIA CARVALHO PONCE",IF(J71=136668,"ALEXANDRE DA COSTA SOARES",IF(J71=52340,"OFFSHORE LISTED",IF(J71=158778,"CLAUDIO DE SOUZA PACINI",IF(J71=159800,"CLAUDIO DE SOUZA PACINI",_xlfn.XLOOKUP(J71,[1]!Tabela33[ID ORACLE],[1]!Tabela33[BROKER],0,0,1)))))))))))))</f>
        <v>EDRAS DURAES D ANUNCIACAO</v>
      </c>
      <c r="E71" s="22">
        <f t="shared" si="5"/>
        <v>-11310.507084511801</v>
      </c>
      <c r="F71" s="9" t="str">
        <f t="shared" si="6"/>
        <v>BLOOMBERG</v>
      </c>
      <c r="G71" s="20">
        <f t="shared" si="8"/>
        <v>46204</v>
      </c>
      <c r="H71" s="23">
        <v>1170</v>
      </c>
      <c r="J71" s="45">
        <v>141745</v>
      </c>
      <c r="K71" s="45" t="s">
        <v>41</v>
      </c>
      <c r="L71" s="45" t="s">
        <v>12</v>
      </c>
      <c r="M71" s="45">
        <v>2227.6617660000002</v>
      </c>
      <c r="N71" s="2"/>
      <c r="Q71" s="27"/>
      <c r="R71" s="27"/>
      <c r="S71" s="27"/>
      <c r="U71" s="27"/>
    </row>
    <row r="72" spans="1:78" ht="15" customHeight="1" x14ac:dyDescent="0.25">
      <c r="A72" s="5" t="str">
        <f t="shared" si="7"/>
        <v>CUSTO MARKET DATA - JULHO/26-BLOOMBERG-142760</v>
      </c>
      <c r="B72" s="20">
        <v>46204</v>
      </c>
      <c r="C72" s="21">
        <v>817393</v>
      </c>
      <c r="D72" s="9" t="str">
        <f>IF(J72=57036,"ALEXANDRE DA COSTA SOARES",IF(J72=24157,"JOSE MAURICIO GOMES TEIXEIRA",IF(J72=24203,"JOSE MAURICIO GOMES TEIXEIRA",IF(J72=24149,"CHRISTIANO MARCONDES DE BARROS LIMA",IF(J72=24137,"CHRISTIANO MARCONDES DE BARROS LIMA",IF(J72=135152,"ENRICO BORTPLUZO CASSIANO",IF(J72=136568,"ENRICO BORTPLUZO CASSIANO", IF(J72=130976,"MARYLIA CARVALHO PONCE",IF(J72=136668,"ALEXANDRE DA COSTA SOARES",IF(J72=52340,"OFFSHORE LISTED",IF(J72=158778,"CLAUDIO DE SOUZA PACINI",IF(J72=159800,"CLAUDIO DE SOUZA PACINI",_xlfn.XLOOKUP(J72,[1]!Tabela33[ID ORACLE],[1]!Tabela33[BROKER],0,0,1)))))))))))))</f>
        <v>CARLOS THADEU DE FREITAS GOMES FILHO</v>
      </c>
      <c r="E72" s="22">
        <f t="shared" si="5"/>
        <v>-12186.341334511801</v>
      </c>
      <c r="F72" s="9" t="str">
        <f t="shared" si="6"/>
        <v>BLOOMBERG</v>
      </c>
      <c r="G72" s="20">
        <f t="shared" si="8"/>
        <v>46204</v>
      </c>
      <c r="H72" s="23">
        <v>1170</v>
      </c>
      <c r="J72" s="45">
        <v>142760</v>
      </c>
      <c r="K72" s="45" t="s">
        <v>41</v>
      </c>
      <c r="L72" s="45" t="s">
        <v>12</v>
      </c>
      <c r="M72" s="45">
        <v>2400.1617660000002</v>
      </c>
      <c r="N72" s="2"/>
      <c r="Q72" s="27"/>
      <c r="R72" s="27"/>
      <c r="S72" s="27"/>
      <c r="U72" s="27"/>
    </row>
    <row r="73" spans="1:78" ht="15" customHeight="1" x14ac:dyDescent="0.25">
      <c r="A73" s="5" t="str">
        <f t="shared" si="7"/>
        <v>CUSTO MARKET DATA - JULHO/26-BLOOMBERG-150588</v>
      </c>
      <c r="B73" s="20">
        <v>46204</v>
      </c>
      <c r="C73" s="21">
        <v>817393</v>
      </c>
      <c r="D73" s="9" t="str">
        <f>IF(J73=57036,"ALEXANDRE DA COSTA SOARES",IF(J73=24157,"JOSE MAURICIO GOMES TEIXEIRA",IF(J73=24203,"JOSE MAURICIO GOMES TEIXEIRA",IF(J73=24149,"CHRISTIANO MARCONDES DE BARROS LIMA",IF(J73=24137,"CHRISTIANO MARCONDES DE BARROS LIMA",IF(J73=135152,"ENRICO BORTPLUZO CASSIANO",IF(J73=136568,"ENRICO BORTPLUZO CASSIANO", IF(J73=130976,"MARYLIA CARVALHO PONCE",IF(J73=136668,"ALEXANDRE DA COSTA SOARES",IF(J73=52340,"OFFSHORE LISTED",IF(J73=158778,"CLAUDIO DE SOUZA PACINI",IF(J73=159800,"CLAUDIO DE SOUZA PACINI",_xlfn.XLOOKUP(J73,[1]!Tabela33[ID ORACLE],[1]!Tabela33[BROKER],0,0,1)))))))))))))</f>
        <v>PAULO GUILHERME MENEZES FELIX</v>
      </c>
      <c r="E73" s="22">
        <f t="shared" si="5"/>
        <v>-50.773000000000003</v>
      </c>
      <c r="F73" s="9" t="str">
        <f t="shared" si="6"/>
        <v>BLOOMBERG</v>
      </c>
      <c r="G73" s="20">
        <f t="shared" si="8"/>
        <v>46204</v>
      </c>
      <c r="H73" s="23">
        <v>1170</v>
      </c>
      <c r="J73" s="45">
        <v>150588</v>
      </c>
      <c r="K73" s="45" t="s">
        <v>41</v>
      </c>
      <c r="L73" s="45" t="s">
        <v>12</v>
      </c>
      <c r="M73" s="45">
        <v>10</v>
      </c>
      <c r="N73" s="2"/>
      <c r="Q73" s="27"/>
      <c r="R73" s="27"/>
      <c r="S73" s="27"/>
      <c r="U73" s="27"/>
    </row>
    <row r="74" spans="1:78" ht="15" customHeight="1" x14ac:dyDescent="0.25">
      <c r="A74" s="5" t="str">
        <f t="shared" si="7"/>
        <v>CUSTO MARKET DATA - JULHO/26-BLOOMBERG-152836</v>
      </c>
      <c r="B74" s="20">
        <v>46204</v>
      </c>
      <c r="C74" s="21">
        <v>817393</v>
      </c>
      <c r="D74" s="9" t="str">
        <f>IF(J74=57036,"ALEXANDRE DA COSTA SOARES",IF(J74=24157,"JOSE MAURICIO GOMES TEIXEIRA",IF(J74=24203,"JOSE MAURICIO GOMES TEIXEIRA",IF(J74=24149,"CHRISTIANO MARCONDES DE BARROS LIMA",IF(J74=24137,"CHRISTIANO MARCONDES DE BARROS LIMA",IF(J74=135152,"ENRICO BORTPLUZO CASSIANO",IF(J74=136568,"ENRICO BORTPLUZO CASSIANO", IF(J74=130976,"MARYLIA CARVALHO PONCE",IF(J74=136668,"ALEXANDRE DA COSTA SOARES",IF(J74=52340,"OFFSHORE LISTED",IF(J74=158778,"CLAUDIO DE SOUZA PACINI",IF(J74=159800,"CLAUDIO DE SOUZA PACINI",_xlfn.XLOOKUP(J74,[1]!Tabela33[ID ORACLE],[1]!Tabela33[BROKER],0,0,1)))))))))))))</f>
        <v>FELIPE DE SA TAVARES</v>
      </c>
      <c r="E74" s="22">
        <f t="shared" si="5"/>
        <v>-12186.341334511801</v>
      </c>
      <c r="F74" s="9" t="str">
        <f t="shared" si="6"/>
        <v>BLOOMBERG</v>
      </c>
      <c r="G74" s="20">
        <f t="shared" si="8"/>
        <v>46204</v>
      </c>
      <c r="H74" s="23">
        <v>1170</v>
      </c>
      <c r="J74" s="45">
        <v>152836</v>
      </c>
      <c r="K74" s="45" t="s">
        <v>41</v>
      </c>
      <c r="L74" s="45" t="s">
        <v>12</v>
      </c>
      <c r="M74" s="45">
        <v>2400.1617660000002</v>
      </c>
      <c r="N74" s="2"/>
      <c r="Q74" s="27"/>
      <c r="R74" s="27"/>
      <c r="S74" s="27"/>
      <c r="U74" s="27"/>
    </row>
    <row r="75" spans="1:78" ht="15" customHeight="1" x14ac:dyDescent="0.25">
      <c r="A75" s="5" t="str">
        <f t="shared" si="7"/>
        <v>CUSTO MARKET DATA - JULHO/26-BLOOMBERG-153595</v>
      </c>
      <c r="B75" s="20">
        <v>46204</v>
      </c>
      <c r="C75" s="21">
        <v>817393</v>
      </c>
      <c r="D75" s="9" t="str">
        <f>IF(J75=57036,"ALEXANDRE DA COSTA SOARES",IF(J75=24157,"JOSE MAURICIO GOMES TEIXEIRA",IF(J75=24203,"JOSE MAURICIO GOMES TEIXEIRA",IF(J75=24149,"CHRISTIANO MARCONDES DE BARROS LIMA",IF(J75=24137,"CHRISTIANO MARCONDES DE BARROS LIMA",IF(J75=135152,"ENRICO BORTPLUZO CASSIANO",IF(J75=136568,"ENRICO BORTPLUZO CASSIANO", IF(J75=130976,"MARYLIA CARVALHO PONCE",IF(J75=136668,"ALEXANDRE DA COSTA SOARES",IF(J75=52340,"OFFSHORE LISTED",IF(J75=158778,"CLAUDIO DE SOUZA PACINI",IF(J75=159800,"CLAUDIO DE SOUZA PACINI",_xlfn.XLOOKUP(J75,[1]!Tabela33[ID ORACLE],[1]!Tabela33[BROKER],0,0,1)))))))))))))</f>
        <v>REINALDO ANDRE URBANO FILHO</v>
      </c>
      <c r="E75" s="22">
        <f t="shared" si="5"/>
        <v>-12248.792124511801</v>
      </c>
      <c r="F75" s="9" t="str">
        <f t="shared" si="6"/>
        <v>BLOOMBERG</v>
      </c>
      <c r="G75" s="20">
        <f t="shared" si="8"/>
        <v>46204</v>
      </c>
      <c r="H75" s="23">
        <v>1170</v>
      </c>
      <c r="J75" s="45">
        <v>153595</v>
      </c>
      <c r="K75" s="45" t="s">
        <v>41</v>
      </c>
      <c r="L75" s="45" t="s">
        <v>12</v>
      </c>
      <c r="M75" s="45">
        <v>2412.4617660000004</v>
      </c>
      <c r="N75" s="2"/>
      <c r="Q75" s="27"/>
      <c r="R75" s="27"/>
      <c r="S75" s="27"/>
      <c r="U75" s="27"/>
    </row>
    <row r="76" spans="1:78" ht="15" customHeight="1" x14ac:dyDescent="0.25">
      <c r="A76" s="5" t="str">
        <f t="shared" si="7"/>
        <v>CUSTO MARKET DATA - JULHO/26-BLOOMBERG-158778</v>
      </c>
      <c r="B76" s="20">
        <v>46204</v>
      </c>
      <c r="C76" s="21">
        <v>817393</v>
      </c>
      <c r="D76" s="9" t="str">
        <f>IF(J76=57036,"ALEXANDRE DA COSTA SOARES",IF(J76=24157,"JOSE MAURICIO GOMES TEIXEIRA",IF(J76=24203,"JOSE MAURICIO GOMES TEIXEIRA",IF(J76=24149,"CHRISTIANO MARCONDES DE BARROS LIMA",IF(J76=24137,"CHRISTIANO MARCONDES DE BARROS LIMA",IF(J76=135152,"ENRICO BORTPLUZO CASSIANO",IF(J76=136568,"ENRICO BORTPLUZO CASSIANO", IF(J76=130976,"MARYLIA CARVALHO PONCE",IF(J76=136668,"ALEXANDRE DA COSTA SOARES",IF(J76=52340,"OFFSHORE LISTED",IF(J76=158778,"CLAUDIO DE SOUZA PACINI",IF(J76=159800,"CLAUDIO DE SOUZA PACINI",_xlfn.XLOOKUP(J76,[1]!Tabela33[ID ORACLE],[1]!Tabela33[BROKER],0,0,1)))))))))))))</f>
        <v>CLAUDIO DE SOUZA PACINI</v>
      </c>
      <c r="E76" s="22">
        <f t="shared" si="5"/>
        <v>-12242.191634511801</v>
      </c>
      <c r="F76" s="9" t="str">
        <f t="shared" si="6"/>
        <v>BLOOMBERG</v>
      </c>
      <c r="G76" s="20">
        <f t="shared" si="8"/>
        <v>46204</v>
      </c>
      <c r="H76" s="23">
        <v>1170</v>
      </c>
      <c r="J76" s="45">
        <v>158778</v>
      </c>
      <c r="K76" s="45" t="s">
        <v>41</v>
      </c>
      <c r="L76" s="45" t="s">
        <v>12</v>
      </c>
      <c r="M76" s="45">
        <v>2411.1617660000002</v>
      </c>
      <c r="N76" s="2"/>
      <c r="Q76" s="27"/>
      <c r="R76" s="27"/>
      <c r="S76" s="27"/>
      <c r="U76" s="27"/>
    </row>
    <row r="77" spans="1:78" ht="15" customHeight="1" x14ac:dyDescent="0.25">
      <c r="A77" s="5" t="str">
        <f t="shared" si="7"/>
        <v>CUSTO MARKET DATA - JULHO/26-FIDESSA-158778</v>
      </c>
      <c r="B77" s="20">
        <v>46204</v>
      </c>
      <c r="C77" s="21">
        <v>817393</v>
      </c>
      <c r="D77" s="9" t="str">
        <f>IF(J77=57036,"ALEXANDRE DA COSTA SOARES",IF(J77=24157,"JOSE MAURICIO GOMES TEIXEIRA",IF(J77=24203,"JOSE MAURICIO GOMES TEIXEIRA",IF(J77=24149,"CHRISTIANO MARCONDES DE BARROS LIMA",IF(J77=24137,"CHRISTIANO MARCONDES DE BARROS LIMA",IF(J77=135152,"ENRICO BORTPLUZO CASSIANO",IF(J77=136568,"ENRICO BORTPLUZO CASSIANO", IF(J77=130976,"MARYLIA CARVALHO PONCE",IF(J77=136668,"ALEXANDRE DA COSTA SOARES",IF(J77=52340,"OFFSHORE LISTED",IF(J77=158778,"CLAUDIO DE SOUZA PACINI",IF(J77=159800,"CLAUDIO DE SOUZA PACINI",_xlfn.XLOOKUP(J77,[1]!Tabela33[ID ORACLE],[1]!Tabela33[BROKER],0,0,1)))))))))))))</f>
        <v>CLAUDIO DE SOUZA PACINI</v>
      </c>
      <c r="E77" s="22">
        <f t="shared" si="5"/>
        <v>-1770.9213728123</v>
      </c>
      <c r="F77" s="9" t="str">
        <f t="shared" si="6"/>
        <v>FIDESSA</v>
      </c>
      <c r="G77" s="20">
        <f t="shared" si="8"/>
        <v>46204</v>
      </c>
      <c r="H77" s="23">
        <v>1170</v>
      </c>
      <c r="J77" s="45">
        <v>158778</v>
      </c>
      <c r="K77" s="45" t="s">
        <v>47</v>
      </c>
      <c r="L77" s="45" t="s">
        <v>12</v>
      </c>
      <c r="M77" s="45">
        <v>348.79195099999998</v>
      </c>
      <c r="N77" s="2"/>
      <c r="Q77" s="27"/>
      <c r="R77" s="27"/>
      <c r="S77" s="27"/>
      <c r="U77" s="27"/>
    </row>
    <row r="78" spans="1:78" ht="15" customHeight="1" x14ac:dyDescent="0.25">
      <c r="A78" s="5" t="str">
        <f t="shared" si="7"/>
        <v>CUSTO MARKET DATA - JULHO/26-NYSE MARKET INC.-158778</v>
      </c>
      <c r="B78" s="20">
        <v>46204</v>
      </c>
      <c r="C78" s="21">
        <v>817393</v>
      </c>
      <c r="D78" s="9" t="str">
        <f>IF(J78=57036,"ALEXANDRE DA COSTA SOARES",IF(J78=24157,"JOSE MAURICIO GOMES TEIXEIRA",IF(J78=24203,"JOSE MAURICIO GOMES TEIXEIRA",IF(J78=24149,"CHRISTIANO MARCONDES DE BARROS LIMA",IF(J78=24137,"CHRISTIANO MARCONDES DE BARROS LIMA",IF(J78=135152,"ENRICO BORTPLUZO CASSIANO",IF(J78=136568,"ENRICO BORTPLUZO CASSIANO", IF(J78=130976,"MARYLIA CARVALHO PONCE",IF(J78=136668,"ALEXANDRE DA COSTA SOARES",IF(J78=52340,"OFFSHORE LISTED",IF(J78=158778,"CLAUDIO DE SOUZA PACINI",IF(J78=159800,"CLAUDIO DE SOUZA PACINI",_xlfn.XLOOKUP(J78,[1]!Tabela33[ID ORACLE],[1]!Tabela33[BROKER],0,0,1)))))))))))))</f>
        <v>CLAUDIO DE SOUZA PACINI</v>
      </c>
      <c r="E78" s="22">
        <f t="shared" si="5"/>
        <v>-1293.53102775</v>
      </c>
      <c r="F78" s="9" t="str">
        <f t="shared" si="6"/>
        <v>NYSE MARKET INC.</v>
      </c>
      <c r="G78" s="20">
        <f t="shared" si="8"/>
        <v>46204</v>
      </c>
      <c r="H78" s="23">
        <v>1170</v>
      </c>
      <c r="J78" s="45">
        <v>158778</v>
      </c>
      <c r="K78" s="45" t="s">
        <v>44</v>
      </c>
      <c r="L78" s="45" t="s">
        <v>12</v>
      </c>
      <c r="M78" s="45">
        <v>254.76749999999998</v>
      </c>
      <c r="N78" s="2"/>
      <c r="Q78" s="27"/>
      <c r="R78" s="27"/>
      <c r="S78" s="27"/>
      <c r="U78" s="27"/>
    </row>
    <row r="79" spans="1:78" customFormat="1" ht="15" customHeight="1" x14ac:dyDescent="0.25">
      <c r="A79" s="5" t="str">
        <f t="shared" si="7"/>
        <v>CUSTO MARKET DATA - JULHO/26-OPTIONS PRICE REPORTING AUTHORITY (OPRA)-158778</v>
      </c>
      <c r="B79" s="20">
        <v>46204</v>
      </c>
      <c r="C79" s="21">
        <v>817393</v>
      </c>
      <c r="D79" s="9" t="str">
        <f>IF(J79=57036,"ALEXANDRE DA COSTA SOARES",IF(J79=24157,"JOSE MAURICIO GOMES TEIXEIRA",IF(J79=24203,"JOSE MAURICIO GOMES TEIXEIRA",IF(J79=24149,"CHRISTIANO MARCONDES DE BARROS LIMA",IF(J79=24137,"CHRISTIANO MARCONDES DE BARROS LIMA",IF(J79=135152,"ENRICO BORTPLUZO CASSIANO",IF(J79=136568,"ENRICO BORTPLUZO CASSIANO", IF(J79=130976,"MARYLIA CARVALHO PONCE",IF(J79=136668,"ALEXANDRE DA COSTA SOARES",IF(J79=52340,"OFFSHORE LISTED",IF(J79=158778,"CLAUDIO DE SOUZA PACINI",IF(J79=159800,"CLAUDIO DE SOUZA PACINI",_xlfn.XLOOKUP(J79,[1]!Tabela33[ID ORACLE],[1]!Tabela33[BROKER],0,0,1)))))))))))))</f>
        <v>CLAUDIO DE SOUZA PACINI</v>
      </c>
      <c r="E79" s="22">
        <f t="shared" si="5"/>
        <v>-174.12917681250002</v>
      </c>
      <c r="F79" s="9" t="str">
        <f t="shared" si="6"/>
        <v>OPTIONS PRICE REPORTING AUTHORITY (OPRA)</v>
      </c>
      <c r="G79" s="20">
        <f t="shared" si="8"/>
        <v>46204</v>
      </c>
      <c r="H79" s="23">
        <v>1170</v>
      </c>
      <c r="J79" s="45">
        <v>158778</v>
      </c>
      <c r="K79" s="45" t="s">
        <v>45</v>
      </c>
      <c r="L79" s="45" t="s">
        <v>12</v>
      </c>
      <c r="M79" s="45">
        <v>34.295625000000001</v>
      </c>
      <c r="N79" s="2"/>
      <c r="O79" s="1"/>
      <c r="P79" s="26"/>
      <c r="Q79" s="27"/>
      <c r="R79" s="27"/>
      <c r="S79" s="27"/>
      <c r="T79" s="26"/>
      <c r="U79" s="27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</row>
    <row r="80" spans="1:78" customFormat="1" ht="15" customHeight="1" x14ac:dyDescent="0.25">
      <c r="A80" s="5" t="str">
        <f t="shared" si="7"/>
        <v>CUSTO MARKET DATA - JULHO/26-BLOOMBERG-159506</v>
      </c>
      <c r="B80" s="20">
        <v>46204</v>
      </c>
      <c r="C80" s="21">
        <v>817393</v>
      </c>
      <c r="D80" s="9" t="str">
        <f>IF(J80=57036,"ALEXANDRE DA COSTA SOARES",IF(J80=24157,"JOSE MAURICIO GOMES TEIXEIRA",IF(J80=24203,"JOSE MAURICIO GOMES TEIXEIRA",IF(J80=24149,"CHRISTIANO MARCONDES DE BARROS LIMA",IF(J80=24137,"CHRISTIANO MARCONDES DE BARROS LIMA",IF(J80=135152,"ENRICO BORTPLUZO CASSIANO",IF(J80=136568,"ENRICO BORTPLUZO CASSIANO", IF(J80=130976,"MARYLIA CARVALHO PONCE",IF(J80=136668,"ALEXANDRE DA COSTA SOARES",IF(J80=52340,"OFFSHORE LISTED",IF(J80=158778,"CLAUDIO DE SOUZA PACINI",IF(J80=159800,"CLAUDIO DE SOUZA PACINI",_xlfn.XLOOKUP(J80,[1]!Tabela33[ID ORACLE],[1]!Tabela33[BROKER],0,0,1)))))))))))))</f>
        <v>PAULO VINICIUS RIBEIRO SILVA</v>
      </c>
      <c r="E80" s="22">
        <f t="shared" si="5"/>
        <v>-50.773000000000003</v>
      </c>
      <c r="F80" s="9" t="str">
        <f t="shared" si="6"/>
        <v>BLOOMBERG</v>
      </c>
      <c r="G80" s="20">
        <f t="shared" si="8"/>
        <v>46204</v>
      </c>
      <c r="H80" s="23">
        <v>1170</v>
      </c>
      <c r="J80" s="45">
        <v>159506</v>
      </c>
      <c r="K80" s="45" t="s">
        <v>41</v>
      </c>
      <c r="L80" s="45" t="s">
        <v>12</v>
      </c>
      <c r="M80" s="45">
        <v>10</v>
      </c>
      <c r="N80" s="2"/>
      <c r="O80" s="1"/>
      <c r="P80" s="26"/>
      <c r="Q80" s="27"/>
      <c r="R80" s="27"/>
      <c r="S80" s="27"/>
      <c r="T80" s="26"/>
      <c r="U80" s="27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</row>
    <row r="81" spans="1:78" customFormat="1" ht="15" customHeight="1" x14ac:dyDescent="0.25">
      <c r="A81" s="5" t="str">
        <f t="shared" si="7"/>
        <v>CUSTO MARKET DATA - JULHO/26-BLOOMBERG-159800</v>
      </c>
      <c r="B81" s="20">
        <v>46204</v>
      </c>
      <c r="C81" s="21">
        <v>817393</v>
      </c>
      <c r="D81" s="9" t="str">
        <f>IF(J81=57036,"ALEXANDRE DA COSTA SOARES",IF(J81=24157,"JOSE MAURICIO GOMES TEIXEIRA",IF(J81=24203,"JOSE MAURICIO GOMES TEIXEIRA",IF(J81=24149,"CHRISTIANO MARCONDES DE BARROS LIMA",IF(J81=24137,"CHRISTIANO MARCONDES DE BARROS LIMA",IF(J81=135152,"ENRICO BORTPLUZO CASSIANO",IF(J81=136568,"ENRICO BORTPLUZO CASSIANO", IF(J81=130976,"MARYLIA CARVALHO PONCE",IF(J81=136668,"ALEXANDRE DA COSTA SOARES",IF(J81=52340,"OFFSHORE LISTED",IF(J81=158778,"CLAUDIO DE SOUZA PACINI",IF(J81=159800,"CLAUDIO DE SOUZA PACINI",_xlfn.XLOOKUP(J81,[1]!Tabela33[ID ORACLE],[1]!Tabela33[BROKER],0,0,1)))))))))))))</f>
        <v>CLAUDIO DE SOUZA PACINI</v>
      </c>
      <c r="E81" s="22">
        <f t="shared" si="5"/>
        <v>-13776.0439645118</v>
      </c>
      <c r="F81" s="9" t="str">
        <f t="shared" si="6"/>
        <v>BLOOMBERG</v>
      </c>
      <c r="G81" s="20">
        <f t="shared" si="8"/>
        <v>46204</v>
      </c>
      <c r="H81" s="23">
        <v>1170</v>
      </c>
      <c r="J81" s="45">
        <v>159800</v>
      </c>
      <c r="K81" s="45" t="s">
        <v>41</v>
      </c>
      <c r="L81" s="45" t="s">
        <v>12</v>
      </c>
      <c r="M81" s="45">
        <v>2713.2617660000001</v>
      </c>
      <c r="N81" s="2"/>
      <c r="O81" s="1"/>
      <c r="P81" s="26"/>
      <c r="Q81" s="27"/>
      <c r="R81" s="27"/>
      <c r="S81" s="27"/>
      <c r="T81" s="26"/>
      <c r="U81" s="27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</row>
    <row r="82" spans="1:78" customFormat="1" ht="15" customHeight="1" x14ac:dyDescent="0.25">
      <c r="A82" s="5" t="str">
        <f t="shared" si="7"/>
        <v>CUSTO MARKET DATA - JULHO/26-FIDESSA-159800</v>
      </c>
      <c r="B82" s="20">
        <v>46204</v>
      </c>
      <c r="C82" s="21">
        <v>817393</v>
      </c>
      <c r="D82" s="9" t="str">
        <f>IF(J82=57036,"ALEXANDRE DA COSTA SOARES",IF(J82=24157,"JOSE MAURICIO GOMES TEIXEIRA",IF(J82=24203,"JOSE MAURICIO GOMES TEIXEIRA",IF(J82=24149,"CHRISTIANO MARCONDES DE BARROS LIMA",IF(J82=24137,"CHRISTIANO MARCONDES DE BARROS LIMA",IF(J82=135152,"ENRICO BORTPLUZO CASSIANO",IF(J82=136568,"ENRICO BORTPLUZO CASSIANO", IF(J82=130976,"MARYLIA CARVALHO PONCE",IF(J82=136668,"ALEXANDRE DA COSTA SOARES",IF(J82=52340,"OFFSHORE LISTED",IF(J82=158778,"CLAUDIO DE SOUZA PACINI",IF(J82=159800,"CLAUDIO DE SOUZA PACINI",_xlfn.XLOOKUP(J82,[1]!Tabela33[ID ORACLE],[1]!Tabela33[BROKER],0,0,1)))))))))))))</f>
        <v>CLAUDIO DE SOUZA PACINI</v>
      </c>
      <c r="E82" s="22">
        <f t="shared" si="5"/>
        <v>-2710.9425346197004</v>
      </c>
      <c r="F82" s="9" t="str">
        <f t="shared" si="6"/>
        <v>FIDESSA</v>
      </c>
      <c r="G82" s="20">
        <f t="shared" si="8"/>
        <v>46204</v>
      </c>
      <c r="H82" s="23">
        <v>1170</v>
      </c>
      <c r="J82" s="45">
        <v>159800</v>
      </c>
      <c r="K82" s="45" t="s">
        <v>47</v>
      </c>
      <c r="L82" s="45" t="s">
        <v>12</v>
      </c>
      <c r="M82" s="45">
        <v>533.93388900000002</v>
      </c>
      <c r="N82" s="2"/>
      <c r="O82" s="1"/>
      <c r="P82" s="26"/>
      <c r="Q82" s="27"/>
      <c r="R82" s="27"/>
      <c r="S82" s="27"/>
      <c r="T82" s="26"/>
      <c r="U82" s="27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</row>
    <row r="83" spans="1:78" customFormat="1" ht="15" customHeight="1" x14ac:dyDescent="0.25">
      <c r="A83" s="5" t="str">
        <f t="shared" si="7"/>
        <v>CUSTO MARKET DATA - JULHO/26-NYSE MARKET INC.-159800</v>
      </c>
      <c r="B83" s="20">
        <v>46204</v>
      </c>
      <c r="C83" s="21">
        <v>817393</v>
      </c>
      <c r="D83" s="9" t="str">
        <f>IF(J83=57036,"ALEXANDRE DA COSTA SOARES",IF(J83=24157,"JOSE MAURICIO GOMES TEIXEIRA",IF(J83=24203,"JOSE MAURICIO GOMES TEIXEIRA",IF(J83=24149,"CHRISTIANO MARCONDES DE BARROS LIMA",IF(J83=24137,"CHRISTIANO MARCONDES DE BARROS LIMA",IF(J83=135152,"ENRICO BORTPLUZO CASSIANO",IF(J83=136568,"ENRICO BORTPLUZO CASSIANO", IF(J83=130976,"MARYLIA CARVALHO PONCE",IF(J83=136668,"ALEXANDRE DA COSTA SOARES",IF(J83=52340,"OFFSHORE LISTED",IF(J83=158778,"CLAUDIO DE SOUZA PACINI",IF(J83=159800,"CLAUDIO DE SOUZA PACINI",_xlfn.XLOOKUP(J83,[1]!Tabela33[ID ORACLE],[1]!Tabela33[BROKER],0,0,1)))))))))))))</f>
        <v>CLAUDIO DE SOUZA PACINI</v>
      </c>
      <c r="E83" s="22">
        <f t="shared" si="5"/>
        <v>-1271.0122629494999</v>
      </c>
      <c r="F83" s="9" t="str">
        <f t="shared" si="6"/>
        <v>NYSE MARKET INC.</v>
      </c>
      <c r="G83" s="20">
        <f t="shared" si="8"/>
        <v>46204</v>
      </c>
      <c r="H83" s="23">
        <v>1170</v>
      </c>
      <c r="J83" s="45">
        <v>159800</v>
      </c>
      <c r="K83" s="45" t="s">
        <v>44</v>
      </c>
      <c r="L83" s="45" t="s">
        <v>12</v>
      </c>
      <c r="M83" s="45">
        <v>250.33231499999997</v>
      </c>
      <c r="N83" s="2"/>
      <c r="O83" s="1"/>
      <c r="P83" s="26"/>
      <c r="Q83" s="27"/>
      <c r="R83" s="27"/>
      <c r="S83" s="27"/>
      <c r="T83" s="26"/>
      <c r="U83" s="27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</row>
    <row r="84" spans="1:78" customFormat="1" ht="15" customHeight="1" x14ac:dyDescent="0.25">
      <c r="A84" s="5" t="str">
        <f t="shared" si="7"/>
        <v>CUSTO MARKET DATA - JULHO/26-OPTIONS PRICE REPORTING AUTHORITY (OPRA)-159800</v>
      </c>
      <c r="B84" s="20">
        <v>46204</v>
      </c>
      <c r="C84" s="21">
        <v>817393</v>
      </c>
      <c r="D84" s="9" t="str">
        <f>IF(J84=57036,"ALEXANDRE DA COSTA SOARES",IF(J84=24157,"JOSE MAURICIO GOMES TEIXEIRA",IF(J84=24203,"JOSE MAURICIO GOMES TEIXEIRA",IF(J84=24149,"CHRISTIANO MARCONDES DE BARROS LIMA",IF(J84=24137,"CHRISTIANO MARCONDES DE BARROS LIMA",IF(J84=135152,"ENRICO BORTPLUZO CASSIANO",IF(J84=136568,"ENRICO BORTPLUZO CASSIANO", IF(J84=130976,"MARYLIA CARVALHO PONCE",IF(J84=136668,"ALEXANDRE DA COSTA SOARES",IF(J84=52340,"OFFSHORE LISTED",IF(J84=158778,"CLAUDIO DE SOUZA PACINI",IF(J84=159800,"CLAUDIO DE SOUZA PACINI",_xlfn.XLOOKUP(J84,[1]!Tabela33[ID ORACLE],[1]!Tabela33[BROKER],0,0,1)))))))))))))</f>
        <v>CLAUDIO DE SOUZA PACINI</v>
      </c>
      <c r="E84" s="22">
        <f t="shared" si="5"/>
        <v>-334.06412681250004</v>
      </c>
      <c r="F84" s="9" t="str">
        <f t="shared" si="6"/>
        <v>OPTIONS PRICE REPORTING AUTHORITY (OPRA)</v>
      </c>
      <c r="G84" s="20">
        <f t="shared" si="8"/>
        <v>46204</v>
      </c>
      <c r="H84" s="23">
        <v>1170</v>
      </c>
      <c r="J84" s="45">
        <v>159800</v>
      </c>
      <c r="K84" s="45" t="s">
        <v>45</v>
      </c>
      <c r="L84" s="45" t="s">
        <v>12</v>
      </c>
      <c r="M84" s="45">
        <v>65.795625000000001</v>
      </c>
      <c r="N84" s="2"/>
      <c r="O84" s="1"/>
      <c r="P84" s="26"/>
      <c r="Q84" s="27"/>
      <c r="R84" s="27"/>
      <c r="S84" s="27"/>
      <c r="T84" s="26"/>
      <c r="U84" s="27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</row>
    <row r="85" spans="1:78" customFormat="1" ht="15" customHeight="1" x14ac:dyDescent="0.25">
      <c r="A85" s="5" t="str">
        <f t="shared" si="7"/>
        <v>CUSTO MARKET DATA - JULHO/26-TORONTO STOCK EXCHANGE-159800</v>
      </c>
      <c r="B85" s="20">
        <v>46204</v>
      </c>
      <c r="C85" s="21">
        <v>817393</v>
      </c>
      <c r="D85" s="9" t="str">
        <f>IF(J85=57036,"ALEXANDRE DA COSTA SOARES",IF(J85=24157,"JOSE MAURICIO GOMES TEIXEIRA",IF(J85=24203,"JOSE MAURICIO GOMES TEIXEIRA",IF(J85=24149,"CHRISTIANO MARCONDES DE BARROS LIMA",IF(J85=24137,"CHRISTIANO MARCONDES DE BARROS LIMA",IF(J85=135152,"ENRICO BORTPLUZO CASSIANO",IF(J85=136568,"ENRICO BORTPLUZO CASSIANO", IF(J85=130976,"MARYLIA CARVALHO PONCE",IF(J85=136668,"ALEXANDRE DA COSTA SOARES",IF(J85=52340,"OFFSHORE LISTED",IF(J85=158778,"CLAUDIO DE SOUZA PACINI",IF(J85=159800,"CLAUDIO DE SOUZA PACINI",_xlfn.XLOOKUP(J85,[1]!Tabela33[ID ORACLE],[1]!Tabela33[BROKER],0,0,1)))))))))))))</f>
        <v>CLAUDIO DE SOUZA PACINI</v>
      </c>
      <c r="E85" s="22">
        <f t="shared" si="5"/>
        <v>334.59407000000004</v>
      </c>
      <c r="F85" s="9" t="str">
        <f t="shared" si="6"/>
        <v>TORONTO STOCK EXCHANGE</v>
      </c>
      <c r="G85" s="20">
        <f t="shared" si="8"/>
        <v>46204</v>
      </c>
      <c r="H85" s="23">
        <v>1170</v>
      </c>
      <c r="J85" s="45">
        <v>159800</v>
      </c>
      <c r="K85" s="45" t="s">
        <v>51</v>
      </c>
      <c r="L85" s="45" t="s">
        <v>12</v>
      </c>
      <c r="M85" s="45">
        <v>-65.900000000000006</v>
      </c>
      <c r="N85" s="2"/>
      <c r="O85" s="1"/>
      <c r="P85" s="26"/>
      <c r="Q85" s="27"/>
      <c r="R85" s="27"/>
      <c r="S85" s="27"/>
      <c r="T85" s="26"/>
      <c r="U85" s="27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</row>
    <row r="86" spans="1:78" customFormat="1" ht="15" customHeight="1" x14ac:dyDescent="0.25">
      <c r="A86" s="5" t="str">
        <f t="shared" si="7"/>
        <v>CUSTO MARKET DATA - JULHO/26-BLOOMBERG-22361</v>
      </c>
      <c r="B86" s="20">
        <v>46204</v>
      </c>
      <c r="C86" s="21">
        <v>817393</v>
      </c>
      <c r="D86" s="9" t="str">
        <f>IF(J86=57036,"ALEXANDRE DA COSTA SOARES",IF(J86=24157,"JOSE MAURICIO GOMES TEIXEIRA",IF(J86=24203,"JOSE MAURICIO GOMES TEIXEIRA",IF(J86=24149,"CHRISTIANO MARCONDES DE BARROS LIMA",IF(J86=24137,"CHRISTIANO MARCONDES DE BARROS LIMA",IF(J86=135152,"ENRICO BORTPLUZO CASSIANO",IF(J86=136568,"ENRICO BORTPLUZO CASSIANO", IF(J86=130976,"MARYLIA CARVALHO PONCE",IF(J86=136668,"ALEXANDRE DA COSTA SOARES",IF(J86=52340,"OFFSHORE LISTED",IF(J86=158778,"CLAUDIO DE SOUZA PACINI",IF(J86=159800,"CLAUDIO DE SOUZA PACINI",_xlfn.XLOOKUP(J86,[1]!Tabela33[ID ORACLE],[1]!Tabela33[BROKER],0,0,1)))))))))))))</f>
        <v>DANIEL TEIXEIRA SIQUEIRA GONÇALVES</v>
      </c>
      <c r="E86" s="22">
        <f t="shared" si="5"/>
        <v>-6093.1706774105005</v>
      </c>
      <c r="F86" s="9" t="str">
        <f t="shared" si="6"/>
        <v>BLOOMBERG</v>
      </c>
      <c r="G86" s="20">
        <f t="shared" si="8"/>
        <v>46204</v>
      </c>
      <c r="H86" s="23">
        <v>1170</v>
      </c>
      <c r="J86" s="45">
        <v>22361</v>
      </c>
      <c r="K86" s="45" t="s">
        <v>41</v>
      </c>
      <c r="L86" s="45" t="s">
        <v>12</v>
      </c>
      <c r="M86" s="45">
        <v>1200.0808850000001</v>
      </c>
      <c r="N86" s="2"/>
      <c r="O86" s="1"/>
      <c r="P86" s="26"/>
      <c r="Q86" s="27"/>
      <c r="R86" s="27"/>
      <c r="S86" s="27"/>
      <c r="T86" s="26"/>
      <c r="U86" s="27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</row>
    <row r="87" spans="1:78" customFormat="1" ht="15" customHeight="1" x14ac:dyDescent="0.25">
      <c r="A87" s="5" t="str">
        <f t="shared" si="7"/>
        <v>CUSTO MARKET DATA - JULHO/26-REFINITIV-22361</v>
      </c>
      <c r="B87" s="20">
        <v>46204</v>
      </c>
      <c r="C87" s="21">
        <v>817393</v>
      </c>
      <c r="D87" s="9" t="str">
        <f>IF(J87=57036,"ALEXANDRE DA COSTA SOARES",IF(J87=24157,"JOSE MAURICIO GOMES TEIXEIRA",IF(J87=24203,"JOSE MAURICIO GOMES TEIXEIRA",IF(J87=24149,"CHRISTIANO MARCONDES DE BARROS LIMA",IF(J87=24137,"CHRISTIANO MARCONDES DE BARROS LIMA",IF(J87=135152,"ENRICO BORTPLUZO CASSIANO",IF(J87=136568,"ENRICO BORTPLUZO CASSIANO", IF(J87=130976,"MARYLIA CARVALHO PONCE",IF(J87=136668,"ALEXANDRE DA COSTA SOARES",IF(J87=52340,"OFFSHORE LISTED",IF(J87=158778,"CLAUDIO DE SOUZA PACINI",IF(J87=159800,"CLAUDIO DE SOUZA PACINI",_xlfn.XLOOKUP(J87,[1]!Tabela33[ID ORACLE],[1]!Tabela33[BROKER],0,0,1)))))))))))))</f>
        <v>DANIEL TEIXEIRA SIQUEIRA GONÇALVES</v>
      </c>
      <c r="E87" s="22">
        <f t="shared" si="5"/>
        <v>-140.7067406388</v>
      </c>
      <c r="F87" s="9" t="str">
        <f t="shared" si="6"/>
        <v>REFINITIV</v>
      </c>
      <c r="G87" s="20">
        <f t="shared" si="8"/>
        <v>46204</v>
      </c>
      <c r="H87" s="23">
        <v>1170</v>
      </c>
      <c r="J87" s="45">
        <v>22361</v>
      </c>
      <c r="K87" s="45" t="s">
        <v>42</v>
      </c>
      <c r="L87" s="45" t="s">
        <v>17</v>
      </c>
      <c r="M87" s="45">
        <v>20.573868000000001</v>
      </c>
      <c r="N87" s="2"/>
      <c r="O87" s="1"/>
      <c r="P87" s="26"/>
      <c r="Q87" s="27"/>
      <c r="R87" s="27"/>
      <c r="S87" s="27"/>
      <c r="T87" s="26"/>
      <c r="U87" s="27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</row>
    <row r="88" spans="1:78" customFormat="1" ht="15" customHeight="1" x14ac:dyDescent="0.25">
      <c r="A88" s="5" t="str">
        <f t="shared" si="7"/>
        <v>CUSTO MARKET DATA - JULHO/26-BLOOMBERG-24137</v>
      </c>
      <c r="B88" s="20">
        <v>46204</v>
      </c>
      <c r="C88" s="21">
        <v>817393</v>
      </c>
      <c r="D88" s="9" t="str">
        <f>IF(J88=57036,"ALEXANDRE DA COSTA SOARES",IF(J88=24157,"JOSE MAURICIO GOMES TEIXEIRA",IF(J88=24203,"JOSE MAURICIO GOMES TEIXEIRA",IF(J88=24149,"CHRISTIANO MARCONDES DE BARROS LIMA",IF(J88=24137,"CHRISTIANO MARCONDES DE BARROS LIMA",IF(J88=135152,"ENRICO BORTPLUZO CASSIANO",IF(J88=136568,"ENRICO BORTPLUZO CASSIANO", IF(J88=130976,"MARYLIA CARVALHO PONCE",IF(J88=136668,"ALEXANDRE DA COSTA SOARES",IF(J88=52340,"OFFSHORE LISTED",IF(J88=158778,"CLAUDIO DE SOUZA PACINI",IF(J88=159800,"CLAUDIO DE SOUZA PACINI",_xlfn.XLOOKUP(J88,[1]!Tabela33[ID ORACLE],[1]!Tabela33[BROKER],0,0,1)))))))))))))</f>
        <v>CHRISTIANO MARCONDES DE BARROS LIMA</v>
      </c>
      <c r="E88" s="22">
        <f t="shared" si="5"/>
        <v>-12444.268174511802</v>
      </c>
      <c r="F88" s="9" t="str">
        <f t="shared" si="6"/>
        <v>BLOOMBERG</v>
      </c>
      <c r="G88" s="20">
        <f t="shared" si="8"/>
        <v>46204</v>
      </c>
      <c r="H88" s="23">
        <v>1170</v>
      </c>
      <c r="J88" s="45">
        <v>24137</v>
      </c>
      <c r="K88" s="45" t="s">
        <v>41</v>
      </c>
      <c r="L88" s="45" t="s">
        <v>12</v>
      </c>
      <c r="M88" s="45">
        <v>2450.9617660000004</v>
      </c>
      <c r="N88" s="2"/>
      <c r="O88" s="1"/>
      <c r="P88" s="26"/>
      <c r="Q88" s="27"/>
      <c r="R88" s="27"/>
      <c r="S88" s="27"/>
      <c r="T88" s="26"/>
      <c r="U88" s="27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</row>
    <row r="89" spans="1:78" ht="15" customHeight="1" x14ac:dyDescent="0.25">
      <c r="A89" s="5" t="str">
        <f t="shared" si="7"/>
        <v>CUSTO MARKET DATA - JULHO/26-BLOOMBERG-24140</v>
      </c>
      <c r="B89" s="20">
        <v>46204</v>
      </c>
      <c r="C89" s="21">
        <v>817393</v>
      </c>
      <c r="D89" s="9" t="str">
        <f>IF(J89=57036,"ALEXANDRE DA COSTA SOARES",IF(J89=24157,"JOSE MAURICIO GOMES TEIXEIRA",IF(J89=24203,"JOSE MAURICIO GOMES TEIXEIRA",IF(J89=24149,"CHRISTIANO MARCONDES DE BARROS LIMA",IF(J89=24137,"CHRISTIANO MARCONDES DE BARROS LIMA",IF(J89=135152,"ENRICO BORTPLUZO CASSIANO",IF(J89=136568,"ENRICO BORTPLUZO CASSIANO", IF(J89=130976,"MARYLIA CARVALHO PONCE",IF(J89=136668,"ALEXANDRE DA COSTA SOARES",IF(J89=52340,"OFFSHORE LISTED",IF(J89=158778,"CLAUDIO DE SOUZA PACINI",IF(J89=159800,"CLAUDIO DE SOUZA PACINI",_xlfn.XLOOKUP(J89,[1]!Tabela33[ID ORACLE],[1]!Tabela33[BROKER],0,0,1)))))))))))))</f>
        <v>FRANCISCO JOSE DIAS CARVALHO</v>
      </c>
      <c r="E89" s="22">
        <f t="shared" si="5"/>
        <v>-9592.9050030359995</v>
      </c>
      <c r="F89" s="9" t="str">
        <f t="shared" si="6"/>
        <v>BLOOMBERG</v>
      </c>
      <c r="G89" s="20">
        <f t="shared" si="8"/>
        <v>46204</v>
      </c>
      <c r="H89" s="23">
        <v>1170</v>
      </c>
      <c r="J89" s="45">
        <v>24140</v>
      </c>
      <c r="K89" s="45" t="s">
        <v>41</v>
      </c>
      <c r="L89" s="45" t="s">
        <v>12</v>
      </c>
      <c r="M89" s="45">
        <v>1889.37132</v>
      </c>
      <c r="Q89" s="27"/>
      <c r="R89" s="27"/>
      <c r="S89" s="27"/>
      <c r="U89" s="27"/>
    </row>
    <row r="90" spans="1:78" ht="15" customHeight="1" x14ac:dyDescent="0.25">
      <c r="A90" s="5" t="str">
        <f t="shared" si="7"/>
        <v>CUSTO MARKET DATA - JULHO/26-REFINITIV-24140</v>
      </c>
      <c r="B90" s="20">
        <v>46204</v>
      </c>
      <c r="C90" s="21">
        <v>817393</v>
      </c>
      <c r="D90" s="9" t="str">
        <f>IF(J90=57036,"ALEXANDRE DA COSTA SOARES",IF(J90=24157,"JOSE MAURICIO GOMES TEIXEIRA",IF(J90=24203,"JOSE MAURICIO GOMES TEIXEIRA",IF(J90=24149,"CHRISTIANO MARCONDES DE BARROS LIMA",IF(J90=24137,"CHRISTIANO MARCONDES DE BARROS LIMA",IF(J90=135152,"ENRICO BORTPLUZO CASSIANO",IF(J90=136568,"ENRICO BORTPLUZO CASSIANO", IF(J90=130976,"MARYLIA CARVALHO PONCE",IF(J90=136668,"ALEXANDRE DA COSTA SOARES",IF(J90=52340,"OFFSHORE LISTED",IF(J90=158778,"CLAUDIO DE SOUZA PACINI",IF(J90=159800,"CLAUDIO DE SOUZA PACINI",_xlfn.XLOOKUP(J90,[1]!Tabela33[ID ORACLE],[1]!Tabela33[BROKER],0,0,1)))))))))))))</f>
        <v>FRANCISCO JOSE DIAS CARVALHO</v>
      </c>
      <c r="E90" s="22">
        <f t="shared" si="5"/>
        <v>-140.7067406388</v>
      </c>
      <c r="F90" s="9" t="str">
        <f t="shared" si="6"/>
        <v>REFINITIV</v>
      </c>
      <c r="G90" s="20">
        <f t="shared" si="8"/>
        <v>46204</v>
      </c>
      <c r="H90" s="23">
        <v>1170</v>
      </c>
      <c r="J90" s="45">
        <v>24140</v>
      </c>
      <c r="K90" s="45" t="s">
        <v>42</v>
      </c>
      <c r="L90" s="45" t="s">
        <v>17</v>
      </c>
      <c r="M90" s="45">
        <v>20.573868000000001</v>
      </c>
      <c r="Q90" s="27"/>
      <c r="R90" s="27"/>
      <c r="S90" s="27"/>
      <c r="U90" s="27"/>
    </row>
    <row r="91" spans="1:78" ht="15" customHeight="1" x14ac:dyDescent="0.25">
      <c r="A91" s="5" t="str">
        <f t="shared" si="7"/>
        <v>CUSTO MARKET DATA - JULHO/26-BLOOMBERG-24141</v>
      </c>
      <c r="B91" s="20">
        <v>46204</v>
      </c>
      <c r="C91" s="21">
        <v>817393</v>
      </c>
      <c r="D91" s="9" t="str">
        <f>IF(J91=57036,"ALEXANDRE DA COSTA SOARES",IF(J91=24157,"JOSE MAURICIO GOMES TEIXEIRA",IF(J91=24203,"JOSE MAURICIO GOMES TEIXEIRA",IF(J91=24149,"CHRISTIANO MARCONDES DE BARROS LIMA",IF(J91=24137,"CHRISTIANO MARCONDES DE BARROS LIMA",IF(J91=135152,"ENRICO BORTPLUZO CASSIANO",IF(J91=136568,"ENRICO BORTPLUZO CASSIANO", IF(J91=130976,"MARYLIA CARVALHO PONCE",IF(J91=136668,"ALEXANDRE DA COSTA SOARES",IF(J91=52340,"OFFSHORE LISTED",IF(J91=158778,"CLAUDIO DE SOUZA PACINI",IF(J91=159800,"CLAUDIO DE SOUZA PACINI",_xlfn.XLOOKUP(J91,[1]!Tabela33[ID ORACLE],[1]!Tabela33[BROKER],0,0,1)))))))))))))</f>
        <v>ANTONIO AUGUSTO DAS CHAGAS CARVALHO</v>
      </c>
      <c r="E91" s="22">
        <f t="shared" si="5"/>
        <v>-12248.792124511801</v>
      </c>
      <c r="F91" s="9" t="str">
        <f t="shared" si="6"/>
        <v>BLOOMBERG</v>
      </c>
      <c r="G91" s="20">
        <f t="shared" si="8"/>
        <v>46204</v>
      </c>
      <c r="H91" s="23">
        <v>1170</v>
      </c>
      <c r="J91" s="45">
        <v>24141</v>
      </c>
      <c r="K91" s="45" t="s">
        <v>41</v>
      </c>
      <c r="L91" s="45" t="s">
        <v>12</v>
      </c>
      <c r="M91" s="45">
        <v>2412.4617660000004</v>
      </c>
      <c r="Q91" s="27"/>
      <c r="R91" s="27"/>
      <c r="S91" s="27"/>
      <c r="U91" s="27"/>
    </row>
    <row r="92" spans="1:78" ht="15" customHeight="1" x14ac:dyDescent="0.25">
      <c r="A92" s="5" t="str">
        <f t="shared" si="7"/>
        <v>CUSTO MARKET DATA - JULHO/26-REFINITIV-24141</v>
      </c>
      <c r="B92" s="20">
        <v>46204</v>
      </c>
      <c r="C92" s="21">
        <v>817393</v>
      </c>
      <c r="D92" s="9" t="str">
        <f>IF(J92=57036,"ALEXANDRE DA COSTA SOARES",IF(J92=24157,"JOSE MAURICIO GOMES TEIXEIRA",IF(J92=24203,"JOSE MAURICIO GOMES TEIXEIRA",IF(J92=24149,"CHRISTIANO MARCONDES DE BARROS LIMA",IF(J92=24137,"CHRISTIANO MARCONDES DE BARROS LIMA",IF(J92=135152,"ENRICO BORTPLUZO CASSIANO",IF(J92=136568,"ENRICO BORTPLUZO CASSIANO", IF(J92=130976,"MARYLIA CARVALHO PONCE",IF(J92=136668,"ALEXANDRE DA COSTA SOARES",IF(J92=52340,"OFFSHORE LISTED",IF(J92=158778,"CLAUDIO DE SOUZA PACINI",IF(J92=159800,"CLAUDIO DE SOUZA PACINI",_xlfn.XLOOKUP(J92,[1]!Tabela33[ID ORACLE],[1]!Tabela33[BROKER],0,0,1)))))))))))))</f>
        <v>ANTONIO AUGUSTO DAS CHAGAS CARVALHO</v>
      </c>
      <c r="E92" s="22">
        <f t="shared" si="5"/>
        <v>-140.7067406388</v>
      </c>
      <c r="F92" s="9" t="str">
        <f t="shared" si="6"/>
        <v>REFINITIV</v>
      </c>
      <c r="G92" s="20">
        <f t="shared" si="8"/>
        <v>46204</v>
      </c>
      <c r="H92" s="23">
        <v>1170</v>
      </c>
      <c r="J92" s="45">
        <v>24141</v>
      </c>
      <c r="K92" s="45" t="s">
        <v>42</v>
      </c>
      <c r="L92" s="45" t="s">
        <v>17</v>
      </c>
      <c r="M92" s="45">
        <v>20.573868000000001</v>
      </c>
      <c r="Q92" s="27"/>
      <c r="R92" s="27"/>
      <c r="S92" s="27"/>
      <c r="U92" s="27"/>
    </row>
    <row r="93" spans="1:78" customFormat="1" ht="15" customHeight="1" x14ac:dyDescent="0.25">
      <c r="A93" s="5" t="str">
        <f t="shared" si="7"/>
        <v>CUSTO MARKET DATA - JULHO/26-BLOOMBERG-24156</v>
      </c>
      <c r="B93" s="20">
        <v>46204</v>
      </c>
      <c r="C93" s="21">
        <v>817393</v>
      </c>
      <c r="D93" s="9" t="str">
        <f>IF(J93=57036,"ALEXANDRE DA COSTA SOARES",IF(J93=24157,"JOSE MAURICIO GOMES TEIXEIRA",IF(J93=24203,"JOSE MAURICIO GOMES TEIXEIRA",IF(J93=24149,"CHRISTIANO MARCONDES DE BARROS LIMA",IF(J93=24137,"CHRISTIANO MARCONDES DE BARROS LIMA",IF(J93=135152,"ENRICO BORTPLUZO CASSIANO",IF(J93=136568,"ENRICO BORTPLUZO CASSIANO", IF(J93=130976,"MARYLIA CARVALHO PONCE",IF(J93=136668,"ALEXANDRE DA COSTA SOARES",IF(J93=52340,"OFFSHORE LISTED",IF(J93=158778,"CLAUDIO DE SOUZA PACINI",IF(J93=159800,"CLAUDIO DE SOUZA PACINI",_xlfn.XLOOKUP(J93,[1]!Tabela33[ID ORACLE],[1]!Tabela33[BROKER],0,0,1)))))))))))))</f>
        <v>JOSE MAURICIO GOMES TEIXEIRA</v>
      </c>
      <c r="E93" s="22">
        <f t="shared" ref="E93:E156" si="9">-IF(L93="BRL",M93,IF(L93="GBP",M93*$R$1,IF(L93="CAD",M93*$T$1,M93*$P$1)))</f>
        <v>-12384.3560345118</v>
      </c>
      <c r="F93" s="9" t="str">
        <f t="shared" ref="F93:F156" si="10">IF(UPPER(K93)="Valor Analytics LLC","VALOR",UPPER(K93))</f>
        <v>BLOOMBERG</v>
      </c>
      <c r="G93" s="20">
        <f t="shared" si="8"/>
        <v>46204</v>
      </c>
      <c r="H93" s="23">
        <v>1170</v>
      </c>
      <c r="J93" s="45">
        <v>24156</v>
      </c>
      <c r="K93" s="45" t="s">
        <v>41</v>
      </c>
      <c r="L93" s="45" t="s">
        <v>12</v>
      </c>
      <c r="M93" s="45">
        <v>2439.1617660000002</v>
      </c>
      <c r="O93" s="1"/>
      <c r="P93" s="26"/>
      <c r="Q93" s="27"/>
      <c r="R93" s="27"/>
      <c r="S93" s="27"/>
      <c r="T93" s="26"/>
      <c r="U93" s="27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</row>
    <row r="94" spans="1:78" customFormat="1" ht="15" customHeight="1" x14ac:dyDescent="0.25">
      <c r="A94" s="5" t="str">
        <f t="shared" si="7"/>
        <v>CUSTO MARKET DATA - JULHO/26-REFINITIV-24156</v>
      </c>
      <c r="B94" s="20">
        <v>46204</v>
      </c>
      <c r="C94" s="21">
        <v>817393</v>
      </c>
      <c r="D94" s="9" t="str">
        <f>IF(J94=57036,"ALEXANDRE DA COSTA SOARES",IF(J94=24157,"JOSE MAURICIO GOMES TEIXEIRA",IF(J94=24203,"JOSE MAURICIO GOMES TEIXEIRA",IF(J94=24149,"CHRISTIANO MARCONDES DE BARROS LIMA",IF(J94=24137,"CHRISTIANO MARCONDES DE BARROS LIMA",IF(J94=135152,"ENRICO BORTPLUZO CASSIANO",IF(J94=136568,"ENRICO BORTPLUZO CASSIANO", IF(J94=130976,"MARYLIA CARVALHO PONCE",IF(J94=136668,"ALEXANDRE DA COSTA SOARES",IF(J94=52340,"OFFSHORE LISTED",IF(J94=158778,"CLAUDIO DE SOUZA PACINI",IF(J94=159800,"CLAUDIO DE SOUZA PACINI",_xlfn.XLOOKUP(J94,[1]!Tabela33[ID ORACLE],[1]!Tabela33[BROKER],0,0,1)))))))))))))</f>
        <v>JOSE MAURICIO GOMES TEIXEIRA</v>
      </c>
      <c r="E94" s="22">
        <f t="shared" si="9"/>
        <v>-140.7067406388</v>
      </c>
      <c r="F94" s="9" t="str">
        <f t="shared" si="10"/>
        <v>REFINITIV</v>
      </c>
      <c r="G94" s="20">
        <f t="shared" si="8"/>
        <v>46204</v>
      </c>
      <c r="H94" s="23">
        <v>1170</v>
      </c>
      <c r="J94" s="45">
        <v>24156</v>
      </c>
      <c r="K94" s="45" t="s">
        <v>42</v>
      </c>
      <c r="L94" s="45" t="s">
        <v>17</v>
      </c>
      <c r="M94" s="45">
        <v>20.573868000000001</v>
      </c>
      <c r="O94" s="1"/>
      <c r="P94" s="26"/>
      <c r="Q94" s="27"/>
      <c r="R94" s="27"/>
      <c r="S94" s="27"/>
      <c r="T94" s="26"/>
      <c r="U94" s="27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</row>
    <row r="95" spans="1:78" customFormat="1" ht="15" customHeight="1" x14ac:dyDescent="0.25">
      <c r="A95" s="5" t="str">
        <f t="shared" si="7"/>
        <v>CUSTO MARKET DATA - JULHO/26-BLOOMBERG-24157</v>
      </c>
      <c r="B95" s="20">
        <v>46204</v>
      </c>
      <c r="C95" s="21">
        <v>817393</v>
      </c>
      <c r="D95" s="9" t="str">
        <f>IF(J95=57036,"ALEXANDRE DA COSTA SOARES",IF(J95=24157,"JOSE MAURICIO GOMES TEIXEIRA",IF(J95=24203,"JOSE MAURICIO GOMES TEIXEIRA",IF(J95=24149,"CHRISTIANO MARCONDES DE BARROS LIMA",IF(J95=24137,"CHRISTIANO MARCONDES DE BARROS LIMA",IF(J95=135152,"ENRICO BORTPLUZO CASSIANO",IF(J95=136568,"ENRICO BORTPLUZO CASSIANO", IF(J95=130976,"MARYLIA CARVALHO PONCE",IF(J95=136668,"ALEXANDRE DA COSTA SOARES",IF(J95=52340,"OFFSHORE LISTED",IF(J95=158778,"CLAUDIO DE SOUZA PACINI",IF(J95=159800,"CLAUDIO DE SOUZA PACINI",_xlfn.XLOOKUP(J95,[1]!Tabela33[ID ORACLE],[1]!Tabela33[BROKER],0,0,1)))))))))))))</f>
        <v>JOSE MAURICIO GOMES TEIXEIRA</v>
      </c>
      <c r="E95" s="22">
        <f t="shared" si="9"/>
        <v>-12248.792124511801</v>
      </c>
      <c r="F95" s="9" t="str">
        <f t="shared" si="10"/>
        <v>BLOOMBERG</v>
      </c>
      <c r="G95" s="20">
        <f t="shared" si="8"/>
        <v>46204</v>
      </c>
      <c r="H95" s="23">
        <v>1170</v>
      </c>
      <c r="J95" s="45">
        <v>24157</v>
      </c>
      <c r="K95" s="45" t="s">
        <v>41</v>
      </c>
      <c r="L95" s="45" t="s">
        <v>12</v>
      </c>
      <c r="M95" s="45">
        <v>2412.4617660000004</v>
      </c>
      <c r="O95" s="1"/>
      <c r="P95" s="26"/>
      <c r="Q95" s="27"/>
      <c r="R95" s="27"/>
      <c r="S95" s="27"/>
      <c r="T95" s="26"/>
      <c r="U95" s="27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</row>
    <row r="96" spans="1:78" customFormat="1" ht="15" customHeight="1" x14ac:dyDescent="0.25">
      <c r="A96" s="5" t="str">
        <f t="shared" si="7"/>
        <v>CUSTO MARKET DATA - JULHO/26-REFINITIV-24157</v>
      </c>
      <c r="B96" s="20">
        <v>46204</v>
      </c>
      <c r="C96" s="21">
        <v>817393</v>
      </c>
      <c r="D96" s="9" t="str">
        <f>IF(J96=57036,"ALEXANDRE DA COSTA SOARES",IF(J96=24157,"JOSE MAURICIO GOMES TEIXEIRA",IF(J96=24203,"JOSE MAURICIO GOMES TEIXEIRA",IF(J96=24149,"CHRISTIANO MARCONDES DE BARROS LIMA",IF(J96=24137,"CHRISTIANO MARCONDES DE BARROS LIMA",IF(J96=135152,"ENRICO BORTPLUZO CASSIANO",IF(J96=136568,"ENRICO BORTPLUZO CASSIANO", IF(J96=130976,"MARYLIA CARVALHO PONCE",IF(J96=136668,"ALEXANDRE DA COSTA SOARES",IF(J96=52340,"OFFSHORE LISTED",IF(J96=158778,"CLAUDIO DE SOUZA PACINI",IF(J96=159800,"CLAUDIO DE SOUZA PACINI",_xlfn.XLOOKUP(J96,[1]!Tabela33[ID ORACLE],[1]!Tabela33[BROKER],0,0,1)))))))))))))</f>
        <v>JOSE MAURICIO GOMES TEIXEIRA</v>
      </c>
      <c r="E96" s="22">
        <f t="shared" si="9"/>
        <v>-759.89272927679997</v>
      </c>
      <c r="F96" s="9" t="str">
        <f t="shared" si="10"/>
        <v>REFINITIV</v>
      </c>
      <c r="G96" s="20">
        <f t="shared" si="8"/>
        <v>46204</v>
      </c>
      <c r="H96" s="23">
        <v>1170</v>
      </c>
      <c r="J96" s="45">
        <v>24157</v>
      </c>
      <c r="K96" s="45" t="s">
        <v>42</v>
      </c>
      <c r="L96" s="45" t="s">
        <v>17</v>
      </c>
      <c r="M96" s="45">
        <v>111.11004799999999</v>
      </c>
      <c r="O96" s="1"/>
      <c r="P96" s="26"/>
      <c r="Q96" s="27"/>
      <c r="R96" s="27"/>
      <c r="S96" s="27"/>
      <c r="T96" s="26"/>
      <c r="U96" s="27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</row>
    <row r="97" spans="1:78" customFormat="1" ht="15" customHeight="1" x14ac:dyDescent="0.25">
      <c r="A97" s="5" t="str">
        <f t="shared" si="7"/>
        <v>CUSTO MARKET DATA - JULHO/26-REFINITIV-24170</v>
      </c>
      <c r="B97" s="20">
        <v>46204</v>
      </c>
      <c r="C97" s="21">
        <v>817393</v>
      </c>
      <c r="D97" s="9" t="str">
        <f>IF(J97=57036,"ALEXANDRE DA COSTA SOARES",IF(J97=24157,"JOSE MAURICIO GOMES TEIXEIRA",IF(J97=24203,"JOSE MAURICIO GOMES TEIXEIRA",IF(J97=24149,"CHRISTIANO MARCONDES DE BARROS LIMA",IF(J97=24137,"CHRISTIANO MARCONDES DE BARROS LIMA",IF(J97=135152,"ENRICO BORTPLUZO CASSIANO",IF(J97=136568,"ENRICO BORTPLUZO CASSIANO", IF(J97=130976,"MARYLIA CARVALHO PONCE",IF(J97=136668,"ALEXANDRE DA COSTA SOARES",IF(J97=52340,"OFFSHORE LISTED",IF(J97=158778,"CLAUDIO DE SOUZA PACINI",IF(J97=159800,"CLAUDIO DE SOUZA PACINI",_xlfn.XLOOKUP(J97,[1]!Tabela33[ID ORACLE],[1]!Tabela33[BROKER],0,0,1)))))))))))))</f>
        <v>ANDREA LICASSIA ALMEIDA SANTOS</v>
      </c>
      <c r="E97" s="22">
        <f t="shared" si="9"/>
        <v>-140.7067406388</v>
      </c>
      <c r="F97" s="9" t="str">
        <f t="shared" si="10"/>
        <v>REFINITIV</v>
      </c>
      <c r="G97" s="20">
        <f t="shared" si="8"/>
        <v>46204</v>
      </c>
      <c r="H97" s="23">
        <v>1170</v>
      </c>
      <c r="J97" s="45">
        <v>24170</v>
      </c>
      <c r="K97" s="45" t="s">
        <v>42</v>
      </c>
      <c r="L97" s="45" t="s">
        <v>17</v>
      </c>
      <c r="M97" s="45">
        <v>20.573868000000001</v>
      </c>
      <c r="O97" s="1"/>
      <c r="P97" s="26"/>
      <c r="Q97" s="27"/>
      <c r="R97" s="27"/>
      <c r="S97" s="27"/>
      <c r="T97" s="26"/>
      <c r="U97" s="27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</row>
    <row r="98" spans="1:78" customFormat="1" ht="15" customHeight="1" x14ac:dyDescent="0.25">
      <c r="A98" s="5" t="str">
        <f t="shared" si="7"/>
        <v>CUSTO MARKET DATA - JULHO/26-BLOOMBERG-24182</v>
      </c>
      <c r="B98" s="20">
        <v>46204</v>
      </c>
      <c r="C98" s="21">
        <v>817393</v>
      </c>
      <c r="D98" s="9" t="str">
        <f>IF(J98=57036,"ALEXANDRE DA COSTA SOARES",IF(J98=24157,"JOSE MAURICIO GOMES TEIXEIRA",IF(J98=24203,"JOSE MAURICIO GOMES TEIXEIRA",IF(J98=24149,"CHRISTIANO MARCONDES DE BARROS LIMA",IF(J98=24137,"CHRISTIANO MARCONDES DE BARROS LIMA",IF(J98=135152,"ENRICO BORTPLUZO CASSIANO",IF(J98=136568,"ENRICO BORTPLUZO CASSIANO", IF(J98=130976,"MARYLIA CARVALHO PONCE",IF(J98=136668,"ALEXANDRE DA COSTA SOARES",IF(J98=52340,"OFFSHORE LISTED",IF(J98=158778,"CLAUDIO DE SOUZA PACINI",IF(J98=159800,"CLAUDIO DE SOUZA PACINI",_xlfn.XLOOKUP(J98,[1]!Tabela33[ID ORACLE],[1]!Tabela33[BROKER],0,0,1)))))))))))))</f>
        <v>ANTONIO AGIZ FILHO</v>
      </c>
      <c r="E98" s="22">
        <f t="shared" si="9"/>
        <v>-11310.507084511801</v>
      </c>
      <c r="F98" s="9" t="str">
        <f t="shared" si="10"/>
        <v>BLOOMBERG</v>
      </c>
      <c r="G98" s="20">
        <f t="shared" si="8"/>
        <v>46204</v>
      </c>
      <c r="H98" s="23">
        <v>1170</v>
      </c>
      <c r="J98" s="45">
        <v>24182</v>
      </c>
      <c r="K98" s="45" t="s">
        <v>41</v>
      </c>
      <c r="L98" s="45" t="s">
        <v>12</v>
      </c>
      <c r="M98" s="45">
        <v>2227.6617660000002</v>
      </c>
      <c r="O98" s="1"/>
      <c r="P98" s="26"/>
      <c r="Q98" s="27"/>
      <c r="R98" s="27"/>
      <c r="S98" s="27"/>
      <c r="T98" s="26"/>
      <c r="U98" s="27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</row>
    <row r="99" spans="1:78" customFormat="1" ht="15" customHeight="1" x14ac:dyDescent="0.25">
      <c r="A99" s="5" t="str">
        <f t="shared" si="7"/>
        <v>CUSTO MARKET DATA - JULHO/26-REFINITIV-24183</v>
      </c>
      <c r="B99" s="20">
        <v>46204</v>
      </c>
      <c r="C99" s="21">
        <v>817393</v>
      </c>
      <c r="D99" s="9" t="str">
        <f>IF(J99=57036,"ALEXANDRE DA COSTA SOARES",IF(J99=24157,"JOSE MAURICIO GOMES TEIXEIRA",IF(J99=24203,"JOSE MAURICIO GOMES TEIXEIRA",IF(J99=24149,"CHRISTIANO MARCONDES DE BARROS LIMA",IF(J99=24137,"CHRISTIANO MARCONDES DE BARROS LIMA",IF(J99=135152,"ENRICO BORTPLUZO CASSIANO",IF(J99=136568,"ENRICO BORTPLUZO CASSIANO", IF(J99=130976,"MARYLIA CARVALHO PONCE",IF(J99=136668,"ALEXANDRE DA COSTA SOARES",IF(J99=52340,"OFFSHORE LISTED",IF(J99=158778,"CLAUDIO DE SOUZA PACINI",IF(J99=159800,"CLAUDIO DE SOUZA PACINI",_xlfn.XLOOKUP(J99,[1]!Tabela33[ID ORACLE],[1]!Tabela33[BROKER],0,0,1)))))))))))))</f>
        <v>CARLA REGINA DE SOUZA CARREIRA</v>
      </c>
      <c r="E99" s="22">
        <f t="shared" si="9"/>
        <v>-140.7067406388</v>
      </c>
      <c r="F99" s="9" t="str">
        <f t="shared" si="10"/>
        <v>REFINITIV</v>
      </c>
      <c r="G99" s="20">
        <f t="shared" si="8"/>
        <v>46204</v>
      </c>
      <c r="H99" s="23">
        <v>1170</v>
      </c>
      <c r="J99" s="45">
        <v>24183</v>
      </c>
      <c r="K99" s="45" t="s">
        <v>42</v>
      </c>
      <c r="L99" s="45" t="s">
        <v>17</v>
      </c>
      <c r="M99" s="45">
        <v>20.573868000000001</v>
      </c>
      <c r="O99" s="1"/>
      <c r="P99" s="26"/>
      <c r="Q99" s="27"/>
      <c r="R99" s="27"/>
      <c r="S99" s="27"/>
      <c r="T99" s="26"/>
      <c r="U99" s="27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</row>
    <row r="100" spans="1:78" customFormat="1" ht="15" customHeight="1" x14ac:dyDescent="0.25">
      <c r="A100" s="5" t="str">
        <f t="shared" si="7"/>
        <v>CUSTO MARKET DATA - JULHO/26-BLOOMBERG-24184</v>
      </c>
      <c r="B100" s="20">
        <v>46204</v>
      </c>
      <c r="C100" s="21">
        <v>817393</v>
      </c>
      <c r="D100" s="9" t="str">
        <f>IF(J100=57036,"ALEXANDRE DA COSTA SOARES",IF(J100=24157,"JOSE MAURICIO GOMES TEIXEIRA",IF(J100=24203,"JOSE MAURICIO GOMES TEIXEIRA",IF(J100=24149,"CHRISTIANO MARCONDES DE BARROS LIMA",IF(J100=24137,"CHRISTIANO MARCONDES DE BARROS LIMA",IF(J100=135152,"ENRICO BORTPLUZO CASSIANO",IF(J100=136568,"ENRICO BORTPLUZO CASSIANO", IF(J100=130976,"MARYLIA CARVALHO PONCE",IF(J100=136668,"ALEXANDRE DA COSTA SOARES",IF(J100=52340,"OFFSHORE LISTED",IF(J100=158778,"CLAUDIO DE SOUZA PACINI",IF(J100=159800,"CLAUDIO DE SOUZA PACINI",_xlfn.XLOOKUP(J100,[1]!Tabela33[ID ORACLE],[1]!Tabela33[BROKER],0,0,1)))))))))))))</f>
        <v>CHRISTIANO MARCONDES DE BARROS LIMA</v>
      </c>
      <c r="E100" s="22">
        <f t="shared" si="9"/>
        <v>-12444.268174511802</v>
      </c>
      <c r="F100" s="9" t="str">
        <f t="shared" si="10"/>
        <v>BLOOMBERG</v>
      </c>
      <c r="G100" s="20">
        <f t="shared" si="8"/>
        <v>46204</v>
      </c>
      <c r="H100" s="23">
        <v>1170</v>
      </c>
      <c r="J100" s="45">
        <v>24184</v>
      </c>
      <c r="K100" s="45" t="s">
        <v>41</v>
      </c>
      <c r="L100" s="45" t="s">
        <v>12</v>
      </c>
      <c r="M100" s="45">
        <v>2450.9617660000004</v>
      </c>
      <c r="O100" s="1"/>
      <c r="P100" s="26"/>
      <c r="Q100" s="27"/>
      <c r="R100" s="27"/>
      <c r="S100" s="27"/>
      <c r="T100" s="26"/>
      <c r="U100" s="27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</row>
    <row r="101" spans="1:78" customFormat="1" ht="15" customHeight="1" x14ac:dyDescent="0.25">
      <c r="A101" s="5" t="str">
        <f t="shared" si="7"/>
        <v>CUSTO MARKET DATA - JULHO/26-REFINITIV-24184</v>
      </c>
      <c r="B101" s="20">
        <v>46204</v>
      </c>
      <c r="C101" s="21">
        <v>817393</v>
      </c>
      <c r="D101" s="9" t="str">
        <f>IF(J101=57036,"ALEXANDRE DA COSTA SOARES",IF(J101=24157,"JOSE MAURICIO GOMES TEIXEIRA",IF(J101=24203,"JOSE MAURICIO GOMES TEIXEIRA",IF(J101=24149,"CHRISTIANO MARCONDES DE BARROS LIMA",IF(J101=24137,"CHRISTIANO MARCONDES DE BARROS LIMA",IF(J101=135152,"ENRICO BORTPLUZO CASSIANO",IF(J101=136568,"ENRICO BORTPLUZO CASSIANO", IF(J101=130976,"MARYLIA CARVALHO PONCE",IF(J101=136668,"ALEXANDRE DA COSTA SOARES",IF(J101=52340,"OFFSHORE LISTED",IF(J101=158778,"CLAUDIO DE SOUZA PACINI",IF(J101=159800,"CLAUDIO DE SOUZA PACINI",_xlfn.XLOOKUP(J101,[1]!Tabela33[ID ORACLE],[1]!Tabela33[BROKER],0,0,1)))))))))))))</f>
        <v>CHRISTIANO MARCONDES DE BARROS LIMA</v>
      </c>
      <c r="E101" s="22">
        <f t="shared" si="9"/>
        <v>-140.7067406388</v>
      </c>
      <c r="F101" s="9" t="str">
        <f t="shared" si="10"/>
        <v>REFINITIV</v>
      </c>
      <c r="G101" s="20">
        <f t="shared" si="8"/>
        <v>46204</v>
      </c>
      <c r="H101" s="23">
        <v>1170</v>
      </c>
      <c r="J101" s="45">
        <v>24184</v>
      </c>
      <c r="K101" s="45" t="s">
        <v>42</v>
      </c>
      <c r="L101" s="45" t="s">
        <v>17</v>
      </c>
      <c r="M101" s="45">
        <v>20.573868000000001</v>
      </c>
      <c r="O101" s="1"/>
      <c r="P101" s="26"/>
      <c r="Q101" s="27"/>
      <c r="R101" s="27"/>
      <c r="S101" s="27"/>
      <c r="T101" s="26"/>
      <c r="U101" s="27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</row>
    <row r="102" spans="1:78" customFormat="1" ht="15" customHeight="1" x14ac:dyDescent="0.25">
      <c r="A102" s="5" t="str">
        <f t="shared" si="7"/>
        <v>CUSTO MARKET DATA - JULHO/26-REFINITIV-24189</v>
      </c>
      <c r="B102" s="20">
        <v>46204</v>
      </c>
      <c r="C102" s="21">
        <v>817393</v>
      </c>
      <c r="D102" s="9" t="str">
        <f>IF(J102=57036,"ALEXANDRE DA COSTA SOARES",IF(J102=24157,"JOSE MAURICIO GOMES TEIXEIRA",IF(J102=24203,"JOSE MAURICIO GOMES TEIXEIRA",IF(J102=24149,"CHRISTIANO MARCONDES DE BARROS LIMA",IF(J102=24137,"CHRISTIANO MARCONDES DE BARROS LIMA",IF(J102=135152,"ENRICO BORTPLUZO CASSIANO",IF(J102=136568,"ENRICO BORTPLUZO CASSIANO", IF(J102=130976,"MARYLIA CARVALHO PONCE",IF(J102=136668,"ALEXANDRE DA COSTA SOARES",IF(J102=52340,"OFFSHORE LISTED",IF(J102=158778,"CLAUDIO DE SOUZA PACINI",IF(J102=159800,"CLAUDIO DE SOUZA PACINI",_xlfn.XLOOKUP(J102,[1]!Tabela33[ID ORACLE],[1]!Tabela33[BROKER],0,0,1)))))))))))))</f>
        <v>VINICIUS AMARAL DE MOURA</v>
      </c>
      <c r="E102" s="22">
        <f t="shared" si="9"/>
        <v>-140.7067406388</v>
      </c>
      <c r="F102" s="9" t="str">
        <f t="shared" si="10"/>
        <v>REFINITIV</v>
      </c>
      <c r="G102" s="20">
        <f t="shared" si="8"/>
        <v>46204</v>
      </c>
      <c r="H102" s="23">
        <v>1170</v>
      </c>
      <c r="J102" s="45">
        <v>24189</v>
      </c>
      <c r="K102" s="45" t="s">
        <v>42</v>
      </c>
      <c r="L102" s="45" t="s">
        <v>17</v>
      </c>
      <c r="M102" s="45">
        <v>20.573868000000001</v>
      </c>
      <c r="O102" s="1"/>
      <c r="P102" s="26"/>
      <c r="Q102" s="27"/>
      <c r="R102" s="27"/>
      <c r="S102" s="27"/>
      <c r="T102" s="26"/>
      <c r="U102" s="27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</row>
    <row r="103" spans="1:78" customFormat="1" ht="15" customHeight="1" x14ac:dyDescent="0.25">
      <c r="A103" s="5" t="str">
        <f t="shared" si="7"/>
        <v>CUSTO MARKET DATA - JULHO/26-REFINITIV-24199</v>
      </c>
      <c r="B103" s="20">
        <v>46204</v>
      </c>
      <c r="C103" s="21">
        <v>817393</v>
      </c>
      <c r="D103" s="9" t="str">
        <f>IF(J103=57036,"ALEXANDRE DA COSTA SOARES",IF(J103=24157,"JOSE MAURICIO GOMES TEIXEIRA",IF(J103=24203,"JOSE MAURICIO GOMES TEIXEIRA",IF(J103=24149,"CHRISTIANO MARCONDES DE BARROS LIMA",IF(J103=24137,"CHRISTIANO MARCONDES DE BARROS LIMA",IF(J103=135152,"ENRICO BORTPLUZO CASSIANO",IF(J103=136568,"ENRICO BORTPLUZO CASSIANO", IF(J103=130976,"MARYLIA CARVALHO PONCE",IF(J103=136668,"ALEXANDRE DA COSTA SOARES",IF(J103=52340,"OFFSHORE LISTED",IF(J103=158778,"CLAUDIO DE SOUZA PACINI",IF(J103=159800,"CLAUDIO DE SOUZA PACINI",_xlfn.XLOOKUP(J103,[1]!Tabela33[ID ORACLE],[1]!Tabela33[BROKER],0,0,1)))))))))))))</f>
        <v>RICARDO FERREIRA DA COSTA</v>
      </c>
      <c r="E103" s="22">
        <f t="shared" si="9"/>
        <v>-140.7067406388</v>
      </c>
      <c r="F103" s="9" t="str">
        <f t="shared" si="10"/>
        <v>REFINITIV</v>
      </c>
      <c r="G103" s="20">
        <f t="shared" si="8"/>
        <v>46204</v>
      </c>
      <c r="H103" s="23">
        <v>1170</v>
      </c>
      <c r="J103" s="45">
        <v>24199</v>
      </c>
      <c r="K103" s="45" t="s">
        <v>42</v>
      </c>
      <c r="L103" s="45" t="s">
        <v>17</v>
      </c>
      <c r="M103" s="45">
        <v>20.573868000000001</v>
      </c>
      <c r="O103" s="1"/>
      <c r="P103" s="26"/>
      <c r="Q103" s="27"/>
      <c r="R103" s="27"/>
      <c r="S103" s="27"/>
      <c r="T103" s="26"/>
      <c r="U103" s="27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</row>
    <row r="104" spans="1:78" customFormat="1" ht="15" customHeight="1" x14ac:dyDescent="0.25">
      <c r="A104" s="5" t="str">
        <f t="shared" si="7"/>
        <v>CUSTO MARKET DATA - JULHO/26-BLOOMBERG-24203</v>
      </c>
      <c r="B104" s="20">
        <v>46204</v>
      </c>
      <c r="C104" s="21">
        <v>817393</v>
      </c>
      <c r="D104" s="9" t="str">
        <f>IF(J104=57036,"ALEXANDRE DA COSTA SOARES",IF(J104=24157,"JOSE MAURICIO GOMES TEIXEIRA",IF(J104=24203,"JOSE MAURICIO GOMES TEIXEIRA",IF(J104=24149,"CHRISTIANO MARCONDES DE BARROS LIMA",IF(J104=24137,"CHRISTIANO MARCONDES DE BARROS LIMA",IF(J104=135152,"ENRICO BORTPLUZO CASSIANO",IF(J104=136568,"ENRICO BORTPLUZO CASSIANO", IF(J104=130976,"MARYLIA CARVALHO PONCE",IF(J104=136668,"ALEXANDRE DA COSTA SOARES",IF(J104=52340,"OFFSHORE LISTED",IF(J104=158778,"CLAUDIO DE SOUZA PACINI",IF(J104=159800,"CLAUDIO DE SOUZA PACINI",_xlfn.XLOOKUP(J104,[1]!Tabela33[ID ORACLE],[1]!Tabela33[BROKER],0,0,1)))))))))))))</f>
        <v>JOSE MAURICIO GOMES TEIXEIRA</v>
      </c>
      <c r="E104" s="22">
        <f t="shared" si="9"/>
        <v>-12248.792124511801</v>
      </c>
      <c r="F104" s="9" t="str">
        <f t="shared" si="10"/>
        <v>BLOOMBERG</v>
      </c>
      <c r="G104" s="20">
        <f t="shared" si="8"/>
        <v>46204</v>
      </c>
      <c r="H104" s="23">
        <v>1170</v>
      </c>
      <c r="J104" s="45">
        <v>24203</v>
      </c>
      <c r="K104" s="45" t="s">
        <v>41</v>
      </c>
      <c r="L104" s="45" t="s">
        <v>12</v>
      </c>
      <c r="M104" s="45">
        <v>2412.4617660000004</v>
      </c>
      <c r="O104" s="1"/>
      <c r="P104" s="26"/>
      <c r="Q104" s="27"/>
      <c r="R104" s="27"/>
      <c r="S104" s="27"/>
      <c r="T104" s="26"/>
      <c r="U104" s="27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</row>
    <row r="105" spans="1:78" customFormat="1" ht="15" customHeight="1" x14ac:dyDescent="0.25">
      <c r="A105" s="5" t="str">
        <f t="shared" si="7"/>
        <v>CUSTO MARKET DATA - JULHO/26-REFINITIV-24237</v>
      </c>
      <c r="B105" s="20">
        <v>46204</v>
      </c>
      <c r="C105" s="21">
        <v>817393</v>
      </c>
      <c r="D105" s="9" t="str">
        <f>IF(J105=57036,"ALEXANDRE DA COSTA SOARES",IF(J105=24157,"JOSE MAURICIO GOMES TEIXEIRA",IF(J105=24203,"JOSE MAURICIO GOMES TEIXEIRA",IF(J105=24149,"CHRISTIANO MARCONDES DE BARROS LIMA",IF(J105=24137,"CHRISTIANO MARCONDES DE BARROS LIMA",IF(J105=135152,"ENRICO BORTPLUZO CASSIANO",IF(J105=136568,"ENRICO BORTPLUZO CASSIANO", IF(J105=130976,"MARYLIA CARVALHO PONCE",IF(J105=136668,"ALEXANDRE DA COSTA SOARES",IF(J105=52340,"OFFSHORE LISTED",IF(J105=158778,"CLAUDIO DE SOUZA PACINI",IF(J105=159800,"CLAUDIO DE SOUZA PACINI",_xlfn.XLOOKUP(J105,[1]!Tabela33[ID ORACLE],[1]!Tabela33[BROKER],0,0,1)))))))))))))</f>
        <v>EDUARDO TADEU CARAPIA UTTEMBERG</v>
      </c>
      <c r="E105" s="22">
        <f t="shared" si="9"/>
        <v>-140.7067406388</v>
      </c>
      <c r="F105" s="9" t="str">
        <f t="shared" si="10"/>
        <v>REFINITIV</v>
      </c>
      <c r="G105" s="20">
        <f t="shared" si="8"/>
        <v>46204</v>
      </c>
      <c r="H105" s="23">
        <v>1170</v>
      </c>
      <c r="J105" s="45">
        <v>24237</v>
      </c>
      <c r="K105" s="45" t="s">
        <v>42</v>
      </c>
      <c r="L105" s="45" t="s">
        <v>17</v>
      </c>
      <c r="M105" s="45">
        <v>20.573868000000001</v>
      </c>
      <c r="O105" s="1"/>
      <c r="P105" s="26"/>
      <c r="Q105" s="27"/>
      <c r="R105" s="27"/>
      <c r="S105" s="28"/>
      <c r="T105" s="26"/>
      <c r="U105" s="28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</row>
    <row r="106" spans="1:78" customFormat="1" ht="15" customHeight="1" x14ac:dyDescent="0.25">
      <c r="A106" s="5" t="str">
        <f t="shared" si="7"/>
        <v>CUSTO MARKET DATA - JULHO/26-BLOOMBERG-24243</v>
      </c>
      <c r="B106" s="20">
        <v>46204</v>
      </c>
      <c r="C106" s="21">
        <v>817393</v>
      </c>
      <c r="D106" s="9" t="str">
        <f>IF(J106=57036,"ALEXANDRE DA COSTA SOARES",IF(J106=24157,"JOSE MAURICIO GOMES TEIXEIRA",IF(J106=24203,"JOSE MAURICIO GOMES TEIXEIRA",IF(J106=24149,"CHRISTIANO MARCONDES DE BARROS LIMA",IF(J106=24137,"CHRISTIANO MARCONDES DE BARROS LIMA",IF(J106=135152,"ENRICO BORTPLUZO CASSIANO",IF(J106=136568,"ENRICO BORTPLUZO CASSIANO", IF(J106=130976,"MARYLIA CARVALHO PONCE",IF(J106=136668,"ALEXANDRE DA COSTA SOARES",IF(J106=52340,"OFFSHORE LISTED",IF(J106=158778,"CLAUDIO DE SOUZA PACINI",IF(J106=159800,"CLAUDIO DE SOUZA PACINI",_xlfn.XLOOKUP(J106,[1]!Tabela33[ID ORACLE],[1]!Tabela33[BROKER],0,0,1)))))))))))))</f>
        <v>JOSÉ VERGARA</v>
      </c>
      <c r="E106" s="22">
        <f t="shared" si="9"/>
        <v>-11450.132834511802</v>
      </c>
      <c r="F106" s="9" t="str">
        <f t="shared" si="10"/>
        <v>BLOOMBERG</v>
      </c>
      <c r="G106" s="20">
        <f t="shared" si="8"/>
        <v>46204</v>
      </c>
      <c r="H106" s="23">
        <v>1170</v>
      </c>
      <c r="J106" s="45">
        <v>24243</v>
      </c>
      <c r="K106" s="45" t="s">
        <v>41</v>
      </c>
      <c r="L106" s="45" t="s">
        <v>12</v>
      </c>
      <c r="M106" s="45">
        <v>2255.1617660000002</v>
      </c>
      <c r="O106" s="1"/>
      <c r="P106" s="26"/>
      <c r="Q106" s="27"/>
      <c r="R106" s="27"/>
      <c r="S106" s="28"/>
      <c r="T106" s="26"/>
      <c r="U106" s="28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</row>
    <row r="107" spans="1:78" customFormat="1" ht="15" customHeight="1" x14ac:dyDescent="0.25">
      <c r="A107" s="5" t="str">
        <f t="shared" si="7"/>
        <v>CUSTO MARKET DATA - JULHO/26-BLOOMBERG-36538</v>
      </c>
      <c r="B107" s="20">
        <v>46204</v>
      </c>
      <c r="C107" s="21">
        <v>817393</v>
      </c>
      <c r="D107" s="9" t="str">
        <f>IF(J107=57036,"ALEXANDRE DA COSTA SOARES",IF(J107=24157,"JOSE MAURICIO GOMES TEIXEIRA",IF(J107=24203,"JOSE MAURICIO GOMES TEIXEIRA",IF(J107=24149,"CHRISTIANO MARCONDES DE BARROS LIMA",IF(J107=24137,"CHRISTIANO MARCONDES DE BARROS LIMA",IF(J107=135152,"ENRICO BORTPLUZO CASSIANO",IF(J107=136568,"ENRICO BORTPLUZO CASSIANO", IF(J107=130976,"MARYLIA CARVALHO PONCE",IF(J107=136668,"ALEXANDRE DA COSTA SOARES",IF(J107=52340,"OFFSHORE LISTED",IF(J107=158778,"CLAUDIO DE SOUZA PACINI",IF(J107=159800,"CLAUDIO DE SOUZA PACINI",_xlfn.XLOOKUP(J107,[1]!Tabela33[ID ORACLE],[1]!Tabela33[BROKER],0,0,1)))))))))))))</f>
        <v>CLYBAS PINTO FERRAZ NETO</v>
      </c>
      <c r="E107" s="22">
        <f t="shared" si="9"/>
        <v>-11450.132834511802</v>
      </c>
      <c r="F107" s="9" t="str">
        <f t="shared" si="10"/>
        <v>BLOOMBERG</v>
      </c>
      <c r="G107" s="20">
        <f t="shared" si="8"/>
        <v>46204</v>
      </c>
      <c r="H107" s="23">
        <v>1170</v>
      </c>
      <c r="J107" s="45">
        <v>36538</v>
      </c>
      <c r="K107" s="45" t="s">
        <v>41</v>
      </c>
      <c r="L107" s="45" t="s">
        <v>12</v>
      </c>
      <c r="M107" s="45">
        <v>2255.1617660000002</v>
      </c>
      <c r="O107" s="1"/>
      <c r="P107" s="26"/>
      <c r="Q107" s="27"/>
      <c r="R107" s="27"/>
      <c r="S107" s="28"/>
      <c r="T107" s="26"/>
      <c r="U107" s="28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</row>
    <row r="108" spans="1:78" customFormat="1" ht="15" customHeight="1" x14ac:dyDescent="0.25">
      <c r="A108" s="5" t="str">
        <f t="shared" si="7"/>
        <v>CUSTO MARKET DATA - JULHO/26-REFINITIV-36538</v>
      </c>
      <c r="B108" s="20">
        <v>46204</v>
      </c>
      <c r="C108" s="21">
        <v>817393</v>
      </c>
      <c r="D108" s="9" t="str">
        <f>IF(J108=57036,"ALEXANDRE DA COSTA SOARES",IF(J108=24157,"JOSE MAURICIO GOMES TEIXEIRA",IF(J108=24203,"JOSE MAURICIO GOMES TEIXEIRA",IF(J108=24149,"CHRISTIANO MARCONDES DE BARROS LIMA",IF(J108=24137,"CHRISTIANO MARCONDES DE BARROS LIMA",IF(J108=135152,"ENRICO BORTPLUZO CASSIANO",IF(J108=136568,"ENRICO BORTPLUZO CASSIANO", IF(J108=130976,"MARYLIA CARVALHO PONCE",IF(J108=136668,"ALEXANDRE DA COSTA SOARES",IF(J108=52340,"OFFSHORE LISTED",IF(J108=158778,"CLAUDIO DE SOUZA PACINI",IF(J108=159800,"CLAUDIO DE SOUZA PACINI",_xlfn.XLOOKUP(J108,[1]!Tabela33[ID ORACLE],[1]!Tabela33[BROKER],0,0,1)))))))))))))</f>
        <v>CLYBAS PINTO FERRAZ NETO</v>
      </c>
      <c r="E108" s="22">
        <f t="shared" si="9"/>
        <v>-140.7067406388</v>
      </c>
      <c r="F108" s="9" t="str">
        <f t="shared" si="10"/>
        <v>REFINITIV</v>
      </c>
      <c r="G108" s="20">
        <f t="shared" si="8"/>
        <v>46204</v>
      </c>
      <c r="H108" s="23">
        <v>1170</v>
      </c>
      <c r="J108" s="45">
        <v>36538</v>
      </c>
      <c r="K108" s="45" t="s">
        <v>42</v>
      </c>
      <c r="L108" s="45" t="s">
        <v>17</v>
      </c>
      <c r="M108" s="45">
        <v>20.573868000000001</v>
      </c>
      <c r="O108" s="1"/>
      <c r="P108" s="26"/>
      <c r="Q108" s="27"/>
      <c r="R108" s="27"/>
      <c r="S108" s="28"/>
      <c r="T108" s="26"/>
      <c r="U108" s="28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</row>
    <row r="109" spans="1:78" customFormat="1" ht="15" customHeight="1" x14ac:dyDescent="0.25">
      <c r="A109" s="5" t="str">
        <f t="shared" si="7"/>
        <v>CUSTO MARKET DATA - JULHO/26-BLOOMBERG-52340</v>
      </c>
      <c r="B109" s="20">
        <v>46204</v>
      </c>
      <c r="C109" s="21">
        <v>817393</v>
      </c>
      <c r="D109" s="9" t="str">
        <f>IF(J109=57036,"ALEXANDRE DA COSTA SOARES",IF(J109=24157,"JOSE MAURICIO GOMES TEIXEIRA",IF(J109=24203,"JOSE MAURICIO GOMES TEIXEIRA",IF(J109=24149,"CHRISTIANO MARCONDES DE BARROS LIMA",IF(J109=24137,"CHRISTIANO MARCONDES DE BARROS LIMA",IF(J109=135152,"ENRICO BORTPLUZO CASSIANO",IF(J109=136568,"ENRICO BORTPLUZO CASSIANO", IF(J109=130976,"MARYLIA CARVALHO PONCE",IF(J109=136668,"ALEXANDRE DA COSTA SOARES",IF(J109=52340,"OFFSHORE LISTED",IF(J109=158778,"CLAUDIO DE SOUZA PACINI",IF(J109=159800,"CLAUDIO DE SOUZA PACINI",_xlfn.XLOOKUP(J109,[1]!Tabela33[ID ORACLE],[1]!Tabela33[BROKER],0,0,1)))))))))))))</f>
        <v>OFFSHORE LISTED</v>
      </c>
      <c r="E109" s="22">
        <f t="shared" si="9"/>
        <v>-13488.161054511802</v>
      </c>
      <c r="F109" s="9" t="str">
        <f t="shared" si="10"/>
        <v>BLOOMBERG</v>
      </c>
      <c r="G109" s="20">
        <f t="shared" si="8"/>
        <v>46204</v>
      </c>
      <c r="H109" s="23">
        <v>1170</v>
      </c>
      <c r="J109" s="45">
        <v>52340</v>
      </c>
      <c r="K109" s="45" t="s">
        <v>41</v>
      </c>
      <c r="L109" s="45" t="s">
        <v>12</v>
      </c>
      <c r="M109" s="45">
        <v>2656.5617660000003</v>
      </c>
      <c r="O109" s="1"/>
      <c r="P109" s="26"/>
      <c r="Q109" s="27"/>
      <c r="R109" s="27"/>
      <c r="S109" s="28"/>
      <c r="T109" s="26"/>
      <c r="U109" s="28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</row>
    <row r="110" spans="1:78" customFormat="1" ht="15" customHeight="1" x14ac:dyDescent="0.25">
      <c r="A110" s="5" t="str">
        <f t="shared" si="7"/>
        <v>CUSTO MARKET DATA - JULHO/26-FIDESSA-52340</v>
      </c>
      <c r="B110" s="20">
        <v>46204</v>
      </c>
      <c r="C110" s="21">
        <v>817393</v>
      </c>
      <c r="D110" s="9" t="str">
        <f>IF(J110=57036,"ALEXANDRE DA COSTA SOARES",IF(J110=24157,"JOSE MAURICIO GOMES TEIXEIRA",IF(J110=24203,"JOSE MAURICIO GOMES TEIXEIRA",IF(J110=24149,"CHRISTIANO MARCONDES DE BARROS LIMA",IF(J110=24137,"CHRISTIANO MARCONDES DE BARROS LIMA",IF(J110=135152,"ENRICO BORTPLUZO CASSIANO",IF(J110=136568,"ENRICO BORTPLUZO CASSIANO", IF(J110=130976,"MARYLIA CARVALHO PONCE",IF(J110=136668,"ALEXANDRE DA COSTA SOARES",IF(J110=52340,"OFFSHORE LISTED",IF(J110=158778,"CLAUDIO DE SOUZA PACINI",IF(J110=159800,"CLAUDIO DE SOUZA PACINI",_xlfn.XLOOKUP(J110,[1]!Tabela33[ID ORACLE],[1]!Tabela33[BROKER],0,0,1)))))))))))))</f>
        <v>OFFSHORE LISTED</v>
      </c>
      <c r="E110" s="22">
        <f t="shared" si="9"/>
        <v>-1766.5543210773999</v>
      </c>
      <c r="F110" s="9" t="str">
        <f t="shared" si="10"/>
        <v>FIDESSA</v>
      </c>
      <c r="G110" s="20">
        <f t="shared" si="8"/>
        <v>46204</v>
      </c>
      <c r="H110" s="23">
        <v>1170</v>
      </c>
      <c r="J110" s="45">
        <v>52340</v>
      </c>
      <c r="K110" s="45" t="s">
        <v>47</v>
      </c>
      <c r="L110" s="45" t="s">
        <v>12</v>
      </c>
      <c r="M110" s="45">
        <v>347.93183799999997</v>
      </c>
      <c r="O110" s="1"/>
      <c r="P110" s="26"/>
      <c r="Q110" s="27"/>
      <c r="R110" s="27"/>
      <c r="S110" s="28"/>
      <c r="T110" s="26"/>
      <c r="U110" s="28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</row>
    <row r="111" spans="1:78" customFormat="1" ht="15" customHeight="1" x14ac:dyDescent="0.25">
      <c r="A111" s="5" t="str">
        <f t="shared" si="7"/>
        <v>CUSTO MARKET DATA - JULHO/26-NYSE MARKET INC.-52340</v>
      </c>
      <c r="B111" s="20">
        <v>46204</v>
      </c>
      <c r="C111" s="21">
        <v>817393</v>
      </c>
      <c r="D111" s="9" t="str">
        <f>IF(J111=57036,"ALEXANDRE DA COSTA SOARES",IF(J111=24157,"JOSE MAURICIO GOMES TEIXEIRA",IF(J111=24203,"JOSE MAURICIO GOMES TEIXEIRA",IF(J111=24149,"CHRISTIANO MARCONDES DE BARROS LIMA",IF(J111=24137,"CHRISTIANO MARCONDES DE BARROS LIMA",IF(J111=135152,"ENRICO BORTPLUZO CASSIANO",IF(J111=136568,"ENRICO BORTPLUZO CASSIANO", IF(J111=130976,"MARYLIA CARVALHO PONCE",IF(J111=136668,"ALEXANDRE DA COSTA SOARES",IF(J111=52340,"OFFSHORE LISTED",IF(J111=158778,"CLAUDIO DE SOUZA PACINI",IF(J111=159800,"CLAUDIO DE SOUZA PACINI",_xlfn.XLOOKUP(J111,[1]!Tabela33[ID ORACLE],[1]!Tabela33[BROKER],0,0,1)))))))))))))</f>
        <v>OFFSHORE LISTED</v>
      </c>
      <c r="E111" s="22">
        <f t="shared" si="9"/>
        <v>-1852.03402775</v>
      </c>
      <c r="F111" s="9" t="str">
        <f t="shared" si="10"/>
        <v>NYSE MARKET INC.</v>
      </c>
      <c r="G111" s="20">
        <f t="shared" si="8"/>
        <v>46204</v>
      </c>
      <c r="H111" s="23">
        <v>1170</v>
      </c>
      <c r="J111" s="45">
        <v>52340</v>
      </c>
      <c r="K111" s="45" t="s">
        <v>44</v>
      </c>
      <c r="L111" s="45" t="s">
        <v>12</v>
      </c>
      <c r="M111" s="45">
        <v>364.76749999999998</v>
      </c>
      <c r="O111" s="1"/>
      <c r="P111" s="26"/>
      <c r="Q111" s="27"/>
      <c r="R111" s="27"/>
      <c r="S111" s="42"/>
      <c r="T111" s="26"/>
      <c r="U111" s="42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</row>
    <row r="112" spans="1:78" customFormat="1" ht="15" customHeight="1" x14ac:dyDescent="0.25">
      <c r="A112" s="5" t="str">
        <f t="shared" si="7"/>
        <v>CUSTO MARKET DATA - JULHO/26-OPTIONS PRICE REPORTING AUTHORITY (OPRA)-52340</v>
      </c>
      <c r="B112" s="20">
        <v>46204</v>
      </c>
      <c r="C112" s="21">
        <v>817393</v>
      </c>
      <c r="D112" s="9" t="str">
        <f>IF(J112=57036,"ALEXANDRE DA COSTA SOARES",IF(J112=24157,"JOSE MAURICIO GOMES TEIXEIRA",IF(J112=24203,"JOSE MAURICIO GOMES TEIXEIRA",IF(J112=24149,"CHRISTIANO MARCONDES DE BARROS LIMA",IF(J112=24137,"CHRISTIANO MARCONDES DE BARROS LIMA",IF(J112=135152,"ENRICO BORTPLUZO CASSIANO",IF(J112=136568,"ENRICO BORTPLUZO CASSIANO", IF(J112=130976,"MARYLIA CARVALHO PONCE",IF(J112=136668,"ALEXANDRE DA COSTA SOARES",IF(J112=52340,"OFFSHORE LISTED",IF(J112=158778,"CLAUDIO DE SOUZA PACINI",IF(J112=159800,"CLAUDIO DE SOUZA PACINI",_xlfn.XLOOKUP(J112,[1]!Tabela33[ID ORACLE],[1]!Tabela33[BROKER],0,0,1)))))))))))))</f>
        <v>OFFSHORE LISTED</v>
      </c>
      <c r="E112" s="22">
        <f t="shared" si="9"/>
        <v>-159.93495000000001</v>
      </c>
      <c r="F112" s="9" t="str">
        <f t="shared" si="10"/>
        <v>OPTIONS PRICE REPORTING AUTHORITY (OPRA)</v>
      </c>
      <c r="G112" s="20">
        <f t="shared" si="8"/>
        <v>46204</v>
      </c>
      <c r="H112" s="23">
        <v>1170</v>
      </c>
      <c r="J112" s="45">
        <v>52340</v>
      </c>
      <c r="K112" s="45" t="s">
        <v>45</v>
      </c>
      <c r="L112" s="45" t="s">
        <v>12</v>
      </c>
      <c r="M112" s="45">
        <v>31.5</v>
      </c>
      <c r="O112" s="1"/>
      <c r="P112" s="26"/>
      <c r="Q112" s="27"/>
      <c r="R112" s="27"/>
      <c r="S112" s="42"/>
      <c r="T112" s="26"/>
      <c r="U112" s="42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</row>
    <row r="113" spans="1:78" customFormat="1" ht="15" customHeight="1" x14ac:dyDescent="0.25">
      <c r="A113" s="5" t="str">
        <f t="shared" si="7"/>
        <v>CUSTO MARKET DATA - JULHO/26-BLOOMBERG-56258</v>
      </c>
      <c r="B113" s="20">
        <v>46204</v>
      </c>
      <c r="C113" s="21">
        <v>817393</v>
      </c>
      <c r="D113" s="9" t="str">
        <f>IF(J113=57036,"ALEXANDRE DA COSTA SOARES",IF(J113=24157,"JOSE MAURICIO GOMES TEIXEIRA",IF(J113=24203,"JOSE MAURICIO GOMES TEIXEIRA",IF(J113=24149,"CHRISTIANO MARCONDES DE BARROS LIMA",IF(J113=24137,"CHRISTIANO MARCONDES DE BARROS LIMA",IF(J113=135152,"ENRICO BORTPLUZO CASSIANO",IF(J113=136568,"ENRICO BORTPLUZO CASSIANO", IF(J113=130976,"MARYLIA CARVALHO PONCE",IF(J113=136668,"ALEXANDRE DA COSTA SOARES",IF(J113=52340,"OFFSHORE LISTED",IF(J113=158778,"CLAUDIO DE SOUZA PACINI",IF(J113=159800,"CLAUDIO DE SOUZA PACINI",_xlfn.XLOOKUP(J113,[1]!Tabela33[ID ORACLE],[1]!Tabela33[BROKER],0,0,1)))))))))))))</f>
        <v>RAFFAELE SCURTI NETTO</v>
      </c>
      <c r="E113" s="22">
        <f t="shared" si="9"/>
        <v>-9592.9050030359995</v>
      </c>
      <c r="F113" s="9" t="str">
        <f t="shared" si="10"/>
        <v>BLOOMBERG</v>
      </c>
      <c r="G113" s="20">
        <f t="shared" si="8"/>
        <v>46204</v>
      </c>
      <c r="H113" s="23">
        <v>1170</v>
      </c>
      <c r="J113" s="45">
        <v>56258</v>
      </c>
      <c r="K113" s="45" t="s">
        <v>41</v>
      </c>
      <c r="L113" s="45" t="s">
        <v>12</v>
      </c>
      <c r="M113" s="45">
        <v>1889.37132</v>
      </c>
      <c r="O113" s="1"/>
      <c r="P113" s="26"/>
      <c r="Q113" s="27"/>
      <c r="R113" s="27"/>
      <c r="S113" s="42"/>
      <c r="T113" s="26"/>
      <c r="U113" s="42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</row>
    <row r="114" spans="1:78" ht="15" customHeight="1" x14ac:dyDescent="0.25">
      <c r="A114" s="5" t="str">
        <f t="shared" si="7"/>
        <v>CUSTO MARKET DATA - JULHO/26-REFINITIV-56258</v>
      </c>
      <c r="B114" s="20">
        <v>46204</v>
      </c>
      <c r="C114" s="21">
        <v>817393</v>
      </c>
      <c r="D114" s="9" t="str">
        <f>IF(J114=57036,"ALEXANDRE DA COSTA SOARES",IF(J114=24157,"JOSE MAURICIO GOMES TEIXEIRA",IF(J114=24203,"JOSE MAURICIO GOMES TEIXEIRA",IF(J114=24149,"CHRISTIANO MARCONDES DE BARROS LIMA",IF(J114=24137,"CHRISTIANO MARCONDES DE BARROS LIMA",IF(J114=135152,"ENRICO BORTPLUZO CASSIANO",IF(J114=136568,"ENRICO BORTPLUZO CASSIANO", IF(J114=130976,"MARYLIA CARVALHO PONCE",IF(J114=136668,"ALEXANDRE DA COSTA SOARES",IF(J114=52340,"OFFSHORE LISTED",IF(J114=158778,"CLAUDIO DE SOUZA PACINI",IF(J114=159800,"CLAUDIO DE SOUZA PACINI",_xlfn.XLOOKUP(J114,[1]!Tabela33[ID ORACLE],[1]!Tabela33[BROKER],0,0,1)))))))))))))</f>
        <v>RAFFAELE SCURTI NETTO</v>
      </c>
      <c r="E114" s="22">
        <f t="shared" si="9"/>
        <v>-140.7067406388</v>
      </c>
      <c r="F114" s="9" t="str">
        <f t="shared" si="10"/>
        <v>REFINITIV</v>
      </c>
      <c r="G114" s="20">
        <f t="shared" si="8"/>
        <v>46204</v>
      </c>
      <c r="H114" s="23">
        <v>1170</v>
      </c>
      <c r="J114" s="45">
        <v>56258</v>
      </c>
      <c r="K114" s="45" t="s">
        <v>42</v>
      </c>
      <c r="L114" s="45" t="s">
        <v>17</v>
      </c>
      <c r="M114" s="45">
        <v>20.573868000000001</v>
      </c>
      <c r="Q114" s="27"/>
      <c r="R114" s="27"/>
      <c r="S114" s="42"/>
      <c r="U114" s="42"/>
    </row>
    <row r="115" spans="1:78" ht="15" customHeight="1" x14ac:dyDescent="0.25">
      <c r="A115" s="5" t="str">
        <f t="shared" si="7"/>
        <v>CUSTO MARKET DATA - JULHO/26-BLOOMBERG-57036</v>
      </c>
      <c r="B115" s="20">
        <v>46204</v>
      </c>
      <c r="C115" s="21">
        <v>817393</v>
      </c>
      <c r="D115" s="9" t="str">
        <f>IF(J115=57036,"ALEXANDRE DA COSTA SOARES",IF(J115=24157,"JOSE MAURICIO GOMES TEIXEIRA",IF(J115=24203,"JOSE MAURICIO GOMES TEIXEIRA",IF(J115=24149,"CHRISTIANO MARCONDES DE BARROS LIMA",IF(J115=24137,"CHRISTIANO MARCONDES DE BARROS LIMA",IF(J115=135152,"ENRICO BORTPLUZO CASSIANO",IF(J115=136568,"ENRICO BORTPLUZO CASSIANO", IF(J115=130976,"MARYLIA CARVALHO PONCE",IF(J115=136668,"ALEXANDRE DA COSTA SOARES",IF(J115=52340,"OFFSHORE LISTED",IF(J115=158778,"CLAUDIO DE SOUZA PACINI",IF(J115=159800,"CLAUDIO DE SOUZA PACINI",_xlfn.XLOOKUP(J115,[1]!Tabela33[ID ORACLE],[1]!Tabela33[BROKER],0,0,1)))))))))))))</f>
        <v>ALEXANDRE DA COSTA SOARES</v>
      </c>
      <c r="E115" s="22">
        <f t="shared" si="9"/>
        <v>-13056.082824511799</v>
      </c>
      <c r="F115" s="9" t="str">
        <f t="shared" si="10"/>
        <v>BLOOMBERG</v>
      </c>
      <c r="G115" s="20">
        <f t="shared" si="8"/>
        <v>46204</v>
      </c>
      <c r="H115" s="23">
        <v>1170</v>
      </c>
      <c r="J115" s="45">
        <v>57036</v>
      </c>
      <c r="K115" s="45" t="s">
        <v>41</v>
      </c>
      <c r="L115" s="45" t="s">
        <v>12</v>
      </c>
      <c r="M115" s="45">
        <v>2571.4617659999999</v>
      </c>
      <c r="Q115" s="27"/>
      <c r="R115" s="27"/>
      <c r="S115" s="42"/>
      <c r="U115" s="42"/>
    </row>
    <row r="116" spans="1:78" ht="15" customHeight="1" x14ac:dyDescent="0.25">
      <c r="A116" s="5" t="str">
        <f t="shared" si="7"/>
        <v>CUSTO MARKET DATA - JULHO/26-FIDESSA-57036</v>
      </c>
      <c r="B116" s="20">
        <v>46204</v>
      </c>
      <c r="C116" s="21">
        <v>817393</v>
      </c>
      <c r="D116" s="9" t="str">
        <f>IF(J116=57036,"ALEXANDRE DA COSTA SOARES",IF(J116=24157,"JOSE MAURICIO GOMES TEIXEIRA",IF(J116=24203,"JOSE MAURICIO GOMES TEIXEIRA",IF(J116=24149,"CHRISTIANO MARCONDES DE BARROS LIMA",IF(J116=24137,"CHRISTIANO MARCONDES DE BARROS LIMA",IF(J116=135152,"ENRICO BORTPLUZO CASSIANO",IF(J116=136568,"ENRICO BORTPLUZO CASSIANO", IF(J116=130976,"MARYLIA CARVALHO PONCE",IF(J116=136668,"ALEXANDRE DA COSTA SOARES",IF(J116=52340,"OFFSHORE LISTED",IF(J116=158778,"CLAUDIO DE SOUZA PACINI",IF(J116=159800,"CLAUDIO DE SOUZA PACINI",_xlfn.XLOOKUP(J116,[1]!Tabela33[ID ORACLE],[1]!Tabela33[BROKER],0,0,1)))))))))))))</f>
        <v>ALEXANDRE DA COSTA SOARES</v>
      </c>
      <c r="E116" s="22">
        <f t="shared" si="9"/>
        <v>-2133.8092403333999</v>
      </c>
      <c r="F116" s="9" t="str">
        <f t="shared" si="10"/>
        <v>FIDESSA</v>
      </c>
      <c r="G116" s="20">
        <f t="shared" si="8"/>
        <v>46204</v>
      </c>
      <c r="H116" s="23">
        <v>1170</v>
      </c>
      <c r="J116" s="45">
        <v>57036</v>
      </c>
      <c r="K116" s="45" t="s">
        <v>47</v>
      </c>
      <c r="L116" s="45" t="s">
        <v>12</v>
      </c>
      <c r="M116" s="45">
        <v>420.26455799999997</v>
      </c>
      <c r="Q116" s="27"/>
      <c r="R116" s="27"/>
      <c r="S116" s="42"/>
      <c r="U116" s="42"/>
    </row>
    <row r="117" spans="1:78" ht="15" customHeight="1" x14ac:dyDescent="0.25">
      <c r="A117" s="5" t="str">
        <f t="shared" si="7"/>
        <v>CUSTO MARKET DATA - JULHO/26-NYSE MARKET INC.-57036</v>
      </c>
      <c r="B117" s="20">
        <v>46204</v>
      </c>
      <c r="C117" s="21">
        <v>817393</v>
      </c>
      <c r="D117" s="9" t="str">
        <f>IF(J117=57036,"ALEXANDRE DA COSTA SOARES",IF(J117=24157,"JOSE MAURICIO GOMES TEIXEIRA",IF(J117=24203,"JOSE MAURICIO GOMES TEIXEIRA",IF(J117=24149,"CHRISTIANO MARCONDES DE BARROS LIMA",IF(J117=24137,"CHRISTIANO MARCONDES DE BARROS LIMA",IF(J117=135152,"ENRICO BORTPLUZO CASSIANO",IF(J117=136568,"ENRICO BORTPLUZO CASSIANO", IF(J117=130976,"MARYLIA CARVALHO PONCE",IF(J117=136668,"ALEXANDRE DA COSTA SOARES",IF(J117=52340,"OFFSHORE LISTED",IF(J117=158778,"CLAUDIO DE SOUZA PACINI",IF(J117=159800,"CLAUDIO DE SOUZA PACINI",_xlfn.XLOOKUP(J117,[1]!Tabela33[ID ORACLE],[1]!Tabela33[BROKER],0,0,1)))))))))))))</f>
        <v>ALEXANDRE DA COSTA SOARES</v>
      </c>
      <c r="E117" s="22">
        <f t="shared" si="9"/>
        <v>-1193.60976375</v>
      </c>
      <c r="F117" s="9" t="str">
        <f t="shared" si="10"/>
        <v>NYSE MARKET INC.</v>
      </c>
      <c r="G117" s="20">
        <f t="shared" si="8"/>
        <v>46204</v>
      </c>
      <c r="H117" s="23">
        <v>1170</v>
      </c>
      <c r="J117" s="45">
        <v>57036</v>
      </c>
      <c r="K117" s="45" t="s">
        <v>44</v>
      </c>
      <c r="L117" s="45" t="s">
        <v>12</v>
      </c>
      <c r="M117" s="45">
        <v>235.08750000000001</v>
      </c>
      <c r="Q117" s="27"/>
      <c r="R117" s="27"/>
      <c r="S117" s="42"/>
      <c r="U117" s="42"/>
    </row>
    <row r="118" spans="1:78" ht="15" customHeight="1" x14ac:dyDescent="0.25">
      <c r="A118" s="5" t="str">
        <f t="shared" si="7"/>
        <v>CUSTO MARKET DATA - JULHO/26-OPTIONS PRICE REPORTING AUTHORITY (OPRA)-57036</v>
      </c>
      <c r="B118" s="20">
        <v>46204</v>
      </c>
      <c r="C118" s="21">
        <v>817393</v>
      </c>
      <c r="D118" s="9" t="str">
        <f>IF(J118=57036,"ALEXANDRE DA COSTA SOARES",IF(J118=24157,"JOSE MAURICIO GOMES TEIXEIRA",IF(J118=24203,"JOSE MAURICIO GOMES TEIXEIRA",IF(J118=24149,"CHRISTIANO MARCONDES DE BARROS LIMA",IF(J118=24137,"CHRISTIANO MARCONDES DE BARROS LIMA",IF(J118=135152,"ENRICO BORTPLUZO CASSIANO",IF(J118=136568,"ENRICO BORTPLUZO CASSIANO", IF(J118=130976,"MARYLIA CARVALHO PONCE",IF(J118=136668,"ALEXANDRE DA COSTA SOARES",IF(J118=52340,"OFFSHORE LISTED",IF(J118=158778,"CLAUDIO DE SOUZA PACINI",IF(J118=159800,"CLAUDIO DE SOUZA PACINI",_xlfn.XLOOKUP(J118,[1]!Tabela33[ID ORACLE],[1]!Tabela33[BROKER],0,0,1)))))))))))))</f>
        <v>ALEXANDRE DA COSTA SOARES</v>
      </c>
      <c r="E118" s="22">
        <f t="shared" si="9"/>
        <v>-334.06412681250004</v>
      </c>
      <c r="F118" s="9" t="str">
        <f t="shared" si="10"/>
        <v>OPTIONS PRICE REPORTING AUTHORITY (OPRA)</v>
      </c>
      <c r="G118" s="20">
        <f t="shared" si="8"/>
        <v>46204</v>
      </c>
      <c r="H118" s="23">
        <v>1170</v>
      </c>
      <c r="J118" s="45">
        <v>57036</v>
      </c>
      <c r="K118" s="45" t="s">
        <v>45</v>
      </c>
      <c r="L118" s="45" t="s">
        <v>12</v>
      </c>
      <c r="M118" s="45">
        <v>65.795625000000001</v>
      </c>
      <c r="Q118" s="27"/>
      <c r="R118" s="27"/>
      <c r="S118" s="42"/>
      <c r="U118" s="42"/>
    </row>
    <row r="119" spans="1:78" ht="15" customHeight="1" x14ac:dyDescent="0.25">
      <c r="A119" s="5" t="str">
        <f t="shared" si="7"/>
        <v>CUSTO MARKET DATA - JULHO/26-REFINITIV-57036</v>
      </c>
      <c r="B119" s="20">
        <v>46204</v>
      </c>
      <c r="C119" s="21">
        <v>817393</v>
      </c>
      <c r="D119" s="9" t="str">
        <f>IF(J119=57036,"ALEXANDRE DA COSTA SOARES",IF(J119=24157,"JOSE MAURICIO GOMES TEIXEIRA",IF(J119=24203,"JOSE MAURICIO GOMES TEIXEIRA",IF(J119=24149,"CHRISTIANO MARCONDES DE BARROS LIMA",IF(J119=24137,"CHRISTIANO MARCONDES DE BARROS LIMA",IF(J119=135152,"ENRICO BORTPLUZO CASSIANO",IF(J119=136568,"ENRICO BORTPLUZO CASSIANO", IF(J119=130976,"MARYLIA CARVALHO PONCE",IF(J119=136668,"ALEXANDRE DA COSTA SOARES",IF(J119=52340,"OFFSHORE LISTED",IF(J119=158778,"CLAUDIO DE SOUZA PACINI",IF(J119=159800,"CLAUDIO DE SOUZA PACINI",_xlfn.XLOOKUP(J119,[1]!Tabela33[ID ORACLE],[1]!Tabela33[BROKER],0,0,1)))))))))))))</f>
        <v>ALEXANDRE DA COSTA SOARES</v>
      </c>
      <c r="E119" s="22">
        <f t="shared" si="9"/>
        <v>-140.7067406388</v>
      </c>
      <c r="F119" s="9" t="str">
        <f t="shared" si="10"/>
        <v>REFINITIV</v>
      </c>
      <c r="G119" s="20">
        <f t="shared" si="8"/>
        <v>46204</v>
      </c>
      <c r="H119" s="23">
        <v>1170</v>
      </c>
      <c r="J119" s="45">
        <v>57036</v>
      </c>
      <c r="K119" s="45" t="s">
        <v>42</v>
      </c>
      <c r="L119" s="45" t="s">
        <v>17</v>
      </c>
      <c r="M119" s="45">
        <v>20.573868000000001</v>
      </c>
      <c r="Q119" s="27"/>
      <c r="R119" s="27"/>
      <c r="S119" s="42"/>
      <c r="U119" s="42"/>
    </row>
    <row r="120" spans="1:78" ht="15" customHeight="1" x14ac:dyDescent="0.25">
      <c r="A120" s="5" t="str">
        <f t="shared" si="7"/>
        <v>CUSTO MARKET DATA - JULHO/26-TORONTO STOCK EXCHANGE-57036</v>
      </c>
      <c r="B120" s="20">
        <v>46204</v>
      </c>
      <c r="C120" s="21">
        <v>817393</v>
      </c>
      <c r="D120" s="9" t="str">
        <f>IF(J120=57036,"ALEXANDRE DA COSTA SOARES",IF(J120=24157,"JOSE MAURICIO GOMES TEIXEIRA",IF(J120=24203,"JOSE MAURICIO GOMES TEIXEIRA",IF(J120=24149,"CHRISTIANO MARCONDES DE BARROS LIMA",IF(J120=24137,"CHRISTIANO MARCONDES DE BARROS LIMA",IF(J120=135152,"ENRICO BORTPLUZO CASSIANO",IF(J120=136568,"ENRICO BORTPLUZO CASSIANO", IF(J120=130976,"MARYLIA CARVALHO PONCE",IF(J120=136668,"ALEXANDRE DA COSTA SOARES",IF(J120=52340,"OFFSHORE LISTED",IF(J120=158778,"CLAUDIO DE SOUZA PACINI",IF(J120=159800,"CLAUDIO DE SOUZA PACINI",_xlfn.XLOOKUP(J120,[1]!Tabela33[ID ORACLE],[1]!Tabela33[BROKER],0,0,1)))))))))))))</f>
        <v>ALEXANDRE DA COSTA SOARES</v>
      </c>
      <c r="E120" s="22">
        <f t="shared" si="9"/>
        <v>-212.48648757160007</v>
      </c>
      <c r="F120" s="9" t="str">
        <f t="shared" si="10"/>
        <v>TORONTO STOCK EXCHANGE</v>
      </c>
      <c r="G120" s="20">
        <f t="shared" si="8"/>
        <v>46204</v>
      </c>
      <c r="H120" s="23">
        <v>1170</v>
      </c>
      <c r="J120" s="45">
        <v>57036</v>
      </c>
      <c r="K120" s="45" t="s">
        <v>51</v>
      </c>
      <c r="L120" s="45" t="s">
        <v>12</v>
      </c>
      <c r="M120" s="45">
        <v>41.85029200000001</v>
      </c>
      <c r="Q120" s="27"/>
      <c r="R120" s="27"/>
      <c r="S120" s="42"/>
      <c r="U120" s="42"/>
    </row>
    <row r="121" spans="1:78" ht="15" customHeight="1" x14ac:dyDescent="0.25">
      <c r="A121" s="5" t="str">
        <f t="shared" si="7"/>
        <v>CUSTO MARKET DATA - JULHO/26-BLOOMBERG-61086</v>
      </c>
      <c r="B121" s="20">
        <v>46204</v>
      </c>
      <c r="C121" s="21">
        <v>817393</v>
      </c>
      <c r="D121" s="9" t="str">
        <f>IF(J121=57036,"ALEXANDRE DA COSTA SOARES",IF(J121=24157,"JOSE MAURICIO GOMES TEIXEIRA",IF(J121=24203,"JOSE MAURICIO GOMES TEIXEIRA",IF(J121=24149,"CHRISTIANO MARCONDES DE BARROS LIMA",IF(J121=24137,"CHRISTIANO MARCONDES DE BARROS LIMA",IF(J121=135152,"ENRICO BORTPLUZO CASSIANO",IF(J121=136568,"ENRICO BORTPLUZO CASSIANO", IF(J121=130976,"MARYLIA CARVALHO PONCE",IF(J121=136668,"ALEXANDRE DA COSTA SOARES",IF(J121=52340,"OFFSHORE LISTED",IF(J121=158778,"CLAUDIO DE SOUZA PACINI",IF(J121=159800,"CLAUDIO DE SOUZA PACINI",_xlfn.XLOOKUP(J121,[1]!Tabela33[ID ORACLE],[1]!Tabela33[BROKER],0,0,1)))))))))))))</f>
        <v>ALEXANDRE DA COSTA SOARES</v>
      </c>
      <c r="E121" s="22">
        <f t="shared" si="9"/>
        <v>-13442.973084511799</v>
      </c>
      <c r="F121" s="9" t="str">
        <f t="shared" si="10"/>
        <v>BLOOMBERG</v>
      </c>
      <c r="G121" s="20">
        <f t="shared" si="8"/>
        <v>46204</v>
      </c>
      <c r="H121" s="23">
        <v>1170</v>
      </c>
      <c r="J121" s="45">
        <v>61086</v>
      </c>
      <c r="K121" s="45" t="s">
        <v>41</v>
      </c>
      <c r="L121" s="45" t="s">
        <v>12</v>
      </c>
      <c r="M121" s="45">
        <v>2647.6617659999997</v>
      </c>
      <c r="Q121" s="27"/>
      <c r="R121" s="27"/>
    </row>
    <row r="122" spans="1:78" ht="15" customHeight="1" x14ac:dyDescent="0.25">
      <c r="A122" s="5" t="str">
        <f t="shared" si="7"/>
        <v>CUSTO MARKET DATA - JULHO/26-FIDESSA-61086</v>
      </c>
      <c r="B122" s="20">
        <v>46204</v>
      </c>
      <c r="C122" s="21">
        <v>817393</v>
      </c>
      <c r="D122" s="9" t="str">
        <f>IF(J122=57036,"ALEXANDRE DA COSTA SOARES",IF(J122=24157,"JOSE MAURICIO GOMES TEIXEIRA",IF(J122=24203,"JOSE MAURICIO GOMES TEIXEIRA",IF(J122=24149,"CHRISTIANO MARCONDES DE BARROS LIMA",IF(J122=24137,"CHRISTIANO MARCONDES DE BARROS LIMA",IF(J122=135152,"ENRICO BORTPLUZO CASSIANO",IF(J122=136568,"ENRICO BORTPLUZO CASSIANO", IF(J122=130976,"MARYLIA CARVALHO PONCE",IF(J122=136668,"ALEXANDRE DA COSTA SOARES",IF(J122=52340,"OFFSHORE LISTED",IF(J122=158778,"CLAUDIO DE SOUZA PACINI",IF(J122=159800,"CLAUDIO DE SOUZA PACINI",_xlfn.XLOOKUP(J122,[1]!Tabela33[ID ORACLE],[1]!Tabela33[BROKER],0,0,1)))))))))))))</f>
        <v>ALEXANDRE DA COSTA SOARES</v>
      </c>
      <c r="E122" s="22">
        <f t="shared" si="9"/>
        <v>-2152.0707957072</v>
      </c>
      <c r="F122" s="9" t="str">
        <f t="shared" si="10"/>
        <v>FIDESSA</v>
      </c>
      <c r="G122" s="20">
        <f t="shared" si="8"/>
        <v>46204</v>
      </c>
      <c r="H122" s="23">
        <v>1170</v>
      </c>
      <c r="J122" s="45">
        <v>61086</v>
      </c>
      <c r="K122" s="45" t="s">
        <v>47</v>
      </c>
      <c r="L122" s="45" t="s">
        <v>12</v>
      </c>
      <c r="M122" s="45">
        <v>423.86126400000001</v>
      </c>
      <c r="Q122" s="27"/>
      <c r="R122" s="27"/>
    </row>
    <row r="123" spans="1:78" customFormat="1" ht="15" customHeight="1" x14ac:dyDescent="0.25">
      <c r="A123" s="5" t="str">
        <f t="shared" si="7"/>
        <v>CUSTO MARKET DATA - JULHO/26-NYSE MARKET INC.-61086</v>
      </c>
      <c r="B123" s="20">
        <v>46204</v>
      </c>
      <c r="C123" s="21">
        <v>817393</v>
      </c>
      <c r="D123" s="9" t="str">
        <f>IF(J123=57036,"ALEXANDRE DA COSTA SOARES",IF(J123=24157,"JOSE MAURICIO GOMES TEIXEIRA",IF(J123=24203,"JOSE MAURICIO GOMES TEIXEIRA",IF(J123=24149,"CHRISTIANO MARCONDES DE BARROS LIMA",IF(J123=24137,"CHRISTIANO MARCONDES DE BARROS LIMA",IF(J123=135152,"ENRICO BORTPLUZO CASSIANO",IF(J123=136568,"ENRICO BORTPLUZO CASSIANO", IF(J123=130976,"MARYLIA CARVALHO PONCE",IF(J123=136668,"ALEXANDRE DA COSTA SOARES",IF(J123=52340,"OFFSHORE LISTED",IF(J123=158778,"CLAUDIO DE SOUZA PACINI",IF(J123=159800,"CLAUDIO DE SOUZA PACINI",_xlfn.XLOOKUP(J123,[1]!Tabela33[ID ORACLE],[1]!Tabela33[BROKER],0,0,1)))))))))))))</f>
        <v>ALEXANDRE DA COSTA SOARES</v>
      </c>
      <c r="E123" s="22">
        <f t="shared" si="9"/>
        <v>-1852.03402775</v>
      </c>
      <c r="F123" s="9" t="str">
        <f t="shared" si="10"/>
        <v>NYSE MARKET INC.</v>
      </c>
      <c r="G123" s="20">
        <f t="shared" si="8"/>
        <v>46204</v>
      </c>
      <c r="H123" s="23">
        <v>1170</v>
      </c>
      <c r="J123" s="45">
        <v>61086</v>
      </c>
      <c r="K123" s="45" t="s">
        <v>44</v>
      </c>
      <c r="L123" s="45" t="s">
        <v>12</v>
      </c>
      <c r="M123" s="45">
        <v>364.76749999999998</v>
      </c>
      <c r="O123" s="1"/>
      <c r="P123" s="26"/>
      <c r="Q123" s="27"/>
      <c r="R123" s="27"/>
      <c r="S123" s="28"/>
      <c r="T123" s="26"/>
      <c r="U123" s="28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</row>
    <row r="124" spans="1:78" ht="15" customHeight="1" x14ac:dyDescent="0.25">
      <c r="A124" s="5" t="str">
        <f t="shared" si="7"/>
        <v>CUSTO MARKET DATA - JULHO/26-OPTIONS PRICE REPORTING AUTHORITY (OPRA)-61086</v>
      </c>
      <c r="B124" s="20">
        <v>46204</v>
      </c>
      <c r="C124" s="21">
        <v>817393</v>
      </c>
      <c r="D124" s="9" t="str">
        <f>IF(J124=57036,"ALEXANDRE DA COSTA SOARES",IF(J124=24157,"JOSE MAURICIO GOMES TEIXEIRA",IF(J124=24203,"JOSE MAURICIO GOMES TEIXEIRA",IF(J124=24149,"CHRISTIANO MARCONDES DE BARROS LIMA",IF(J124=24137,"CHRISTIANO MARCONDES DE BARROS LIMA",IF(J124=135152,"ENRICO BORTPLUZO CASSIANO",IF(J124=136568,"ENRICO BORTPLUZO CASSIANO", IF(J124=130976,"MARYLIA CARVALHO PONCE",IF(J124=136668,"ALEXANDRE DA COSTA SOARES",IF(J124=52340,"OFFSHORE LISTED",IF(J124=158778,"CLAUDIO DE SOUZA PACINI",IF(J124=159800,"CLAUDIO DE SOUZA PACINI",_xlfn.XLOOKUP(J124,[1]!Tabela33[ID ORACLE],[1]!Tabela33[BROKER],0,0,1)))))))))))))</f>
        <v>ALEXANDRE DA COSTA SOARES</v>
      </c>
      <c r="E124" s="22">
        <f t="shared" si="9"/>
        <v>-334.06412681250004</v>
      </c>
      <c r="F124" s="9" t="str">
        <f t="shared" si="10"/>
        <v>OPTIONS PRICE REPORTING AUTHORITY (OPRA)</v>
      </c>
      <c r="G124" s="20">
        <f t="shared" si="8"/>
        <v>46204</v>
      </c>
      <c r="H124" s="23">
        <v>1170</v>
      </c>
      <c r="J124" s="45">
        <v>61086</v>
      </c>
      <c r="K124" s="45" t="s">
        <v>45</v>
      </c>
      <c r="L124" s="45" t="s">
        <v>12</v>
      </c>
      <c r="M124" s="45">
        <v>65.795625000000001</v>
      </c>
      <c r="Q124" s="27"/>
      <c r="R124" s="27"/>
    </row>
    <row r="125" spans="1:78" ht="15" customHeight="1" x14ac:dyDescent="0.25">
      <c r="A125" s="5" t="str">
        <f t="shared" si="7"/>
        <v>CUSTO MARKET DATA - JULHO/26-REFINITIV-61086</v>
      </c>
      <c r="B125" s="20">
        <v>46204</v>
      </c>
      <c r="C125" s="21">
        <v>817393</v>
      </c>
      <c r="D125" s="9" t="str">
        <f>IF(J125=57036,"ALEXANDRE DA COSTA SOARES",IF(J125=24157,"JOSE MAURICIO GOMES TEIXEIRA",IF(J125=24203,"JOSE MAURICIO GOMES TEIXEIRA",IF(J125=24149,"CHRISTIANO MARCONDES DE BARROS LIMA",IF(J125=24137,"CHRISTIANO MARCONDES DE BARROS LIMA",IF(J125=135152,"ENRICO BORTPLUZO CASSIANO",IF(J125=136568,"ENRICO BORTPLUZO CASSIANO", IF(J125=130976,"MARYLIA CARVALHO PONCE",IF(J125=136668,"ALEXANDRE DA COSTA SOARES",IF(J125=52340,"OFFSHORE LISTED",IF(J125=158778,"CLAUDIO DE SOUZA PACINI",IF(J125=159800,"CLAUDIO DE SOUZA PACINI",_xlfn.XLOOKUP(J125,[1]!Tabela33[ID ORACLE],[1]!Tabela33[BROKER],0,0,1)))))))))))))</f>
        <v>ALEXANDRE DA COSTA SOARES</v>
      </c>
      <c r="E125" s="22">
        <f t="shared" si="9"/>
        <v>-140.7067406388</v>
      </c>
      <c r="F125" s="9" t="str">
        <f t="shared" si="10"/>
        <v>REFINITIV</v>
      </c>
      <c r="G125" s="20">
        <f t="shared" si="8"/>
        <v>46204</v>
      </c>
      <c r="H125" s="23">
        <v>1170</v>
      </c>
      <c r="J125" s="45">
        <v>61086</v>
      </c>
      <c r="K125" s="45" t="s">
        <v>42</v>
      </c>
      <c r="L125" s="45" t="s">
        <v>17</v>
      </c>
      <c r="M125" s="45">
        <v>20.573868000000001</v>
      </c>
      <c r="Q125" s="27"/>
      <c r="R125" s="27"/>
    </row>
    <row r="126" spans="1:78" ht="15" customHeight="1" x14ac:dyDescent="0.25">
      <c r="A126" s="5" t="str">
        <f t="shared" si="7"/>
        <v>CUSTO MARKET DATA - JULHO/26-TORONTO STOCK EXCHANGE-61086</v>
      </c>
      <c r="B126" s="20">
        <v>46204</v>
      </c>
      <c r="C126" s="21">
        <v>817393</v>
      </c>
      <c r="D126" s="9" t="str">
        <f>IF(J126=57036,"ALEXANDRE DA COSTA SOARES",IF(J126=24157,"JOSE MAURICIO GOMES TEIXEIRA",IF(J126=24203,"JOSE MAURICIO GOMES TEIXEIRA",IF(J126=24149,"CHRISTIANO MARCONDES DE BARROS LIMA",IF(J126=24137,"CHRISTIANO MARCONDES DE BARROS LIMA",IF(J126=135152,"ENRICO BORTPLUZO CASSIANO",IF(J126=136568,"ENRICO BORTPLUZO CASSIANO", IF(J126=130976,"MARYLIA CARVALHO PONCE",IF(J126=136668,"ALEXANDRE DA COSTA SOARES",IF(J126=52340,"OFFSHORE LISTED",IF(J126=158778,"CLAUDIO DE SOUZA PACINI",IF(J126=159800,"CLAUDIO DE SOUZA PACINI",_xlfn.XLOOKUP(J126,[1]!Tabela33[ID ORACLE],[1]!Tabela33[BROKER],0,0,1)))))))))))))</f>
        <v>ALEXANDRE DA COSTA SOARES</v>
      </c>
      <c r="E126" s="22">
        <f t="shared" si="9"/>
        <v>-212.48648249430008</v>
      </c>
      <c r="F126" s="9" t="str">
        <f t="shared" si="10"/>
        <v>TORONTO STOCK EXCHANGE</v>
      </c>
      <c r="G126" s="20">
        <f t="shared" si="8"/>
        <v>46204</v>
      </c>
      <c r="H126" s="23">
        <v>1170</v>
      </c>
      <c r="J126" s="45">
        <v>61086</v>
      </c>
      <c r="K126" s="45" t="s">
        <v>51</v>
      </c>
      <c r="L126" s="45" t="s">
        <v>12</v>
      </c>
      <c r="M126" s="45">
        <v>41.850291000000013</v>
      </c>
      <c r="N126" s="29"/>
      <c r="Q126" s="27"/>
      <c r="R126" s="27"/>
    </row>
    <row r="127" spans="1:78" ht="15" customHeight="1" x14ac:dyDescent="0.25">
      <c r="A127" s="5" t="str">
        <f t="shared" si="7"/>
        <v>CUSTO MARKET DATA - JULHO/26-BLOOMBERG-63203</v>
      </c>
      <c r="B127" s="20">
        <v>46204</v>
      </c>
      <c r="C127" s="21">
        <v>817393</v>
      </c>
      <c r="D127" s="9" t="str">
        <f>IF(J127=57036,"ALEXANDRE DA COSTA SOARES",IF(J127=24157,"JOSE MAURICIO GOMES TEIXEIRA",IF(J127=24203,"JOSE MAURICIO GOMES TEIXEIRA",IF(J127=24149,"CHRISTIANO MARCONDES DE BARROS LIMA",IF(J127=24137,"CHRISTIANO MARCONDES DE BARROS LIMA",IF(J127=135152,"ENRICO BORTPLUZO CASSIANO",IF(J127=136568,"ENRICO BORTPLUZO CASSIANO", IF(J127=130976,"MARYLIA CARVALHO PONCE",IF(J127=136668,"ALEXANDRE DA COSTA SOARES",IF(J127=52340,"OFFSHORE LISTED",IF(J127=158778,"CLAUDIO DE SOUZA PACINI",IF(J127=159800,"CLAUDIO DE SOUZA PACINI",_xlfn.XLOOKUP(J127,[1]!Tabela33[ID ORACLE],[1]!Tabela33[BROKER],0,0,1)))))))))))))</f>
        <v>FABIO SOARES PFAENDER</v>
      </c>
      <c r="E127" s="22">
        <f t="shared" si="9"/>
        <v>-12910.3643145118</v>
      </c>
      <c r="F127" s="9" t="str">
        <f t="shared" si="10"/>
        <v>BLOOMBERG</v>
      </c>
      <c r="G127" s="20">
        <f t="shared" si="8"/>
        <v>46204</v>
      </c>
      <c r="H127" s="23">
        <v>1170</v>
      </c>
      <c r="J127" s="45">
        <v>63203</v>
      </c>
      <c r="K127" s="45" t="s">
        <v>41</v>
      </c>
      <c r="L127" s="45" t="s">
        <v>12</v>
      </c>
      <c r="M127" s="45">
        <v>2542.7617660000001</v>
      </c>
      <c r="N127" s="29"/>
      <c r="Q127" s="27"/>
      <c r="R127" s="27"/>
    </row>
    <row r="128" spans="1:78" customFormat="1" ht="15" customHeight="1" x14ac:dyDescent="0.25">
      <c r="A128" s="5" t="str">
        <f t="shared" si="7"/>
        <v>CUSTO MARKET DATA - JULHO/26-REFINITIV-63203</v>
      </c>
      <c r="B128" s="20">
        <v>46204</v>
      </c>
      <c r="C128" s="21">
        <v>817393</v>
      </c>
      <c r="D128" s="9" t="str">
        <f>IF(J128=57036,"ALEXANDRE DA COSTA SOARES",IF(J128=24157,"JOSE MAURICIO GOMES TEIXEIRA",IF(J128=24203,"JOSE MAURICIO GOMES TEIXEIRA",IF(J128=24149,"CHRISTIANO MARCONDES DE BARROS LIMA",IF(J128=24137,"CHRISTIANO MARCONDES DE BARROS LIMA",IF(J128=135152,"ENRICO BORTPLUZO CASSIANO",IF(J128=136568,"ENRICO BORTPLUZO CASSIANO", IF(J128=130976,"MARYLIA CARVALHO PONCE",IF(J128=136668,"ALEXANDRE DA COSTA SOARES",IF(J128=52340,"OFFSHORE LISTED",IF(J128=158778,"CLAUDIO DE SOUZA PACINI",IF(J128=159800,"CLAUDIO DE SOUZA PACINI",_xlfn.XLOOKUP(J128,[1]!Tabela33[ID ORACLE],[1]!Tabela33[BROKER],0,0,1)))))))))))))</f>
        <v>FABIO SOARES PFAENDER</v>
      </c>
      <c r="E128" s="22">
        <f t="shared" si="9"/>
        <v>-759.89272927679997</v>
      </c>
      <c r="F128" s="9" t="str">
        <f t="shared" si="10"/>
        <v>REFINITIV</v>
      </c>
      <c r="G128" s="20">
        <f t="shared" si="8"/>
        <v>46204</v>
      </c>
      <c r="H128" s="23">
        <v>1170</v>
      </c>
      <c r="J128" s="45">
        <v>63203</v>
      </c>
      <c r="K128" s="45" t="s">
        <v>42</v>
      </c>
      <c r="L128" s="45" t="s">
        <v>17</v>
      </c>
      <c r="M128" s="45">
        <v>111.11004799999999</v>
      </c>
      <c r="N128" s="29"/>
      <c r="O128" s="1"/>
      <c r="P128" s="26"/>
      <c r="Q128" s="27"/>
      <c r="R128" s="27"/>
      <c r="S128" s="28"/>
      <c r="T128" s="26"/>
      <c r="U128" s="28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</row>
    <row r="129" spans="1:78" customFormat="1" ht="15" customHeight="1" x14ac:dyDescent="0.25">
      <c r="A129" s="5" t="str">
        <f t="shared" si="7"/>
        <v>CUSTO MARKET DATA - JULHO/26-BLOOMBERG-63705</v>
      </c>
      <c r="B129" s="20">
        <v>46204</v>
      </c>
      <c r="C129" s="21">
        <v>817393</v>
      </c>
      <c r="D129" s="9" t="str">
        <f>IF(J129=57036,"ALEXANDRE DA COSTA SOARES",IF(J129=24157,"JOSE MAURICIO GOMES TEIXEIRA",IF(J129=24203,"JOSE MAURICIO GOMES TEIXEIRA",IF(J129=24149,"CHRISTIANO MARCONDES DE BARROS LIMA",IF(J129=24137,"CHRISTIANO MARCONDES DE BARROS LIMA",IF(J129=135152,"ENRICO BORTPLUZO CASSIANO",IF(J129=136568,"ENRICO BORTPLUZO CASSIANO", IF(J129=130976,"MARYLIA CARVALHO PONCE",IF(J129=136668,"ALEXANDRE DA COSTA SOARES",IF(J129=52340,"OFFSHORE LISTED",IF(J129=158778,"CLAUDIO DE SOUZA PACINI",IF(J129=159800,"CLAUDIO DE SOUZA PACINI",_xlfn.XLOOKUP(J129,[1]!Tabela33[ID ORACLE],[1]!Tabela33[BROKER],0,0,1)))))))))))))</f>
        <v>ALEXANDRE DE CARVALHO GALHARDO</v>
      </c>
      <c r="E129" s="22">
        <f t="shared" si="9"/>
        <v>-12253.869424511802</v>
      </c>
      <c r="F129" s="9" t="str">
        <f t="shared" si="10"/>
        <v>BLOOMBERG</v>
      </c>
      <c r="G129" s="20">
        <f t="shared" si="8"/>
        <v>46204</v>
      </c>
      <c r="H129" s="23">
        <v>1170</v>
      </c>
      <c r="J129" s="45">
        <v>63705</v>
      </c>
      <c r="K129" s="45" t="s">
        <v>41</v>
      </c>
      <c r="L129" s="45" t="s">
        <v>12</v>
      </c>
      <c r="M129" s="45">
        <v>2413.4617660000004</v>
      </c>
      <c r="N129" s="29"/>
      <c r="O129" s="1"/>
      <c r="P129" s="26"/>
      <c r="Q129" s="27"/>
      <c r="R129" s="27"/>
      <c r="S129" s="28"/>
      <c r="T129" s="26"/>
      <c r="U129" s="28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</row>
    <row r="130" spans="1:78" ht="15" customHeight="1" x14ac:dyDescent="0.25">
      <c r="A130" s="5" t="str">
        <f t="shared" ref="A130:A159" si="11">CONCATENATE($N$1,$I$1,F130,$I$1,J130)</f>
        <v>CUSTO MARKET DATA - JULHO/26-NYSE MARKET INC.-63705</v>
      </c>
      <c r="B130" s="20">
        <v>46204</v>
      </c>
      <c r="C130" s="21">
        <v>817393</v>
      </c>
      <c r="D130" s="9" t="str">
        <f>IF(J130=57036,"ALEXANDRE DA COSTA SOARES",IF(J130=24157,"JOSE MAURICIO GOMES TEIXEIRA",IF(J130=24203,"JOSE MAURICIO GOMES TEIXEIRA",IF(J130=24149,"CHRISTIANO MARCONDES DE BARROS LIMA",IF(J130=24137,"CHRISTIANO MARCONDES DE BARROS LIMA",IF(J130=135152,"ENRICO BORTPLUZO CASSIANO",IF(J130=136568,"ENRICO BORTPLUZO CASSIANO", IF(J130=130976,"MARYLIA CARVALHO PONCE",IF(J130=136668,"ALEXANDRE DA COSTA SOARES",IF(J130=52340,"OFFSHORE LISTED",IF(J130=158778,"CLAUDIO DE SOUZA PACINI",IF(J130=159800,"CLAUDIO DE SOUZA PACINI",_xlfn.XLOOKUP(J130,[1]!Tabela33[ID ORACLE],[1]!Tabela33[BROKER],0,0,1)))))))))))))</f>
        <v>ALEXANDRE DE CARVALHO GALHARDO</v>
      </c>
      <c r="E130" s="22">
        <f t="shared" si="9"/>
        <v>-137.08709999999999</v>
      </c>
      <c r="F130" s="9" t="str">
        <f t="shared" si="10"/>
        <v>NYSE MARKET INC.</v>
      </c>
      <c r="G130" s="20">
        <f t="shared" si="8"/>
        <v>46204</v>
      </c>
      <c r="H130" s="23">
        <v>1170</v>
      </c>
      <c r="J130" s="45">
        <v>63705</v>
      </c>
      <c r="K130" s="45" t="s">
        <v>44</v>
      </c>
      <c r="L130" s="45" t="s">
        <v>12</v>
      </c>
      <c r="M130" s="45">
        <v>27</v>
      </c>
      <c r="N130" s="29"/>
      <c r="O130" s="41"/>
      <c r="Q130" s="27"/>
      <c r="R130" s="27"/>
    </row>
    <row r="131" spans="1:78" ht="15" customHeight="1" x14ac:dyDescent="0.25">
      <c r="A131" s="5" t="str">
        <f t="shared" si="11"/>
        <v>CUSTO MARKET DATA - JULHO/26-REFINITIV-63705</v>
      </c>
      <c r="B131" s="20">
        <v>46204</v>
      </c>
      <c r="C131" s="21">
        <v>817393</v>
      </c>
      <c r="D131" s="9" t="str">
        <f>IF(J131=57036,"ALEXANDRE DA COSTA SOARES",IF(J131=24157,"JOSE MAURICIO GOMES TEIXEIRA",IF(J131=24203,"JOSE MAURICIO GOMES TEIXEIRA",IF(J131=24149,"CHRISTIANO MARCONDES DE BARROS LIMA",IF(J131=24137,"CHRISTIANO MARCONDES DE BARROS LIMA",IF(J131=135152,"ENRICO BORTPLUZO CASSIANO",IF(J131=136568,"ENRICO BORTPLUZO CASSIANO", IF(J131=130976,"MARYLIA CARVALHO PONCE",IF(J131=136668,"ALEXANDRE DA COSTA SOARES",IF(J131=52340,"OFFSHORE LISTED",IF(J131=158778,"CLAUDIO DE SOUZA PACINI",IF(J131=159800,"CLAUDIO DE SOUZA PACINI",_xlfn.XLOOKUP(J131,[1]!Tabela33[ID ORACLE],[1]!Tabela33[BROKER],0,0,1)))))))))))))</f>
        <v>ALEXANDRE DE CARVALHO GALHARDO</v>
      </c>
      <c r="E131" s="22">
        <f t="shared" si="9"/>
        <v>-619.18598863799991</v>
      </c>
      <c r="F131" s="9" t="str">
        <f t="shared" si="10"/>
        <v>REFINITIV</v>
      </c>
      <c r="G131" s="20">
        <f t="shared" ref="G131:G159" si="12">B131</f>
        <v>46204</v>
      </c>
      <c r="H131" s="23">
        <v>1170</v>
      </c>
      <c r="J131" s="45">
        <v>63705</v>
      </c>
      <c r="K131" s="45" t="s">
        <v>42</v>
      </c>
      <c r="L131" s="45" t="s">
        <v>17</v>
      </c>
      <c r="M131" s="45">
        <v>90.536179999999987</v>
      </c>
      <c r="N131" s="29"/>
      <c r="O131" s="41"/>
      <c r="Q131" s="27"/>
      <c r="R131" s="27"/>
    </row>
    <row r="132" spans="1:78" ht="15" customHeight="1" x14ac:dyDescent="0.25">
      <c r="A132" s="5" t="str">
        <f t="shared" si="11"/>
        <v>CUSTO MARKET DATA - JULHO/26-BLOOMBERG-64098</v>
      </c>
      <c r="B132" s="20">
        <v>46204</v>
      </c>
      <c r="C132" s="21">
        <v>817393</v>
      </c>
      <c r="D132" s="9" t="str">
        <f>IF(J132=57036,"ALEXANDRE DA COSTA SOARES",IF(J132=24157,"JOSE MAURICIO GOMES TEIXEIRA",IF(J132=24203,"JOSE MAURICIO GOMES TEIXEIRA",IF(J132=24149,"CHRISTIANO MARCONDES DE BARROS LIMA",IF(J132=24137,"CHRISTIANO MARCONDES DE BARROS LIMA",IF(J132=135152,"ENRICO BORTPLUZO CASSIANO",IF(J132=136568,"ENRICO BORTPLUZO CASSIANO", IF(J132=130976,"MARYLIA CARVALHO PONCE",IF(J132=136668,"ALEXANDRE DA COSTA SOARES",IF(J132=52340,"OFFSHORE LISTED",IF(J132=158778,"CLAUDIO DE SOUZA PACINI",IF(J132=159800,"CLAUDIO DE SOUZA PACINI",_xlfn.XLOOKUP(J132,[1]!Tabela33[ID ORACLE],[1]!Tabela33[BROKER],0,0,1)))))))))))))</f>
        <v>HAMILTON DEL MONACO FILHO</v>
      </c>
      <c r="E132" s="22">
        <f t="shared" si="9"/>
        <v>-13066.237424511799</v>
      </c>
      <c r="F132" s="9" t="str">
        <f t="shared" si="10"/>
        <v>BLOOMBERG</v>
      </c>
      <c r="G132" s="20">
        <f t="shared" si="12"/>
        <v>46204</v>
      </c>
      <c r="H132" s="23">
        <v>1170</v>
      </c>
      <c r="J132" s="1">
        <v>64098</v>
      </c>
      <c r="K132" s="45" t="s">
        <v>41</v>
      </c>
      <c r="L132" s="45" t="s">
        <v>12</v>
      </c>
      <c r="M132" s="45">
        <v>2573.4617659999999</v>
      </c>
      <c r="N132" s="29"/>
      <c r="O132" s="41"/>
      <c r="Q132" s="27"/>
      <c r="R132" s="27"/>
    </row>
    <row r="133" spans="1:78" ht="15" customHeight="1" x14ac:dyDescent="0.25">
      <c r="A133" s="5" t="str">
        <f t="shared" si="11"/>
        <v>CUSTO MARKET DATA - JULHO/26-NYSE MARKET INC.-64098</v>
      </c>
      <c r="B133" s="20">
        <v>46204</v>
      </c>
      <c r="C133" s="21">
        <v>817393</v>
      </c>
      <c r="D133" s="9" t="str">
        <f>IF(J133=57036,"ALEXANDRE DA COSTA SOARES",IF(J133=24157,"JOSE MAURICIO GOMES TEIXEIRA",IF(J133=24203,"JOSE MAURICIO GOMES TEIXEIRA",IF(J133=24149,"CHRISTIANO MARCONDES DE BARROS LIMA",IF(J133=24137,"CHRISTIANO MARCONDES DE BARROS LIMA",IF(J133=135152,"ENRICO BORTPLUZO CASSIANO",IF(J133=136568,"ENRICO BORTPLUZO CASSIANO", IF(J133=130976,"MARYLIA CARVALHO PONCE",IF(J133=136668,"ALEXANDRE DA COSTA SOARES",IF(J133=52340,"OFFSHORE LISTED",IF(J133=158778,"CLAUDIO DE SOUZA PACINI",IF(J133=159800,"CLAUDIO DE SOUZA PACINI",_xlfn.XLOOKUP(J133,[1]!Tabela33[ID ORACLE],[1]!Tabela33[BROKER],0,0,1)))))))))))))</f>
        <v>HAMILTON DEL MONACO FILHO</v>
      </c>
      <c r="E133" s="22">
        <f t="shared" si="9"/>
        <v>-2259.3985000000002</v>
      </c>
      <c r="F133" s="9" t="str">
        <f t="shared" si="10"/>
        <v>NYSE MARKET INC.</v>
      </c>
      <c r="G133" s="20">
        <f t="shared" si="12"/>
        <v>46204</v>
      </c>
      <c r="H133" s="23">
        <v>1170</v>
      </c>
      <c r="J133" s="45">
        <v>64098</v>
      </c>
      <c r="K133" s="45" t="s">
        <v>44</v>
      </c>
      <c r="L133" s="45" t="s">
        <v>12</v>
      </c>
      <c r="M133" s="45">
        <v>445</v>
      </c>
      <c r="N133" s="29"/>
      <c r="O133" s="41"/>
      <c r="Q133" s="27"/>
      <c r="R133" s="27"/>
    </row>
    <row r="134" spans="1:78" s="26" customFormat="1" ht="15" customHeight="1" x14ac:dyDescent="0.25">
      <c r="A134" s="5" t="str">
        <f t="shared" si="11"/>
        <v>CUSTO MARKET DATA - JULHO/26-OPTIONS PRICE REPORTING AUTHORITY (OPRA)-64098</v>
      </c>
      <c r="B134" s="20">
        <v>46204</v>
      </c>
      <c r="C134" s="21">
        <v>817393</v>
      </c>
      <c r="D134" s="9" t="str">
        <f>IF(J134=57036,"ALEXANDRE DA COSTA SOARES",IF(J134=24157,"JOSE MAURICIO GOMES TEIXEIRA",IF(J134=24203,"JOSE MAURICIO GOMES TEIXEIRA",IF(J134=24149,"CHRISTIANO MARCONDES DE BARROS LIMA",IF(J134=24137,"CHRISTIANO MARCONDES DE BARROS LIMA",IF(J134=135152,"ENRICO BORTPLUZO CASSIANO",IF(J134=136568,"ENRICO BORTPLUZO CASSIANO", IF(J134=130976,"MARYLIA CARVALHO PONCE",IF(J134=136668,"ALEXANDRE DA COSTA SOARES",IF(J134=52340,"OFFSHORE LISTED",IF(J134=158778,"CLAUDIO DE SOUZA PACINI",IF(J134=159800,"CLAUDIO DE SOUZA PACINI",_xlfn.XLOOKUP(J134,[1]!Tabela33[ID ORACLE],[1]!Tabela33[BROKER],0,0,1)))))))))))))</f>
        <v>HAMILTON DEL MONACO FILHO</v>
      </c>
      <c r="E134" s="22">
        <f t="shared" si="9"/>
        <v>-159.93495000000001</v>
      </c>
      <c r="F134" s="9" t="str">
        <f t="shared" si="10"/>
        <v>OPTIONS PRICE REPORTING AUTHORITY (OPRA)</v>
      </c>
      <c r="G134" s="20">
        <f t="shared" si="12"/>
        <v>46204</v>
      </c>
      <c r="H134" s="23">
        <v>1170</v>
      </c>
      <c r="I134"/>
      <c r="J134" s="45">
        <v>64098</v>
      </c>
      <c r="K134" s="45" t="s">
        <v>45</v>
      </c>
      <c r="L134" s="45" t="s">
        <v>12</v>
      </c>
      <c r="M134" s="45">
        <v>31.5</v>
      </c>
      <c r="N134" s="29"/>
      <c r="O134" s="41"/>
      <c r="Q134" s="27"/>
      <c r="R134" s="27"/>
      <c r="S134" s="28"/>
      <c r="U134" s="28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</row>
    <row r="135" spans="1:78" s="26" customFormat="1" ht="15" customHeight="1" x14ac:dyDescent="0.25">
      <c r="A135" s="5" t="str">
        <f t="shared" si="11"/>
        <v>CUSTO MARKET DATA - JULHO/26-REFINITIV-64098</v>
      </c>
      <c r="B135" s="20">
        <v>46204</v>
      </c>
      <c r="C135" s="21">
        <v>817393</v>
      </c>
      <c r="D135" s="9" t="str">
        <f>IF(J135=57036,"ALEXANDRE DA COSTA SOARES",IF(J135=24157,"JOSE MAURICIO GOMES TEIXEIRA",IF(J135=24203,"JOSE MAURICIO GOMES TEIXEIRA",IF(J135=24149,"CHRISTIANO MARCONDES DE BARROS LIMA",IF(J135=24137,"CHRISTIANO MARCONDES DE BARROS LIMA",IF(J135=135152,"ENRICO BORTPLUZO CASSIANO",IF(J135=136568,"ENRICO BORTPLUZO CASSIANO", IF(J135=130976,"MARYLIA CARVALHO PONCE",IF(J135=136668,"ALEXANDRE DA COSTA SOARES",IF(J135=52340,"OFFSHORE LISTED",IF(J135=158778,"CLAUDIO DE SOUZA PACINI",IF(J135=159800,"CLAUDIO DE SOUZA PACINI",_xlfn.XLOOKUP(J135,[1]!Tabela33[ID ORACLE],[1]!Tabela33[BROKER],0,0,1)))))))))))))</f>
        <v>HAMILTON DEL MONACO FILHO</v>
      </c>
      <c r="E135" s="22">
        <f t="shared" si="9"/>
        <v>-140.7067406388</v>
      </c>
      <c r="F135" s="9" t="str">
        <f t="shared" si="10"/>
        <v>REFINITIV</v>
      </c>
      <c r="G135" s="20">
        <f t="shared" si="12"/>
        <v>46204</v>
      </c>
      <c r="H135" s="23">
        <v>1170</v>
      </c>
      <c r="I135"/>
      <c r="J135" s="45">
        <v>64098</v>
      </c>
      <c r="K135" s="45" t="s">
        <v>42</v>
      </c>
      <c r="L135" s="45" t="s">
        <v>17</v>
      </c>
      <c r="M135" s="45">
        <v>20.573868000000001</v>
      </c>
      <c r="N135" s="29"/>
      <c r="O135" s="41"/>
      <c r="Q135" s="27"/>
      <c r="R135" s="27"/>
      <c r="S135" s="28"/>
      <c r="U135" s="28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</row>
    <row r="136" spans="1:78" s="26" customFormat="1" ht="15" customHeight="1" x14ac:dyDescent="0.25">
      <c r="A136" s="5" t="str">
        <f t="shared" si="11"/>
        <v>CUSTO MARKET DATA - JULHO/26-SYMPHONY COMMUNICATION SERVICES, LLC-64098</v>
      </c>
      <c r="B136" s="20">
        <v>46204</v>
      </c>
      <c r="C136" s="21">
        <v>817393</v>
      </c>
      <c r="D136" s="9" t="str">
        <f>IF(J136=57036,"ALEXANDRE DA COSTA SOARES",IF(J136=24157,"JOSE MAURICIO GOMES TEIXEIRA",IF(J136=24203,"JOSE MAURICIO GOMES TEIXEIRA",IF(J136=24149,"CHRISTIANO MARCONDES DE BARROS LIMA",IF(J136=24137,"CHRISTIANO MARCONDES DE BARROS LIMA",IF(J136=135152,"ENRICO BORTPLUZO CASSIANO",IF(J136=136568,"ENRICO BORTPLUZO CASSIANO", IF(J136=130976,"MARYLIA CARVALHO PONCE",IF(J136=136668,"ALEXANDRE DA COSTA SOARES",IF(J136=52340,"OFFSHORE LISTED",IF(J136=158778,"CLAUDIO DE SOUZA PACINI",IF(J136=159800,"CLAUDIO DE SOUZA PACINI",_xlfn.XLOOKUP(J136,[1]!Tabela33[ID ORACLE],[1]!Tabela33[BROKER],0,0,1)))))))))))))</f>
        <v>HAMILTON DEL MONACO FILHO</v>
      </c>
      <c r="E136" s="22">
        <f t="shared" si="9"/>
        <v>-127.14193862500001</v>
      </c>
      <c r="F136" s="9" t="str">
        <f t="shared" si="10"/>
        <v>SYMPHONY COMMUNICATION SERVICES, LLC</v>
      </c>
      <c r="G136" s="20">
        <f t="shared" si="12"/>
        <v>46204</v>
      </c>
      <c r="H136" s="23">
        <v>1170</v>
      </c>
      <c r="I136"/>
      <c r="J136" s="45">
        <v>64098</v>
      </c>
      <c r="K136" s="45" t="s">
        <v>50</v>
      </c>
      <c r="L136" s="45" t="s">
        <v>12</v>
      </c>
      <c r="M136" s="45">
        <v>25.041250000000002</v>
      </c>
      <c r="N136" s="29"/>
      <c r="O136" s="41"/>
      <c r="Q136" s="27"/>
      <c r="R136" s="27"/>
      <c r="S136" s="28"/>
      <c r="U136" s="28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</row>
    <row r="137" spans="1:78" s="26" customFormat="1" ht="15" customHeight="1" x14ac:dyDescent="0.25">
      <c r="A137" s="5" t="str">
        <f t="shared" si="11"/>
        <v>CUSTO MARKET DATA - JULHO/26-BLOOMBERG-66546</v>
      </c>
      <c r="B137" s="20">
        <v>46204</v>
      </c>
      <c r="C137" s="21">
        <v>817393</v>
      </c>
      <c r="D137" s="9" t="str">
        <f>IF(J137=57036,"ALEXANDRE DA COSTA SOARES",IF(J137=24157,"JOSE MAURICIO GOMES TEIXEIRA",IF(J137=24203,"JOSE MAURICIO GOMES TEIXEIRA",IF(J137=24149,"CHRISTIANO MARCONDES DE BARROS LIMA",IF(J137=24137,"CHRISTIANO MARCONDES DE BARROS LIMA",IF(J137=135152,"ENRICO BORTPLUZO CASSIANO",IF(J137=136568,"ENRICO BORTPLUZO CASSIANO", IF(J137=130976,"MARYLIA CARVALHO PONCE",IF(J137=136668,"ALEXANDRE DA COSTA SOARES",IF(J137=52340,"OFFSHORE LISTED",IF(J137=158778,"CLAUDIO DE SOUZA PACINI",IF(J137=159800,"CLAUDIO DE SOUZA PACINI",_xlfn.XLOOKUP(J137,[1]!Tabela33[ID ORACLE],[1]!Tabela33[BROKER],0,0,1)))))))))))))</f>
        <v>ERMINIO OLIVI LUCCI</v>
      </c>
      <c r="E137" s="22">
        <f t="shared" si="9"/>
        <v>-12046.715584511801</v>
      </c>
      <c r="F137" s="9" t="str">
        <f t="shared" si="10"/>
        <v>BLOOMBERG</v>
      </c>
      <c r="G137" s="20">
        <f t="shared" si="12"/>
        <v>46204</v>
      </c>
      <c r="H137" s="23">
        <v>1170</v>
      </c>
      <c r="I137"/>
      <c r="J137" s="45">
        <v>66546</v>
      </c>
      <c r="K137" s="1" t="s">
        <v>41</v>
      </c>
      <c r="L137" s="1" t="s">
        <v>12</v>
      </c>
      <c r="M137" s="2">
        <v>2372.6617660000002</v>
      </c>
      <c r="N137" s="41"/>
      <c r="O137" s="1"/>
      <c r="Q137" s="27"/>
      <c r="R137" s="27"/>
      <c r="S137" s="28"/>
      <c r="U137" s="28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</row>
    <row r="138" spans="1:78" s="26" customFormat="1" ht="15" customHeight="1" x14ac:dyDescent="0.25">
      <c r="A138" s="5" t="str">
        <f t="shared" si="11"/>
        <v>CUSTO MARKET DATA - JULHO/26-REFINITIV-66729</v>
      </c>
      <c r="B138" s="20">
        <v>46204</v>
      </c>
      <c r="C138" s="21">
        <v>817393</v>
      </c>
      <c r="D138" s="9" t="str">
        <f>IF(J138=57036,"ALEXANDRE DA COSTA SOARES",IF(J138=24157,"JOSE MAURICIO GOMES TEIXEIRA",IF(J138=24203,"JOSE MAURICIO GOMES TEIXEIRA",IF(J138=24149,"CHRISTIANO MARCONDES DE BARROS LIMA",IF(J138=24137,"CHRISTIANO MARCONDES DE BARROS LIMA",IF(J138=135152,"ENRICO BORTPLUZO CASSIANO",IF(J138=136568,"ENRICO BORTPLUZO CASSIANO", IF(J138=130976,"MARYLIA CARVALHO PONCE",IF(J138=136668,"ALEXANDRE DA COSTA SOARES",IF(J138=52340,"OFFSHORE LISTED",IF(J138=158778,"CLAUDIO DE SOUZA PACINI",IF(J138=159800,"CLAUDIO DE SOUZA PACINI",_xlfn.XLOOKUP(J138,[1]!Tabela33[ID ORACLE],[1]!Tabela33[BROKER],0,0,1)))))))))))))</f>
        <v>PAOLO FRANCA LIDA</v>
      </c>
      <c r="E138" s="22">
        <f t="shared" si="9"/>
        <v>-619.18598863799991</v>
      </c>
      <c r="F138" s="9" t="str">
        <f t="shared" si="10"/>
        <v>REFINITIV</v>
      </c>
      <c r="G138" s="20">
        <f t="shared" si="12"/>
        <v>46204</v>
      </c>
      <c r="H138" s="23">
        <v>1170</v>
      </c>
      <c r="I138"/>
      <c r="J138" s="45">
        <v>66729</v>
      </c>
      <c r="K138" s="45" t="s">
        <v>42</v>
      </c>
      <c r="L138" s="45" t="s">
        <v>17</v>
      </c>
      <c r="M138" s="45">
        <v>90.536179999999987</v>
      </c>
      <c r="N138" s="41"/>
      <c r="O138" s="1"/>
      <c r="Q138" s="27"/>
      <c r="R138" s="27"/>
      <c r="S138" s="28"/>
      <c r="U138" s="28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</row>
    <row r="139" spans="1:78" s="26" customFormat="1" ht="15" customHeight="1" x14ac:dyDescent="0.25">
      <c r="A139" s="5" t="str">
        <f t="shared" si="11"/>
        <v>CUSTO MARKET DATA - JULHO/26-REFINITIV-67829</v>
      </c>
      <c r="B139" s="20">
        <v>46204</v>
      </c>
      <c r="C139" s="21">
        <v>817393</v>
      </c>
      <c r="D139" s="9" t="str">
        <f>IF(J139=57036,"ALEXANDRE DA COSTA SOARES",IF(J139=24157,"JOSE MAURICIO GOMES TEIXEIRA",IF(J139=24203,"JOSE MAURICIO GOMES TEIXEIRA",IF(J139=24149,"CHRISTIANO MARCONDES DE BARROS LIMA",IF(J139=24137,"CHRISTIANO MARCONDES DE BARROS LIMA",IF(J139=135152,"ENRICO BORTPLUZO CASSIANO",IF(J139=136568,"ENRICO BORTPLUZO CASSIANO", IF(J139=130976,"MARYLIA CARVALHO PONCE",IF(J139=136668,"ALEXANDRE DA COSTA SOARES",IF(J139=52340,"OFFSHORE LISTED",IF(J139=158778,"CLAUDIO DE SOUZA PACINI",IF(J139=159800,"CLAUDIO DE SOUZA PACINI",_xlfn.XLOOKUP(J139,[1]!Tabela33[ID ORACLE],[1]!Tabela33[BROKER],0,0,1)))))))))))))</f>
        <v>WESLEY MARQUES DA SILVA</v>
      </c>
      <c r="E139" s="22">
        <f t="shared" si="9"/>
        <v>-140.7067406388</v>
      </c>
      <c r="F139" s="9" t="str">
        <f t="shared" si="10"/>
        <v>REFINITIV</v>
      </c>
      <c r="G139" s="20">
        <f t="shared" si="12"/>
        <v>46204</v>
      </c>
      <c r="H139" s="23">
        <v>1170</v>
      </c>
      <c r="I139"/>
      <c r="J139" s="1">
        <v>67829</v>
      </c>
      <c r="K139" s="45" t="s">
        <v>42</v>
      </c>
      <c r="L139" s="45" t="s">
        <v>17</v>
      </c>
      <c r="M139" s="45">
        <v>20.573868000000001</v>
      </c>
      <c r="N139" s="41"/>
      <c r="O139" s="1"/>
      <c r="Q139" s="27"/>
      <c r="R139" s="27"/>
      <c r="S139" s="28"/>
      <c r="U139" s="28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</row>
    <row r="140" spans="1:78" s="26" customFormat="1" ht="15" customHeight="1" x14ac:dyDescent="0.25">
      <c r="A140" s="5" t="str">
        <f t="shared" si="11"/>
        <v>CUSTO MARKET DATA - JULHO/26-BLOOMBERG-67841</v>
      </c>
      <c r="B140" s="20">
        <v>46204</v>
      </c>
      <c r="C140" s="21">
        <v>817393</v>
      </c>
      <c r="D140" s="9" t="str">
        <f>IF(J140=57036,"ALEXANDRE DA COSTA SOARES",IF(J140=24157,"JOSE MAURICIO GOMES TEIXEIRA",IF(J140=24203,"JOSE MAURICIO GOMES TEIXEIRA",IF(J140=24149,"CHRISTIANO MARCONDES DE BARROS LIMA",IF(J140=24137,"CHRISTIANO MARCONDES DE BARROS LIMA",IF(J140=135152,"ENRICO BORTPLUZO CASSIANO",IF(J140=136568,"ENRICO BORTPLUZO CASSIANO", IF(J140=130976,"MARYLIA CARVALHO PONCE",IF(J140=136668,"ALEXANDRE DA COSTA SOARES",IF(J140=52340,"OFFSHORE LISTED",IF(J140=158778,"CLAUDIO DE SOUZA PACINI",IF(J140=159800,"CLAUDIO DE SOUZA PACINI",_xlfn.XLOOKUP(J140,[1]!Tabela33[ID ORACLE],[1]!Tabela33[BROKER],0,0,1)))))))))))))</f>
        <v>FERNANDO FERREIRA FEITOSA</v>
      </c>
      <c r="E140" s="22">
        <f t="shared" si="9"/>
        <v>-50.773000000000003</v>
      </c>
      <c r="F140" s="9" t="str">
        <f t="shared" si="10"/>
        <v>BLOOMBERG</v>
      </c>
      <c r="G140" s="20">
        <f t="shared" si="12"/>
        <v>46204</v>
      </c>
      <c r="H140" s="23">
        <v>1170</v>
      </c>
      <c r="I140"/>
      <c r="J140" s="1">
        <v>67841</v>
      </c>
      <c r="K140" s="45" t="s">
        <v>41</v>
      </c>
      <c r="L140" s="45" t="s">
        <v>12</v>
      </c>
      <c r="M140" s="45">
        <v>10</v>
      </c>
      <c r="N140" s="41"/>
      <c r="O140" s="1"/>
      <c r="Q140" s="27"/>
      <c r="R140" s="27"/>
      <c r="S140" s="28"/>
      <c r="U140" s="28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</row>
    <row r="141" spans="1:78" s="26" customFormat="1" ht="15" customHeight="1" x14ac:dyDescent="0.25">
      <c r="A141" s="5" t="str">
        <f t="shared" si="11"/>
        <v>CUSTO MARKET DATA - JULHO/26-REFINITIV-67841</v>
      </c>
      <c r="B141" s="20">
        <v>46204</v>
      </c>
      <c r="C141" s="21">
        <v>817393</v>
      </c>
      <c r="D141" s="9" t="str">
        <f>IF(J141=57036,"ALEXANDRE DA COSTA SOARES",IF(J141=24157,"JOSE MAURICIO GOMES TEIXEIRA",IF(J141=24203,"JOSE MAURICIO GOMES TEIXEIRA",IF(J141=24149,"CHRISTIANO MARCONDES DE BARROS LIMA",IF(J141=24137,"CHRISTIANO MARCONDES DE BARROS LIMA",IF(J141=135152,"ENRICO BORTPLUZO CASSIANO",IF(J141=136568,"ENRICO BORTPLUZO CASSIANO", IF(J141=130976,"MARYLIA CARVALHO PONCE",IF(J141=136668,"ALEXANDRE DA COSTA SOARES",IF(J141=52340,"OFFSHORE LISTED",IF(J141=158778,"CLAUDIO DE SOUZA PACINI",IF(J141=159800,"CLAUDIO DE SOUZA PACINI",_xlfn.XLOOKUP(J141,[1]!Tabela33[ID ORACLE],[1]!Tabela33[BROKER],0,0,1)))))))))))))</f>
        <v>FERNANDO FERREIRA FEITOSA</v>
      </c>
      <c r="E141" s="22">
        <f t="shared" si="9"/>
        <v>-140.7067406388</v>
      </c>
      <c r="F141" s="9" t="str">
        <f t="shared" si="10"/>
        <v>REFINITIV</v>
      </c>
      <c r="G141" s="20">
        <f t="shared" si="12"/>
        <v>46204</v>
      </c>
      <c r="H141" s="23">
        <v>1170</v>
      </c>
      <c r="I141"/>
      <c r="J141" s="1">
        <v>67841</v>
      </c>
      <c r="K141" s="45" t="s">
        <v>42</v>
      </c>
      <c r="L141" s="45" t="s">
        <v>17</v>
      </c>
      <c r="M141" s="45">
        <v>20.573868000000001</v>
      </c>
      <c r="N141" s="41"/>
      <c r="O141" s="1"/>
      <c r="Q141" s="27"/>
      <c r="R141" s="27"/>
      <c r="S141" s="28"/>
      <c r="U141" s="28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</row>
    <row r="142" spans="1:78" s="26" customFormat="1" ht="15" customHeight="1" x14ac:dyDescent="0.25">
      <c r="A142" s="5" t="str">
        <f t="shared" si="11"/>
        <v>CUSTO MARKET DATA - JULHO/26-BLOOMBERG-67843</v>
      </c>
      <c r="B142" s="20">
        <v>46204</v>
      </c>
      <c r="C142" s="21">
        <v>817393</v>
      </c>
      <c r="D142" s="9" t="str">
        <f>IF(J142=57036,"ALEXANDRE DA COSTA SOARES",IF(J142=24157,"JOSE MAURICIO GOMES TEIXEIRA",IF(J142=24203,"JOSE MAURICIO GOMES TEIXEIRA",IF(J142=24149,"CHRISTIANO MARCONDES DE BARROS LIMA",IF(J142=24137,"CHRISTIANO MARCONDES DE BARROS LIMA",IF(J142=135152,"ENRICO BORTPLUZO CASSIANO",IF(J142=136568,"ENRICO BORTPLUZO CASSIANO", IF(J142=130976,"MARYLIA CARVALHO PONCE",IF(J142=136668,"ALEXANDRE DA COSTA SOARES",IF(J142=52340,"OFFSHORE LISTED",IF(J142=158778,"CLAUDIO DE SOUZA PACINI",IF(J142=159800,"CLAUDIO DE SOUZA PACINI",_xlfn.XLOOKUP(J142,[1]!Tabela33[ID ORACLE],[1]!Tabela33[BROKER],0,0,1)))))))))))))</f>
        <v>ANTÔNIO MARTINS NETO</v>
      </c>
      <c r="E142" s="22">
        <f t="shared" si="9"/>
        <v>-12046.715584511801</v>
      </c>
      <c r="F142" s="9" t="str">
        <f t="shared" si="10"/>
        <v>BLOOMBERG</v>
      </c>
      <c r="G142" s="20">
        <f t="shared" si="12"/>
        <v>46204</v>
      </c>
      <c r="H142" s="23">
        <v>1170</v>
      </c>
      <c r="I142"/>
      <c r="J142" s="1">
        <v>67843</v>
      </c>
      <c r="K142" s="45" t="s">
        <v>41</v>
      </c>
      <c r="L142" s="45" t="s">
        <v>12</v>
      </c>
      <c r="M142" s="45">
        <v>2372.6617660000002</v>
      </c>
      <c r="N142" s="41"/>
      <c r="O142" s="1"/>
      <c r="Q142" s="27"/>
      <c r="R142" s="27"/>
      <c r="S142" s="28"/>
      <c r="U142" s="28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</row>
    <row r="143" spans="1:78" s="26" customFormat="1" ht="15" customHeight="1" x14ac:dyDescent="0.25">
      <c r="A143" s="5" t="str">
        <f t="shared" si="11"/>
        <v>CUSTO MARKET DATA - JULHO/26-REFINITIV-67843</v>
      </c>
      <c r="B143" s="20">
        <v>46204</v>
      </c>
      <c r="C143" s="21">
        <v>817393</v>
      </c>
      <c r="D143" s="9" t="str">
        <f>IF(J143=57036,"ALEXANDRE DA COSTA SOARES",IF(J143=24157,"JOSE MAURICIO GOMES TEIXEIRA",IF(J143=24203,"JOSE MAURICIO GOMES TEIXEIRA",IF(J143=24149,"CHRISTIANO MARCONDES DE BARROS LIMA",IF(J143=24137,"CHRISTIANO MARCONDES DE BARROS LIMA",IF(J143=135152,"ENRICO BORTPLUZO CASSIANO",IF(J143=136568,"ENRICO BORTPLUZO CASSIANO", IF(J143=130976,"MARYLIA CARVALHO PONCE",IF(J143=136668,"ALEXANDRE DA COSTA SOARES",IF(J143=52340,"OFFSHORE LISTED",IF(J143=158778,"CLAUDIO DE SOUZA PACINI",IF(J143=159800,"CLAUDIO DE SOUZA PACINI",_xlfn.XLOOKUP(J143,[1]!Tabela33[ID ORACLE],[1]!Tabela33[BROKER],0,0,1)))))))))))))</f>
        <v>ANTÔNIO MARTINS NETO</v>
      </c>
      <c r="E143" s="22">
        <f t="shared" si="9"/>
        <v>-140.7067406388</v>
      </c>
      <c r="F143" s="9" t="str">
        <f t="shared" si="10"/>
        <v>REFINITIV</v>
      </c>
      <c r="G143" s="20">
        <f t="shared" si="12"/>
        <v>46204</v>
      </c>
      <c r="H143" s="23">
        <v>1170</v>
      </c>
      <c r="I143"/>
      <c r="J143" s="1">
        <v>67843</v>
      </c>
      <c r="K143" s="45" t="s">
        <v>42</v>
      </c>
      <c r="L143" s="45" t="s">
        <v>17</v>
      </c>
      <c r="M143" s="45">
        <v>20.573868000000001</v>
      </c>
      <c r="N143" s="41"/>
      <c r="O143" s="1"/>
      <c r="Q143" s="27"/>
      <c r="R143" s="27"/>
      <c r="S143" s="28"/>
      <c r="U143" s="28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</row>
    <row r="144" spans="1:78" s="26" customFormat="1" ht="15" customHeight="1" x14ac:dyDescent="0.25">
      <c r="A144" s="5" t="str">
        <f t="shared" si="11"/>
        <v>CUSTO MARKET DATA - JULHO/26-BLOOMBERG-70461</v>
      </c>
      <c r="B144" s="20">
        <v>46204</v>
      </c>
      <c r="C144" s="21">
        <v>817393</v>
      </c>
      <c r="D144" s="9" t="str">
        <f>IF(J144=57036,"ALEXANDRE DA COSTA SOARES",IF(J144=24157,"JOSE MAURICIO GOMES TEIXEIRA",IF(J144=24203,"JOSE MAURICIO GOMES TEIXEIRA",IF(J144=24149,"CHRISTIANO MARCONDES DE BARROS LIMA",IF(J144=24137,"CHRISTIANO MARCONDES DE BARROS LIMA",IF(J144=135152,"ENRICO BORTPLUZO CASSIANO",IF(J144=136568,"ENRICO BORTPLUZO CASSIANO", IF(J144=130976,"MARYLIA CARVALHO PONCE",IF(J144=136668,"ALEXANDRE DA COSTA SOARES",IF(J144=52340,"OFFSHORE LISTED",IF(J144=158778,"CLAUDIO DE SOUZA PACINI",IF(J144=159800,"CLAUDIO DE SOUZA PACINI",_xlfn.XLOOKUP(J144,[1]!Tabela33[ID ORACLE],[1]!Tabela33[BROKER],0,0,1)))))))))))))</f>
        <v>ALVARO LUIZ RICOTTA SOARES</v>
      </c>
      <c r="E144" s="22">
        <f t="shared" si="9"/>
        <v>-9592.9050030359995</v>
      </c>
      <c r="F144" s="9" t="str">
        <f t="shared" si="10"/>
        <v>BLOOMBERG</v>
      </c>
      <c r="G144" s="20">
        <f t="shared" si="12"/>
        <v>46204</v>
      </c>
      <c r="H144" s="23">
        <v>1170</v>
      </c>
      <c r="I144"/>
      <c r="J144" s="1">
        <v>70461</v>
      </c>
      <c r="K144" s="1" t="s">
        <v>41</v>
      </c>
      <c r="L144" s="1" t="s">
        <v>12</v>
      </c>
      <c r="M144" s="2">
        <v>1889.37132</v>
      </c>
      <c r="N144"/>
      <c r="O144" s="1"/>
      <c r="Q144" s="27"/>
      <c r="R144" s="27"/>
      <c r="S144" s="28"/>
      <c r="U144" s="28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</row>
    <row r="145" spans="1:18" ht="15" customHeight="1" x14ac:dyDescent="0.25">
      <c r="A145" s="5" t="str">
        <f t="shared" si="11"/>
        <v>CUSTO MARKET DATA - JULHO/26-BLOOMBERG-70953</v>
      </c>
      <c r="B145" s="20">
        <v>46204</v>
      </c>
      <c r="C145" s="21">
        <v>817393</v>
      </c>
      <c r="D145" s="9" t="str">
        <f>IF(J145=57036,"ALEXANDRE DA COSTA SOARES",IF(J145=24157,"JOSE MAURICIO GOMES TEIXEIRA",IF(J145=24203,"JOSE MAURICIO GOMES TEIXEIRA",IF(J145=24149,"CHRISTIANO MARCONDES DE BARROS LIMA",IF(J145=24137,"CHRISTIANO MARCONDES DE BARROS LIMA",IF(J145=135152,"ENRICO BORTPLUZO CASSIANO",IF(J145=136568,"ENRICO BORTPLUZO CASSIANO", IF(J145=130976,"MARYLIA CARVALHO PONCE",IF(J145=136668,"ALEXANDRE DA COSTA SOARES",IF(J145=52340,"OFFSHORE LISTED",IF(J145=158778,"CLAUDIO DE SOUZA PACINI",IF(J145=159800,"CLAUDIO DE SOUZA PACINI",_xlfn.XLOOKUP(J145,[1]!Tabela33[ID ORACLE],[1]!Tabela33[BROKER],0,0,1)))))))))))))</f>
        <v>CARLOS BASILE</v>
      </c>
      <c r="E145" s="22">
        <f t="shared" si="9"/>
        <v>-12384.3560345118</v>
      </c>
      <c r="F145" s="9" t="str">
        <f t="shared" si="10"/>
        <v>BLOOMBERG</v>
      </c>
      <c r="G145" s="20">
        <f t="shared" si="12"/>
        <v>46204</v>
      </c>
      <c r="H145" s="23">
        <v>1170</v>
      </c>
      <c r="J145" s="1">
        <v>70953</v>
      </c>
      <c r="K145" s="1" t="s">
        <v>41</v>
      </c>
      <c r="L145" s="1" t="s">
        <v>12</v>
      </c>
      <c r="M145" s="2">
        <v>2439.1617660000002</v>
      </c>
      <c r="Q145" s="27"/>
      <c r="R145" s="27"/>
    </row>
    <row r="146" spans="1:18" ht="15" customHeight="1" x14ac:dyDescent="0.25">
      <c r="A146" s="5" t="str">
        <f t="shared" si="11"/>
        <v>CUSTO MARKET DATA - JULHO/26-REFINITIV-70953</v>
      </c>
      <c r="B146" s="20">
        <v>46204</v>
      </c>
      <c r="C146" s="21">
        <v>817393</v>
      </c>
      <c r="D146" s="9" t="str">
        <f>IF(J146=57036,"ALEXANDRE DA COSTA SOARES",IF(J146=24157,"JOSE MAURICIO GOMES TEIXEIRA",IF(J146=24203,"JOSE MAURICIO GOMES TEIXEIRA",IF(J146=24149,"CHRISTIANO MARCONDES DE BARROS LIMA",IF(J146=24137,"CHRISTIANO MARCONDES DE BARROS LIMA",IF(J146=135152,"ENRICO BORTPLUZO CASSIANO",IF(J146=136568,"ENRICO BORTPLUZO CASSIANO", IF(J146=130976,"MARYLIA CARVALHO PONCE",IF(J146=136668,"ALEXANDRE DA COSTA SOARES",IF(J146=52340,"OFFSHORE LISTED",IF(J146=158778,"CLAUDIO DE SOUZA PACINI",IF(J146=159800,"CLAUDIO DE SOUZA PACINI",_xlfn.XLOOKUP(J146,[1]!Tabela33[ID ORACLE],[1]!Tabela33[BROKER],0,0,1)))))))))))))</f>
        <v>CARLOS BASILE</v>
      </c>
      <c r="E146" s="22">
        <f t="shared" si="9"/>
        <v>-619.18598863799991</v>
      </c>
      <c r="F146" s="9" t="str">
        <f t="shared" si="10"/>
        <v>REFINITIV</v>
      </c>
      <c r="G146" s="20">
        <f t="shared" si="12"/>
        <v>46204</v>
      </c>
      <c r="H146" s="23">
        <v>1170</v>
      </c>
      <c r="J146" s="1">
        <v>70953</v>
      </c>
      <c r="K146" s="1" t="s">
        <v>42</v>
      </c>
      <c r="L146" s="1" t="s">
        <v>17</v>
      </c>
      <c r="M146" s="2">
        <v>90.536179999999987</v>
      </c>
      <c r="Q146" s="27"/>
      <c r="R146" s="27"/>
    </row>
    <row r="147" spans="1:18" ht="15" customHeight="1" x14ac:dyDescent="0.25">
      <c r="A147" s="5" t="str">
        <f t="shared" si="11"/>
        <v>CUSTO MARKET DATA - JULHO/26-REFINITIV-72574</v>
      </c>
      <c r="B147" s="20">
        <v>46204</v>
      </c>
      <c r="C147" s="21">
        <v>817393</v>
      </c>
      <c r="D147" s="9" t="str">
        <f>IF(J147=57036,"ALEXANDRE DA COSTA SOARES",IF(J147=24157,"JOSE MAURICIO GOMES TEIXEIRA",IF(J147=24203,"JOSE MAURICIO GOMES TEIXEIRA",IF(J147=24149,"CHRISTIANO MARCONDES DE BARROS LIMA",IF(J147=24137,"CHRISTIANO MARCONDES DE BARROS LIMA",IF(J147=135152,"ENRICO BORTPLUZO CASSIANO",IF(J147=136568,"ENRICO BORTPLUZO CASSIANO", IF(J147=130976,"MARYLIA CARVALHO PONCE",IF(J147=136668,"ALEXANDRE DA COSTA SOARES",IF(J147=52340,"OFFSHORE LISTED",IF(J147=158778,"CLAUDIO DE SOUZA PACINI",IF(J147=159800,"CLAUDIO DE SOUZA PACINI",_xlfn.XLOOKUP(J147,[1]!Tabela33[ID ORACLE],[1]!Tabela33[BROKER],0,0,1)))))))))))))</f>
        <v>CARLOS JOSE SEPPE MILANI</v>
      </c>
      <c r="E147" s="22">
        <f t="shared" si="9"/>
        <v>-140.7067406388</v>
      </c>
      <c r="F147" s="9" t="str">
        <f t="shared" si="10"/>
        <v>REFINITIV</v>
      </c>
      <c r="G147" s="20">
        <f t="shared" si="12"/>
        <v>46204</v>
      </c>
      <c r="H147" s="23">
        <v>1170</v>
      </c>
      <c r="J147" s="1">
        <v>72574</v>
      </c>
      <c r="K147" s="1" t="s">
        <v>42</v>
      </c>
      <c r="L147" s="1" t="s">
        <v>17</v>
      </c>
      <c r="M147" s="2">
        <v>20.573868000000001</v>
      </c>
      <c r="Q147" s="27"/>
      <c r="R147" s="27"/>
    </row>
    <row r="148" spans="1:18" ht="15" customHeight="1" x14ac:dyDescent="0.25">
      <c r="A148" s="5" t="str">
        <f t="shared" si="11"/>
        <v>CUSTO MARKET DATA - JULHO/26-BLOOMBERG-100142</v>
      </c>
      <c r="B148" s="20">
        <v>46204</v>
      </c>
      <c r="C148" s="21">
        <v>817393</v>
      </c>
      <c r="D148" s="9" t="str">
        <f>IF(J148=57036,"ALEXANDRE DA COSTA SOARES",IF(J148=24157,"JOSE MAURICIO GOMES TEIXEIRA",IF(J148=24203,"JOSE MAURICIO GOMES TEIXEIRA",IF(J148=24149,"CHRISTIANO MARCONDES DE BARROS LIMA",IF(J148=24137,"CHRISTIANO MARCONDES DE BARROS LIMA",IF(J148=135152,"ENRICO BORTPLUZO CASSIANO",IF(J148=136568,"ENRICO BORTPLUZO CASSIANO", IF(J148=130976,"MARYLIA CARVALHO PONCE",IF(J148=136668,"ALEXANDRE DA COSTA SOARES",IF(J148=52340,"OFFSHORE LISTED",IF(J148=158778,"CLAUDIO DE SOUZA PACINI",IF(J148=159800,"CLAUDIO DE SOUZA PACINI",_xlfn.XLOOKUP(J148,[1]!Tabela33[ID ORACLE],[1]!Tabela33[BROKER],0,0,1)))))))))))))</f>
        <v>RAFAEL TENORIO CAVALCANTI</v>
      </c>
      <c r="E148" s="22">
        <f t="shared" si="9"/>
        <v>-12184.504540000002</v>
      </c>
      <c r="F148" s="9" t="str">
        <f t="shared" si="10"/>
        <v>BLOOMBERG</v>
      </c>
      <c r="G148" s="20">
        <f t="shared" si="12"/>
        <v>46204</v>
      </c>
      <c r="H148" s="23">
        <v>1170</v>
      </c>
      <c r="J148" s="1">
        <v>100142</v>
      </c>
      <c r="K148" s="1" t="s">
        <v>41</v>
      </c>
      <c r="L148" s="1" t="s">
        <v>12</v>
      </c>
      <c r="M148" s="2">
        <v>2399.8000000000002</v>
      </c>
      <c r="Q148" s="27"/>
      <c r="R148" s="27"/>
    </row>
    <row r="149" spans="1:18" ht="15" customHeight="1" x14ac:dyDescent="0.25">
      <c r="A149" s="5" t="str">
        <f t="shared" si="11"/>
        <v>CUSTO MARKET DATA - JULHO/26-BLOOMBERG-136667</v>
      </c>
      <c r="B149" s="20">
        <v>46204</v>
      </c>
      <c r="C149" s="21">
        <v>817393</v>
      </c>
      <c r="D149" s="9" t="str">
        <f>IF(J149=57036,"ALEXANDRE DA COSTA SOARES",IF(J149=24157,"JOSE MAURICIO GOMES TEIXEIRA",IF(J149=24203,"JOSE MAURICIO GOMES TEIXEIRA",IF(J149=24149,"CHRISTIANO MARCONDES DE BARROS LIMA",IF(J149=24137,"CHRISTIANO MARCONDES DE BARROS LIMA",IF(J149=135152,"ENRICO BORTPLUZO CASSIANO",IF(J149=136568,"ENRICO BORTPLUZO CASSIANO", IF(J149=130976,"MARYLIA CARVALHO PONCE",IF(J149=136668,"ALEXANDRE DA COSTA SOARES",IF(J149=52340,"OFFSHORE LISTED",IF(J149=158778,"CLAUDIO DE SOUZA PACINI",IF(J149=159800,"CLAUDIO DE SOUZA PACINI",_xlfn.XLOOKUP(J149,[1]!Tabela33[ID ORACLE],[1]!Tabela33[BROKER],0,0,1)))))))))))))</f>
        <v>HUGO BIANCHI RIBEIRO</v>
      </c>
      <c r="E149" s="22">
        <f t="shared" si="9"/>
        <v>-12184.504540000002</v>
      </c>
      <c r="F149" s="9" t="str">
        <f t="shared" si="10"/>
        <v>BLOOMBERG</v>
      </c>
      <c r="G149" s="20">
        <f t="shared" si="12"/>
        <v>46204</v>
      </c>
      <c r="H149" s="23">
        <v>1170</v>
      </c>
      <c r="J149" s="1">
        <v>136667</v>
      </c>
      <c r="K149" s="1" t="s">
        <v>41</v>
      </c>
      <c r="L149" s="1" t="s">
        <v>12</v>
      </c>
      <c r="M149" s="2">
        <v>2399.8000000000002</v>
      </c>
      <c r="Q149" s="27"/>
      <c r="R149" s="27"/>
    </row>
    <row r="150" spans="1:18" ht="15" customHeight="1" x14ac:dyDescent="0.25">
      <c r="A150" s="5" t="str">
        <f t="shared" si="11"/>
        <v>CUSTO MARKET DATA - JULHO/26-BLOOMBERG-66729</v>
      </c>
      <c r="B150" s="20">
        <v>46204</v>
      </c>
      <c r="C150" s="21">
        <v>817393</v>
      </c>
      <c r="D150" s="9" t="str">
        <f>IF(J150=57036,"ALEXANDRE DA COSTA SOARES",IF(J150=24157,"JOSE MAURICIO GOMES TEIXEIRA",IF(J150=24203,"JOSE MAURICIO GOMES TEIXEIRA",IF(J150=24149,"CHRISTIANO MARCONDES DE BARROS LIMA",IF(J150=24137,"CHRISTIANO MARCONDES DE BARROS LIMA",IF(J150=135152,"ENRICO BORTPLUZO CASSIANO",IF(J150=136568,"ENRICO BORTPLUZO CASSIANO", IF(J150=130976,"MARYLIA CARVALHO PONCE",IF(J150=136668,"ALEXANDRE DA COSTA SOARES",IF(J150=52340,"OFFSHORE LISTED",IF(J150=158778,"CLAUDIO DE SOUZA PACINI",IF(J150=159800,"CLAUDIO DE SOUZA PACINI",_xlfn.XLOOKUP(J150,[1]!Tabela33[ID ORACLE],[1]!Tabela33[BROKER],0,0,1)))))))))))))</f>
        <v>PAOLO FRANCA LIDA</v>
      </c>
      <c r="E150" s="22">
        <f t="shared" si="9"/>
        <v>-11448.296040000001</v>
      </c>
      <c r="F150" s="9" t="str">
        <f t="shared" si="10"/>
        <v>BLOOMBERG</v>
      </c>
      <c r="G150" s="20">
        <f t="shared" si="12"/>
        <v>46204</v>
      </c>
      <c r="H150" s="23">
        <v>1170</v>
      </c>
      <c r="J150" s="1">
        <v>66729</v>
      </c>
      <c r="K150" s="1" t="s">
        <v>41</v>
      </c>
      <c r="L150" s="1" t="s">
        <v>12</v>
      </c>
      <c r="M150" s="2">
        <v>2254.8000000000002</v>
      </c>
      <c r="Q150" s="27"/>
      <c r="R150" s="27"/>
    </row>
    <row r="151" spans="1:18" ht="15" customHeight="1" x14ac:dyDescent="0.25">
      <c r="A151" s="5" t="str">
        <f t="shared" si="11"/>
        <v>CUSTO MARKET DATA - JULHO/26-BLOOMBERG-128550</v>
      </c>
      <c r="B151" s="20">
        <v>46204</v>
      </c>
      <c r="C151" s="21">
        <v>817393</v>
      </c>
      <c r="D151" s="9" t="str">
        <f>IF(J151=57036,"ALEXANDRE DA COSTA SOARES",IF(J151=24157,"JOSE MAURICIO GOMES TEIXEIRA",IF(J151=24203,"JOSE MAURICIO GOMES TEIXEIRA",IF(J151=24149,"CHRISTIANO MARCONDES DE BARROS LIMA",IF(J151=24137,"CHRISTIANO MARCONDES DE BARROS LIMA",IF(J151=135152,"ENRICO BORTPLUZO CASSIANO",IF(J151=136568,"ENRICO BORTPLUZO CASSIANO", IF(J151=130976,"MARYLIA CARVALHO PONCE",IF(J151=136668,"ALEXANDRE DA COSTA SOARES",IF(J151=52340,"OFFSHORE LISTED",IF(J151=158778,"CLAUDIO DE SOUZA PACINI",IF(J151=159800,"CLAUDIO DE SOUZA PACINI",_xlfn.XLOOKUP(J151,[1]!Tabela33[ID ORACLE],[1]!Tabela33[BROKER],0,0,1)))))))))))))</f>
        <v>ALINE FAUSTINI</v>
      </c>
      <c r="E151" s="22">
        <f t="shared" si="9"/>
        <v>-13940.633839002099</v>
      </c>
      <c r="F151" s="9" t="str">
        <f t="shared" si="10"/>
        <v>BLOOMBERG</v>
      </c>
      <c r="G151" s="20">
        <f t="shared" si="12"/>
        <v>46204</v>
      </c>
      <c r="H151" s="23">
        <v>1170</v>
      </c>
      <c r="J151" s="1">
        <v>128550</v>
      </c>
      <c r="K151" s="1" t="s">
        <v>41</v>
      </c>
      <c r="L151" s="1" t="s">
        <v>12</v>
      </c>
      <c r="M151" s="2">
        <v>2745.6785769999997</v>
      </c>
      <c r="Q151" s="27"/>
      <c r="R151" s="27"/>
    </row>
    <row r="152" spans="1:18" ht="15" customHeight="1" x14ac:dyDescent="0.25">
      <c r="A152" s="5" t="str">
        <f t="shared" si="11"/>
        <v>CUSTO MARKET DATA - JULHO/26-NYSE MARKET INC.-128550</v>
      </c>
      <c r="B152" s="20">
        <v>46204</v>
      </c>
      <c r="C152" s="21">
        <v>817393</v>
      </c>
      <c r="D152" s="9" t="str">
        <f>IF(J152=57036,"ALEXANDRE DA COSTA SOARES",IF(J152=24157,"JOSE MAURICIO GOMES TEIXEIRA",IF(J152=24203,"JOSE MAURICIO GOMES TEIXEIRA",IF(J152=24149,"CHRISTIANO MARCONDES DE BARROS LIMA",IF(J152=24137,"CHRISTIANO MARCONDES DE BARROS LIMA",IF(J152=135152,"ENRICO BORTPLUZO CASSIANO",IF(J152=136568,"ENRICO BORTPLUZO CASSIANO", IF(J152=130976,"MARYLIA CARVALHO PONCE",IF(J152=136668,"ALEXANDRE DA COSTA SOARES",IF(J152=52340,"OFFSHORE LISTED",IF(J152=158778,"CLAUDIO DE SOUZA PACINI",IF(J152=159800,"CLAUDIO DE SOUZA PACINI",_xlfn.XLOOKUP(J152,[1]!Tabela33[ID ORACLE],[1]!Tabela33[BROKER],0,0,1)))))))))))))</f>
        <v>ALINE FAUSTINI</v>
      </c>
      <c r="E152" s="22">
        <f t="shared" si="9"/>
        <v>-149.25358012499998</v>
      </c>
      <c r="F152" s="9" t="str">
        <f t="shared" si="10"/>
        <v>NYSE MARKET INC.</v>
      </c>
      <c r="G152" s="20">
        <f t="shared" si="12"/>
        <v>46204</v>
      </c>
      <c r="H152" s="23">
        <v>1170</v>
      </c>
      <c r="J152" s="1">
        <v>128550</v>
      </c>
      <c r="K152" s="1" t="s">
        <v>44</v>
      </c>
      <c r="L152" s="1" t="s">
        <v>12</v>
      </c>
      <c r="M152" s="2">
        <v>29.396249999999998</v>
      </c>
      <c r="Q152" s="27"/>
      <c r="R152" s="27"/>
    </row>
    <row r="153" spans="1:18" ht="15" customHeight="1" x14ac:dyDescent="0.25">
      <c r="A153" s="5" t="str">
        <f t="shared" si="11"/>
        <v>CUSTO MARKET DATA - JULHO/26-REFINITIV-128550</v>
      </c>
      <c r="B153" s="20">
        <v>46204</v>
      </c>
      <c r="C153" s="21">
        <v>817393</v>
      </c>
      <c r="D153" s="9" t="str">
        <f>IF(J153=57036,"ALEXANDRE DA COSTA SOARES",IF(J153=24157,"JOSE MAURICIO GOMES TEIXEIRA",IF(J153=24203,"JOSE MAURICIO GOMES TEIXEIRA",IF(J153=24149,"CHRISTIANO MARCONDES DE BARROS LIMA",IF(J153=24137,"CHRISTIANO MARCONDES DE BARROS LIMA",IF(J153=135152,"ENRICO BORTPLUZO CASSIANO",IF(J153=136568,"ENRICO BORTPLUZO CASSIANO", IF(J153=130976,"MARYLIA CARVALHO PONCE",IF(J153=136668,"ALEXANDRE DA COSTA SOARES",IF(J153=52340,"OFFSHORE LISTED",IF(J153=158778,"CLAUDIO DE SOUZA PACINI",IF(J153=159800,"CLAUDIO DE SOUZA PACINI",_xlfn.XLOOKUP(J153,[1]!Tabela33[ID ORACLE],[1]!Tabela33[BROKER],0,0,1)))))))))))))</f>
        <v>ALINE FAUSTINI</v>
      </c>
      <c r="E153" s="22">
        <f t="shared" si="9"/>
        <v>-619.18598863800003</v>
      </c>
      <c r="F153" s="9" t="str">
        <f t="shared" si="10"/>
        <v>REFINITIV</v>
      </c>
      <c r="G153" s="20">
        <f t="shared" si="12"/>
        <v>46204</v>
      </c>
      <c r="H153" s="23">
        <v>1170</v>
      </c>
      <c r="J153" s="1">
        <v>128550</v>
      </c>
      <c r="K153" s="1" t="s">
        <v>42</v>
      </c>
      <c r="L153" s="1" t="s">
        <v>17</v>
      </c>
      <c r="M153" s="2">
        <v>90.536180000000002</v>
      </c>
      <c r="Q153" s="27"/>
      <c r="R153" s="27"/>
    </row>
    <row r="154" spans="1:18" ht="15" customHeight="1" x14ac:dyDescent="0.25">
      <c r="A154" s="5" t="str">
        <f t="shared" si="11"/>
        <v>CUSTO MARKET DATA - JULHO/26-BLOOMBERG-153754</v>
      </c>
      <c r="B154" s="20">
        <v>46204</v>
      </c>
      <c r="C154" s="21">
        <v>817393</v>
      </c>
      <c r="D154" s="9" t="str">
        <f>IF(J154=57036,"ALEXANDRE DA COSTA SOARES",IF(J154=24157,"JOSE MAURICIO GOMES TEIXEIRA",IF(J154=24203,"JOSE MAURICIO GOMES TEIXEIRA",IF(J154=24149,"CHRISTIANO MARCONDES DE BARROS LIMA",IF(J154=24137,"CHRISTIANO MARCONDES DE BARROS LIMA",IF(J154=135152,"ENRICO BORTPLUZO CASSIANO",IF(J154=136568,"ENRICO BORTPLUZO CASSIANO", IF(J154=130976,"MARYLIA CARVALHO PONCE",IF(J154=136668,"ALEXANDRE DA COSTA SOARES",IF(J154=52340,"OFFSHORE LISTED",IF(J154=158778,"CLAUDIO DE SOUZA PACINI",IF(J154=159800,"CLAUDIO DE SOUZA PACINI",_xlfn.XLOOKUP(J154,[1]!Tabela33[ID ORACLE],[1]!Tabela33[BROKER],0,0,1)))))))))))))</f>
        <v>CLAUDIO DE SOUZA PACINI</v>
      </c>
      <c r="E154" s="22">
        <f t="shared" si="9"/>
        <v>-17359.292949700102</v>
      </c>
      <c r="F154" s="9" t="str">
        <f t="shared" si="10"/>
        <v>BLOOMBERG</v>
      </c>
      <c r="G154" s="20">
        <f t="shared" si="12"/>
        <v>46204</v>
      </c>
      <c r="H154" s="23">
        <v>1170</v>
      </c>
      <c r="J154" s="1">
        <v>153754</v>
      </c>
      <c r="K154" s="1" t="s">
        <v>41</v>
      </c>
      <c r="L154" s="1" t="s">
        <v>12</v>
      </c>
      <c r="M154" s="2">
        <v>3419.000837</v>
      </c>
      <c r="Q154" s="27"/>
      <c r="R154" s="27"/>
    </row>
    <row r="155" spans="1:18" ht="15" customHeight="1" x14ac:dyDescent="0.25">
      <c r="A155" s="5" t="str">
        <f t="shared" si="11"/>
        <v>CUSTO MARKET DATA - JULHO/26-FIDESSA-153754</v>
      </c>
      <c r="B155" s="20">
        <v>46204</v>
      </c>
      <c r="C155" s="21">
        <v>817393</v>
      </c>
      <c r="D155" s="9" t="str">
        <f>IF(J155=57036,"ALEXANDRE DA COSTA SOARES",IF(J155=24157,"JOSE MAURICIO GOMES TEIXEIRA",IF(J155=24203,"JOSE MAURICIO GOMES TEIXEIRA",IF(J155=24149,"CHRISTIANO MARCONDES DE BARROS LIMA",IF(J155=24137,"CHRISTIANO MARCONDES DE BARROS LIMA",IF(J155=135152,"ENRICO BORTPLUZO CASSIANO",IF(J155=136568,"ENRICO BORTPLUZO CASSIANO", IF(J155=130976,"MARYLIA CARVALHO PONCE",IF(J155=136668,"ALEXANDRE DA COSTA SOARES",IF(J155=52340,"OFFSHORE LISTED",IF(J155=158778,"CLAUDIO DE SOUZA PACINI",IF(J155=159800,"CLAUDIO DE SOUZA PACINI",_xlfn.XLOOKUP(J155,[1]!Tabela33[ID ORACLE],[1]!Tabela33[BROKER],0,0,1)))))))))))))</f>
        <v>CLAUDIO DE SOUZA PACINI</v>
      </c>
      <c r="E155" s="22">
        <f t="shared" si="9"/>
        <v>-2710.9425346197004</v>
      </c>
      <c r="F155" s="9" t="str">
        <f t="shared" si="10"/>
        <v>FIDESSA</v>
      </c>
      <c r="G155" s="20">
        <f t="shared" si="12"/>
        <v>46204</v>
      </c>
      <c r="H155" s="23">
        <v>1170</v>
      </c>
      <c r="J155" s="1">
        <v>153754</v>
      </c>
      <c r="K155" s="1" t="s">
        <v>47</v>
      </c>
      <c r="L155" s="1" t="s">
        <v>12</v>
      </c>
      <c r="M155" s="2">
        <v>533.93388900000002</v>
      </c>
      <c r="Q155" s="27"/>
      <c r="R155" s="27"/>
    </row>
    <row r="156" spans="1:18" ht="15" customHeight="1" x14ac:dyDescent="0.25">
      <c r="A156" s="5" t="str">
        <f t="shared" si="11"/>
        <v>CUSTO MARKET DATA - JULHO/26-NYSE MARKET INC.-153754</v>
      </c>
      <c r="B156" s="20">
        <v>46204</v>
      </c>
      <c r="C156" s="21">
        <v>817393</v>
      </c>
      <c r="D156" s="9" t="str">
        <f>IF(J156=57036,"ALEXANDRE DA COSTA SOARES",IF(J156=24157,"JOSE MAURICIO GOMES TEIXEIRA",IF(J156=24203,"JOSE MAURICIO GOMES TEIXEIRA",IF(J156=24149,"CHRISTIANO MARCONDES DE BARROS LIMA",IF(J156=24137,"CHRISTIANO MARCONDES DE BARROS LIMA",IF(J156=135152,"ENRICO BORTPLUZO CASSIANO",IF(J156=136568,"ENRICO BORTPLUZO CASSIANO", IF(J156=130976,"MARYLIA CARVALHO PONCE",IF(J156=136668,"ALEXANDRE DA COSTA SOARES",IF(J156=52340,"OFFSHORE LISTED",IF(J156=158778,"CLAUDIO DE SOUZA PACINI",IF(J156=159800,"CLAUDIO DE SOUZA PACINI",_xlfn.XLOOKUP(J156,[1]!Tabela33[ID ORACLE],[1]!Tabela33[BROKER],0,0,1)))))))))))))</f>
        <v>CLAUDIO DE SOUZA PACINI</v>
      </c>
      <c r="E156" s="22">
        <f t="shared" si="9"/>
        <v>-1852.03402775</v>
      </c>
      <c r="F156" s="9" t="str">
        <f t="shared" si="10"/>
        <v>NYSE MARKET INC.</v>
      </c>
      <c r="G156" s="20">
        <f t="shared" si="12"/>
        <v>46204</v>
      </c>
      <c r="H156" s="23">
        <v>1170</v>
      </c>
      <c r="J156" s="1">
        <v>153754</v>
      </c>
      <c r="K156" s="1" t="s">
        <v>44</v>
      </c>
      <c r="L156" s="1" t="s">
        <v>12</v>
      </c>
      <c r="M156" s="2">
        <v>364.76749999999998</v>
      </c>
      <c r="Q156" s="27"/>
      <c r="R156" s="27"/>
    </row>
    <row r="157" spans="1:18" ht="15" customHeight="1" x14ac:dyDescent="0.25">
      <c r="A157" s="5" t="str">
        <f t="shared" si="11"/>
        <v>CUSTO MARKET DATA - JULHO/26-OPTIONS PRICE REPORTING AUTHORITY (OPRA)-153754</v>
      </c>
      <c r="B157" s="20">
        <v>46204</v>
      </c>
      <c r="C157" s="21">
        <v>817393</v>
      </c>
      <c r="D157" s="9" t="str">
        <f>IF(J157=57036,"ALEXANDRE DA COSTA SOARES",IF(J157=24157,"JOSE MAURICIO GOMES TEIXEIRA",IF(J157=24203,"JOSE MAURICIO GOMES TEIXEIRA",IF(J157=24149,"CHRISTIANO MARCONDES DE BARROS LIMA",IF(J157=24137,"CHRISTIANO MARCONDES DE BARROS LIMA",IF(J157=135152,"ENRICO BORTPLUZO CASSIANO",IF(J157=136568,"ENRICO BORTPLUZO CASSIANO", IF(J157=130976,"MARYLIA CARVALHO PONCE",IF(J157=136668,"ALEXANDRE DA COSTA SOARES",IF(J157=52340,"OFFSHORE LISTED",IF(J157=158778,"CLAUDIO DE SOUZA PACINI",IF(J157=159800,"CLAUDIO DE SOUZA PACINI",_xlfn.XLOOKUP(J157,[1]!Tabela33[ID ORACLE],[1]!Tabela33[BROKER],0,0,1)))))))))))))</f>
        <v>CLAUDIO DE SOUZA PACINI</v>
      </c>
      <c r="E157" s="22">
        <f t="shared" ref="E157:E159" si="13">-IF(L157="BRL",M157,IF(L157="GBP",M157*$R$1,IF(L157="CAD",M157*$T$1,M157*$P$1)))</f>
        <v>-334.06412681250004</v>
      </c>
      <c r="F157" s="9" t="str">
        <f t="shared" ref="F157:F159" si="14">IF(UPPER(K157)="Valor Analytics LLC","VALOR",UPPER(K157))</f>
        <v>OPTIONS PRICE REPORTING AUTHORITY (OPRA)</v>
      </c>
      <c r="G157" s="20">
        <f t="shared" si="12"/>
        <v>46204</v>
      </c>
      <c r="H157" s="23">
        <v>1170</v>
      </c>
      <c r="J157" s="1">
        <v>153754</v>
      </c>
      <c r="K157" s="1" t="s">
        <v>45</v>
      </c>
      <c r="L157" s="1" t="s">
        <v>12</v>
      </c>
      <c r="M157" s="2">
        <v>65.795625000000001</v>
      </c>
      <c r="Q157" s="27"/>
      <c r="R157" s="27"/>
    </row>
    <row r="158" spans="1:18" ht="15" customHeight="1" x14ac:dyDescent="0.25">
      <c r="A158" s="5" t="str">
        <f t="shared" si="11"/>
        <v>CUSTO MARKET DATA - JULHO/26-TORONTO STOCK EXCHANGE-153754</v>
      </c>
      <c r="B158" s="20">
        <v>46204</v>
      </c>
      <c r="C158" s="21">
        <v>817393</v>
      </c>
      <c r="D158" s="9" t="str">
        <f>IF(J158=57036,"ALEXANDRE DA COSTA SOARES",IF(J158=24157,"JOSE MAURICIO GOMES TEIXEIRA",IF(J158=24203,"JOSE MAURICIO GOMES TEIXEIRA",IF(J158=24149,"CHRISTIANO MARCONDES DE BARROS LIMA",IF(J158=24137,"CHRISTIANO MARCONDES DE BARROS LIMA",IF(J158=135152,"ENRICO BORTPLUZO CASSIANO",IF(J158=136568,"ENRICO BORTPLUZO CASSIANO", IF(J158=130976,"MARYLIA CARVALHO PONCE",IF(J158=136668,"ALEXANDRE DA COSTA SOARES",IF(J158=52340,"OFFSHORE LISTED",IF(J158=158778,"CLAUDIO DE SOUZA PACINI",IF(J158=159800,"CLAUDIO DE SOUZA PACINI",_xlfn.XLOOKUP(J158,[1]!Tabela33[ID ORACLE],[1]!Tabela33[BROKER],0,0,1)))))))))))))</f>
        <v>CLAUDIO DE SOUZA PACINI</v>
      </c>
      <c r="E158" s="22">
        <f t="shared" si="13"/>
        <v>-340.33141900000004</v>
      </c>
      <c r="F158" s="9" t="str">
        <f t="shared" si="14"/>
        <v>TORONTO STOCK EXCHANGE</v>
      </c>
      <c r="G158" s="20">
        <f t="shared" si="12"/>
        <v>46204</v>
      </c>
      <c r="H158" s="23">
        <v>1170</v>
      </c>
      <c r="J158" s="1">
        <v>153754</v>
      </c>
      <c r="K158" s="1" t="s">
        <v>51</v>
      </c>
      <c r="L158" s="1" t="s">
        <v>12</v>
      </c>
      <c r="M158" s="2">
        <v>67.03</v>
      </c>
      <c r="Q158" s="27"/>
      <c r="R158" s="27"/>
    </row>
    <row r="159" spans="1:18" ht="15" customHeight="1" x14ac:dyDescent="0.25">
      <c r="A159" s="5" t="str">
        <f t="shared" si="11"/>
        <v>CUSTO MARKET DATA - JULHO/26-TRADE THE NEWS, INC.-153754</v>
      </c>
      <c r="B159" s="20">
        <v>46204</v>
      </c>
      <c r="C159" s="21">
        <v>817393</v>
      </c>
      <c r="D159" s="9" t="str">
        <f>IF(J159=57036,"ALEXANDRE DA COSTA SOARES",IF(J159=24157,"JOSE MAURICIO GOMES TEIXEIRA",IF(J159=24203,"JOSE MAURICIO GOMES TEIXEIRA",IF(J159=24149,"CHRISTIANO MARCONDES DE BARROS LIMA",IF(J159=24137,"CHRISTIANO MARCONDES DE BARROS LIMA",IF(J159=135152,"ENRICO BORTPLUZO CASSIANO",IF(J159=136568,"ENRICO BORTPLUZO CASSIANO", IF(J159=130976,"MARYLIA CARVALHO PONCE",IF(J159=136668,"ALEXANDRE DA COSTA SOARES",IF(J159=52340,"OFFSHORE LISTED",IF(J159=158778,"CLAUDIO DE SOUZA PACINI",IF(J159=159800,"CLAUDIO DE SOUZA PACINI",_xlfn.XLOOKUP(J159,[1]!Tabela33[ID ORACLE],[1]!Tabela33[BROKER],0,0,1)))))))))))))</f>
        <v>CLAUDIO DE SOUZA PACINI</v>
      </c>
      <c r="E159" s="22">
        <f t="shared" si="13"/>
        <v>-1216.4364566409001</v>
      </c>
      <c r="F159" s="9" t="str">
        <f t="shared" si="14"/>
        <v>TRADE THE NEWS, INC.</v>
      </c>
      <c r="G159" s="20">
        <f t="shared" si="12"/>
        <v>46204</v>
      </c>
      <c r="H159" s="23">
        <v>1170</v>
      </c>
      <c r="J159" s="1">
        <v>153754</v>
      </c>
      <c r="K159" s="1" t="s">
        <v>52</v>
      </c>
      <c r="L159" s="1" t="s">
        <v>12</v>
      </c>
      <c r="M159" s="2">
        <v>239.58333300000001</v>
      </c>
      <c r="Q159" s="27"/>
      <c r="R159" s="27"/>
    </row>
    <row r="160" spans="1:18" ht="15" customHeight="1" x14ac:dyDescent="0.25">
      <c r="A160" s="9"/>
      <c r="B160" s="20"/>
      <c r="C160" s="21"/>
      <c r="D160" s="9"/>
      <c r="E160" s="22"/>
      <c r="F160" s="9"/>
      <c r="G160" s="20"/>
      <c r="H160" s="23"/>
      <c r="Q160" s="27"/>
      <c r="R160" s="27"/>
    </row>
    <row r="161" spans="1:18" ht="15" customHeight="1" x14ac:dyDescent="0.25">
      <c r="A161" s="9"/>
      <c r="B161" s="20"/>
      <c r="C161" s="21"/>
      <c r="D161" s="9"/>
      <c r="E161" s="22"/>
      <c r="F161" s="9"/>
      <c r="G161" s="20"/>
      <c r="H161" s="46"/>
      <c r="Q161" s="27"/>
      <c r="R161" s="27"/>
    </row>
    <row r="162" spans="1:18" ht="15" customHeight="1" x14ac:dyDescent="0.25">
      <c r="A162" s="9"/>
      <c r="B162" s="20"/>
      <c r="C162" s="21"/>
      <c r="D162" s="9"/>
      <c r="E162" s="22"/>
      <c r="F162" s="9"/>
      <c r="G162" s="20"/>
      <c r="H162" s="46"/>
      <c r="Q162" s="27"/>
      <c r="R162" s="27"/>
    </row>
    <row r="163" spans="1:18" ht="15" customHeight="1" x14ac:dyDescent="0.25">
      <c r="A163" s="9"/>
      <c r="B163" s="20"/>
      <c r="C163" s="21"/>
      <c r="D163" s="9"/>
      <c r="E163" s="22"/>
      <c r="F163" s="9"/>
      <c r="G163" s="20"/>
      <c r="H163" s="46"/>
      <c r="Q163" s="27"/>
      <c r="R163" s="27"/>
    </row>
    <row r="164" spans="1:18" ht="15" customHeight="1" x14ac:dyDescent="0.25">
      <c r="A164" s="9"/>
      <c r="B164" s="20"/>
      <c r="C164" s="21"/>
      <c r="D164" s="9"/>
      <c r="E164" s="22"/>
      <c r="F164" s="9"/>
      <c r="G164" s="20"/>
      <c r="H164" s="46"/>
      <c r="Q164" s="27"/>
      <c r="R164" s="27"/>
    </row>
    <row r="165" spans="1:18" ht="15" customHeight="1" x14ac:dyDescent="0.25">
      <c r="A165" s="9"/>
      <c r="B165" s="20"/>
      <c r="C165" s="21"/>
      <c r="D165" s="9"/>
      <c r="E165" s="22"/>
      <c r="F165" s="9"/>
      <c r="G165" s="20"/>
      <c r="H165" s="46"/>
    </row>
    <row r="166" spans="1:18" ht="15" customHeight="1" x14ac:dyDescent="0.25">
      <c r="A166" s="9"/>
      <c r="B166" s="20"/>
      <c r="C166" s="21"/>
      <c r="D166" s="9"/>
      <c r="E166" s="22"/>
      <c r="F166" s="9"/>
      <c r="G166" s="20"/>
      <c r="H166" s="46"/>
    </row>
    <row r="167" spans="1:18" ht="15" customHeight="1" x14ac:dyDescent="0.25">
      <c r="A167" s="9"/>
      <c r="B167" s="20"/>
      <c r="C167" s="21"/>
      <c r="D167" s="9"/>
      <c r="E167" s="22"/>
      <c r="F167" s="9"/>
      <c r="G167" s="20"/>
      <c r="H167" s="46"/>
    </row>
    <row r="168" spans="1:18" ht="15" customHeight="1" x14ac:dyDescent="0.25">
      <c r="A168" s="9"/>
      <c r="B168" s="20"/>
      <c r="C168" s="21"/>
      <c r="D168" s="9"/>
      <c r="E168" s="22"/>
      <c r="F168" s="9"/>
      <c r="G168" s="20"/>
      <c r="H168" s="46"/>
    </row>
    <row r="169" spans="1:18" ht="15" customHeight="1" x14ac:dyDescent="0.25">
      <c r="A169" s="9"/>
      <c r="B169" s="20"/>
      <c r="C169" s="21"/>
      <c r="D169" s="9"/>
      <c r="E169" s="22"/>
      <c r="F169" s="9"/>
      <c r="G169" s="20"/>
      <c r="H169" s="46"/>
    </row>
    <row r="170" spans="1:18" ht="15" customHeight="1" x14ac:dyDescent="0.25">
      <c r="A170" s="9"/>
      <c r="B170" s="20"/>
      <c r="C170" s="21"/>
      <c r="D170" s="9"/>
      <c r="E170" s="22"/>
      <c r="F170" s="9"/>
      <c r="G170" s="20"/>
      <c r="H170" s="46"/>
    </row>
    <row r="171" spans="1:18" ht="15" customHeight="1" x14ac:dyDescent="0.25">
      <c r="A171" s="9"/>
      <c r="B171" s="20"/>
      <c r="C171" s="21"/>
      <c r="D171" s="9"/>
      <c r="E171" s="22"/>
      <c r="F171" s="9"/>
      <c r="G171" s="20"/>
      <c r="H171" s="46"/>
    </row>
    <row r="172" spans="1:18" ht="15" customHeight="1" x14ac:dyDescent="0.25">
      <c r="A172" s="9"/>
      <c r="B172" s="20"/>
      <c r="C172" s="21"/>
      <c r="D172" s="9"/>
      <c r="E172" s="22"/>
      <c r="F172" s="9"/>
      <c r="G172" s="20"/>
      <c r="H172" s="46"/>
    </row>
    <row r="173" spans="1:18" ht="15" customHeight="1" x14ac:dyDescent="0.25">
      <c r="A173" s="9"/>
      <c r="B173" s="20"/>
      <c r="C173" s="21"/>
      <c r="D173" s="9"/>
      <c r="E173" s="22"/>
      <c r="F173" s="9"/>
      <c r="G173" s="20"/>
      <c r="H173" s="46"/>
    </row>
    <row r="174" spans="1:18" ht="15" customHeight="1" x14ac:dyDescent="0.25">
      <c r="A174" s="9"/>
      <c r="B174" s="20"/>
      <c r="C174" s="21"/>
      <c r="D174" s="9"/>
      <c r="E174" s="22"/>
      <c r="F174" s="9"/>
      <c r="G174" s="20"/>
      <c r="H174" s="46"/>
    </row>
    <row r="175" spans="1:18" ht="15" customHeight="1" x14ac:dyDescent="0.25">
      <c r="A175" s="9"/>
      <c r="B175" s="20"/>
      <c r="C175" s="21"/>
      <c r="D175" s="9"/>
      <c r="E175" s="22"/>
      <c r="F175" s="9"/>
      <c r="G175" s="20"/>
      <c r="H175" s="46"/>
    </row>
    <row r="176" spans="1:18" ht="15" customHeight="1" x14ac:dyDescent="0.25">
      <c r="A176" s="9"/>
      <c r="B176" s="20"/>
      <c r="C176" s="21"/>
      <c r="D176" s="9"/>
      <c r="E176" s="22"/>
      <c r="F176" s="9"/>
      <c r="G176" s="20"/>
      <c r="H176" s="46"/>
    </row>
    <row r="177" spans="1:8" ht="15" customHeight="1" x14ac:dyDescent="0.25">
      <c r="A177" s="9"/>
      <c r="B177" s="20"/>
      <c r="C177" s="21"/>
      <c r="D177" s="9"/>
      <c r="E177" s="22"/>
      <c r="F177" s="9"/>
      <c r="G177" s="20"/>
      <c r="H177" s="46"/>
    </row>
    <row r="1048548" spans="3:3" ht="15" customHeight="1" x14ac:dyDescent="0.25">
      <c r="C1048548" s="21"/>
    </row>
  </sheetData>
  <autoFilter ref="A1:T177" xr:uid="{D70B35B3-77FF-43AD-AE42-8938E8C76D36}"/>
  <mergeCells count="11">
    <mergeCell ref="N8:N9"/>
    <mergeCell ref="O8:O9"/>
    <mergeCell ref="N10:N11"/>
    <mergeCell ref="O10:O11"/>
    <mergeCell ref="N12:N23"/>
    <mergeCell ref="N2:N3"/>
    <mergeCell ref="O2:O3"/>
    <mergeCell ref="N4:N5"/>
    <mergeCell ref="O4:O5"/>
    <mergeCell ref="N6:N7"/>
    <mergeCell ref="O6:O7"/>
  </mergeCells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ABCB-AF9A-436F-91D5-00F74A748FFD}">
  <dimension ref="A1:BZ1048548"/>
  <sheetViews>
    <sheetView showGridLines="0" tabSelected="1" topLeftCell="A133" zoomScaleNormal="100" workbookViewId="0">
      <selection activeCell="C146" sqref="C146"/>
    </sheetView>
  </sheetViews>
  <sheetFormatPr defaultRowHeight="15" customHeight="1" x14ac:dyDescent="0.25"/>
  <cols>
    <col min="1" max="1" width="48.85546875" style="1" customWidth="1"/>
    <col min="2" max="2" width="19.140625" style="3" bestFit="1" customWidth="1"/>
    <col min="3" max="3" width="8.42578125" style="4" customWidth="1"/>
    <col min="4" max="4" width="34.7109375" style="1" bestFit="1" customWidth="1"/>
    <col min="5" max="5" width="10" style="2" bestFit="1" customWidth="1"/>
    <col min="6" max="6" width="17.42578125" style="1" bestFit="1" customWidth="1"/>
    <col min="7" max="7" width="19.140625" style="3" bestFit="1" customWidth="1"/>
    <col min="8" max="8" width="16.28515625" style="19" bestFit="1" customWidth="1"/>
    <col min="9" max="9" width="2.7109375" customWidth="1"/>
    <col min="10" max="10" width="14" style="1" customWidth="1"/>
    <col min="11" max="11" width="28.28515625" style="1" bestFit="1" customWidth="1"/>
    <col min="12" max="12" width="8.7109375" style="1" customWidth="1"/>
    <col min="13" max="13" width="23.28515625" style="2" bestFit="1" customWidth="1"/>
    <col min="14" max="14" width="53.5703125" bestFit="1" customWidth="1"/>
    <col min="15" max="15" width="6.140625" style="1" bestFit="1" customWidth="1"/>
    <col min="16" max="16" width="11.5703125" style="26" bestFit="1" customWidth="1"/>
    <col min="17" max="17" width="21.42578125" style="28" customWidth="1"/>
    <col min="18" max="18" width="31.85546875" style="26" bestFit="1" customWidth="1"/>
    <col min="19" max="19" width="9.140625" style="28" bestFit="1" customWidth="1"/>
    <col min="20" max="20" width="11.5703125" style="26" bestFit="1" customWidth="1"/>
    <col min="21" max="21" width="9.140625" style="28"/>
    <col min="22" max="16384" width="9.140625" style="1"/>
  </cols>
  <sheetData>
    <row r="1" spans="1:21" ht="15" customHeight="1" x14ac:dyDescent="0.2">
      <c r="A1" s="33" t="s">
        <v>0</v>
      </c>
      <c r="B1" s="30" t="s">
        <v>7</v>
      </c>
      <c r="C1" s="33" t="s">
        <v>1</v>
      </c>
      <c r="D1" s="33" t="s">
        <v>2</v>
      </c>
      <c r="E1" s="34" t="s">
        <v>3</v>
      </c>
      <c r="F1" s="33" t="s">
        <v>4</v>
      </c>
      <c r="G1" s="30" t="s">
        <v>5</v>
      </c>
      <c r="H1" s="33" t="s">
        <v>6</v>
      </c>
      <c r="I1" s="33" t="s">
        <v>16</v>
      </c>
      <c r="J1" s="35" t="s">
        <v>8</v>
      </c>
      <c r="K1" s="35" t="s">
        <v>9</v>
      </c>
      <c r="L1" s="35" t="s">
        <v>10</v>
      </c>
      <c r="M1" s="36" t="s">
        <v>11</v>
      </c>
      <c r="N1" s="32" t="s">
        <v>63</v>
      </c>
      <c r="P1" s="37">
        <v>5.1816000000000004</v>
      </c>
      <c r="Q1" s="38" t="s">
        <v>12</v>
      </c>
      <c r="R1" s="39">
        <v>7.0221</v>
      </c>
      <c r="S1" s="38" t="s">
        <v>17</v>
      </c>
      <c r="T1" s="37">
        <v>3.7383000000000002</v>
      </c>
      <c r="U1" s="38" t="s">
        <v>23</v>
      </c>
    </row>
    <row r="2" spans="1:21" ht="15" customHeight="1" x14ac:dyDescent="0.25">
      <c r="A2" s="5" t="str">
        <f t="shared" ref="A2:A65" si="0">CONCATENATE($N$1,$I$1,F2,$I$1,J2)</f>
        <v>CUSTO MARKET DATA - AGOSTO/26-BLOOMBERG-67829</v>
      </c>
      <c r="B2" s="6">
        <v>46235</v>
      </c>
      <c r="C2" s="7">
        <v>817393</v>
      </c>
      <c r="D2" s="5" t="s">
        <v>15</v>
      </c>
      <c r="E2" s="8">
        <f>-IF(L2="BRL",M2,M2*$P$1)/2</f>
        <v>-6243.8570428680005</v>
      </c>
      <c r="F2" s="5" t="str">
        <f>UPPER(K2)</f>
        <v>BLOOMBERG</v>
      </c>
      <c r="G2" s="6">
        <f>B2</f>
        <v>46235</v>
      </c>
      <c r="H2" s="16">
        <v>1170</v>
      </c>
      <c r="J2" s="18">
        <v>67829</v>
      </c>
      <c r="K2" s="14" t="s">
        <v>41</v>
      </c>
      <c r="L2" s="15" t="s">
        <v>12</v>
      </c>
      <c r="M2" s="8">
        <v>2410.0112100000001</v>
      </c>
      <c r="N2" s="47" t="s">
        <v>26</v>
      </c>
      <c r="O2" s="49">
        <v>67829</v>
      </c>
      <c r="Q2" s="27"/>
      <c r="R2" s="27"/>
      <c r="S2" s="27"/>
      <c r="U2" s="27"/>
    </row>
    <row r="3" spans="1:21" ht="15" customHeight="1" x14ac:dyDescent="0.25">
      <c r="A3" s="10" t="str">
        <f t="shared" si="0"/>
        <v>CUSTO MARKET DATA - AGOSTO/26-BLOOMBERG-67829</v>
      </c>
      <c r="B3" s="24">
        <v>46235</v>
      </c>
      <c r="C3" s="11">
        <v>817393</v>
      </c>
      <c r="D3" s="10" t="s">
        <v>24</v>
      </c>
      <c r="E3" s="12">
        <f>-IF(L3="BRL",M3,M3*$P$1)/2</f>
        <v>-6243.8570428680005</v>
      </c>
      <c r="F3" s="10" t="str">
        <f t="shared" ref="F3:F11" si="1">UPPER(K3)</f>
        <v>BLOOMBERG</v>
      </c>
      <c r="G3" s="24">
        <f t="shared" ref="G3:G66" si="2">B3</f>
        <v>46235</v>
      </c>
      <c r="H3" s="17">
        <v>1170</v>
      </c>
      <c r="J3" s="17">
        <v>67829</v>
      </c>
      <c r="K3" s="17" t="s">
        <v>41</v>
      </c>
      <c r="L3" s="13" t="s">
        <v>12</v>
      </c>
      <c r="M3" s="12">
        <v>2410.0112100000001</v>
      </c>
      <c r="N3" s="48"/>
      <c r="O3" s="50"/>
      <c r="Q3" s="27"/>
      <c r="R3" s="27"/>
      <c r="S3" s="27"/>
      <c r="U3" s="27"/>
    </row>
    <row r="4" spans="1:21" ht="15" customHeight="1" x14ac:dyDescent="0.25">
      <c r="A4" s="5" t="str">
        <f t="shared" si="0"/>
        <v>CUSTO MARKET DATA - AGOSTO/26-BLOOMBERG-67825</v>
      </c>
      <c r="B4" s="30">
        <v>46235</v>
      </c>
      <c r="C4" s="7">
        <v>817393</v>
      </c>
      <c r="D4" s="5" t="s">
        <v>28</v>
      </c>
      <c r="E4" s="8">
        <f>-IF(L4="BRL",M4,M4*$P$1)/2</f>
        <v>-6275.7238828680011</v>
      </c>
      <c r="F4" s="5" t="str">
        <f t="shared" si="1"/>
        <v>BLOOMBERG</v>
      </c>
      <c r="G4" s="6">
        <f t="shared" si="2"/>
        <v>46235</v>
      </c>
      <c r="H4" s="16">
        <v>1170</v>
      </c>
      <c r="J4" s="18">
        <v>67825</v>
      </c>
      <c r="K4" s="18" t="s">
        <v>41</v>
      </c>
      <c r="L4" s="15" t="s">
        <v>12</v>
      </c>
      <c r="M4" s="8">
        <v>2422.3112100000003</v>
      </c>
      <c r="N4" s="47" t="s">
        <v>25</v>
      </c>
      <c r="O4" s="49">
        <v>67825</v>
      </c>
      <c r="Q4" s="27"/>
      <c r="R4" s="27"/>
      <c r="S4" s="27"/>
      <c r="U4" s="27"/>
    </row>
    <row r="5" spans="1:21" ht="15" customHeight="1" x14ac:dyDescent="0.25">
      <c r="A5" s="10" t="str">
        <f t="shared" si="0"/>
        <v>CUSTO MARKET DATA - AGOSTO/26-BLOOMBERG-67825</v>
      </c>
      <c r="B5" s="24">
        <v>46235</v>
      </c>
      <c r="C5" s="11">
        <v>817393</v>
      </c>
      <c r="D5" s="10" t="s">
        <v>27</v>
      </c>
      <c r="E5" s="12">
        <f>-IF(L5="BRL",M5,M5*$P$1)/2</f>
        <v>-6275.7238828680011</v>
      </c>
      <c r="F5" s="10" t="str">
        <f t="shared" si="1"/>
        <v>BLOOMBERG</v>
      </c>
      <c r="G5" s="24">
        <f t="shared" si="2"/>
        <v>46235</v>
      </c>
      <c r="H5" s="17">
        <v>1170</v>
      </c>
      <c r="J5" s="17">
        <v>67825</v>
      </c>
      <c r="K5" s="17" t="s">
        <v>41</v>
      </c>
      <c r="L5" s="13" t="s">
        <v>12</v>
      </c>
      <c r="M5" s="12">
        <v>2422.3112100000003</v>
      </c>
      <c r="N5" s="48"/>
      <c r="O5" s="50"/>
      <c r="Q5" s="27"/>
      <c r="R5" s="27"/>
      <c r="S5" s="27"/>
      <c r="U5" s="27"/>
    </row>
    <row r="6" spans="1:21" ht="15" customHeight="1" x14ac:dyDescent="0.25">
      <c r="A6" s="5" t="str">
        <f t="shared" si="0"/>
        <v>CUSTO MARKET DATA - AGOSTO/26-REFINITIV-103090</v>
      </c>
      <c r="B6" s="30">
        <v>46235</v>
      </c>
      <c r="C6" s="7">
        <v>817393</v>
      </c>
      <c r="D6" s="5" t="s">
        <v>13</v>
      </c>
      <c r="E6" s="8">
        <f>-IF(L6="BRL",M6,IF(L6="GBP",M6*R1,M6*$P$1))/2</f>
        <v>-72.235879241399999</v>
      </c>
      <c r="F6" s="5" t="str">
        <f t="shared" si="1"/>
        <v>REFINITIV</v>
      </c>
      <c r="G6" s="6">
        <f t="shared" si="2"/>
        <v>46235</v>
      </c>
      <c r="H6" s="16">
        <v>1170</v>
      </c>
      <c r="J6" s="18">
        <v>103090</v>
      </c>
      <c r="K6" s="18" t="s">
        <v>42</v>
      </c>
      <c r="L6" s="15" t="s">
        <v>17</v>
      </c>
      <c r="M6" s="8">
        <v>20.573868000000001</v>
      </c>
      <c r="N6" s="47" t="s">
        <v>18</v>
      </c>
      <c r="O6" s="49">
        <v>103090</v>
      </c>
      <c r="Q6" s="27"/>
      <c r="R6" s="27"/>
      <c r="S6" s="27"/>
      <c r="U6" s="27"/>
    </row>
    <row r="7" spans="1:21" ht="15" customHeight="1" x14ac:dyDescent="0.25">
      <c r="A7" s="10" t="str">
        <f t="shared" si="0"/>
        <v>CUSTO MARKET DATA - AGOSTO/26-REFINITIV-103090</v>
      </c>
      <c r="B7" s="24">
        <v>46235</v>
      </c>
      <c r="C7" s="11">
        <v>817393</v>
      </c>
      <c r="D7" s="10" t="s">
        <v>14</v>
      </c>
      <c r="E7" s="12">
        <f>-IF(L7="BRL",M7,IF(L7="GBP",M7*R1,M7*$P$1))/2</f>
        <v>-72.235879241399999</v>
      </c>
      <c r="F7" s="10" t="str">
        <f t="shared" si="1"/>
        <v>REFINITIV</v>
      </c>
      <c r="G7" s="24">
        <f t="shared" si="2"/>
        <v>46235</v>
      </c>
      <c r="H7" s="17">
        <v>1170</v>
      </c>
      <c r="J7" s="17">
        <v>103090</v>
      </c>
      <c r="K7" s="17" t="s">
        <v>42</v>
      </c>
      <c r="L7" s="13" t="s">
        <v>17</v>
      </c>
      <c r="M7" s="12">
        <v>20.573868000000001</v>
      </c>
      <c r="N7" s="48"/>
      <c r="O7" s="50"/>
      <c r="Q7" s="27"/>
      <c r="R7" s="27"/>
      <c r="S7" s="27"/>
      <c r="U7" s="27"/>
    </row>
    <row r="8" spans="1:21" ht="15" customHeight="1" x14ac:dyDescent="0.25">
      <c r="A8" s="5" t="str">
        <f t="shared" si="0"/>
        <v>CUSTO MARKET DATA - AGOSTO/26-BLOOMBERG-72574</v>
      </c>
      <c r="B8" s="30">
        <v>46235</v>
      </c>
      <c r="C8" s="7">
        <v>817393</v>
      </c>
      <c r="D8" s="5" t="s">
        <v>43</v>
      </c>
      <c r="E8" s="8">
        <f>-IF(L8="BRL",M8,IF(L8="GBP",M8*#REF!,M8*$P$1))/2</f>
        <v>-6249.8158828680016</v>
      </c>
      <c r="F8" s="5" t="str">
        <f t="shared" si="1"/>
        <v>BLOOMBERG</v>
      </c>
      <c r="G8" s="6">
        <f t="shared" si="2"/>
        <v>46235</v>
      </c>
      <c r="H8" s="16">
        <v>1170</v>
      </c>
      <c r="J8" s="18">
        <v>72574</v>
      </c>
      <c r="K8" s="18" t="s">
        <v>41</v>
      </c>
      <c r="L8" s="15" t="s">
        <v>12</v>
      </c>
      <c r="M8" s="8">
        <v>2412.3112100000003</v>
      </c>
      <c r="N8" s="47" t="s">
        <v>21</v>
      </c>
      <c r="O8" s="49"/>
      <c r="Q8" s="27"/>
      <c r="R8" s="27"/>
      <c r="S8" s="27"/>
      <c r="U8" s="27"/>
    </row>
    <row r="9" spans="1:21" ht="15" customHeight="1" x14ac:dyDescent="0.25">
      <c r="A9" s="10" t="str">
        <f t="shared" si="0"/>
        <v>CUSTO MARKET DATA - AGOSTO/26-BLOOMBERG-72574</v>
      </c>
      <c r="B9" s="24">
        <v>46235</v>
      </c>
      <c r="C9" s="11">
        <v>817393</v>
      </c>
      <c r="D9" s="10" t="s">
        <v>20</v>
      </c>
      <c r="E9" s="12">
        <f>-IF(L9="BRL",M9,IF(L9="GBP",M9*#REF!,M9*$P$1))/2</f>
        <v>-6249.8158828680016</v>
      </c>
      <c r="F9" s="10" t="str">
        <f t="shared" si="1"/>
        <v>BLOOMBERG</v>
      </c>
      <c r="G9" s="24">
        <f t="shared" si="2"/>
        <v>46235</v>
      </c>
      <c r="H9" s="17">
        <v>1170</v>
      </c>
      <c r="J9" s="17">
        <v>72574</v>
      </c>
      <c r="K9" s="17" t="s">
        <v>41</v>
      </c>
      <c r="L9" s="13" t="s">
        <v>12</v>
      </c>
      <c r="M9" s="12">
        <v>2412.3112100000003</v>
      </c>
      <c r="N9" s="48"/>
      <c r="O9" s="50"/>
      <c r="Q9" s="27"/>
      <c r="R9" s="27"/>
      <c r="S9" s="27"/>
      <c r="U9" s="27"/>
    </row>
    <row r="10" spans="1:21" ht="15" customHeight="1" x14ac:dyDescent="0.25">
      <c r="A10" s="5" t="str">
        <f t="shared" si="0"/>
        <v>CUSTO MARKET DATA - AGOSTO/26-BLOOMBERG-135064</v>
      </c>
      <c r="B10" s="30">
        <v>46235</v>
      </c>
      <c r="C10" s="7">
        <v>817393</v>
      </c>
      <c r="D10" s="5" t="s">
        <v>29</v>
      </c>
      <c r="E10" s="8">
        <f>-IF(L10="BRL",M10,IF(L10="GBP",M10*#REF!,M10*$P$1))/2</f>
        <v>-6217.949042868001</v>
      </c>
      <c r="F10" s="5" t="str">
        <f t="shared" si="1"/>
        <v>BLOOMBERG</v>
      </c>
      <c r="G10" s="6">
        <f t="shared" si="2"/>
        <v>46235</v>
      </c>
      <c r="H10" s="16">
        <v>1170</v>
      </c>
      <c r="J10" s="18">
        <v>135064</v>
      </c>
      <c r="K10" s="18" t="s">
        <v>41</v>
      </c>
      <c r="L10" s="15" t="s">
        <v>12</v>
      </c>
      <c r="M10" s="8">
        <v>2400.0112100000001</v>
      </c>
      <c r="N10" s="47" t="s">
        <v>30</v>
      </c>
      <c r="O10" s="49"/>
      <c r="Q10" s="27"/>
      <c r="R10" s="27"/>
      <c r="S10" s="27"/>
      <c r="U10" s="27"/>
    </row>
    <row r="11" spans="1:21" ht="15" customHeight="1" x14ac:dyDescent="0.25">
      <c r="A11" s="10" t="str">
        <f t="shared" si="0"/>
        <v>CUSTO MARKET DATA - AGOSTO/26-BLOOMBERG-135064</v>
      </c>
      <c r="B11" s="24">
        <v>46235</v>
      </c>
      <c r="C11" s="11">
        <v>817393</v>
      </c>
      <c r="D11" s="10" t="s">
        <v>22</v>
      </c>
      <c r="E11" s="12">
        <f>-IF(L11="BRL",M11,IF(L11="GBP",M11*#REF!,M11*$P$1))/2</f>
        <v>-6217.949042868001</v>
      </c>
      <c r="F11" s="10" t="str">
        <f t="shared" si="1"/>
        <v>BLOOMBERG</v>
      </c>
      <c r="G11" s="24">
        <f t="shared" si="2"/>
        <v>46235</v>
      </c>
      <c r="H11" s="17">
        <v>1170</v>
      </c>
      <c r="J11" s="17">
        <v>135064</v>
      </c>
      <c r="K11" s="17" t="s">
        <v>41</v>
      </c>
      <c r="L11" s="13" t="s">
        <v>12</v>
      </c>
      <c r="M11" s="12">
        <v>2400.0112100000001</v>
      </c>
      <c r="N11" s="48"/>
      <c r="O11" s="50"/>
      <c r="Q11" s="27"/>
      <c r="R11" s="27"/>
      <c r="S11" s="27"/>
      <c r="U11" s="27"/>
    </row>
    <row r="12" spans="1:21" ht="15" customHeight="1" x14ac:dyDescent="0.25">
      <c r="A12" s="5" t="str">
        <f t="shared" si="0"/>
        <v>CUSTO MARKET DATA - AGOSTO/26-BLOOMBERG-151474</v>
      </c>
      <c r="B12" s="30">
        <v>46235</v>
      </c>
      <c r="C12" s="7">
        <v>817393</v>
      </c>
      <c r="D12" s="5" t="s">
        <v>32</v>
      </c>
      <c r="E12" s="8">
        <f>-IF(L12="BRL",M12,IF(L12="GBP",M12*$R$1,IF(L12="CAD",M12*$T$1,M12*$P$1)))/12</f>
        <v>-4.3180000000000005</v>
      </c>
      <c r="F12" s="5" t="str">
        <f>UPPER(K12)</f>
        <v>BLOOMBERG</v>
      </c>
      <c r="G12" s="30">
        <f t="shared" si="2"/>
        <v>46235</v>
      </c>
      <c r="H12" s="16">
        <v>1170</v>
      </c>
      <c r="J12" s="16">
        <v>151474</v>
      </c>
      <c r="K12" s="16" t="s">
        <v>41</v>
      </c>
      <c r="L12" s="31" t="s">
        <v>12</v>
      </c>
      <c r="M12" s="8">
        <v>10</v>
      </c>
      <c r="N12" s="47" t="s">
        <v>31</v>
      </c>
      <c r="O12" s="26"/>
      <c r="Q12" s="27"/>
      <c r="R12" s="27"/>
      <c r="S12" s="27"/>
      <c r="U12" s="27"/>
    </row>
    <row r="13" spans="1:21" ht="15" customHeight="1" x14ac:dyDescent="0.25">
      <c r="A13" s="5" t="str">
        <f t="shared" si="0"/>
        <v>CUSTO MARKET DATA - AGOSTO/26-BLOOMBERG-151474</v>
      </c>
      <c r="B13" s="30">
        <v>46235</v>
      </c>
      <c r="C13" s="7">
        <v>817393</v>
      </c>
      <c r="D13" s="5" t="s">
        <v>24</v>
      </c>
      <c r="E13" s="8">
        <f t="shared" ref="E13:E23" si="3">-IF(L13="BRL",M13,IF(L13="GBP",M13*$R$1,IF(L13="CAD",M13*$T$1,M13*$P$1)))/12</f>
        <v>-4.3180000000000005</v>
      </c>
      <c r="F13" s="5" t="str">
        <f t="shared" ref="F13:F23" si="4">UPPER(K13)</f>
        <v>BLOOMBERG</v>
      </c>
      <c r="G13" s="30">
        <f t="shared" si="2"/>
        <v>46235</v>
      </c>
      <c r="H13" s="16">
        <v>1170</v>
      </c>
      <c r="J13" s="16">
        <v>151474</v>
      </c>
      <c r="K13" s="16" t="s">
        <v>41</v>
      </c>
      <c r="L13" s="31" t="s">
        <v>12</v>
      </c>
      <c r="M13" s="8">
        <v>10</v>
      </c>
      <c r="N13" s="51"/>
      <c r="O13" s="26"/>
      <c r="Q13" s="27"/>
      <c r="R13" s="27"/>
      <c r="S13" s="27"/>
      <c r="U13" s="27"/>
    </row>
    <row r="14" spans="1:21" ht="15" customHeight="1" x14ac:dyDescent="0.25">
      <c r="A14" s="5" t="str">
        <f t="shared" si="0"/>
        <v>CUSTO MARKET DATA - AGOSTO/26-BLOOMBERG-151474</v>
      </c>
      <c r="B14" s="30">
        <v>46235</v>
      </c>
      <c r="C14" s="7">
        <v>817393</v>
      </c>
      <c r="D14" s="5" t="s">
        <v>33</v>
      </c>
      <c r="E14" s="8">
        <f t="shared" si="3"/>
        <v>-4.3180000000000005</v>
      </c>
      <c r="F14" s="5" t="str">
        <f t="shared" si="4"/>
        <v>BLOOMBERG</v>
      </c>
      <c r="G14" s="30">
        <f t="shared" si="2"/>
        <v>46235</v>
      </c>
      <c r="H14" s="16">
        <v>1170</v>
      </c>
      <c r="J14" s="16">
        <v>151474</v>
      </c>
      <c r="K14" s="16" t="s">
        <v>41</v>
      </c>
      <c r="L14" s="31" t="s">
        <v>12</v>
      </c>
      <c r="M14" s="8">
        <v>10</v>
      </c>
      <c r="N14" s="51"/>
      <c r="O14" s="26"/>
      <c r="Q14" s="27"/>
      <c r="R14" s="27"/>
      <c r="S14" s="27"/>
      <c r="U14" s="27"/>
    </row>
    <row r="15" spans="1:21" ht="15" customHeight="1" x14ac:dyDescent="0.25">
      <c r="A15" s="5" t="str">
        <f t="shared" si="0"/>
        <v>CUSTO MARKET DATA - AGOSTO/26-BLOOMBERG-151474</v>
      </c>
      <c r="B15" s="30">
        <v>46235</v>
      </c>
      <c r="C15" s="7">
        <v>817393</v>
      </c>
      <c r="D15" s="5" t="s">
        <v>34</v>
      </c>
      <c r="E15" s="8">
        <f t="shared" si="3"/>
        <v>-4.3180000000000005</v>
      </c>
      <c r="F15" s="5" t="str">
        <f t="shared" si="4"/>
        <v>BLOOMBERG</v>
      </c>
      <c r="G15" s="30">
        <f t="shared" si="2"/>
        <v>46235</v>
      </c>
      <c r="H15" s="16">
        <v>1170</v>
      </c>
      <c r="J15" s="16">
        <v>151474</v>
      </c>
      <c r="K15" s="16" t="s">
        <v>41</v>
      </c>
      <c r="L15" s="31" t="s">
        <v>12</v>
      </c>
      <c r="M15" s="8">
        <v>10</v>
      </c>
      <c r="N15" s="51"/>
      <c r="O15" s="26"/>
      <c r="Q15" s="27"/>
      <c r="R15" s="27"/>
      <c r="S15" s="27"/>
      <c r="U15" s="27"/>
    </row>
    <row r="16" spans="1:21" ht="15" customHeight="1" x14ac:dyDescent="0.25">
      <c r="A16" s="5" t="str">
        <f t="shared" si="0"/>
        <v>CUSTO MARKET DATA - AGOSTO/26-BLOOMBERG-151474</v>
      </c>
      <c r="B16" s="30">
        <v>46235</v>
      </c>
      <c r="C16" s="7">
        <v>817393</v>
      </c>
      <c r="D16" s="5" t="s">
        <v>15</v>
      </c>
      <c r="E16" s="8">
        <f t="shared" si="3"/>
        <v>-4.3180000000000005</v>
      </c>
      <c r="F16" s="5" t="str">
        <f t="shared" si="4"/>
        <v>BLOOMBERG</v>
      </c>
      <c r="G16" s="30">
        <f t="shared" si="2"/>
        <v>46235</v>
      </c>
      <c r="H16" s="16">
        <v>1170</v>
      </c>
      <c r="J16" s="16">
        <v>151474</v>
      </c>
      <c r="K16" s="16" t="s">
        <v>41</v>
      </c>
      <c r="L16" s="31" t="s">
        <v>12</v>
      </c>
      <c r="M16" s="8">
        <v>10</v>
      </c>
      <c r="N16" s="51"/>
      <c r="O16" s="26"/>
      <c r="Q16" s="27"/>
      <c r="R16" s="27"/>
      <c r="S16" s="27"/>
      <c r="U16" s="27"/>
    </row>
    <row r="17" spans="1:21" ht="15" customHeight="1" x14ac:dyDescent="0.25">
      <c r="A17" s="5" t="str">
        <f t="shared" si="0"/>
        <v>CUSTO MARKET DATA - AGOSTO/26-BLOOMBERG-151474</v>
      </c>
      <c r="B17" s="30">
        <v>46235</v>
      </c>
      <c r="C17" s="7">
        <v>817393</v>
      </c>
      <c r="D17" s="5" t="s">
        <v>27</v>
      </c>
      <c r="E17" s="8">
        <f t="shared" si="3"/>
        <v>-4.3180000000000005</v>
      </c>
      <c r="F17" s="5" t="str">
        <f t="shared" si="4"/>
        <v>BLOOMBERG</v>
      </c>
      <c r="G17" s="30">
        <f t="shared" si="2"/>
        <v>46235</v>
      </c>
      <c r="H17" s="16">
        <v>1170</v>
      </c>
      <c r="J17" s="16">
        <v>151474</v>
      </c>
      <c r="K17" s="16" t="s">
        <v>41</v>
      </c>
      <c r="L17" s="31" t="s">
        <v>12</v>
      </c>
      <c r="M17" s="8">
        <v>10</v>
      </c>
      <c r="N17" s="51"/>
      <c r="O17" s="26"/>
      <c r="Q17" s="27"/>
      <c r="R17" s="27"/>
      <c r="S17" s="27"/>
      <c r="U17" s="27"/>
    </row>
    <row r="18" spans="1:21" ht="15" customHeight="1" x14ac:dyDescent="0.25">
      <c r="A18" s="5" t="str">
        <f t="shared" si="0"/>
        <v>CUSTO MARKET DATA - AGOSTO/26-BLOOMBERG-151474</v>
      </c>
      <c r="B18" s="30">
        <v>46235</v>
      </c>
      <c r="C18" s="7">
        <v>817393</v>
      </c>
      <c r="D18" s="5" t="s">
        <v>28</v>
      </c>
      <c r="E18" s="8">
        <f t="shared" si="3"/>
        <v>-4.3180000000000005</v>
      </c>
      <c r="F18" s="5" t="str">
        <f t="shared" si="4"/>
        <v>BLOOMBERG</v>
      </c>
      <c r="G18" s="30">
        <f t="shared" si="2"/>
        <v>46235</v>
      </c>
      <c r="H18" s="16">
        <v>1170</v>
      </c>
      <c r="J18" s="16">
        <v>151474</v>
      </c>
      <c r="K18" s="16" t="s">
        <v>41</v>
      </c>
      <c r="L18" s="31" t="s">
        <v>12</v>
      </c>
      <c r="M18" s="8">
        <v>10</v>
      </c>
      <c r="N18" s="51"/>
      <c r="O18" s="26"/>
      <c r="Q18" s="27"/>
      <c r="R18" s="27"/>
      <c r="S18" s="27"/>
      <c r="U18" s="27"/>
    </row>
    <row r="19" spans="1:21" ht="15" customHeight="1" x14ac:dyDescent="0.25">
      <c r="A19" s="5" t="str">
        <f t="shared" si="0"/>
        <v>CUSTO MARKET DATA - AGOSTO/26-BLOOMBERG-151474</v>
      </c>
      <c r="B19" s="30">
        <v>46235</v>
      </c>
      <c r="C19" s="7">
        <v>817393</v>
      </c>
      <c r="D19" s="5" t="s">
        <v>35</v>
      </c>
      <c r="E19" s="8">
        <f t="shared" si="3"/>
        <v>-4.3180000000000005</v>
      </c>
      <c r="F19" s="5" t="str">
        <f t="shared" si="4"/>
        <v>BLOOMBERG</v>
      </c>
      <c r="G19" s="30">
        <f t="shared" si="2"/>
        <v>46235</v>
      </c>
      <c r="H19" s="16">
        <v>1170</v>
      </c>
      <c r="J19" s="16">
        <v>151474</v>
      </c>
      <c r="K19" s="16" t="s">
        <v>41</v>
      </c>
      <c r="L19" s="31" t="s">
        <v>12</v>
      </c>
      <c r="M19" s="8">
        <v>10</v>
      </c>
      <c r="N19" s="51"/>
      <c r="O19" s="26"/>
      <c r="Q19" s="27"/>
      <c r="R19" s="27"/>
      <c r="S19" s="27"/>
      <c r="U19" s="27"/>
    </row>
    <row r="20" spans="1:21" ht="15" customHeight="1" x14ac:dyDescent="0.25">
      <c r="A20" s="5" t="str">
        <f t="shared" si="0"/>
        <v>CUSTO MARKET DATA - AGOSTO/26-BLOOMBERG-151474</v>
      </c>
      <c r="B20" s="30">
        <v>46235</v>
      </c>
      <c r="C20" s="7">
        <v>817393</v>
      </c>
      <c r="D20" s="5" t="s">
        <v>20</v>
      </c>
      <c r="E20" s="8">
        <f t="shared" si="3"/>
        <v>-4.3180000000000005</v>
      </c>
      <c r="F20" s="5" t="str">
        <f t="shared" si="4"/>
        <v>BLOOMBERG</v>
      </c>
      <c r="G20" s="30">
        <f t="shared" si="2"/>
        <v>46235</v>
      </c>
      <c r="H20" s="16">
        <v>1170</v>
      </c>
      <c r="J20" s="16">
        <v>151474</v>
      </c>
      <c r="K20" s="16" t="s">
        <v>41</v>
      </c>
      <c r="L20" s="31" t="s">
        <v>12</v>
      </c>
      <c r="M20" s="8">
        <v>10</v>
      </c>
      <c r="N20" s="51"/>
      <c r="O20" s="26"/>
      <c r="Q20" s="27"/>
      <c r="R20" s="27"/>
      <c r="S20" s="27"/>
      <c r="U20" s="27"/>
    </row>
    <row r="21" spans="1:21" ht="15" customHeight="1" x14ac:dyDescent="0.25">
      <c r="A21" s="5" t="str">
        <f t="shared" si="0"/>
        <v>CUSTO MARKET DATA - AGOSTO/26-BLOOMBERG-151474</v>
      </c>
      <c r="B21" s="30">
        <v>46235</v>
      </c>
      <c r="C21" s="7">
        <v>817393</v>
      </c>
      <c r="D21" s="5" t="s">
        <v>43</v>
      </c>
      <c r="E21" s="8">
        <f t="shared" si="3"/>
        <v>-4.3180000000000005</v>
      </c>
      <c r="F21" s="5" t="str">
        <f t="shared" si="4"/>
        <v>BLOOMBERG</v>
      </c>
      <c r="G21" s="30">
        <f t="shared" si="2"/>
        <v>46235</v>
      </c>
      <c r="H21" s="16">
        <v>1170</v>
      </c>
      <c r="J21" s="16">
        <v>151474</v>
      </c>
      <c r="K21" s="16" t="s">
        <v>41</v>
      </c>
      <c r="L21" s="31" t="s">
        <v>12</v>
      </c>
      <c r="M21" s="8">
        <v>10</v>
      </c>
      <c r="N21" s="51"/>
      <c r="O21" s="26"/>
      <c r="Q21" s="27"/>
      <c r="R21" s="27"/>
      <c r="S21" s="27"/>
      <c r="U21" s="27"/>
    </row>
    <row r="22" spans="1:21" ht="15" customHeight="1" x14ac:dyDescent="0.25">
      <c r="A22" s="5" t="str">
        <f t="shared" si="0"/>
        <v>CUSTO MARKET DATA - AGOSTO/26-BLOOMBERG-151474</v>
      </c>
      <c r="B22" s="30">
        <v>46235</v>
      </c>
      <c r="C22" s="7">
        <v>817393</v>
      </c>
      <c r="D22" s="5" t="s">
        <v>36</v>
      </c>
      <c r="E22" s="8">
        <f t="shared" si="3"/>
        <v>-4.3180000000000005</v>
      </c>
      <c r="F22" s="5" t="str">
        <f t="shared" si="4"/>
        <v>BLOOMBERG</v>
      </c>
      <c r="G22" s="30">
        <f t="shared" si="2"/>
        <v>46235</v>
      </c>
      <c r="H22" s="16">
        <v>1170</v>
      </c>
      <c r="J22" s="16">
        <v>151474</v>
      </c>
      <c r="K22" s="16" t="s">
        <v>41</v>
      </c>
      <c r="L22" s="31" t="s">
        <v>12</v>
      </c>
      <c r="M22" s="8">
        <v>10</v>
      </c>
      <c r="N22" s="51"/>
      <c r="O22" s="26"/>
      <c r="Q22" s="27"/>
      <c r="R22" s="27"/>
      <c r="S22" s="27"/>
      <c r="U22" s="27"/>
    </row>
    <row r="23" spans="1:21" ht="15" customHeight="1" x14ac:dyDescent="0.25">
      <c r="A23" s="10" t="str">
        <f t="shared" si="0"/>
        <v>CUSTO MARKET DATA - AGOSTO/26-BLOOMBERG-151474</v>
      </c>
      <c r="B23" s="24">
        <v>46235</v>
      </c>
      <c r="C23" s="11">
        <v>817393</v>
      </c>
      <c r="D23" s="10" t="s">
        <v>37</v>
      </c>
      <c r="E23" s="12">
        <f t="shared" si="3"/>
        <v>-4.3180000000000005</v>
      </c>
      <c r="F23" s="10" t="str">
        <f t="shared" si="4"/>
        <v>BLOOMBERG</v>
      </c>
      <c r="G23" s="24">
        <f t="shared" si="2"/>
        <v>46235</v>
      </c>
      <c r="H23" s="17">
        <v>1170</v>
      </c>
      <c r="J23" s="17">
        <v>151474</v>
      </c>
      <c r="K23" s="17" t="s">
        <v>41</v>
      </c>
      <c r="L23" s="13" t="s">
        <v>12</v>
      </c>
      <c r="M23" s="12">
        <v>10</v>
      </c>
      <c r="N23" s="48"/>
      <c r="Q23" s="27"/>
      <c r="R23" s="27"/>
      <c r="S23" s="27"/>
      <c r="U23" s="27"/>
    </row>
    <row r="24" spans="1:21" ht="15" customHeight="1" x14ac:dyDescent="0.25">
      <c r="A24" s="10" t="str">
        <f t="shared" si="0"/>
        <v>CUSTO MARKET DATA - AGOSTO/26-BLOOMBERG-133472</v>
      </c>
      <c r="B24" s="24">
        <v>46235</v>
      </c>
      <c r="C24" s="11">
        <v>817393</v>
      </c>
      <c r="D24" s="10" t="s">
        <v>38</v>
      </c>
      <c r="E24" s="12">
        <f>-IF(L24="BRL",M24,IF(L24="GBP",M24*$R$1,IF(L24="CAD",M24*$T$1,M24*$P$1)))</f>
        <v>0</v>
      </c>
      <c r="F24" s="10" t="str">
        <f>UPPER(K24)</f>
        <v>BLOOMBERG</v>
      </c>
      <c r="G24" s="24">
        <f t="shared" si="2"/>
        <v>46235</v>
      </c>
      <c r="H24" s="17">
        <v>1170</v>
      </c>
      <c r="J24" s="17">
        <v>133472</v>
      </c>
      <c r="K24" s="17" t="s">
        <v>41</v>
      </c>
      <c r="L24" s="13" t="s">
        <v>12</v>
      </c>
      <c r="M24" s="43"/>
      <c r="N24" s="40" t="s">
        <v>39</v>
      </c>
      <c r="Q24" s="27"/>
      <c r="R24" s="27"/>
      <c r="S24" s="27"/>
      <c r="U24" s="27"/>
    </row>
    <row r="25" spans="1:21" ht="15" customHeight="1" x14ac:dyDescent="0.25">
      <c r="A25" s="10" t="str">
        <f t="shared" si="0"/>
        <v>CUSTO MARKET DATA - AGOSTO/26-BLOOMBERG-161123</v>
      </c>
      <c r="B25" s="24">
        <v>46235</v>
      </c>
      <c r="C25" s="11">
        <v>817393</v>
      </c>
      <c r="D25" s="10" t="s">
        <v>38</v>
      </c>
      <c r="E25" s="12">
        <f>-IF(L25="BRL",M25,IF(L25="GBP",M25*$R$1,IF(L25="CAD",M25*$T$1,M25*$P$1)))</f>
        <v>-51.816000000000003</v>
      </c>
      <c r="F25" s="10" t="str">
        <f>UPPER(K25)</f>
        <v>BLOOMBERG</v>
      </c>
      <c r="G25" s="24">
        <f>B25</f>
        <v>46235</v>
      </c>
      <c r="H25" s="17">
        <v>1170</v>
      </c>
      <c r="J25" s="17">
        <v>161123</v>
      </c>
      <c r="K25" s="17" t="s">
        <v>41</v>
      </c>
      <c r="L25" s="13" t="s">
        <v>12</v>
      </c>
      <c r="M25" s="12">
        <v>10</v>
      </c>
      <c r="N25" s="40" t="s">
        <v>56</v>
      </c>
      <c r="Q25" s="27"/>
      <c r="R25" s="27"/>
      <c r="S25" s="27"/>
      <c r="U25" s="27"/>
    </row>
    <row r="26" spans="1:21" ht="15" customHeight="1" x14ac:dyDescent="0.25">
      <c r="A26" s="10" t="str">
        <f t="shared" si="0"/>
        <v>CUSTO MARKET DATA - AGOSTO/26-REFINITIV-133472</v>
      </c>
      <c r="B26" s="24">
        <v>46235</v>
      </c>
      <c r="C26" s="11">
        <v>817393</v>
      </c>
      <c r="D26" s="10" t="s">
        <v>38</v>
      </c>
      <c r="E26" s="12">
        <f>-IF(L26="BRL",M26,IF(L26="GBP",M26*$R$1,IF(L26="CAD",M26*$T$1,M26*$P$1)))</f>
        <v>0</v>
      </c>
      <c r="F26" s="10" t="str">
        <f>UPPER(K26)</f>
        <v>REFINITIV</v>
      </c>
      <c r="G26" s="24">
        <f>B26</f>
        <v>46235</v>
      </c>
      <c r="H26" s="17">
        <v>1170</v>
      </c>
      <c r="J26" s="17">
        <v>133472</v>
      </c>
      <c r="K26" s="17" t="s">
        <v>42</v>
      </c>
      <c r="L26" s="13" t="s">
        <v>17</v>
      </c>
      <c r="M26" s="43"/>
      <c r="N26" s="40" t="s">
        <v>39</v>
      </c>
      <c r="Q26" s="27"/>
      <c r="R26" s="27"/>
      <c r="S26" s="27"/>
      <c r="U26" s="27"/>
    </row>
    <row r="27" spans="1:21" ht="15" customHeight="1" x14ac:dyDescent="0.25">
      <c r="A27" s="10" t="str">
        <f t="shared" si="0"/>
        <v>CUSTO MARKET DATA - AGOSTO/26-BLOOMBERG-161932</v>
      </c>
      <c r="B27" s="24">
        <v>46235</v>
      </c>
      <c r="C27" s="11">
        <v>817393</v>
      </c>
      <c r="D27" s="10" t="s">
        <v>38</v>
      </c>
      <c r="E27" s="12">
        <f>-IF(L27="BRL",M27,IF(L27="GBP",M27*$R$1,IF(L27="CAD",M27*$T$1,M27*$P$1)))</f>
        <v>-51.816000000000003</v>
      </c>
      <c r="F27" s="10" t="s">
        <v>58</v>
      </c>
      <c r="G27" s="24">
        <f t="shared" si="2"/>
        <v>46235</v>
      </c>
      <c r="H27" s="17">
        <v>1170</v>
      </c>
      <c r="J27" s="16">
        <v>161932</v>
      </c>
      <c r="K27" s="16" t="s">
        <v>41</v>
      </c>
      <c r="L27" s="31" t="s">
        <v>12</v>
      </c>
      <c r="M27" s="8">
        <v>10</v>
      </c>
      <c r="N27" s="44" t="s">
        <v>59</v>
      </c>
      <c r="Q27" s="27"/>
      <c r="R27" s="27"/>
      <c r="S27" s="27"/>
      <c r="U27" s="27"/>
    </row>
    <row r="28" spans="1:21" ht="15" customHeight="1" x14ac:dyDescent="0.25">
      <c r="A28" s="5" t="str">
        <f t="shared" si="0"/>
        <v>CUSTO MARKET DATA - AGOSTO/26-REFINITIV-100142</v>
      </c>
      <c r="B28" s="20">
        <v>46235</v>
      </c>
      <c r="C28" s="21">
        <v>817393</v>
      </c>
      <c r="D28" s="9" t="str">
        <f>IF(J28=57036,"ALEXANDRE DA COSTA SOARES",IF(J28=24157,"JOSE MAURICIO GOMES TEIXEIRA",IF(J28=24203,"JOSE MAURICIO GOMES TEIXEIRA",IF(J28=24149,"CHRISTIANO MARCONDES DE BARROS LIMA",IF(J28=24137,"CHRISTIANO MARCONDES DE BARROS LIMA",IF(J28=135152,"ENRICO BORTPLUZO CASSIANO",IF(J28=136568,"ENRICO BORTPLUZO CASSIANO", IF(J28=130976,"MARYLIA CARVALHO PONCE",IF(J28=136668,"ALEXANDRE DA COSTA SOARES",IF(J28=52340,"OFFSHORE LISTED",IF(J28=158778,"CLAUDIO DE SOUZA PACINI",IF(J28=159800,"CLAUDIO DE SOUZA PACINI",_xlfn.XLOOKUP(J28,[1]!Tabela33[ID ORACLE],[1]!Tabela33[BROKER],0,0,1)))))))))))))</f>
        <v>RAFAEL TENORIO CAVALCANTI</v>
      </c>
      <c r="E28" s="22">
        <f>-IF(L28="BRL",M28,IF(L28="GBP",M28*$R$1,IF(L28="CAD",M28*$T$1,M28*$P$1)))</f>
        <v>-634.33284356009995</v>
      </c>
      <c r="F28" s="9" t="str">
        <f>IF(UPPER(K28)="Valor Analytics LLC","VALOR",UPPER(K28))</f>
        <v>REFINITIV</v>
      </c>
      <c r="G28" s="20">
        <f t="shared" si="2"/>
        <v>46235</v>
      </c>
      <c r="H28" s="23">
        <v>1170</v>
      </c>
      <c r="J28" s="52">
        <v>100142</v>
      </c>
      <c r="K28" s="45" t="s">
        <v>42</v>
      </c>
      <c r="L28" s="45" t="s">
        <v>17</v>
      </c>
      <c r="M28" s="45">
        <v>90.333780999999988</v>
      </c>
      <c r="N28" s="2"/>
      <c r="Q28" s="27"/>
      <c r="R28" s="27"/>
      <c r="S28" s="27"/>
      <c r="U28" s="27"/>
    </row>
    <row r="29" spans="1:21" ht="15" customHeight="1" x14ac:dyDescent="0.25">
      <c r="A29" s="5" t="str">
        <f t="shared" si="0"/>
        <v>CUSTO MARKET DATA - AGOSTO/26-REFINITIV-105071</v>
      </c>
      <c r="B29" s="20">
        <v>46235</v>
      </c>
      <c r="C29" s="21">
        <v>817393</v>
      </c>
      <c r="D29" s="9" t="str">
        <f>IF(J29=57036,"ALEXANDRE DA COSTA SOARES",IF(J29=24157,"JOSE MAURICIO GOMES TEIXEIRA",IF(J29=24203,"JOSE MAURICIO GOMES TEIXEIRA",IF(J29=24149,"CHRISTIANO MARCONDES DE BARROS LIMA",IF(J29=24137,"CHRISTIANO MARCONDES DE BARROS LIMA",IF(J29=135152,"ENRICO BORTPLUZO CASSIANO",IF(J29=136568,"ENRICO BORTPLUZO CASSIANO", IF(J29=130976,"MARYLIA CARVALHO PONCE",IF(J29=136668,"ALEXANDRE DA COSTA SOARES",IF(J29=52340,"OFFSHORE LISTED",IF(J29=158778,"CLAUDIO DE SOUZA PACINI",IF(J29=159800,"CLAUDIO DE SOUZA PACINI",_xlfn.XLOOKUP(J29,[1]!Tabela33[ID ORACLE],[1]!Tabela33[BROKER],0,0,1)))))))))))))</f>
        <v>RODRIGO MOURA MARQUES</v>
      </c>
      <c r="E29" s="22">
        <f t="shared" ref="E29:E92" si="5">-IF(L29="BRL",M29,IF(L29="GBP",M29*$R$1,IF(L29="CAD",M29*$T$1,M29*$P$1)))</f>
        <v>-144.4717584828</v>
      </c>
      <c r="F29" s="9" t="str">
        <f t="shared" ref="F29:F92" si="6">IF(UPPER(K29)="Valor Analytics LLC","VALOR",UPPER(K29))</f>
        <v>REFINITIV</v>
      </c>
      <c r="G29" s="20">
        <f t="shared" si="2"/>
        <v>46235</v>
      </c>
      <c r="H29" s="23">
        <v>1170</v>
      </c>
      <c r="J29" s="52">
        <v>105071</v>
      </c>
      <c r="K29" s="45" t="s">
        <v>42</v>
      </c>
      <c r="L29" s="45" t="s">
        <v>17</v>
      </c>
      <c r="M29" s="45">
        <v>20.573868000000001</v>
      </c>
      <c r="N29" s="2"/>
      <c r="Q29" s="27"/>
      <c r="R29" s="27"/>
      <c r="S29" s="27"/>
      <c r="U29" s="27"/>
    </row>
    <row r="30" spans="1:21" ht="15" customHeight="1" x14ac:dyDescent="0.25">
      <c r="A30" s="5" t="str">
        <f t="shared" si="0"/>
        <v>CUSTO MARKET DATA - AGOSTO/26-BLOOMBERG-106970</v>
      </c>
      <c r="B30" s="20">
        <v>46235</v>
      </c>
      <c r="C30" s="21">
        <v>817393</v>
      </c>
      <c r="D30" s="9" t="str">
        <f>IF(J30=57036,"ALEXANDRE DA COSTA SOARES",IF(J30=24157,"JOSE MAURICIO GOMES TEIXEIRA",IF(J30=24203,"JOSE MAURICIO GOMES TEIXEIRA",IF(J30=24149,"CHRISTIANO MARCONDES DE BARROS LIMA",IF(J30=24137,"CHRISTIANO MARCONDES DE BARROS LIMA",IF(J30=135152,"ENRICO BORTPLUZO CASSIANO",IF(J30=136568,"ENRICO BORTPLUZO CASSIANO", IF(J30=130976,"MARYLIA CARVALHO PONCE",IF(J30=136668,"ALEXANDRE DA COSTA SOARES",IF(J30=52340,"OFFSHORE LISTED",IF(J30=158778,"CLAUDIO DE SOUZA PACINI",IF(J30=159800,"CLAUDIO DE SOUZA PACINI",_xlfn.XLOOKUP(J30,[1]!Tabela33[ID ORACLE],[1]!Tabela33[BROKER],0,0,1)))))))))))))</f>
        <v>CESAR MARIANO SCARAMBONE MENEZES</v>
      </c>
      <c r="E30" s="22">
        <f t="shared" si="5"/>
        <v>-12293.404085736001</v>
      </c>
      <c r="F30" s="9" t="str">
        <f t="shared" si="6"/>
        <v>BLOOMBERG</v>
      </c>
      <c r="G30" s="20">
        <f t="shared" si="2"/>
        <v>46235</v>
      </c>
      <c r="H30" s="23">
        <v>1170</v>
      </c>
      <c r="J30" s="52">
        <v>106970</v>
      </c>
      <c r="K30" s="45" t="s">
        <v>41</v>
      </c>
      <c r="L30" s="45" t="s">
        <v>12</v>
      </c>
      <c r="M30" s="45">
        <v>2372.5112100000001</v>
      </c>
      <c r="N30" s="2"/>
      <c r="Q30" s="27"/>
      <c r="R30" s="27"/>
      <c r="S30" s="27"/>
      <c r="U30" s="27"/>
    </row>
    <row r="31" spans="1:21" ht="15" customHeight="1" x14ac:dyDescent="0.25">
      <c r="A31" s="5" t="str">
        <f t="shared" si="0"/>
        <v>CUSTO MARKET DATA - AGOSTO/26-REFINITIV-106970</v>
      </c>
      <c r="B31" s="20">
        <v>46235</v>
      </c>
      <c r="C31" s="21">
        <v>817393</v>
      </c>
      <c r="D31" s="9" t="str">
        <f>IF(J31=57036,"ALEXANDRE DA COSTA SOARES",IF(J31=24157,"JOSE MAURICIO GOMES TEIXEIRA",IF(J31=24203,"JOSE MAURICIO GOMES TEIXEIRA",IF(J31=24149,"CHRISTIANO MARCONDES DE BARROS LIMA",IF(J31=24137,"CHRISTIANO MARCONDES DE BARROS LIMA",IF(J31=135152,"ENRICO BORTPLUZO CASSIANO",IF(J31=136568,"ENRICO BORTPLUZO CASSIANO", IF(J31=130976,"MARYLIA CARVALHO PONCE",IF(J31=136668,"ALEXANDRE DA COSTA SOARES",IF(J31=52340,"OFFSHORE LISTED",IF(J31=158778,"CLAUDIO DE SOUZA PACINI",IF(J31=159800,"CLAUDIO DE SOUZA PACINI",_xlfn.XLOOKUP(J31,[1]!Tabela33[ID ORACLE],[1]!Tabela33[BROKER],0,0,1)))))))))))))</f>
        <v>CESAR MARIANO SCARAMBONE MENEZES</v>
      </c>
      <c r="E31" s="22">
        <f t="shared" si="5"/>
        <v>-144.4717584828</v>
      </c>
      <c r="F31" s="9" t="str">
        <f t="shared" si="6"/>
        <v>REFINITIV</v>
      </c>
      <c r="G31" s="20">
        <f t="shared" si="2"/>
        <v>46235</v>
      </c>
      <c r="H31" s="23">
        <v>1170</v>
      </c>
      <c r="J31" s="52">
        <v>106970</v>
      </c>
      <c r="K31" s="45" t="s">
        <v>42</v>
      </c>
      <c r="L31" s="45" t="s">
        <v>17</v>
      </c>
      <c r="M31" s="45">
        <v>20.573868000000001</v>
      </c>
      <c r="N31" s="2"/>
      <c r="Q31" s="27"/>
      <c r="R31" s="27"/>
      <c r="S31" s="27"/>
      <c r="U31" s="27"/>
    </row>
    <row r="32" spans="1:21" ht="15" customHeight="1" x14ac:dyDescent="0.25">
      <c r="A32" s="5" t="str">
        <f t="shared" si="0"/>
        <v>CUSTO MARKET DATA - AGOSTO/26-REFINITIV-108911</v>
      </c>
      <c r="B32" s="20">
        <v>46235</v>
      </c>
      <c r="C32" s="21">
        <v>817393</v>
      </c>
      <c r="D32" s="9" t="str">
        <f>IF(J32=57036,"ALEXANDRE DA COSTA SOARES",IF(J32=24157,"JOSE MAURICIO GOMES TEIXEIRA",IF(J32=24203,"JOSE MAURICIO GOMES TEIXEIRA",IF(J32=24149,"CHRISTIANO MARCONDES DE BARROS LIMA",IF(J32=24137,"CHRISTIANO MARCONDES DE BARROS LIMA",IF(J32=135152,"ENRICO BORTPLUZO CASSIANO",IF(J32=136568,"ENRICO BORTPLUZO CASSIANO", IF(J32=130976,"MARYLIA CARVALHO PONCE",IF(J32=136668,"ALEXANDRE DA COSTA SOARES",IF(J32=52340,"OFFSHORE LISTED",IF(J32=158778,"CLAUDIO DE SOUZA PACINI",IF(J32=159800,"CLAUDIO DE SOUZA PACINI",_xlfn.XLOOKUP(J32,[1]!Tabela33[ID ORACLE],[1]!Tabela33[BROKER],0,0,1)))))))))))))</f>
        <v>ALI MOHAMAD KANSAOU</v>
      </c>
      <c r="E32" s="22">
        <f t="shared" si="5"/>
        <v>-144.4717584828</v>
      </c>
      <c r="F32" s="9" t="str">
        <f t="shared" si="6"/>
        <v>REFINITIV</v>
      </c>
      <c r="G32" s="20">
        <f t="shared" si="2"/>
        <v>46235</v>
      </c>
      <c r="H32" s="23">
        <v>1170</v>
      </c>
      <c r="J32" s="52">
        <v>108911</v>
      </c>
      <c r="K32" s="45" t="s">
        <v>42</v>
      </c>
      <c r="L32" s="45" t="s">
        <v>17</v>
      </c>
      <c r="M32" s="45">
        <v>20.573868000000001</v>
      </c>
      <c r="N32" s="2"/>
      <c r="Q32" s="27"/>
      <c r="R32" s="27"/>
      <c r="S32" s="27"/>
      <c r="U32" s="27"/>
    </row>
    <row r="33" spans="1:78" ht="15" customHeight="1" x14ac:dyDescent="0.25">
      <c r="A33" s="5" t="str">
        <f t="shared" si="0"/>
        <v>CUSTO MARKET DATA - AGOSTO/26-BLOOMBERG-113487</v>
      </c>
      <c r="B33" s="20">
        <v>46235</v>
      </c>
      <c r="C33" s="21">
        <v>817393</v>
      </c>
      <c r="D33" s="9" t="str">
        <f>IF(J33=57036,"ALEXANDRE DA COSTA SOARES",IF(J33=24157,"JOSE MAURICIO GOMES TEIXEIRA",IF(J33=24203,"JOSE MAURICIO GOMES TEIXEIRA",IF(J33=24149,"CHRISTIANO MARCONDES DE BARROS LIMA",IF(J33=24137,"CHRISTIANO MARCONDES DE BARROS LIMA",IF(J33=135152,"ENRICO BORTPLUZO CASSIANO",IF(J33=136568,"ENRICO BORTPLUZO CASSIANO", IF(J33=130976,"MARYLIA CARVALHO PONCE",IF(J33=136668,"ALEXANDRE DA COSTA SOARES",IF(J33=52340,"OFFSHORE LISTED",IF(J33=158778,"CLAUDIO DE SOUZA PACINI",IF(J33=159800,"CLAUDIO DE SOUZA PACINI",_xlfn.XLOOKUP(J33,[1]!Tabela33[ID ORACLE],[1]!Tabela33[BROKER],0,0,1)))))))))))))</f>
        <v>MARYLIA CARVALHO PONCE</v>
      </c>
      <c r="E33" s="22">
        <f t="shared" si="5"/>
        <v>-12293.404085736001</v>
      </c>
      <c r="F33" s="9" t="str">
        <f t="shared" si="6"/>
        <v>BLOOMBERG</v>
      </c>
      <c r="G33" s="20">
        <f t="shared" si="2"/>
        <v>46235</v>
      </c>
      <c r="H33" s="23">
        <v>1170</v>
      </c>
      <c r="J33" s="52">
        <v>113487</v>
      </c>
      <c r="K33" s="45" t="s">
        <v>41</v>
      </c>
      <c r="L33" s="45" t="s">
        <v>12</v>
      </c>
      <c r="M33" s="45">
        <v>2372.5112100000001</v>
      </c>
      <c r="N33" s="2"/>
      <c r="Q33" s="27"/>
      <c r="R33" s="27"/>
      <c r="S33" s="27"/>
      <c r="U33" s="27"/>
    </row>
    <row r="34" spans="1:78" ht="15" customHeight="1" x14ac:dyDescent="0.25">
      <c r="A34" s="5" t="str">
        <f t="shared" si="0"/>
        <v>CUSTO MARKET DATA - AGOSTO/26-REFINITIV-113487</v>
      </c>
      <c r="B34" s="20">
        <v>46235</v>
      </c>
      <c r="C34" s="21">
        <v>817393</v>
      </c>
      <c r="D34" s="9" t="str">
        <f>IF(J34=57036,"ALEXANDRE DA COSTA SOARES",IF(J34=24157,"JOSE MAURICIO GOMES TEIXEIRA",IF(J34=24203,"JOSE MAURICIO GOMES TEIXEIRA",IF(J34=24149,"CHRISTIANO MARCONDES DE BARROS LIMA",IF(J34=24137,"CHRISTIANO MARCONDES DE BARROS LIMA",IF(J34=135152,"ENRICO BORTPLUZO CASSIANO",IF(J34=136568,"ENRICO BORTPLUZO CASSIANO", IF(J34=130976,"MARYLIA CARVALHO PONCE",IF(J34=136668,"ALEXANDRE DA COSTA SOARES",IF(J34=52340,"OFFSHORE LISTED",IF(J34=158778,"CLAUDIO DE SOUZA PACINI",IF(J34=159800,"CLAUDIO DE SOUZA PACINI",_xlfn.XLOOKUP(J34,[1]!Tabela33[ID ORACLE],[1]!Tabela33[BROKER],0,0,1)))))))))))))</f>
        <v>MARYLIA CARVALHO PONCE</v>
      </c>
      <c r="E34" s="22">
        <f t="shared" si="5"/>
        <v>-144.4717584828</v>
      </c>
      <c r="F34" s="9" t="str">
        <f t="shared" si="6"/>
        <v>REFINITIV</v>
      </c>
      <c r="G34" s="20">
        <f t="shared" si="2"/>
        <v>46235</v>
      </c>
      <c r="H34" s="23">
        <v>1170</v>
      </c>
      <c r="J34" s="52">
        <v>113487</v>
      </c>
      <c r="K34" s="45" t="s">
        <v>42</v>
      </c>
      <c r="L34" s="45" t="s">
        <v>17</v>
      </c>
      <c r="M34" s="45">
        <v>20.573868000000001</v>
      </c>
      <c r="N34" s="2"/>
      <c r="Q34" s="27"/>
      <c r="R34" s="27"/>
      <c r="S34" s="27"/>
      <c r="U34" s="27"/>
    </row>
    <row r="35" spans="1:78" ht="15" customHeight="1" x14ac:dyDescent="0.25">
      <c r="A35" s="5" t="str">
        <f t="shared" si="0"/>
        <v>CUSTO MARKET DATA - AGOSTO/26-CBOE GLOBAL MARKETS-115154</v>
      </c>
      <c r="B35" s="20">
        <v>46235</v>
      </c>
      <c r="C35" s="21">
        <v>817393</v>
      </c>
      <c r="D35" s="9" t="str">
        <f>IF(J35=57036,"ALEXANDRE DA COSTA SOARES",IF(J35=24157,"JOSE MAURICIO GOMES TEIXEIRA",IF(J35=24203,"JOSE MAURICIO GOMES TEIXEIRA",IF(J35=24149,"CHRISTIANO MARCONDES DE BARROS LIMA",IF(J35=24137,"CHRISTIANO MARCONDES DE BARROS LIMA",IF(J35=135152,"ENRICO BORTPLUZO CASSIANO",IF(J35=136568,"ENRICO BORTPLUZO CASSIANO", IF(J35=130976,"MARYLIA CARVALHO PONCE",IF(J35=136668,"ALEXANDRE DA COSTA SOARES",IF(J35=52340,"OFFSHORE LISTED",IF(J35=158778,"CLAUDIO DE SOUZA PACINI",IF(J35=159800,"CLAUDIO DE SOUZA PACINI",_xlfn.XLOOKUP(J35,[1]!Tabela33[ID ORACLE],[1]!Tabela33[BROKER],0,0,1)))))))))))))</f>
        <v>FELIPE DE ANDRADE BASILE</v>
      </c>
      <c r="E35" s="22">
        <f t="shared" si="5"/>
        <v>-1805.2768445063998</v>
      </c>
      <c r="F35" s="9" t="str">
        <f t="shared" si="6"/>
        <v>CBOE GLOBAL MARKETS</v>
      </c>
      <c r="G35" s="20">
        <f t="shared" si="2"/>
        <v>46235</v>
      </c>
      <c r="H35" s="23">
        <v>1170</v>
      </c>
      <c r="J35" s="52">
        <v>115154</v>
      </c>
      <c r="K35" s="45" t="s">
        <v>46</v>
      </c>
      <c r="L35" s="45" t="s">
        <v>12</v>
      </c>
      <c r="M35" s="45">
        <v>348.40142899999995</v>
      </c>
      <c r="N35" s="2"/>
      <c r="Q35" s="27"/>
      <c r="R35" s="27"/>
      <c r="S35" s="27"/>
      <c r="U35" s="27"/>
    </row>
    <row r="36" spans="1:78" ht="15" customHeight="1" x14ac:dyDescent="0.25">
      <c r="A36" s="5" t="str">
        <f t="shared" si="0"/>
        <v>CUSTO MARKET DATA - AGOSTO/26-OPTIONS PRICE REPORTING AUTHORITY (OPRA)-115154</v>
      </c>
      <c r="B36" s="20">
        <v>46235</v>
      </c>
      <c r="C36" s="21">
        <v>817393</v>
      </c>
      <c r="D36" s="9" t="str">
        <f>IF(J36=57036,"ALEXANDRE DA COSTA SOARES",IF(J36=24157,"JOSE MAURICIO GOMES TEIXEIRA",IF(J36=24203,"JOSE MAURICIO GOMES TEIXEIRA",IF(J36=24149,"CHRISTIANO MARCONDES DE BARROS LIMA",IF(J36=24137,"CHRISTIANO MARCONDES DE BARROS LIMA",IF(J36=135152,"ENRICO BORTPLUZO CASSIANO",IF(J36=136568,"ENRICO BORTPLUZO CASSIANO", IF(J36=130976,"MARYLIA CARVALHO PONCE",IF(J36=136668,"ALEXANDRE DA COSTA SOARES",IF(J36=52340,"OFFSHORE LISTED",IF(J36=158778,"CLAUDIO DE SOUZA PACINI",IF(J36=159800,"CLAUDIO DE SOUZA PACINI",_xlfn.XLOOKUP(J36,[1]!Tabela33[ID ORACLE],[1]!Tabela33[BROKER],0,0,1)))))))))))))</f>
        <v>FELIPE DE ANDRADE BASILE</v>
      </c>
      <c r="E36" s="22">
        <f t="shared" si="5"/>
        <v>-340.92661050000004</v>
      </c>
      <c r="F36" s="9" t="str">
        <f t="shared" si="6"/>
        <v>OPTIONS PRICE REPORTING AUTHORITY (OPRA)</v>
      </c>
      <c r="G36" s="20">
        <f t="shared" si="2"/>
        <v>46235</v>
      </c>
      <c r="H36" s="23">
        <v>1170</v>
      </c>
      <c r="J36" s="52">
        <v>115154</v>
      </c>
      <c r="K36" s="45" t="s">
        <v>45</v>
      </c>
      <c r="L36" s="45" t="s">
        <v>12</v>
      </c>
      <c r="M36" s="45">
        <v>65.795625000000001</v>
      </c>
      <c r="N36" s="2"/>
      <c r="Q36" s="27"/>
      <c r="R36" s="27"/>
      <c r="S36" s="27"/>
      <c r="T36" s="27"/>
      <c r="U36" s="27"/>
    </row>
    <row r="37" spans="1:78" customFormat="1" ht="15" customHeight="1" x14ac:dyDescent="0.25">
      <c r="A37" s="5" t="str">
        <f t="shared" si="0"/>
        <v>CUSTO MARKET DATA - AGOSTO/26-REFINITIV-115154</v>
      </c>
      <c r="B37" s="20">
        <v>46235</v>
      </c>
      <c r="C37" s="21">
        <v>817393</v>
      </c>
      <c r="D37" s="9" t="str">
        <f>IF(J37=57036,"ALEXANDRE DA COSTA SOARES",IF(J37=24157,"JOSE MAURICIO GOMES TEIXEIRA",IF(J37=24203,"JOSE MAURICIO GOMES TEIXEIRA",IF(J37=24149,"CHRISTIANO MARCONDES DE BARROS LIMA",IF(J37=24137,"CHRISTIANO MARCONDES DE BARROS LIMA",IF(J37=135152,"ENRICO BORTPLUZO CASSIANO",IF(J37=136568,"ENRICO BORTPLUZO CASSIANO", IF(J37=130976,"MARYLIA CARVALHO PONCE",IF(J37=136668,"ALEXANDRE DA COSTA SOARES",IF(J37=52340,"OFFSHORE LISTED",IF(J37=158778,"CLAUDIO DE SOUZA PACINI",IF(J37=159800,"CLAUDIO DE SOUZA PACINI",_xlfn.XLOOKUP(J37,[1]!Tabela33[ID ORACLE],[1]!Tabela33[BROKER],0,0,1)))))))))))))</f>
        <v>FELIPE DE ANDRADE BASILE</v>
      </c>
      <c r="E37" s="22">
        <f t="shared" si="5"/>
        <v>-144.4717584828</v>
      </c>
      <c r="F37" s="9" t="str">
        <f t="shared" si="6"/>
        <v>REFINITIV</v>
      </c>
      <c r="G37" s="20">
        <f t="shared" si="2"/>
        <v>46235</v>
      </c>
      <c r="H37" s="23">
        <v>1170</v>
      </c>
      <c r="J37" s="52">
        <v>115154</v>
      </c>
      <c r="K37" s="45" t="s">
        <v>42</v>
      </c>
      <c r="L37" s="45" t="s">
        <v>17</v>
      </c>
      <c r="M37" s="45">
        <v>20.573868000000001</v>
      </c>
      <c r="N37" s="2"/>
      <c r="O37" s="1"/>
      <c r="P37" s="26"/>
      <c r="Q37" s="27"/>
      <c r="R37" s="27"/>
      <c r="S37" s="27"/>
      <c r="T37" s="26"/>
      <c r="U37" s="27"/>
    </row>
    <row r="38" spans="1:78" customFormat="1" ht="15" customHeight="1" x14ac:dyDescent="0.25">
      <c r="A38" s="5" t="str">
        <f t="shared" si="0"/>
        <v>CUSTO MARKET DATA - AGOSTO/26-BLOOMBERG-119734</v>
      </c>
      <c r="B38" s="20">
        <v>46235</v>
      </c>
      <c r="C38" s="21">
        <v>817393</v>
      </c>
      <c r="D38" s="9" t="str">
        <f>IF(J38=57036,"ALEXANDRE DA COSTA SOARES",IF(J38=24157,"JOSE MAURICIO GOMES TEIXEIRA",IF(J38=24203,"JOSE MAURICIO GOMES TEIXEIRA",IF(J38=24149,"CHRISTIANO MARCONDES DE BARROS LIMA",IF(J38=24137,"CHRISTIANO MARCONDES DE BARROS LIMA",IF(J38=135152,"ENRICO BORTPLUZO CASSIANO",IF(J38=136568,"ENRICO BORTPLUZO CASSIANO", IF(J38=130976,"MARYLIA CARVALHO PONCE",IF(J38=136668,"ALEXANDRE DA COSTA SOARES",IF(J38=52340,"OFFSHORE LISTED",IF(J38=158778,"CLAUDIO DE SOUZA PACINI",IF(J38=159800,"CLAUDIO DE SOUZA PACINI",_xlfn.XLOOKUP(J38,[1]!Tabela33[ID ORACLE],[1]!Tabela33[BROKER],0,0,1)))))))))))))</f>
        <v>RAFAEL MARQUES MOREIRA DA COSTA</v>
      </c>
      <c r="E38" s="22">
        <f t="shared" si="5"/>
        <v>-51.816000000000003</v>
      </c>
      <c r="F38" s="9" t="str">
        <f t="shared" si="6"/>
        <v>BLOOMBERG</v>
      </c>
      <c r="G38" s="20">
        <f t="shared" si="2"/>
        <v>46235</v>
      </c>
      <c r="H38" s="23">
        <v>1170</v>
      </c>
      <c r="J38" s="52">
        <v>119734</v>
      </c>
      <c r="K38" s="45" t="s">
        <v>41</v>
      </c>
      <c r="L38" s="45" t="s">
        <v>12</v>
      </c>
      <c r="M38" s="45">
        <v>10</v>
      </c>
      <c r="N38" s="2"/>
      <c r="O38" s="1"/>
      <c r="P38" s="26"/>
      <c r="Q38" s="27"/>
      <c r="R38" s="27"/>
      <c r="S38" s="27"/>
      <c r="T38" s="26"/>
      <c r="U38" s="27"/>
    </row>
    <row r="39" spans="1:78" customFormat="1" ht="15" customHeight="1" x14ac:dyDescent="0.25">
      <c r="A39" s="5" t="str">
        <f t="shared" si="0"/>
        <v>CUSTO MARKET DATA - AGOSTO/26-BROADCAST-119734</v>
      </c>
      <c r="B39" s="20">
        <v>46235</v>
      </c>
      <c r="C39" s="21">
        <v>817393</v>
      </c>
      <c r="D39" s="9" t="str">
        <f>IF(J39=57036,"ALEXANDRE DA COSTA SOARES",IF(J39=24157,"JOSE MAURICIO GOMES TEIXEIRA",IF(J39=24203,"JOSE MAURICIO GOMES TEIXEIRA",IF(J39=24149,"CHRISTIANO MARCONDES DE BARROS LIMA",IF(J39=24137,"CHRISTIANO MARCONDES DE BARROS LIMA",IF(J39=135152,"ENRICO BORTPLUZO CASSIANO",IF(J39=136568,"ENRICO BORTPLUZO CASSIANO", IF(J39=130976,"MARYLIA CARVALHO PONCE",IF(J39=136668,"ALEXANDRE DA COSTA SOARES",IF(J39=52340,"OFFSHORE LISTED",IF(J39=158778,"CLAUDIO DE SOUZA PACINI",IF(J39=159800,"CLAUDIO DE SOUZA PACINI",_xlfn.XLOOKUP(J39,[1]!Tabela33[ID ORACLE],[1]!Tabela33[BROKER],0,0,1)))))))))))))</f>
        <v>RAFAEL MARQUES MOREIRA DA COSTA</v>
      </c>
      <c r="E39" s="22">
        <f t="shared" si="5"/>
        <v>-2598.0011949999998</v>
      </c>
      <c r="F39" s="9" t="str">
        <f t="shared" si="6"/>
        <v>BROADCAST</v>
      </c>
      <c r="G39" s="20">
        <f t="shared" si="2"/>
        <v>46235</v>
      </c>
      <c r="H39" s="23">
        <v>1170</v>
      </c>
      <c r="J39" s="52">
        <v>119734</v>
      </c>
      <c r="K39" s="45" t="s">
        <v>48</v>
      </c>
      <c r="L39" s="45" t="s">
        <v>49</v>
      </c>
      <c r="M39" s="45">
        <v>2598.0011949999998</v>
      </c>
      <c r="N39" s="2"/>
      <c r="O39" s="1"/>
      <c r="P39" s="26"/>
      <c r="Q39" s="27"/>
      <c r="R39" s="27"/>
      <c r="S39" s="27"/>
      <c r="T39" s="26"/>
      <c r="U39" s="27"/>
    </row>
    <row r="40" spans="1:78" customFormat="1" ht="15" customHeight="1" x14ac:dyDescent="0.25">
      <c r="A40" s="5" t="str">
        <f t="shared" si="0"/>
        <v>CUSTO MARKET DATA - AGOSTO/26-BLOOMBERG-122758</v>
      </c>
      <c r="B40" s="20">
        <v>46235</v>
      </c>
      <c r="C40" s="21">
        <v>817393</v>
      </c>
      <c r="D40" s="9" t="str">
        <f>IF(J40=57036,"ALEXANDRE DA COSTA SOARES",IF(J40=24157,"JOSE MAURICIO GOMES TEIXEIRA",IF(J40=24203,"JOSE MAURICIO GOMES TEIXEIRA",IF(J40=24149,"CHRISTIANO MARCONDES DE BARROS LIMA",IF(J40=24137,"CHRISTIANO MARCONDES DE BARROS LIMA",IF(J40=135152,"ENRICO BORTPLUZO CASSIANO",IF(J40=136568,"ENRICO BORTPLUZO CASSIANO", IF(J40=130976,"MARYLIA CARVALHO PONCE",IF(J40=136668,"ALEXANDRE DA COSTA SOARES",IF(J40=52340,"OFFSHORE LISTED",IF(J40=158778,"CLAUDIO DE SOUZA PACINI",IF(J40=159800,"CLAUDIO DE SOUZA PACINI",_xlfn.XLOOKUP(J40,[1]!Tabela33[ID ORACLE],[1]!Tabela33[BROKER],0,0,1)))))))))))))</f>
        <v>ANDRE FERREIRA DOS SANTOS</v>
      </c>
      <c r="E40" s="22">
        <f t="shared" si="5"/>
        <v>-6217.9490428679992</v>
      </c>
      <c r="F40" s="9" t="str">
        <f t="shared" si="6"/>
        <v>BLOOMBERG</v>
      </c>
      <c r="G40" s="20">
        <f t="shared" si="2"/>
        <v>46235</v>
      </c>
      <c r="H40" s="23">
        <v>1170</v>
      </c>
      <c r="J40" s="52">
        <v>122758</v>
      </c>
      <c r="K40" s="45" t="s">
        <v>41</v>
      </c>
      <c r="L40" s="45" t="s">
        <v>12</v>
      </c>
      <c r="M40" s="45">
        <v>1200.0056049999998</v>
      </c>
      <c r="N40" s="2"/>
      <c r="O40" s="1"/>
      <c r="P40" s="26"/>
      <c r="Q40" s="27"/>
      <c r="R40" s="27"/>
      <c r="S40" s="27"/>
      <c r="T40" s="26"/>
      <c r="U40" s="27"/>
    </row>
    <row r="41" spans="1:78" customFormat="1" ht="15" customHeight="1" x14ac:dyDescent="0.25">
      <c r="A41" s="5" t="str">
        <f t="shared" si="0"/>
        <v>CUSTO MARKET DATA - AGOSTO/26-REFINITIV-122758</v>
      </c>
      <c r="B41" s="20">
        <v>46235</v>
      </c>
      <c r="C41" s="21">
        <v>817393</v>
      </c>
      <c r="D41" s="9" t="str">
        <f>IF(J41=57036,"ALEXANDRE DA COSTA SOARES",IF(J41=24157,"JOSE MAURICIO GOMES TEIXEIRA",IF(J41=24203,"JOSE MAURICIO GOMES TEIXEIRA",IF(J41=24149,"CHRISTIANO MARCONDES DE BARROS LIMA",IF(J41=24137,"CHRISTIANO MARCONDES DE BARROS LIMA",IF(J41=135152,"ENRICO BORTPLUZO CASSIANO",IF(J41=136568,"ENRICO BORTPLUZO CASSIANO", IF(J41=130976,"MARYLIA CARVALHO PONCE",IF(J41=136668,"ALEXANDRE DA COSTA SOARES",IF(J41=52340,"OFFSHORE LISTED",IF(J41=158778,"CLAUDIO DE SOUZA PACINI",IF(J41=159800,"CLAUDIO DE SOUZA PACINI",_xlfn.XLOOKUP(J41,[1]!Tabela33[ID ORACLE],[1]!Tabela33[BROKER],0,0,1)))))))))))))</f>
        <v>ANDRE FERREIRA DOS SANTOS</v>
      </c>
      <c r="E41" s="22">
        <f t="shared" si="5"/>
        <v>-144.4717584828</v>
      </c>
      <c r="F41" s="9" t="str">
        <f t="shared" si="6"/>
        <v>REFINITIV</v>
      </c>
      <c r="G41" s="20">
        <f t="shared" si="2"/>
        <v>46235</v>
      </c>
      <c r="H41" s="23">
        <v>1170</v>
      </c>
      <c r="J41" s="52">
        <v>122758</v>
      </c>
      <c r="K41" s="45" t="s">
        <v>42</v>
      </c>
      <c r="L41" s="45" t="s">
        <v>17</v>
      </c>
      <c r="M41" s="45">
        <v>20.573868000000001</v>
      </c>
      <c r="N41" s="2"/>
      <c r="O41" s="1"/>
      <c r="P41" s="26"/>
      <c r="Q41" s="27"/>
      <c r="R41" s="27"/>
      <c r="S41" s="27"/>
      <c r="T41" s="26"/>
      <c r="U41" s="27"/>
    </row>
    <row r="42" spans="1:78" customFormat="1" ht="15" customHeight="1" x14ac:dyDescent="0.25">
      <c r="A42" s="5" t="str">
        <f t="shared" si="0"/>
        <v>CUSTO MARKET DATA - AGOSTO/26-REFINITIV-125254</v>
      </c>
      <c r="B42" s="20">
        <v>46235</v>
      </c>
      <c r="C42" s="21">
        <v>817393</v>
      </c>
      <c r="D42" s="9" t="str">
        <f>IF(J42=57036,"ALEXANDRE DA COSTA SOARES",IF(J42=24157,"JOSE MAURICIO GOMES TEIXEIRA",IF(J42=24203,"JOSE MAURICIO GOMES TEIXEIRA",IF(J42=24149,"CHRISTIANO MARCONDES DE BARROS LIMA",IF(J42=24137,"CHRISTIANO MARCONDES DE BARROS LIMA",IF(J42=135152,"ENRICO BORTPLUZO CASSIANO",IF(J42=136568,"ENRICO BORTPLUZO CASSIANO", IF(J42=130976,"MARYLIA CARVALHO PONCE",IF(J42=136668,"ALEXANDRE DA COSTA SOARES",IF(J42=52340,"OFFSHORE LISTED",IF(J42=158778,"CLAUDIO DE SOUZA PACINI",IF(J42=159800,"CLAUDIO DE SOUZA PACINI",_xlfn.XLOOKUP(J42,[1]!Tabela33[ID ORACLE],[1]!Tabela33[BROKER],0,0,1)))))))))))))</f>
        <v>GUSTAVO D ELBOUX FERRIELLO</v>
      </c>
      <c r="E42" s="22">
        <f t="shared" si="5"/>
        <v>-144.4717584828</v>
      </c>
      <c r="F42" s="9" t="str">
        <f t="shared" si="6"/>
        <v>REFINITIV</v>
      </c>
      <c r="G42" s="20">
        <f t="shared" si="2"/>
        <v>46235</v>
      </c>
      <c r="H42" s="23">
        <v>1170</v>
      </c>
      <c r="J42" s="52">
        <v>125254</v>
      </c>
      <c r="K42" s="45" t="s">
        <v>42</v>
      </c>
      <c r="L42" s="45" t="s">
        <v>17</v>
      </c>
      <c r="M42" s="45">
        <v>20.573868000000001</v>
      </c>
      <c r="N42" s="2"/>
      <c r="O42" s="1"/>
      <c r="P42" s="26"/>
      <c r="Q42" s="27"/>
      <c r="R42" s="27"/>
      <c r="S42" s="27"/>
      <c r="T42" s="26"/>
      <c r="U42" s="27"/>
    </row>
    <row r="43" spans="1:78" customFormat="1" ht="15" customHeight="1" x14ac:dyDescent="0.25">
      <c r="A43" s="5" t="str">
        <f t="shared" si="0"/>
        <v>CUSTO MARKET DATA - AGOSTO/26-FIDESSA-125412</v>
      </c>
      <c r="B43" s="20">
        <v>46235</v>
      </c>
      <c r="C43" s="21">
        <v>817393</v>
      </c>
      <c r="D43" s="9" t="str">
        <f>IF(J43=57036,"ALEXANDRE DA COSTA SOARES",IF(J43=24157,"JOSE MAURICIO GOMES TEIXEIRA",IF(J43=24203,"JOSE MAURICIO GOMES TEIXEIRA",IF(J43=24149,"CHRISTIANO MARCONDES DE BARROS LIMA",IF(J43=24137,"CHRISTIANO MARCONDES DE BARROS LIMA",IF(J43=135152,"ENRICO BORTPLUZO CASSIANO",IF(J43=136568,"ENRICO BORTPLUZO CASSIANO", IF(J43=130976,"MARYLIA CARVALHO PONCE",IF(J43=136668,"ALEXANDRE DA COSTA SOARES",IF(J43=52340,"OFFSHORE LISTED",IF(J43=158778,"CLAUDIO DE SOUZA PACINI",IF(J43=159800,"CLAUDIO DE SOUZA PACINI",_xlfn.XLOOKUP(J43,[1]!Tabela33[ID ORACLE],[1]!Tabela33[BROKER],0,0,1)))))))))))))</f>
        <v>GUSTAVO VALERIO FERREIRA DE ALBUQUERQUE</v>
      </c>
      <c r="E43" s="22">
        <f t="shared" si="5"/>
        <v>-1802.8436117808001</v>
      </c>
      <c r="F43" s="9" t="str">
        <f t="shared" si="6"/>
        <v>FIDESSA</v>
      </c>
      <c r="G43" s="20">
        <f t="shared" si="2"/>
        <v>46235</v>
      </c>
      <c r="H43" s="23">
        <v>1170</v>
      </c>
      <c r="J43" s="52">
        <v>125412</v>
      </c>
      <c r="K43" s="45" t="s">
        <v>47</v>
      </c>
      <c r="L43" s="45" t="s">
        <v>12</v>
      </c>
      <c r="M43" s="45">
        <v>347.93183799999997</v>
      </c>
      <c r="N43" s="2"/>
      <c r="O43" s="1"/>
      <c r="P43" s="26"/>
      <c r="Q43" s="27"/>
      <c r="R43" s="27"/>
      <c r="S43" s="27"/>
      <c r="T43" s="26"/>
      <c r="U43" s="27"/>
    </row>
    <row r="44" spans="1:78" customFormat="1" ht="15" customHeight="1" x14ac:dyDescent="0.25">
      <c r="A44" s="5" t="str">
        <f t="shared" si="0"/>
        <v>CUSTO MARKET DATA - AGOSTO/26-NYSE MARKET INC.-125412</v>
      </c>
      <c r="B44" s="20">
        <v>46235</v>
      </c>
      <c r="C44" s="21">
        <v>817393</v>
      </c>
      <c r="D44" s="9" t="str">
        <f>IF(J44=57036,"ALEXANDRE DA COSTA SOARES",IF(J44=24157,"JOSE MAURICIO GOMES TEIXEIRA",IF(J44=24203,"JOSE MAURICIO GOMES TEIXEIRA",IF(J44=24149,"CHRISTIANO MARCONDES DE BARROS LIMA",IF(J44=24137,"CHRISTIANO MARCONDES DE BARROS LIMA",IF(J44=135152,"ENRICO BORTPLUZO CASSIANO",IF(J44=136568,"ENRICO BORTPLUZO CASSIANO", IF(J44=130976,"MARYLIA CARVALHO PONCE",IF(J44=136668,"ALEXANDRE DA COSTA SOARES",IF(J44=52340,"OFFSHORE LISTED",IF(J44=158778,"CLAUDIO DE SOUZA PACINI",IF(J44=159800,"CLAUDIO DE SOUZA PACINI",_xlfn.XLOOKUP(J44,[1]!Tabela33[ID ORACLE],[1]!Tabela33[BROKER],0,0,1)))))))))))))</f>
        <v>GUSTAVO VALERIO FERREIRA DE ALBUQUERQUE</v>
      </c>
      <c r="E44" s="22">
        <f t="shared" si="5"/>
        <v>-1320.103278</v>
      </c>
      <c r="F44" s="9" t="str">
        <f t="shared" si="6"/>
        <v>NYSE MARKET INC.</v>
      </c>
      <c r="G44" s="20">
        <f t="shared" si="2"/>
        <v>46235</v>
      </c>
      <c r="H44" s="23">
        <v>1170</v>
      </c>
      <c r="J44" s="52">
        <v>125412</v>
      </c>
      <c r="K44" s="45" t="s">
        <v>44</v>
      </c>
      <c r="L44" s="45" t="s">
        <v>12</v>
      </c>
      <c r="M44" s="45">
        <v>254.76749999999998</v>
      </c>
      <c r="N44" s="2"/>
      <c r="O44" s="1"/>
      <c r="P44" s="26"/>
      <c r="Q44" s="27"/>
      <c r="R44" s="27"/>
      <c r="S44" s="27"/>
      <c r="T44" s="26"/>
      <c r="U44" s="27"/>
    </row>
    <row r="45" spans="1:78" ht="15" customHeight="1" x14ac:dyDescent="0.25">
      <c r="A45" s="5" t="str">
        <f t="shared" si="0"/>
        <v>CUSTO MARKET DATA - AGOSTO/26-REFINITIV-125412</v>
      </c>
      <c r="B45" s="20">
        <v>46235</v>
      </c>
      <c r="C45" s="21">
        <v>817393</v>
      </c>
      <c r="D45" s="9" t="str">
        <f>IF(J45=57036,"ALEXANDRE DA COSTA SOARES",IF(J45=24157,"JOSE MAURICIO GOMES TEIXEIRA",IF(J45=24203,"JOSE MAURICIO GOMES TEIXEIRA",IF(J45=24149,"CHRISTIANO MARCONDES DE BARROS LIMA",IF(J45=24137,"CHRISTIANO MARCONDES DE BARROS LIMA",IF(J45=135152,"ENRICO BORTPLUZO CASSIANO",IF(J45=136568,"ENRICO BORTPLUZO CASSIANO", IF(J45=130976,"MARYLIA CARVALHO PONCE",IF(J45=136668,"ALEXANDRE DA COSTA SOARES",IF(J45=52340,"OFFSHORE LISTED",IF(J45=158778,"CLAUDIO DE SOUZA PACINI",IF(J45=159800,"CLAUDIO DE SOUZA PACINI",_xlfn.XLOOKUP(J45,[1]!Tabela33[ID ORACLE],[1]!Tabela33[BROKER],0,0,1)))))))))))))</f>
        <v>GUSTAVO VALERIO FERREIRA DE ALBUQUERQUE</v>
      </c>
      <c r="E45" s="22">
        <f t="shared" si="5"/>
        <v>-144.4717584828</v>
      </c>
      <c r="F45" s="9" t="str">
        <f t="shared" si="6"/>
        <v>REFINITIV</v>
      </c>
      <c r="G45" s="20">
        <f t="shared" si="2"/>
        <v>46235</v>
      </c>
      <c r="H45" s="23">
        <v>1170</v>
      </c>
      <c r="J45" s="52">
        <v>125412</v>
      </c>
      <c r="K45" s="45" t="s">
        <v>42</v>
      </c>
      <c r="L45" s="45" t="s">
        <v>17</v>
      </c>
      <c r="M45" s="45">
        <v>20.573868000000001</v>
      </c>
      <c r="N45" s="2"/>
      <c r="Q45" s="27"/>
      <c r="R45" s="27"/>
      <c r="S45" s="27"/>
      <c r="U45" s="27"/>
    </row>
    <row r="46" spans="1:78" s="25" customFormat="1" ht="15" customHeight="1" x14ac:dyDescent="0.25">
      <c r="A46" s="5" t="str">
        <f t="shared" si="0"/>
        <v>CUSTO MARKET DATA - AGOSTO/26-REFINITIV-125524</v>
      </c>
      <c r="B46" s="20">
        <v>46235</v>
      </c>
      <c r="C46" s="21">
        <v>817393</v>
      </c>
      <c r="D46" s="9" t="str">
        <f>IF(J46=57036,"ALEXANDRE DA COSTA SOARES",IF(J46=24157,"JOSE MAURICIO GOMES TEIXEIRA",IF(J46=24203,"JOSE MAURICIO GOMES TEIXEIRA",IF(J46=24149,"CHRISTIANO MARCONDES DE BARROS LIMA",IF(J46=24137,"CHRISTIANO MARCONDES DE BARROS LIMA",IF(J46=135152,"ENRICO BORTPLUZO CASSIANO",IF(J46=136568,"ENRICO BORTPLUZO CASSIANO", IF(J46=130976,"MARYLIA CARVALHO PONCE",IF(J46=136668,"ALEXANDRE DA COSTA SOARES",IF(J46=52340,"OFFSHORE LISTED",IF(J46=158778,"CLAUDIO DE SOUZA PACINI",IF(J46=159800,"CLAUDIO DE SOUZA PACINI",_xlfn.XLOOKUP(J46,[1]!Tabela33[ID ORACLE],[1]!Tabela33[BROKER],0,0,1)))))))))))))</f>
        <v>JUAREZ JOAQUIM DE LACERDA</v>
      </c>
      <c r="E46" s="22">
        <f t="shared" si="5"/>
        <v>-144.4717584828</v>
      </c>
      <c r="F46" s="9" t="str">
        <f t="shared" si="6"/>
        <v>REFINITIV</v>
      </c>
      <c r="G46" s="20">
        <f t="shared" si="2"/>
        <v>46235</v>
      </c>
      <c r="H46" s="23">
        <v>1170</v>
      </c>
      <c r="I46"/>
      <c r="J46" s="52">
        <v>125524</v>
      </c>
      <c r="K46" s="45" t="s">
        <v>42</v>
      </c>
      <c r="L46" s="45" t="s">
        <v>17</v>
      </c>
      <c r="M46" s="45">
        <v>20.573868000000001</v>
      </c>
      <c r="N46" s="2"/>
      <c r="O46" s="1"/>
      <c r="P46" s="26"/>
      <c r="Q46" s="27"/>
      <c r="R46" s="27"/>
      <c r="S46" s="27"/>
      <c r="T46" s="26"/>
      <c r="U46" s="27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s="25" customFormat="1" ht="15" customHeight="1" x14ac:dyDescent="0.25">
      <c r="A47" s="5" t="str">
        <f t="shared" si="0"/>
        <v>CUSTO MARKET DATA - AGOSTO/26-BLOOMBERG-127165</v>
      </c>
      <c r="B47" s="20">
        <v>46235</v>
      </c>
      <c r="C47" s="21">
        <v>817393</v>
      </c>
      <c r="D47" s="9" t="str">
        <f>IF(J47=57036,"ALEXANDRE DA COSTA SOARES",IF(J47=24157,"JOSE MAURICIO GOMES TEIXEIRA",IF(J47=24203,"JOSE MAURICIO GOMES TEIXEIRA",IF(J47=24149,"CHRISTIANO MARCONDES DE BARROS LIMA",IF(J47=24137,"CHRISTIANO MARCONDES DE BARROS LIMA",IF(J47=135152,"ENRICO BORTPLUZO CASSIANO",IF(J47=136568,"ENRICO BORTPLUZO CASSIANO", IF(J47=130976,"MARYLIA CARVALHO PONCE",IF(J47=136668,"ALEXANDRE DA COSTA SOARES",IF(J47=52340,"OFFSHORE LISTED",IF(J47=158778,"CLAUDIO DE SOUZA PACINI",IF(J47=159800,"CLAUDIO DE SOUZA PACINI",_xlfn.XLOOKUP(J47,[1]!Tabela33[ID ORACLE],[1]!Tabela33[BROKER],0,0,1)))))))))))))</f>
        <v>RODRIGO PENTAGNA</v>
      </c>
      <c r="E47" s="22">
        <f t="shared" si="5"/>
        <v>-12686.687525736002</v>
      </c>
      <c r="F47" s="9" t="str">
        <f t="shared" si="6"/>
        <v>BLOOMBERG</v>
      </c>
      <c r="G47" s="20">
        <f t="shared" si="2"/>
        <v>46235</v>
      </c>
      <c r="H47" s="23">
        <v>1170</v>
      </c>
      <c r="I47"/>
      <c r="J47" s="52">
        <v>127165</v>
      </c>
      <c r="K47" s="45" t="s">
        <v>41</v>
      </c>
      <c r="L47" s="45" t="s">
        <v>12</v>
      </c>
      <c r="M47" s="45">
        <v>2448.4112100000002</v>
      </c>
      <c r="N47" s="2"/>
      <c r="O47" s="1"/>
      <c r="P47" s="26"/>
      <c r="Q47" s="27"/>
      <c r="R47" s="27"/>
      <c r="S47" s="27"/>
      <c r="T47" s="26"/>
      <c r="U47" s="27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s="25" customFormat="1" ht="15" customHeight="1" x14ac:dyDescent="0.25">
      <c r="A48" s="5" t="str">
        <f t="shared" si="0"/>
        <v>CUSTO MARKET DATA - AGOSTO/26-OPTIONS PRICE REPORTING AUTHORITY (OPRA)-127165</v>
      </c>
      <c r="B48" s="20">
        <v>46235</v>
      </c>
      <c r="C48" s="21">
        <v>817393</v>
      </c>
      <c r="D48" s="9" t="str">
        <f>IF(J48=57036,"ALEXANDRE DA COSTA SOARES",IF(J48=24157,"JOSE MAURICIO GOMES TEIXEIRA",IF(J48=24203,"JOSE MAURICIO GOMES TEIXEIRA",IF(J48=24149,"CHRISTIANO MARCONDES DE BARROS LIMA",IF(J48=24137,"CHRISTIANO MARCONDES DE BARROS LIMA",IF(J48=135152,"ENRICO BORTPLUZO CASSIANO",IF(J48=136568,"ENRICO BORTPLUZO CASSIANO", IF(J48=130976,"MARYLIA CARVALHO PONCE",IF(J48=136668,"ALEXANDRE DA COSTA SOARES",IF(J48=52340,"OFFSHORE LISTED",IF(J48=158778,"CLAUDIO DE SOUZA PACINI",IF(J48=159800,"CLAUDIO DE SOUZA PACINI",_xlfn.XLOOKUP(J48,[1]!Tabela33[ID ORACLE],[1]!Tabela33[BROKER],0,0,1)))))))))))))</f>
        <v>RODRIGO PENTAGNA</v>
      </c>
      <c r="E48" s="22">
        <f t="shared" si="5"/>
        <v>-163.22040000000001</v>
      </c>
      <c r="F48" s="9" t="str">
        <f t="shared" si="6"/>
        <v>OPTIONS PRICE REPORTING AUTHORITY (OPRA)</v>
      </c>
      <c r="G48" s="20">
        <f t="shared" si="2"/>
        <v>46235</v>
      </c>
      <c r="H48" s="23">
        <v>1170</v>
      </c>
      <c r="I48"/>
      <c r="J48" s="52">
        <v>127165</v>
      </c>
      <c r="K48" s="45" t="s">
        <v>45</v>
      </c>
      <c r="L48" s="45" t="s">
        <v>12</v>
      </c>
      <c r="M48" s="45">
        <v>31.5</v>
      </c>
      <c r="N48" s="2"/>
      <c r="O48" s="1"/>
      <c r="P48" s="26"/>
      <c r="Q48" s="27"/>
      <c r="R48" s="27"/>
      <c r="S48" s="27"/>
      <c r="T48" s="26"/>
      <c r="U48" s="27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customFormat="1" ht="15" customHeight="1" x14ac:dyDescent="0.25">
      <c r="A49" s="5" t="str">
        <f t="shared" si="0"/>
        <v>CUSTO MARKET DATA - AGOSTO/26-REFINITIV-127165</v>
      </c>
      <c r="B49" s="20">
        <v>46235</v>
      </c>
      <c r="C49" s="21">
        <v>817393</v>
      </c>
      <c r="D49" s="9" t="str">
        <f>IF(J49=57036,"ALEXANDRE DA COSTA SOARES",IF(J49=24157,"JOSE MAURICIO GOMES TEIXEIRA",IF(J49=24203,"JOSE MAURICIO GOMES TEIXEIRA",IF(J49=24149,"CHRISTIANO MARCONDES DE BARROS LIMA",IF(J49=24137,"CHRISTIANO MARCONDES DE BARROS LIMA",IF(J49=135152,"ENRICO BORTPLUZO CASSIANO",IF(J49=136568,"ENRICO BORTPLUZO CASSIANO", IF(J49=130976,"MARYLIA CARVALHO PONCE",IF(J49=136668,"ALEXANDRE DA COSTA SOARES",IF(J49=52340,"OFFSHORE LISTED",IF(J49=158778,"CLAUDIO DE SOUZA PACINI",IF(J49=159800,"CLAUDIO DE SOUZA PACINI",_xlfn.XLOOKUP(J49,[1]!Tabela33[ID ORACLE],[1]!Tabela33[BROKER],0,0,1)))))))))))))</f>
        <v>RODRIGO PENTAGNA</v>
      </c>
      <c r="E49" s="22">
        <f t="shared" si="5"/>
        <v>-144.4717584828</v>
      </c>
      <c r="F49" s="9" t="str">
        <f t="shared" si="6"/>
        <v>REFINITIV</v>
      </c>
      <c r="G49" s="20">
        <f t="shared" si="2"/>
        <v>46235</v>
      </c>
      <c r="H49" s="23">
        <v>1170</v>
      </c>
      <c r="J49" s="52">
        <v>127165</v>
      </c>
      <c r="K49" s="45" t="s">
        <v>42</v>
      </c>
      <c r="L49" s="45" t="s">
        <v>17</v>
      </c>
      <c r="M49" s="45">
        <v>20.573868000000001</v>
      </c>
      <c r="N49" s="2"/>
      <c r="O49" s="1"/>
      <c r="P49" s="26"/>
      <c r="Q49" s="27"/>
      <c r="R49" s="27"/>
      <c r="S49" s="27"/>
      <c r="T49" s="26"/>
      <c r="U49" s="27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customFormat="1" ht="15" customHeight="1" x14ac:dyDescent="0.25">
      <c r="A50" s="5" t="str">
        <f t="shared" si="0"/>
        <v>CUSTO MARKET DATA - AGOSTO/26-BLOOMBERG-128628</v>
      </c>
      <c r="B50" s="20">
        <v>46235</v>
      </c>
      <c r="C50" s="21">
        <v>817393</v>
      </c>
      <c r="D50" s="9" t="str">
        <f>IF(J50=57036,"ALEXANDRE DA COSTA SOARES",IF(J50=24157,"JOSE MAURICIO GOMES TEIXEIRA",IF(J50=24203,"JOSE MAURICIO GOMES TEIXEIRA",IF(J50=24149,"CHRISTIANO MARCONDES DE BARROS LIMA",IF(J50=24137,"CHRISTIANO MARCONDES DE BARROS LIMA",IF(J50=135152,"ENRICO BORTPLUZO CASSIANO",IF(J50=136568,"ENRICO BORTPLUZO CASSIANO", IF(J50=130976,"MARYLIA CARVALHO PONCE",IF(J50=136668,"ALEXANDRE DA COSTA SOARES",IF(J50=52340,"OFFSHORE LISTED",IF(J50=158778,"CLAUDIO DE SOUZA PACINI",IF(J50=159800,"CLAUDIO DE SOUZA PACINI",_xlfn.XLOOKUP(J50,[1]!Tabela33[ID ORACLE],[1]!Tabela33[BROKER],0,0,1)))))))))))))</f>
        <v>MARCELLE DA SILVEIRA GIL CADILHE</v>
      </c>
      <c r="E50" s="22">
        <f t="shared" si="5"/>
        <v>-51.816000000000003</v>
      </c>
      <c r="F50" s="9" t="str">
        <f t="shared" si="6"/>
        <v>BLOOMBERG</v>
      </c>
      <c r="G50" s="20">
        <f t="shared" si="2"/>
        <v>46235</v>
      </c>
      <c r="H50" s="23">
        <v>1170</v>
      </c>
      <c r="J50" s="52">
        <v>128628</v>
      </c>
      <c r="K50" s="45" t="s">
        <v>41</v>
      </c>
      <c r="L50" s="45" t="s">
        <v>12</v>
      </c>
      <c r="M50" s="45">
        <v>10</v>
      </c>
      <c r="N50" s="2"/>
      <c r="O50" s="1"/>
      <c r="P50" s="26"/>
      <c r="Q50" s="27"/>
      <c r="R50" s="27"/>
      <c r="S50" s="27"/>
      <c r="T50" s="26"/>
      <c r="U50" s="27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customFormat="1" ht="15" customHeight="1" x14ac:dyDescent="0.25">
      <c r="A51" s="5" t="str">
        <f t="shared" si="0"/>
        <v>CUSTO MARKET DATA - AGOSTO/26-REFINITIV-130976</v>
      </c>
      <c r="B51" s="20">
        <v>46235</v>
      </c>
      <c r="C51" s="21">
        <v>817393</v>
      </c>
      <c r="D51" s="9" t="str">
        <f>IF(J51=57036,"ALEXANDRE DA COSTA SOARES",IF(J51=24157,"JOSE MAURICIO GOMES TEIXEIRA",IF(J51=24203,"JOSE MAURICIO GOMES TEIXEIRA",IF(J51=24149,"CHRISTIANO MARCONDES DE BARROS LIMA",IF(J51=24137,"CHRISTIANO MARCONDES DE BARROS LIMA",IF(J51=135152,"ENRICO BORTPLUZO CASSIANO",IF(J51=136568,"ENRICO BORTPLUZO CASSIANO", IF(J51=130976,"MARYLIA CARVALHO PONCE",IF(J51=136668,"ALEXANDRE DA COSTA SOARES",IF(J51=52340,"OFFSHORE LISTED",IF(J51=158778,"CLAUDIO DE SOUZA PACINI",IF(J51=159800,"CLAUDIO DE SOUZA PACINI",_xlfn.XLOOKUP(J51,[1]!Tabela33[ID ORACLE],[1]!Tabela33[BROKER],0,0,1)))))))))))))</f>
        <v>MARYLIA CARVALHO PONCE</v>
      </c>
      <c r="E51" s="22">
        <f t="shared" si="5"/>
        <v>-144.4717584828</v>
      </c>
      <c r="F51" s="9" t="str">
        <f t="shared" si="6"/>
        <v>REFINITIV</v>
      </c>
      <c r="G51" s="20">
        <f t="shared" si="2"/>
        <v>46235</v>
      </c>
      <c r="H51" s="23">
        <v>1170</v>
      </c>
      <c r="J51" s="52">
        <v>130976</v>
      </c>
      <c r="K51" s="45" t="s">
        <v>42</v>
      </c>
      <c r="L51" s="45" t="s">
        <v>17</v>
      </c>
      <c r="M51" s="45">
        <v>20.573868000000001</v>
      </c>
      <c r="N51" s="2"/>
      <c r="O51" s="1"/>
      <c r="P51" s="26"/>
      <c r="Q51" s="27"/>
      <c r="R51" s="27"/>
      <c r="S51" s="27"/>
      <c r="T51" s="26"/>
      <c r="U51" s="27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customFormat="1" ht="15" customHeight="1" x14ac:dyDescent="0.25">
      <c r="A52" s="5" t="str">
        <f t="shared" si="0"/>
        <v>CUSTO MARKET DATA - AGOSTO/26-BLOOMBERG-131299</v>
      </c>
      <c r="B52" s="20">
        <v>46235</v>
      </c>
      <c r="C52" s="21">
        <v>817393</v>
      </c>
      <c r="D52" s="9" t="str">
        <f>IF(J52=57036,"ALEXANDRE DA COSTA SOARES",IF(J52=24157,"JOSE MAURICIO GOMES TEIXEIRA",IF(J52=24203,"JOSE MAURICIO GOMES TEIXEIRA",IF(J52=24149,"CHRISTIANO MARCONDES DE BARROS LIMA",IF(J52=24137,"CHRISTIANO MARCONDES DE BARROS LIMA",IF(J52=135152,"ENRICO BORTPLUZO CASSIANO",IF(J52=136568,"ENRICO BORTPLUZO CASSIANO", IF(J52=130976,"MARYLIA CARVALHO PONCE",IF(J52=136668,"ALEXANDRE DA COSTA SOARES",IF(J52=52340,"OFFSHORE LISTED",IF(J52=158778,"CLAUDIO DE SOUZA PACINI",IF(J52=159800,"CLAUDIO DE SOUZA PACINI",_xlfn.XLOOKUP(J52,[1]!Tabela33[ID ORACLE],[1]!Tabela33[BROKER],0,0,1)))))))))))))</f>
        <v>RODRIGO BETTI MARQUES</v>
      </c>
      <c r="E52" s="22">
        <f t="shared" si="5"/>
        <v>-13238.527925736002</v>
      </c>
      <c r="F52" s="9" t="str">
        <f t="shared" si="6"/>
        <v>BLOOMBERG</v>
      </c>
      <c r="G52" s="20">
        <f t="shared" si="2"/>
        <v>46235</v>
      </c>
      <c r="H52" s="23">
        <v>1170</v>
      </c>
      <c r="J52" s="52">
        <v>131299</v>
      </c>
      <c r="K52" s="45" t="s">
        <v>41</v>
      </c>
      <c r="L52" s="45" t="s">
        <v>12</v>
      </c>
      <c r="M52" s="45">
        <v>2554.9112100000002</v>
      </c>
      <c r="N52" s="2"/>
      <c r="O52" s="1"/>
      <c r="P52" s="26"/>
      <c r="Q52" s="27"/>
      <c r="R52" s="27"/>
      <c r="S52" s="27"/>
      <c r="T52" s="26"/>
      <c r="U52" s="27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customFormat="1" ht="15" customHeight="1" x14ac:dyDescent="0.25">
      <c r="A53" s="5" t="str">
        <f t="shared" si="0"/>
        <v>CUSTO MARKET DATA - AGOSTO/26-REFINITIV-131299</v>
      </c>
      <c r="B53" s="20">
        <v>46235</v>
      </c>
      <c r="C53" s="21">
        <v>817393</v>
      </c>
      <c r="D53" s="9" t="str">
        <f>IF(J53=57036,"ALEXANDRE DA COSTA SOARES",IF(J53=24157,"JOSE MAURICIO GOMES TEIXEIRA",IF(J53=24203,"JOSE MAURICIO GOMES TEIXEIRA",IF(J53=24149,"CHRISTIANO MARCONDES DE BARROS LIMA",IF(J53=24137,"CHRISTIANO MARCONDES DE BARROS LIMA",IF(J53=135152,"ENRICO BORTPLUZO CASSIANO",IF(J53=136568,"ENRICO BORTPLUZO CASSIANO", IF(J53=130976,"MARYLIA CARVALHO PONCE",IF(J53=136668,"ALEXANDRE DA COSTA SOARES",IF(J53=52340,"OFFSHORE LISTED",IF(J53=158778,"CLAUDIO DE SOUZA PACINI",IF(J53=159800,"CLAUDIO DE SOUZA PACINI",_xlfn.XLOOKUP(J53,[1]!Tabela33[ID ORACLE],[1]!Tabela33[BROKER],0,0,1)))))))))))))</f>
        <v>RODRIGO BETTI MARQUES</v>
      </c>
      <c r="E53" s="22">
        <f t="shared" si="5"/>
        <v>-634.33284356009995</v>
      </c>
      <c r="F53" s="9" t="str">
        <f t="shared" si="6"/>
        <v>REFINITIV</v>
      </c>
      <c r="G53" s="20">
        <f t="shared" si="2"/>
        <v>46235</v>
      </c>
      <c r="H53" s="23">
        <v>1170</v>
      </c>
      <c r="J53" s="52">
        <v>131299</v>
      </c>
      <c r="K53" s="45" t="s">
        <v>42</v>
      </c>
      <c r="L53" s="45" t="s">
        <v>17</v>
      </c>
      <c r="M53" s="45">
        <v>90.333780999999988</v>
      </c>
      <c r="N53" s="2"/>
      <c r="O53" s="1"/>
      <c r="P53" s="26"/>
      <c r="Q53" s="27"/>
      <c r="R53" s="27"/>
      <c r="S53" s="27"/>
      <c r="T53" s="26"/>
      <c r="U53" s="27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customFormat="1" ht="15" customHeight="1" x14ac:dyDescent="0.25">
      <c r="A54" s="5" t="str">
        <f t="shared" si="0"/>
        <v>CUSTO MARKET DATA - AGOSTO/26-BLOOMBERG-132975</v>
      </c>
      <c r="B54" s="20">
        <v>46235</v>
      </c>
      <c r="C54" s="21">
        <v>817393</v>
      </c>
      <c r="D54" s="9" t="str">
        <f>IF(J54=57036,"ALEXANDRE DA COSTA SOARES",IF(J54=24157,"JOSE MAURICIO GOMES TEIXEIRA",IF(J54=24203,"JOSE MAURICIO GOMES TEIXEIRA",IF(J54=24149,"CHRISTIANO MARCONDES DE BARROS LIMA",IF(J54=24137,"CHRISTIANO MARCONDES DE BARROS LIMA",IF(J54=135152,"ENRICO BORTPLUZO CASSIANO",IF(J54=136568,"ENRICO BORTPLUZO CASSIANO", IF(J54=130976,"MARYLIA CARVALHO PONCE",IF(J54=136668,"ALEXANDRE DA COSTA SOARES",IF(J54=52340,"OFFSHORE LISTED",IF(J54=158778,"CLAUDIO DE SOUZA PACINI",IF(J54=159800,"CLAUDIO DE SOUZA PACINI",_xlfn.XLOOKUP(J54,[1]!Tabela33[ID ORACLE],[1]!Tabela33[BROKER],0,0,1)))))))))))))</f>
        <v>MATHEUS NACIF NESRALLAH</v>
      </c>
      <c r="E54" s="22">
        <f t="shared" si="5"/>
        <v>-51.816000000000003</v>
      </c>
      <c r="F54" s="9" t="str">
        <f t="shared" si="6"/>
        <v>BLOOMBERG</v>
      </c>
      <c r="G54" s="20">
        <f t="shared" si="2"/>
        <v>46235</v>
      </c>
      <c r="H54" s="23">
        <v>1170</v>
      </c>
      <c r="J54" s="52">
        <v>132975</v>
      </c>
      <c r="K54" s="45" t="s">
        <v>41</v>
      </c>
      <c r="L54" s="45" t="s">
        <v>12</v>
      </c>
      <c r="M54" s="45">
        <v>10</v>
      </c>
      <c r="N54" s="2"/>
      <c r="O54" s="1"/>
      <c r="P54" s="26"/>
      <c r="Q54" s="27"/>
      <c r="R54" s="27"/>
      <c r="S54" s="27"/>
      <c r="T54" s="26"/>
      <c r="U54" s="27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customFormat="1" ht="15" customHeight="1" x14ac:dyDescent="0.25">
      <c r="A55" s="5" t="str">
        <f t="shared" si="0"/>
        <v>CUSTO MARKET DATA - AGOSTO/26-REFINITIV-132975</v>
      </c>
      <c r="B55" s="20">
        <v>46235</v>
      </c>
      <c r="C55" s="21">
        <v>817393</v>
      </c>
      <c r="D55" s="9" t="str">
        <f>IF(J55=57036,"ALEXANDRE DA COSTA SOARES",IF(J55=24157,"JOSE MAURICIO GOMES TEIXEIRA",IF(J55=24203,"JOSE MAURICIO GOMES TEIXEIRA",IF(J55=24149,"CHRISTIANO MARCONDES DE BARROS LIMA",IF(J55=24137,"CHRISTIANO MARCONDES DE BARROS LIMA",IF(J55=135152,"ENRICO BORTPLUZO CASSIANO",IF(J55=136568,"ENRICO BORTPLUZO CASSIANO", IF(J55=130976,"MARYLIA CARVALHO PONCE",IF(J55=136668,"ALEXANDRE DA COSTA SOARES",IF(J55=52340,"OFFSHORE LISTED",IF(J55=158778,"CLAUDIO DE SOUZA PACINI",IF(J55=159800,"CLAUDIO DE SOUZA PACINI",_xlfn.XLOOKUP(J55,[1]!Tabela33[ID ORACLE],[1]!Tabela33[BROKER],0,0,1)))))))))))))</f>
        <v>MATHEUS NACIF NESRALLAH</v>
      </c>
      <c r="E55" s="22">
        <f t="shared" si="5"/>
        <v>-144.4717584828</v>
      </c>
      <c r="F55" s="9" t="str">
        <f t="shared" si="6"/>
        <v>REFINITIV</v>
      </c>
      <c r="G55" s="20">
        <f t="shared" si="2"/>
        <v>46235</v>
      </c>
      <c r="H55" s="23">
        <v>1170</v>
      </c>
      <c r="J55" s="52">
        <v>132975</v>
      </c>
      <c r="K55" s="45" t="s">
        <v>42</v>
      </c>
      <c r="L55" s="45" t="s">
        <v>17</v>
      </c>
      <c r="M55" s="45">
        <v>20.573868000000001</v>
      </c>
      <c r="N55" s="2"/>
      <c r="O55" s="1"/>
      <c r="P55" s="26"/>
      <c r="Q55" s="27"/>
      <c r="R55" s="27"/>
      <c r="S55" s="27"/>
      <c r="T55" s="26"/>
      <c r="U55" s="27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customFormat="1" ht="15" customHeight="1" x14ac:dyDescent="0.25">
      <c r="A56" s="5" t="str">
        <f t="shared" si="0"/>
        <v>CUSTO MARKET DATA - AGOSTO/26-BLOOMBERG-133842</v>
      </c>
      <c r="B56" s="20">
        <v>46235</v>
      </c>
      <c r="C56" s="21">
        <v>817393</v>
      </c>
      <c r="D56" s="9" t="str">
        <f>IF(J56=57036,"ALEXANDRE DA COSTA SOARES",IF(J56=24157,"JOSE MAURICIO GOMES TEIXEIRA",IF(J56=24203,"JOSE MAURICIO GOMES TEIXEIRA",IF(J56=24149,"CHRISTIANO MARCONDES DE BARROS LIMA",IF(J56=24137,"CHRISTIANO MARCONDES DE BARROS LIMA",IF(J56=135152,"ENRICO BORTPLUZO CASSIANO",IF(J56=136568,"ENRICO BORTPLUZO CASSIANO", IF(J56=130976,"MARYLIA CARVALHO PONCE",IF(J56=136668,"ALEXANDRE DA COSTA SOARES",IF(J56=52340,"OFFSHORE LISTED",IF(J56=158778,"CLAUDIO DE SOUZA PACINI",IF(J56=159800,"CLAUDIO DE SOUZA PACINI",_xlfn.XLOOKUP(J56,[1]!Tabela33[ID ORACLE],[1]!Tabela33[BROKER],0,0,1)))))))))))))</f>
        <v>FELIPE GOMES BASILE</v>
      </c>
      <c r="E56" s="22">
        <f t="shared" si="5"/>
        <v>-11680.420805736001</v>
      </c>
      <c r="F56" s="9" t="str">
        <f t="shared" si="6"/>
        <v>BLOOMBERG</v>
      </c>
      <c r="G56" s="20">
        <f t="shared" si="2"/>
        <v>46235</v>
      </c>
      <c r="H56" s="23">
        <v>1170</v>
      </c>
      <c r="J56" s="52">
        <v>133842</v>
      </c>
      <c r="K56" s="45" t="s">
        <v>41</v>
      </c>
      <c r="L56" s="45" t="s">
        <v>12</v>
      </c>
      <c r="M56" s="45">
        <v>2254.2112099999999</v>
      </c>
      <c r="N56" s="2"/>
      <c r="O56" s="1"/>
      <c r="P56" s="26"/>
      <c r="Q56" s="27"/>
      <c r="R56" s="27"/>
      <c r="S56" s="27"/>
      <c r="T56" s="26"/>
      <c r="U56" s="27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customFormat="1" ht="15" customHeight="1" x14ac:dyDescent="0.25">
      <c r="A57" s="5" t="str">
        <f t="shared" si="0"/>
        <v>CUSTO MARKET DATA - AGOSTO/26-REFINITIV-133842</v>
      </c>
      <c r="B57" s="20">
        <v>46235</v>
      </c>
      <c r="C57" s="21">
        <v>817393</v>
      </c>
      <c r="D57" s="9" t="str">
        <f>IF(J57=57036,"ALEXANDRE DA COSTA SOARES",IF(J57=24157,"JOSE MAURICIO GOMES TEIXEIRA",IF(J57=24203,"JOSE MAURICIO GOMES TEIXEIRA",IF(J57=24149,"CHRISTIANO MARCONDES DE BARROS LIMA",IF(J57=24137,"CHRISTIANO MARCONDES DE BARROS LIMA",IF(J57=135152,"ENRICO BORTPLUZO CASSIANO",IF(J57=136568,"ENRICO BORTPLUZO CASSIANO", IF(J57=130976,"MARYLIA CARVALHO PONCE",IF(J57=136668,"ALEXANDRE DA COSTA SOARES",IF(J57=52340,"OFFSHORE LISTED",IF(J57=158778,"CLAUDIO DE SOUZA PACINI",IF(J57=159800,"CLAUDIO DE SOUZA PACINI",_xlfn.XLOOKUP(J57,[1]!Tabela33[ID ORACLE],[1]!Tabela33[BROKER],0,0,1)))))))))))))</f>
        <v>FELIPE GOMES BASILE</v>
      </c>
      <c r="E57" s="22">
        <f t="shared" si="5"/>
        <v>1356.6697199999999</v>
      </c>
      <c r="F57" s="9" t="str">
        <f t="shared" si="6"/>
        <v>REFINITIV</v>
      </c>
      <c r="G57" s="20">
        <f t="shared" si="2"/>
        <v>46235</v>
      </c>
      <c r="H57" s="23">
        <v>1170</v>
      </c>
      <c r="J57" s="52">
        <v>133842</v>
      </c>
      <c r="K57" s="45" t="s">
        <v>42</v>
      </c>
      <c r="L57" s="45" t="s">
        <v>17</v>
      </c>
      <c r="M57" s="45">
        <v>-193.2</v>
      </c>
      <c r="N57" s="2"/>
      <c r="O57" s="1"/>
      <c r="P57" s="26"/>
      <c r="Q57" s="27"/>
      <c r="R57" s="27"/>
      <c r="S57" s="27"/>
      <c r="T57" s="26"/>
      <c r="U57" s="27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customFormat="1" ht="15" customHeight="1" x14ac:dyDescent="0.25">
      <c r="A58" s="5" t="str">
        <f t="shared" si="0"/>
        <v>CUSTO MARKET DATA - AGOSTO/26-BLOOMBERG-134703</v>
      </c>
      <c r="B58" s="20">
        <v>46235</v>
      </c>
      <c r="C58" s="21">
        <v>817393</v>
      </c>
      <c r="D58" s="9" t="str">
        <f>IF(J58=57036,"ALEXANDRE DA COSTA SOARES",IF(J58=24157,"JOSE MAURICIO GOMES TEIXEIRA",IF(J58=24203,"JOSE MAURICIO GOMES TEIXEIRA",IF(J58=24149,"CHRISTIANO MARCONDES DE BARROS LIMA",IF(J58=24137,"CHRISTIANO MARCONDES DE BARROS LIMA",IF(J58=135152,"ENRICO BORTPLUZO CASSIANO",IF(J58=136568,"ENRICO BORTPLUZO CASSIANO", IF(J58=130976,"MARYLIA CARVALHO PONCE",IF(J58=136668,"ALEXANDRE DA COSTA SOARES",IF(J58=52340,"OFFSHORE LISTED",IF(J58=158778,"CLAUDIO DE SOUZA PACINI",IF(J58=159800,"CLAUDIO DE SOUZA PACINI",_xlfn.XLOOKUP(J58,[1]!Tabela33[ID ORACLE],[1]!Tabela33[BROKER],0,0,1)))))))))))))</f>
        <v>DANIELA VODOVOZ</v>
      </c>
      <c r="E58" s="22">
        <f t="shared" si="5"/>
        <v>-12293.404085736001</v>
      </c>
      <c r="F58" s="9" t="str">
        <f t="shared" si="6"/>
        <v>BLOOMBERG</v>
      </c>
      <c r="G58" s="20">
        <f t="shared" si="2"/>
        <v>46235</v>
      </c>
      <c r="H58" s="23">
        <v>1170</v>
      </c>
      <c r="J58" s="52">
        <v>134703</v>
      </c>
      <c r="K58" s="45" t="s">
        <v>41</v>
      </c>
      <c r="L58" s="45" t="s">
        <v>12</v>
      </c>
      <c r="M58" s="45">
        <v>2372.5112100000001</v>
      </c>
      <c r="N58" s="2"/>
      <c r="O58" s="1"/>
      <c r="P58" s="26"/>
      <c r="Q58" s="27"/>
      <c r="R58" s="27"/>
      <c r="S58" s="27"/>
      <c r="T58" s="26"/>
      <c r="U58" s="27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25">
      <c r="A59" s="5" t="str">
        <f t="shared" si="0"/>
        <v>CUSTO MARKET DATA - AGOSTO/26-FIDESSA-134703</v>
      </c>
      <c r="B59" s="20">
        <v>46235</v>
      </c>
      <c r="C59" s="21">
        <v>817393</v>
      </c>
      <c r="D59" s="9" t="str">
        <f>IF(J59=57036,"ALEXANDRE DA COSTA SOARES",IF(J59=24157,"JOSE MAURICIO GOMES TEIXEIRA",IF(J59=24203,"JOSE MAURICIO GOMES TEIXEIRA",IF(J59=24149,"CHRISTIANO MARCONDES DE BARROS LIMA",IF(J59=24137,"CHRISTIANO MARCONDES DE BARROS LIMA",IF(J59=135152,"ENRICO BORTPLUZO CASSIANO",IF(J59=136568,"ENRICO BORTPLUZO CASSIANO", IF(J59=130976,"MARYLIA CARVALHO PONCE",IF(J59=136668,"ALEXANDRE DA COSTA SOARES",IF(J59=52340,"OFFSHORE LISTED",IF(J59=158778,"CLAUDIO DE SOUZA PACINI",IF(J59=159800,"CLAUDIO DE SOUZA PACINI",_xlfn.XLOOKUP(J59,[1]!Tabela33[ID ORACLE],[1]!Tabela33[BROKER],0,0,1)))))))))))))</f>
        <v>DANIELA VODOVOZ</v>
      </c>
      <c r="E59" s="22">
        <f t="shared" si="5"/>
        <v>-4.4567615208000007</v>
      </c>
      <c r="F59" s="9" t="str">
        <f t="shared" si="6"/>
        <v>FIDESSA</v>
      </c>
      <c r="G59" s="20">
        <f t="shared" si="2"/>
        <v>46235</v>
      </c>
      <c r="H59" s="23">
        <v>1170</v>
      </c>
      <c r="J59" s="52">
        <v>134703</v>
      </c>
      <c r="K59" s="45" t="s">
        <v>47</v>
      </c>
      <c r="L59" s="45" t="s">
        <v>12</v>
      </c>
      <c r="M59" s="45">
        <v>0.86011300000000002</v>
      </c>
      <c r="N59" s="2"/>
      <c r="Q59" s="27"/>
      <c r="R59" s="27"/>
      <c r="S59" s="27"/>
      <c r="U59" s="27"/>
    </row>
    <row r="60" spans="1:78" ht="15" customHeight="1" x14ac:dyDescent="0.25">
      <c r="A60" s="5" t="str">
        <f t="shared" si="0"/>
        <v>CUSTO MARKET DATA - AGOSTO/26-NYSE MARKET INC.-134703</v>
      </c>
      <c r="B60" s="20">
        <v>46235</v>
      </c>
      <c r="C60" s="21">
        <v>817393</v>
      </c>
      <c r="D60" s="9" t="str">
        <f>IF(J60=57036,"ALEXANDRE DA COSTA SOARES",IF(J60=24157,"JOSE MAURICIO GOMES TEIXEIRA",IF(J60=24203,"JOSE MAURICIO GOMES TEIXEIRA",IF(J60=24149,"CHRISTIANO MARCONDES DE BARROS LIMA",IF(J60=24137,"CHRISTIANO MARCONDES DE BARROS LIMA",IF(J60=135152,"ENRICO BORTPLUZO CASSIANO",IF(J60=136568,"ENRICO BORTPLUZO CASSIANO", IF(J60=130976,"MARYLIA CARVALHO PONCE",IF(J60=136668,"ALEXANDRE DA COSTA SOARES",IF(J60=52340,"OFFSHORE LISTED",IF(J60=158778,"CLAUDIO DE SOUZA PACINI",IF(J60=159800,"CLAUDIO DE SOUZA PACINI",_xlfn.XLOOKUP(J60,[1]!Tabela33[ID ORACLE],[1]!Tabela33[BROKER],0,0,1)))))))))))))</f>
        <v>DANIELA VODOVOZ</v>
      </c>
      <c r="E60" s="22">
        <f t="shared" si="5"/>
        <v>-282.07335</v>
      </c>
      <c r="F60" s="9" t="str">
        <f t="shared" si="6"/>
        <v>NYSE MARKET INC.</v>
      </c>
      <c r="G60" s="20">
        <f t="shared" si="2"/>
        <v>46235</v>
      </c>
      <c r="H60" s="23">
        <v>1170</v>
      </c>
      <c r="J60" s="52">
        <v>134703</v>
      </c>
      <c r="K60" s="45" t="s">
        <v>44</v>
      </c>
      <c r="L60" s="45" t="s">
        <v>12</v>
      </c>
      <c r="M60" s="45">
        <v>54.4375</v>
      </c>
      <c r="N60" s="2"/>
      <c r="Q60" s="27"/>
      <c r="R60" s="27"/>
      <c r="S60" s="27"/>
      <c r="U60" s="27"/>
    </row>
    <row r="61" spans="1:78" ht="15" customHeight="1" x14ac:dyDescent="0.25">
      <c r="A61" s="5" t="str">
        <f t="shared" si="0"/>
        <v>CUSTO MARKET DATA - AGOSTO/26-OPTIONS PRICE REPORTING AUTHORITY (OPRA)-134703</v>
      </c>
      <c r="B61" s="20">
        <v>46235</v>
      </c>
      <c r="C61" s="21">
        <v>817393</v>
      </c>
      <c r="D61" s="9" t="str">
        <f>IF(J61=57036,"ALEXANDRE DA COSTA SOARES",IF(J61=24157,"JOSE MAURICIO GOMES TEIXEIRA",IF(J61=24203,"JOSE MAURICIO GOMES TEIXEIRA",IF(J61=24149,"CHRISTIANO MARCONDES DE BARROS LIMA",IF(J61=24137,"CHRISTIANO MARCONDES DE BARROS LIMA",IF(J61=135152,"ENRICO BORTPLUZO CASSIANO",IF(J61=136568,"ENRICO BORTPLUZO CASSIANO", IF(J61=130976,"MARYLIA CARVALHO PONCE",IF(J61=136668,"ALEXANDRE DA COSTA SOARES",IF(J61=52340,"OFFSHORE LISTED",IF(J61=158778,"CLAUDIO DE SOUZA PACINI",IF(J61=159800,"CLAUDIO DE SOUZA PACINI",_xlfn.XLOOKUP(J61,[1]!Tabela33[ID ORACLE],[1]!Tabela33[BROKER],0,0,1)))))))))))))</f>
        <v>DANIELA VODOVOZ</v>
      </c>
      <c r="E61" s="22">
        <f t="shared" si="5"/>
        <v>-355.41242100000005</v>
      </c>
      <c r="F61" s="9" t="str">
        <f t="shared" si="6"/>
        <v>OPTIONS PRICE REPORTING AUTHORITY (OPRA)</v>
      </c>
      <c r="G61" s="20">
        <f t="shared" si="2"/>
        <v>46235</v>
      </c>
      <c r="H61" s="23">
        <v>1170</v>
      </c>
      <c r="J61" s="52">
        <v>134703</v>
      </c>
      <c r="K61" s="45" t="s">
        <v>45</v>
      </c>
      <c r="L61" s="45" t="s">
        <v>12</v>
      </c>
      <c r="M61" s="45">
        <v>68.591250000000002</v>
      </c>
      <c r="N61" s="2"/>
      <c r="Q61" s="27"/>
      <c r="R61" s="27"/>
      <c r="S61" s="27"/>
      <c r="U61" s="27"/>
    </row>
    <row r="62" spans="1:78" ht="15" customHeight="1" x14ac:dyDescent="0.25">
      <c r="A62" s="5" t="str">
        <f t="shared" si="0"/>
        <v>CUSTO MARKET DATA - AGOSTO/26-REFINITIV-135064</v>
      </c>
      <c r="B62" s="20">
        <v>46235</v>
      </c>
      <c r="C62" s="21">
        <v>817393</v>
      </c>
      <c r="D62" s="9" t="str">
        <f>IF(J62=57036,"ALEXANDRE DA COSTA SOARES",IF(J62=24157,"JOSE MAURICIO GOMES TEIXEIRA",IF(J62=24203,"JOSE MAURICIO GOMES TEIXEIRA",IF(J62=24149,"CHRISTIANO MARCONDES DE BARROS LIMA",IF(J62=24137,"CHRISTIANO MARCONDES DE BARROS LIMA",IF(J62=135152,"ENRICO BORTPLUZO CASSIANO",IF(J62=136568,"ENRICO BORTPLUZO CASSIANO", IF(J62=130976,"MARYLIA CARVALHO PONCE",IF(J62=136668,"ALEXANDRE DA COSTA SOARES",IF(J62=52340,"OFFSHORE LISTED",IF(J62=158778,"CLAUDIO DE SOUZA PACINI",IF(J62=159800,"CLAUDIO DE SOUZA PACINI",_xlfn.XLOOKUP(J62,[1]!Tabela33[ID ORACLE],[1]!Tabela33[BROKER],0,0,1)))))))))))))</f>
        <v>ENRICO BORTPLUZO CASSIANO</v>
      </c>
      <c r="E62" s="22">
        <f t="shared" si="5"/>
        <v>-144.4717584828</v>
      </c>
      <c r="F62" s="9" t="str">
        <f t="shared" si="6"/>
        <v>REFINITIV</v>
      </c>
      <c r="G62" s="20">
        <f t="shared" si="2"/>
        <v>46235</v>
      </c>
      <c r="H62" s="23">
        <v>1170</v>
      </c>
      <c r="J62" s="52">
        <v>135064</v>
      </c>
      <c r="K62" s="45" t="s">
        <v>42</v>
      </c>
      <c r="L62" s="45" t="s">
        <v>17</v>
      </c>
      <c r="M62" s="45">
        <v>20.573868000000001</v>
      </c>
      <c r="N62" s="2"/>
      <c r="Q62" s="27"/>
      <c r="R62" s="27"/>
      <c r="S62" s="27"/>
      <c r="U62" s="27"/>
    </row>
    <row r="63" spans="1:78" ht="15" customHeight="1" x14ac:dyDescent="0.25">
      <c r="A63" s="5" t="str">
        <f t="shared" si="0"/>
        <v>CUSTO MARKET DATA - AGOSTO/26-BLOOMBERG-135152</v>
      </c>
      <c r="B63" s="20">
        <v>46235</v>
      </c>
      <c r="C63" s="21">
        <v>817393</v>
      </c>
      <c r="D63" s="9" t="str">
        <f>IF(J63=57036,"ALEXANDRE DA COSTA SOARES",IF(J63=24157,"JOSE MAURICIO GOMES TEIXEIRA",IF(J63=24203,"JOSE MAURICIO GOMES TEIXEIRA",IF(J63=24149,"CHRISTIANO MARCONDES DE BARROS LIMA",IF(J63=24137,"CHRISTIANO MARCONDES DE BARROS LIMA",IF(J63=135152,"ENRICO BORTPLUZO CASSIANO",IF(J63=136568,"ENRICO BORTPLUZO CASSIANO", IF(J63=130976,"MARYLIA CARVALHO PONCE",IF(J63=136668,"ALEXANDRE DA COSTA SOARES",IF(J63=52340,"OFFSHORE LISTED",IF(J63=158778,"CLAUDIO DE SOUZA PACINI",IF(J63=159800,"CLAUDIO DE SOUZA PACINI",_xlfn.XLOOKUP(J63,[1]!Tabela33[ID ORACLE],[1]!Tabela33[BROKER],0,0,1)))))))))))))</f>
        <v>ENRICO BORTPLUZO CASSIANO</v>
      </c>
      <c r="E63" s="22">
        <f t="shared" si="5"/>
        <v>-12435.898085736002</v>
      </c>
      <c r="F63" s="9" t="str">
        <f t="shared" si="6"/>
        <v>BLOOMBERG</v>
      </c>
      <c r="G63" s="20">
        <f t="shared" si="2"/>
        <v>46235</v>
      </c>
      <c r="H63" s="23">
        <v>1170</v>
      </c>
      <c r="J63" s="52">
        <v>135152</v>
      </c>
      <c r="K63" s="45" t="s">
        <v>41</v>
      </c>
      <c r="L63" s="45" t="s">
        <v>12</v>
      </c>
      <c r="M63" s="45">
        <v>2400.0112100000001</v>
      </c>
      <c r="N63" s="2"/>
      <c r="Q63" s="27"/>
      <c r="R63" s="27"/>
      <c r="S63" s="27"/>
      <c r="U63" s="27"/>
    </row>
    <row r="64" spans="1:78" ht="15" customHeight="1" x14ac:dyDescent="0.25">
      <c r="A64" s="5" t="str">
        <f t="shared" si="0"/>
        <v>CUSTO MARKET DATA - AGOSTO/26-REFINITIV-136568</v>
      </c>
      <c r="B64" s="20">
        <v>46235</v>
      </c>
      <c r="C64" s="21">
        <v>817393</v>
      </c>
      <c r="D64" s="9" t="str">
        <f>IF(J64=57036,"ALEXANDRE DA COSTA SOARES",IF(J64=24157,"JOSE MAURICIO GOMES TEIXEIRA",IF(J64=24203,"JOSE MAURICIO GOMES TEIXEIRA",IF(J64=24149,"CHRISTIANO MARCONDES DE BARROS LIMA",IF(J64=24137,"CHRISTIANO MARCONDES DE BARROS LIMA",IF(J64=135152,"ENRICO BORTPLUZO CASSIANO",IF(J64=136568,"ENRICO BORTPLUZO CASSIANO", IF(J64=130976,"MARYLIA CARVALHO PONCE",IF(J64=136668,"ALEXANDRE DA COSTA SOARES",IF(J64=52340,"OFFSHORE LISTED",IF(J64=158778,"CLAUDIO DE SOUZA PACINI",IF(J64=159800,"CLAUDIO DE SOUZA PACINI",_xlfn.XLOOKUP(J64,[1]!Tabela33[ID ORACLE],[1]!Tabela33[BROKER],0,0,1)))))))))))))</f>
        <v>ENRICO BORTPLUZO CASSIANO</v>
      </c>
      <c r="E64" s="22">
        <f t="shared" si="5"/>
        <v>-144.4717584828</v>
      </c>
      <c r="F64" s="9" t="str">
        <f t="shared" si="6"/>
        <v>REFINITIV</v>
      </c>
      <c r="G64" s="20">
        <f t="shared" si="2"/>
        <v>46235</v>
      </c>
      <c r="H64" s="23">
        <v>1170</v>
      </c>
      <c r="J64" s="52">
        <v>136568</v>
      </c>
      <c r="K64" s="45" t="s">
        <v>42</v>
      </c>
      <c r="L64" s="45" t="s">
        <v>17</v>
      </c>
      <c r="M64" s="45">
        <v>20.573868000000001</v>
      </c>
      <c r="N64" s="2"/>
      <c r="Q64" s="27"/>
      <c r="R64" s="27"/>
      <c r="S64" s="27"/>
      <c r="U64" s="27"/>
    </row>
    <row r="65" spans="1:78" s="4" customFormat="1" ht="15" customHeight="1" x14ac:dyDescent="0.25">
      <c r="A65" s="5" t="str">
        <f t="shared" si="0"/>
        <v>CUSTO MARKET DATA - AGOSTO/26-REFINITIV-136667</v>
      </c>
      <c r="B65" s="20">
        <v>46235</v>
      </c>
      <c r="C65" s="21">
        <v>817393</v>
      </c>
      <c r="D65" s="9" t="str">
        <f>IF(J65=57036,"ALEXANDRE DA COSTA SOARES",IF(J65=24157,"JOSE MAURICIO GOMES TEIXEIRA",IF(J65=24203,"JOSE MAURICIO GOMES TEIXEIRA",IF(J65=24149,"CHRISTIANO MARCONDES DE BARROS LIMA",IF(J65=24137,"CHRISTIANO MARCONDES DE BARROS LIMA",IF(J65=135152,"ENRICO BORTPLUZO CASSIANO",IF(J65=136568,"ENRICO BORTPLUZO CASSIANO", IF(J65=130976,"MARYLIA CARVALHO PONCE",IF(J65=136668,"ALEXANDRE DA COSTA SOARES",IF(J65=52340,"OFFSHORE LISTED",IF(J65=158778,"CLAUDIO DE SOUZA PACINI",IF(J65=159800,"CLAUDIO DE SOUZA PACINI",_xlfn.XLOOKUP(J65,[1]!Tabela33[ID ORACLE],[1]!Tabela33[BROKER],0,0,1)))))))))))))</f>
        <v>HUGO BIANCHI RIBEIRO</v>
      </c>
      <c r="E65" s="22">
        <f t="shared" si="5"/>
        <v>-634.33284356009995</v>
      </c>
      <c r="F65" s="9" t="str">
        <f t="shared" si="6"/>
        <v>REFINITIV</v>
      </c>
      <c r="G65" s="20">
        <f t="shared" si="2"/>
        <v>46235</v>
      </c>
      <c r="H65" s="23">
        <v>1170</v>
      </c>
      <c r="I65"/>
      <c r="J65" s="52">
        <v>136667</v>
      </c>
      <c r="K65" s="45" t="s">
        <v>42</v>
      </c>
      <c r="L65" s="45" t="s">
        <v>17</v>
      </c>
      <c r="M65" s="45">
        <v>90.333780999999988</v>
      </c>
      <c r="N65" s="2"/>
      <c r="O65" s="1"/>
      <c r="P65" s="26"/>
      <c r="Q65" s="27"/>
      <c r="R65" s="27"/>
      <c r="S65" s="27"/>
      <c r="T65" s="26"/>
      <c r="U65" s="27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s="4" customFormat="1" ht="15" customHeight="1" x14ac:dyDescent="0.25">
      <c r="A66" s="5" t="str">
        <f t="shared" ref="A66:A129" si="7">CONCATENATE($N$1,$I$1,F66,$I$1,J66)</f>
        <v>CUSTO MARKET DATA - AGOSTO/26-OPTIONS PRICE REPORTING AUTHORITY (OPRA)-136668</v>
      </c>
      <c r="B66" s="20">
        <v>46235</v>
      </c>
      <c r="C66" s="21">
        <v>817393</v>
      </c>
      <c r="D66" s="9" t="str">
        <f>IF(J66=57036,"ALEXANDRE DA COSTA SOARES",IF(J66=24157,"JOSE MAURICIO GOMES TEIXEIRA",IF(J66=24203,"JOSE MAURICIO GOMES TEIXEIRA",IF(J66=24149,"CHRISTIANO MARCONDES DE BARROS LIMA",IF(J66=24137,"CHRISTIANO MARCONDES DE BARROS LIMA",IF(J66=135152,"ENRICO BORTPLUZO CASSIANO",IF(J66=136568,"ENRICO BORTPLUZO CASSIANO", IF(J66=130976,"MARYLIA CARVALHO PONCE",IF(J66=136668,"ALEXANDRE DA COSTA SOARES",IF(J66=52340,"OFFSHORE LISTED",IF(J66=158778,"CLAUDIO DE SOUZA PACINI",IF(J66=159800,"CLAUDIO DE SOUZA PACINI",_xlfn.XLOOKUP(J66,[1]!Tabela33[ID ORACLE],[1]!Tabela33[BROKER],0,0,1)))))))))))))</f>
        <v>ALEXANDRE DA COSTA SOARES</v>
      </c>
      <c r="E66" s="22">
        <f t="shared" si="5"/>
        <v>-163.22040000000001</v>
      </c>
      <c r="F66" s="9" t="str">
        <f t="shared" si="6"/>
        <v>OPTIONS PRICE REPORTING AUTHORITY (OPRA)</v>
      </c>
      <c r="G66" s="20">
        <f t="shared" si="2"/>
        <v>46235</v>
      </c>
      <c r="H66" s="23">
        <v>1170</v>
      </c>
      <c r="I66"/>
      <c r="J66" s="52">
        <v>136668</v>
      </c>
      <c r="K66" s="45" t="s">
        <v>45</v>
      </c>
      <c r="L66" s="45" t="s">
        <v>12</v>
      </c>
      <c r="M66" s="45">
        <v>31.5</v>
      </c>
      <c r="N66" s="2"/>
      <c r="O66" s="1"/>
      <c r="P66" s="26"/>
      <c r="Q66" s="27"/>
      <c r="R66" s="27"/>
      <c r="S66" s="27"/>
      <c r="T66" s="26"/>
      <c r="U66" s="27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25">
      <c r="A67" s="5" t="str">
        <f t="shared" si="7"/>
        <v>CUSTO MARKET DATA - AGOSTO/26-REFINITIV-136668</v>
      </c>
      <c r="B67" s="20">
        <v>46235</v>
      </c>
      <c r="C67" s="21">
        <v>817393</v>
      </c>
      <c r="D67" s="9" t="str">
        <f>IF(J67=57036,"ALEXANDRE DA COSTA SOARES",IF(J67=24157,"JOSE MAURICIO GOMES TEIXEIRA",IF(J67=24203,"JOSE MAURICIO GOMES TEIXEIRA",IF(J67=24149,"CHRISTIANO MARCONDES DE BARROS LIMA",IF(J67=24137,"CHRISTIANO MARCONDES DE BARROS LIMA",IF(J67=135152,"ENRICO BORTPLUZO CASSIANO",IF(J67=136568,"ENRICO BORTPLUZO CASSIANO", IF(J67=130976,"MARYLIA CARVALHO PONCE",IF(J67=136668,"ALEXANDRE DA COSTA SOARES",IF(J67=52340,"OFFSHORE LISTED",IF(J67=158778,"CLAUDIO DE SOUZA PACINI",IF(J67=159800,"CLAUDIO DE SOUZA PACINI",_xlfn.XLOOKUP(J67,[1]!Tabela33[ID ORACLE],[1]!Tabela33[BROKER],0,0,1)))))))))))))</f>
        <v>ALEXANDRE DA COSTA SOARES</v>
      </c>
      <c r="E67" s="22">
        <f t="shared" si="5"/>
        <v>-144.4717584828</v>
      </c>
      <c r="F67" s="9" t="str">
        <f t="shared" si="6"/>
        <v>REFINITIV</v>
      </c>
      <c r="G67" s="20">
        <f t="shared" ref="G67:G130" si="8">B67</f>
        <v>46235</v>
      </c>
      <c r="H67" s="23">
        <v>1170</v>
      </c>
      <c r="J67" s="52">
        <v>136668</v>
      </c>
      <c r="K67" s="45" t="s">
        <v>42</v>
      </c>
      <c r="L67" s="45" t="s">
        <v>17</v>
      </c>
      <c r="M67" s="45">
        <v>20.573868000000001</v>
      </c>
      <c r="N67" s="2"/>
      <c r="Q67" s="27"/>
      <c r="R67" s="27"/>
      <c r="S67" s="27"/>
      <c r="U67" s="27"/>
    </row>
    <row r="68" spans="1:78" ht="15" customHeight="1" x14ac:dyDescent="0.25">
      <c r="A68" s="5" t="str">
        <f t="shared" si="7"/>
        <v>CUSTO MARKET DATA - AGOSTO/26-SYMPHONY COMMUNICATION SERVICES, LLC-136668</v>
      </c>
      <c r="B68" s="20">
        <v>46235</v>
      </c>
      <c r="C68" s="21">
        <v>817393</v>
      </c>
      <c r="D68" s="9" t="str">
        <f>IF(J68=57036,"ALEXANDRE DA COSTA SOARES",IF(J68=24157,"JOSE MAURICIO GOMES TEIXEIRA",IF(J68=24203,"JOSE MAURICIO GOMES TEIXEIRA",IF(J68=24149,"CHRISTIANO MARCONDES DE BARROS LIMA",IF(J68=24137,"CHRISTIANO MARCONDES DE BARROS LIMA",IF(J68=135152,"ENRICO BORTPLUZO CASSIANO",IF(J68=136568,"ENRICO BORTPLUZO CASSIANO", IF(J68=130976,"MARYLIA CARVALHO PONCE",IF(J68=136668,"ALEXANDRE DA COSTA SOARES",IF(J68=52340,"OFFSHORE LISTED",IF(J68=158778,"CLAUDIO DE SOUZA PACINI",IF(J68=159800,"CLAUDIO DE SOUZA PACINI",_xlfn.XLOOKUP(J68,[1]!Tabela33[ID ORACLE],[1]!Tabela33[BROKER],0,0,1)))))))))))))</f>
        <v>ALEXANDRE DA COSTA SOARES</v>
      </c>
      <c r="E68" s="22">
        <f t="shared" si="5"/>
        <v>-129.75374100000002</v>
      </c>
      <c r="F68" s="9" t="str">
        <f t="shared" si="6"/>
        <v>SYMPHONY COMMUNICATION SERVICES, LLC</v>
      </c>
      <c r="G68" s="20">
        <f t="shared" si="8"/>
        <v>46235</v>
      </c>
      <c r="H68" s="23">
        <v>1170</v>
      </c>
      <c r="J68" s="52">
        <v>136668</v>
      </c>
      <c r="K68" s="45" t="s">
        <v>50</v>
      </c>
      <c r="L68" s="45" t="s">
        <v>12</v>
      </c>
      <c r="M68" s="45">
        <v>25.041250000000002</v>
      </c>
      <c r="N68" s="2"/>
      <c r="Q68" s="27"/>
      <c r="R68" s="27"/>
      <c r="S68" s="27"/>
      <c r="U68" s="27"/>
    </row>
    <row r="69" spans="1:78" ht="15" customHeight="1" x14ac:dyDescent="0.25">
      <c r="A69" s="5" t="str">
        <f t="shared" si="7"/>
        <v>CUSTO MARKET DATA - AGOSTO/26-BLOOMBERG-137478</v>
      </c>
      <c r="B69" s="20">
        <v>46235</v>
      </c>
      <c r="C69" s="21">
        <v>817393</v>
      </c>
      <c r="D69" s="9" t="str">
        <f>IF(J69=57036,"ALEXANDRE DA COSTA SOARES",IF(J69=24157,"JOSE MAURICIO GOMES TEIXEIRA",IF(J69=24203,"JOSE MAURICIO GOMES TEIXEIRA",IF(J69=24149,"CHRISTIANO MARCONDES DE BARROS LIMA",IF(J69=24137,"CHRISTIANO MARCONDES DE BARROS LIMA",IF(J69=135152,"ENRICO BORTPLUZO CASSIANO",IF(J69=136568,"ENRICO BORTPLUZO CASSIANO", IF(J69=130976,"MARYLIA CARVALHO PONCE",IF(J69=136668,"ALEXANDRE DA COSTA SOARES",IF(J69=52340,"OFFSHORE LISTED",IF(J69=158778,"CLAUDIO DE SOUZA PACINI",IF(J69=159800,"CLAUDIO DE SOUZA PACINI",_xlfn.XLOOKUP(J69,[1]!Tabela33[ID ORACLE],[1]!Tabela33[BROKER],0,0,1)))))))))))))</f>
        <v>ALEXANDRE BRENO STEVENS</v>
      </c>
      <c r="E69" s="22">
        <f t="shared" si="5"/>
        <v>-9368.3763720744009</v>
      </c>
      <c r="F69" s="9" t="str">
        <f t="shared" si="6"/>
        <v>BLOOMBERG</v>
      </c>
      <c r="G69" s="20">
        <f t="shared" si="8"/>
        <v>46235</v>
      </c>
      <c r="H69" s="23">
        <v>1170</v>
      </c>
      <c r="J69" s="52">
        <v>137478</v>
      </c>
      <c r="K69" s="45" t="s">
        <v>41</v>
      </c>
      <c r="L69" s="45" t="s">
        <v>12</v>
      </c>
      <c r="M69" s="45">
        <v>1808.008409</v>
      </c>
      <c r="N69" s="2"/>
      <c r="Q69" s="27"/>
      <c r="R69" s="27"/>
      <c r="S69" s="27"/>
      <c r="U69" s="27"/>
    </row>
    <row r="70" spans="1:78" ht="15" customHeight="1" x14ac:dyDescent="0.25">
      <c r="A70" s="5" t="str">
        <f t="shared" si="7"/>
        <v>CUSTO MARKET DATA - AGOSTO/26-BLOOMBERG-139345</v>
      </c>
      <c r="B70" s="20">
        <v>46235</v>
      </c>
      <c r="C70" s="21">
        <v>817393</v>
      </c>
      <c r="D70" s="9" t="str">
        <f>IF(J70=57036,"ALEXANDRE DA COSTA SOARES",IF(J70=24157,"JOSE MAURICIO GOMES TEIXEIRA",IF(J70=24203,"JOSE MAURICIO GOMES TEIXEIRA",IF(J70=24149,"CHRISTIANO MARCONDES DE BARROS LIMA",IF(J70=24137,"CHRISTIANO MARCONDES DE BARROS LIMA",IF(J70=135152,"ENRICO BORTPLUZO CASSIANO",IF(J70=136568,"ENRICO BORTPLUZO CASSIANO", IF(J70=130976,"MARYLIA CARVALHO PONCE",IF(J70=136668,"ALEXANDRE DA COSTA SOARES",IF(J70=52340,"OFFSHORE LISTED",IF(J70=158778,"CLAUDIO DE SOUZA PACINI",IF(J70=159800,"CLAUDIO DE SOUZA PACINI",_xlfn.XLOOKUP(J70,[1]!Tabela33[ID ORACLE],[1]!Tabela33[BROKER],0,0,1)))))))))))))</f>
        <v>FELIPE MEIRELLES RACCAH</v>
      </c>
      <c r="E70" s="22">
        <f t="shared" si="5"/>
        <v>-12293.404085736001</v>
      </c>
      <c r="F70" s="9" t="str">
        <f t="shared" si="6"/>
        <v>BLOOMBERG</v>
      </c>
      <c r="G70" s="20">
        <f t="shared" si="8"/>
        <v>46235</v>
      </c>
      <c r="H70" s="23">
        <v>1170</v>
      </c>
      <c r="J70" s="52">
        <v>139345</v>
      </c>
      <c r="K70" s="45" t="s">
        <v>41</v>
      </c>
      <c r="L70" s="45" t="s">
        <v>12</v>
      </c>
      <c r="M70" s="45">
        <v>2372.5112100000001</v>
      </c>
      <c r="N70" s="2"/>
      <c r="Q70" s="27"/>
      <c r="R70" s="27"/>
      <c r="S70" s="27"/>
      <c r="U70" s="27"/>
    </row>
    <row r="71" spans="1:78" ht="15" customHeight="1" x14ac:dyDescent="0.25">
      <c r="A71" s="5" t="str">
        <f t="shared" si="7"/>
        <v>CUSTO MARKET DATA - AGOSTO/26-BLOOMBERG-141745</v>
      </c>
      <c r="B71" s="20">
        <v>46235</v>
      </c>
      <c r="C71" s="21">
        <v>817393</v>
      </c>
      <c r="D71" s="9" t="str">
        <f>IF(J71=57036,"ALEXANDRE DA COSTA SOARES",IF(J71=24157,"JOSE MAURICIO GOMES TEIXEIRA",IF(J71=24203,"JOSE MAURICIO GOMES TEIXEIRA",IF(J71=24149,"CHRISTIANO MARCONDES DE BARROS LIMA",IF(J71=24137,"CHRISTIANO MARCONDES DE BARROS LIMA",IF(J71=135152,"ENRICO BORTPLUZO CASSIANO",IF(J71=136568,"ENRICO BORTPLUZO CASSIANO", IF(J71=130976,"MARYLIA CARVALHO PONCE",IF(J71=136668,"ALEXANDRE DA COSTA SOARES",IF(J71=52340,"OFFSHORE LISTED",IF(J71=158778,"CLAUDIO DE SOUZA PACINI",IF(J71=159800,"CLAUDIO DE SOUZA PACINI",_xlfn.XLOOKUP(J71,[1]!Tabela33[ID ORACLE],[1]!Tabela33[BROKER],0,0,1)))))))))))))</f>
        <v>EDRAS DURAES D ANUNCIACAO</v>
      </c>
      <c r="E71" s="22">
        <f t="shared" si="5"/>
        <v>-11567.116489190401</v>
      </c>
      <c r="F71" s="9" t="str">
        <f t="shared" si="6"/>
        <v>BLOOMBERG</v>
      </c>
      <c r="G71" s="20">
        <f t="shared" si="8"/>
        <v>46235</v>
      </c>
      <c r="H71" s="23">
        <v>1170</v>
      </c>
      <c r="J71" s="52">
        <v>141745</v>
      </c>
      <c r="K71" s="45" t="s">
        <v>41</v>
      </c>
      <c r="L71" s="45" t="s">
        <v>12</v>
      </c>
      <c r="M71" s="45">
        <v>2232.344544</v>
      </c>
      <c r="N71" s="2"/>
      <c r="Q71" s="27"/>
      <c r="R71" s="27"/>
      <c r="S71" s="27"/>
      <c r="U71" s="27"/>
    </row>
    <row r="72" spans="1:78" ht="15" customHeight="1" x14ac:dyDescent="0.25">
      <c r="A72" s="5" t="str">
        <f t="shared" si="7"/>
        <v>CUSTO MARKET DATA - AGOSTO/26-BLOOMBERG-142760</v>
      </c>
      <c r="B72" s="20">
        <v>46235</v>
      </c>
      <c r="C72" s="21">
        <v>817393</v>
      </c>
      <c r="D72" s="9" t="str">
        <f>IF(J72=57036,"ALEXANDRE DA COSTA SOARES",IF(J72=24157,"JOSE MAURICIO GOMES TEIXEIRA",IF(J72=24203,"JOSE MAURICIO GOMES TEIXEIRA",IF(J72=24149,"CHRISTIANO MARCONDES DE BARROS LIMA",IF(J72=24137,"CHRISTIANO MARCONDES DE BARROS LIMA",IF(J72=135152,"ENRICO BORTPLUZO CASSIANO",IF(J72=136568,"ENRICO BORTPLUZO CASSIANO", IF(J72=130976,"MARYLIA CARVALHO PONCE",IF(J72=136668,"ALEXANDRE DA COSTA SOARES",IF(J72=52340,"OFFSHORE LISTED",IF(J72=158778,"CLAUDIO DE SOUZA PACINI",IF(J72=159800,"CLAUDIO DE SOUZA PACINI",_xlfn.XLOOKUP(J72,[1]!Tabela33[ID ORACLE],[1]!Tabela33[BROKER],0,0,1)))))))))))))</f>
        <v>CARLOS THADEU DE FREITAS GOMES FILHO</v>
      </c>
      <c r="E72" s="22">
        <f t="shared" si="5"/>
        <v>-12435.898085736002</v>
      </c>
      <c r="F72" s="9" t="str">
        <f t="shared" si="6"/>
        <v>BLOOMBERG</v>
      </c>
      <c r="G72" s="20">
        <f t="shared" si="8"/>
        <v>46235</v>
      </c>
      <c r="H72" s="23">
        <v>1170</v>
      </c>
      <c r="J72" s="52">
        <v>142760</v>
      </c>
      <c r="K72" s="45" t="s">
        <v>41</v>
      </c>
      <c r="L72" s="45" t="s">
        <v>12</v>
      </c>
      <c r="M72" s="45">
        <v>2400.0112100000001</v>
      </c>
      <c r="N72" s="2"/>
      <c r="Q72" s="27"/>
      <c r="R72" s="27"/>
      <c r="S72" s="27"/>
      <c r="U72" s="27"/>
    </row>
    <row r="73" spans="1:78" ht="15" customHeight="1" x14ac:dyDescent="0.25">
      <c r="A73" s="5" t="str">
        <f t="shared" si="7"/>
        <v>CUSTO MARKET DATA - AGOSTO/26-BLOOMBERG-150588</v>
      </c>
      <c r="B73" s="20">
        <v>46235</v>
      </c>
      <c r="C73" s="21">
        <v>817393</v>
      </c>
      <c r="D73" s="9" t="str">
        <f>IF(J73=57036,"ALEXANDRE DA COSTA SOARES",IF(J73=24157,"JOSE MAURICIO GOMES TEIXEIRA",IF(J73=24203,"JOSE MAURICIO GOMES TEIXEIRA",IF(J73=24149,"CHRISTIANO MARCONDES DE BARROS LIMA",IF(J73=24137,"CHRISTIANO MARCONDES DE BARROS LIMA",IF(J73=135152,"ENRICO BORTPLUZO CASSIANO",IF(J73=136568,"ENRICO BORTPLUZO CASSIANO", IF(J73=130976,"MARYLIA CARVALHO PONCE",IF(J73=136668,"ALEXANDRE DA COSTA SOARES",IF(J73=52340,"OFFSHORE LISTED",IF(J73=158778,"CLAUDIO DE SOUZA PACINI",IF(J73=159800,"CLAUDIO DE SOUZA PACINI",_xlfn.XLOOKUP(J73,[1]!Tabela33[ID ORACLE],[1]!Tabela33[BROKER],0,0,1)))))))))))))</f>
        <v>PAULO GUILHERME MENEZES FELIX</v>
      </c>
      <c r="E73" s="22">
        <f t="shared" si="5"/>
        <v>763.42239827280014</v>
      </c>
      <c r="F73" s="9" t="str">
        <f t="shared" si="6"/>
        <v>BLOOMBERG</v>
      </c>
      <c r="G73" s="20">
        <f t="shared" si="8"/>
        <v>46235</v>
      </c>
      <c r="H73" s="23">
        <v>1170</v>
      </c>
      <c r="J73" s="52">
        <v>150588</v>
      </c>
      <c r="K73" s="45" t="s">
        <v>41</v>
      </c>
      <c r="L73" s="45" t="s">
        <v>12</v>
      </c>
      <c r="M73" s="45">
        <v>-147.33333300000001</v>
      </c>
      <c r="N73" s="2"/>
      <c r="Q73" s="27"/>
      <c r="R73" s="27"/>
      <c r="S73" s="27"/>
      <c r="U73" s="27"/>
    </row>
    <row r="74" spans="1:78" ht="15" customHeight="1" x14ac:dyDescent="0.25">
      <c r="A74" s="5" t="str">
        <f t="shared" si="7"/>
        <v>CUSTO MARKET DATA - AGOSTO/26-BLOOMBERG-152836</v>
      </c>
      <c r="B74" s="20">
        <v>46235</v>
      </c>
      <c r="C74" s="21">
        <v>817393</v>
      </c>
      <c r="D74" s="9" t="str">
        <f>IF(J74=57036,"ALEXANDRE DA COSTA SOARES",IF(J74=24157,"JOSE MAURICIO GOMES TEIXEIRA",IF(J74=24203,"JOSE MAURICIO GOMES TEIXEIRA",IF(J74=24149,"CHRISTIANO MARCONDES DE BARROS LIMA",IF(J74=24137,"CHRISTIANO MARCONDES DE BARROS LIMA",IF(J74=135152,"ENRICO BORTPLUZO CASSIANO",IF(J74=136568,"ENRICO BORTPLUZO CASSIANO", IF(J74=130976,"MARYLIA CARVALHO PONCE",IF(J74=136668,"ALEXANDRE DA COSTA SOARES",IF(J74=52340,"OFFSHORE LISTED",IF(J74=158778,"CLAUDIO DE SOUZA PACINI",IF(J74=159800,"CLAUDIO DE SOUZA PACINI",_xlfn.XLOOKUP(J74,[1]!Tabela33[ID ORACLE],[1]!Tabela33[BROKER],0,0,1)))))))))))))</f>
        <v>FELIPE DE SA TAVARES</v>
      </c>
      <c r="E74" s="22">
        <f t="shared" si="5"/>
        <v>-12435.898085736002</v>
      </c>
      <c r="F74" s="9" t="str">
        <f t="shared" si="6"/>
        <v>BLOOMBERG</v>
      </c>
      <c r="G74" s="20">
        <f t="shared" si="8"/>
        <v>46235</v>
      </c>
      <c r="H74" s="23">
        <v>1170</v>
      </c>
      <c r="J74" s="52">
        <v>152836</v>
      </c>
      <c r="K74" s="45" t="s">
        <v>41</v>
      </c>
      <c r="L74" s="45" t="s">
        <v>12</v>
      </c>
      <c r="M74" s="45">
        <v>2400.0112100000001</v>
      </c>
      <c r="N74" s="2"/>
      <c r="Q74" s="27"/>
      <c r="R74" s="27"/>
      <c r="S74" s="27"/>
      <c r="U74" s="27"/>
    </row>
    <row r="75" spans="1:78" ht="15" customHeight="1" x14ac:dyDescent="0.25">
      <c r="A75" s="5" t="str">
        <f t="shared" si="7"/>
        <v>CUSTO MARKET DATA - AGOSTO/26-BLOOMBERG-153595</v>
      </c>
      <c r="B75" s="20">
        <v>46235</v>
      </c>
      <c r="C75" s="21">
        <v>817393</v>
      </c>
      <c r="D75" s="9" t="str">
        <f>IF(J75=57036,"ALEXANDRE DA COSTA SOARES",IF(J75=24157,"JOSE MAURICIO GOMES TEIXEIRA",IF(J75=24203,"JOSE MAURICIO GOMES TEIXEIRA",IF(J75=24149,"CHRISTIANO MARCONDES DE BARROS LIMA",IF(J75=24137,"CHRISTIANO MARCONDES DE BARROS LIMA",IF(J75=135152,"ENRICO BORTPLUZO CASSIANO",IF(J75=136568,"ENRICO BORTPLUZO CASSIANO", IF(J75=130976,"MARYLIA CARVALHO PONCE",IF(J75=136668,"ALEXANDRE DA COSTA SOARES",IF(J75=52340,"OFFSHORE LISTED",IF(J75=158778,"CLAUDIO DE SOUZA PACINI",IF(J75=159800,"CLAUDIO DE SOUZA PACINI",_xlfn.XLOOKUP(J75,[1]!Tabela33[ID ORACLE],[1]!Tabela33[BROKER],0,0,1)))))))))))))</f>
        <v>REINALDO ANDRE URBANO FILHO</v>
      </c>
      <c r="E75" s="22">
        <f t="shared" si="5"/>
        <v>-12499.631765736003</v>
      </c>
      <c r="F75" s="9" t="str">
        <f t="shared" si="6"/>
        <v>BLOOMBERG</v>
      </c>
      <c r="G75" s="20">
        <f t="shared" si="8"/>
        <v>46235</v>
      </c>
      <c r="H75" s="23">
        <v>1170</v>
      </c>
      <c r="J75" s="52">
        <v>153595</v>
      </c>
      <c r="K75" s="45" t="s">
        <v>41</v>
      </c>
      <c r="L75" s="45" t="s">
        <v>12</v>
      </c>
      <c r="M75" s="45">
        <v>2412.3112100000003</v>
      </c>
      <c r="N75" s="2"/>
      <c r="Q75" s="27"/>
      <c r="R75" s="27"/>
      <c r="S75" s="27"/>
      <c r="U75" s="27"/>
    </row>
    <row r="76" spans="1:78" ht="15" customHeight="1" x14ac:dyDescent="0.25">
      <c r="A76" s="5" t="str">
        <f t="shared" si="7"/>
        <v>CUSTO MARKET DATA - AGOSTO/26-BLOOMBERG-158778</v>
      </c>
      <c r="B76" s="20">
        <v>46235</v>
      </c>
      <c r="C76" s="21">
        <v>817393</v>
      </c>
      <c r="D76" s="9" t="str">
        <f>IF(J76=57036,"ALEXANDRE DA COSTA SOARES",IF(J76=24157,"JOSE MAURICIO GOMES TEIXEIRA",IF(J76=24203,"JOSE MAURICIO GOMES TEIXEIRA",IF(J76=24149,"CHRISTIANO MARCONDES DE BARROS LIMA",IF(J76=24137,"CHRISTIANO MARCONDES DE BARROS LIMA",IF(J76=135152,"ENRICO BORTPLUZO CASSIANO",IF(J76=136568,"ENRICO BORTPLUZO CASSIANO", IF(J76=130976,"MARYLIA CARVALHO PONCE",IF(J76=136668,"ALEXANDRE DA COSTA SOARES",IF(J76=52340,"OFFSHORE LISTED",IF(J76=158778,"CLAUDIO DE SOUZA PACINI",IF(J76=159800,"CLAUDIO DE SOUZA PACINI",_xlfn.XLOOKUP(J76,[1]!Tabela33[ID ORACLE],[1]!Tabela33[BROKER],0,0,1)))))))))))))</f>
        <v>CLAUDIO DE SOUZA PACINI</v>
      </c>
      <c r="E76" s="22">
        <f t="shared" si="5"/>
        <v>-12492.895685736001</v>
      </c>
      <c r="F76" s="9" t="str">
        <f t="shared" si="6"/>
        <v>BLOOMBERG</v>
      </c>
      <c r="G76" s="20">
        <f t="shared" si="8"/>
        <v>46235</v>
      </c>
      <c r="H76" s="23">
        <v>1170</v>
      </c>
      <c r="J76" s="52">
        <v>158778</v>
      </c>
      <c r="K76" s="45" t="s">
        <v>41</v>
      </c>
      <c r="L76" s="45" t="s">
        <v>12</v>
      </c>
      <c r="M76" s="45">
        <v>2411.0112100000001</v>
      </c>
      <c r="N76" s="2"/>
      <c r="Q76" s="27"/>
      <c r="R76" s="27"/>
      <c r="S76" s="27"/>
      <c r="U76" s="27"/>
    </row>
    <row r="77" spans="1:78" ht="15" customHeight="1" x14ac:dyDescent="0.25">
      <c r="A77" s="5" t="str">
        <f t="shared" si="7"/>
        <v>CUSTO MARKET DATA - AGOSTO/26-FIDESSA-158778</v>
      </c>
      <c r="B77" s="20">
        <v>46235</v>
      </c>
      <c r="C77" s="21">
        <v>817393</v>
      </c>
      <c r="D77" s="9" t="str">
        <f>IF(J77=57036,"ALEXANDRE DA COSTA SOARES",IF(J77=24157,"JOSE MAURICIO GOMES TEIXEIRA",IF(J77=24203,"JOSE MAURICIO GOMES TEIXEIRA",IF(J77=24149,"CHRISTIANO MARCONDES DE BARROS LIMA",IF(J77=24137,"CHRISTIANO MARCONDES DE BARROS LIMA",IF(J77=135152,"ENRICO BORTPLUZO CASSIANO",IF(J77=136568,"ENRICO BORTPLUZO CASSIANO", IF(J77=130976,"MARYLIA CARVALHO PONCE",IF(J77=136668,"ALEXANDRE DA COSTA SOARES",IF(J77=52340,"OFFSHORE LISTED",IF(J77=158778,"CLAUDIO DE SOUZA PACINI",IF(J77=159800,"CLAUDIO DE SOUZA PACINI",_xlfn.XLOOKUP(J77,[1]!Tabela33[ID ORACLE],[1]!Tabela33[BROKER],0,0,1)))))))))))))</f>
        <v>CLAUDIO DE SOUZA PACINI</v>
      </c>
      <c r="E77" s="22">
        <f t="shared" si="5"/>
        <v>-1807.3003733016001</v>
      </c>
      <c r="F77" s="9" t="str">
        <f t="shared" si="6"/>
        <v>FIDESSA</v>
      </c>
      <c r="G77" s="20">
        <f t="shared" si="8"/>
        <v>46235</v>
      </c>
      <c r="H77" s="23">
        <v>1170</v>
      </c>
      <c r="J77" s="52">
        <v>158778</v>
      </c>
      <c r="K77" s="45" t="s">
        <v>47</v>
      </c>
      <c r="L77" s="45" t="s">
        <v>12</v>
      </c>
      <c r="M77" s="45">
        <v>348.79195099999998</v>
      </c>
      <c r="N77" s="2"/>
      <c r="Q77" s="27"/>
      <c r="R77" s="27"/>
      <c r="S77" s="27"/>
      <c r="U77" s="27"/>
    </row>
    <row r="78" spans="1:78" ht="15" customHeight="1" x14ac:dyDescent="0.25">
      <c r="A78" s="5" t="str">
        <f t="shared" si="7"/>
        <v>CUSTO MARKET DATA - AGOSTO/26-NYSE MARKET INC.-158778</v>
      </c>
      <c r="B78" s="20">
        <v>46235</v>
      </c>
      <c r="C78" s="21">
        <v>817393</v>
      </c>
      <c r="D78" s="9" t="str">
        <f>IF(J78=57036,"ALEXANDRE DA COSTA SOARES",IF(J78=24157,"JOSE MAURICIO GOMES TEIXEIRA",IF(J78=24203,"JOSE MAURICIO GOMES TEIXEIRA",IF(J78=24149,"CHRISTIANO MARCONDES DE BARROS LIMA",IF(J78=24137,"CHRISTIANO MARCONDES DE BARROS LIMA",IF(J78=135152,"ENRICO BORTPLUZO CASSIANO",IF(J78=136568,"ENRICO BORTPLUZO CASSIANO", IF(J78=130976,"MARYLIA CARVALHO PONCE",IF(J78=136668,"ALEXANDRE DA COSTA SOARES",IF(J78=52340,"OFFSHORE LISTED",IF(J78=158778,"CLAUDIO DE SOUZA PACINI",IF(J78=159800,"CLAUDIO DE SOUZA PACINI",_xlfn.XLOOKUP(J78,[1]!Tabela33[ID ORACLE],[1]!Tabela33[BROKER],0,0,1)))))))))))))</f>
        <v>CLAUDIO DE SOUZA PACINI</v>
      </c>
      <c r="E78" s="22">
        <f t="shared" si="5"/>
        <v>-1320.103278</v>
      </c>
      <c r="F78" s="9" t="str">
        <f t="shared" si="6"/>
        <v>NYSE MARKET INC.</v>
      </c>
      <c r="G78" s="20">
        <f t="shared" si="8"/>
        <v>46235</v>
      </c>
      <c r="H78" s="23">
        <v>1170</v>
      </c>
      <c r="J78" s="52">
        <v>158778</v>
      </c>
      <c r="K78" s="45" t="s">
        <v>44</v>
      </c>
      <c r="L78" s="45" t="s">
        <v>12</v>
      </c>
      <c r="M78" s="45">
        <v>254.76749999999998</v>
      </c>
      <c r="N78" s="2"/>
      <c r="Q78" s="27"/>
      <c r="R78" s="27"/>
      <c r="S78" s="27"/>
      <c r="U78" s="27"/>
    </row>
    <row r="79" spans="1:78" customFormat="1" ht="15" customHeight="1" x14ac:dyDescent="0.25">
      <c r="A79" s="5" t="str">
        <f t="shared" si="7"/>
        <v>CUSTO MARKET DATA - AGOSTO/26-OPTIONS PRICE REPORTING AUTHORITY (OPRA)-158778</v>
      </c>
      <c r="B79" s="20">
        <v>46235</v>
      </c>
      <c r="C79" s="21">
        <v>817393</v>
      </c>
      <c r="D79" s="9" t="str">
        <f>IF(J79=57036,"ALEXANDRE DA COSTA SOARES",IF(J79=24157,"JOSE MAURICIO GOMES TEIXEIRA",IF(J79=24203,"JOSE MAURICIO GOMES TEIXEIRA",IF(J79=24149,"CHRISTIANO MARCONDES DE BARROS LIMA",IF(J79=24137,"CHRISTIANO MARCONDES DE BARROS LIMA",IF(J79=135152,"ENRICO BORTPLUZO CASSIANO",IF(J79=136568,"ENRICO BORTPLUZO CASSIANO", IF(J79=130976,"MARYLIA CARVALHO PONCE",IF(J79=136668,"ALEXANDRE DA COSTA SOARES",IF(J79=52340,"OFFSHORE LISTED",IF(J79=158778,"CLAUDIO DE SOUZA PACINI",IF(J79=159800,"CLAUDIO DE SOUZA PACINI",_xlfn.XLOOKUP(J79,[1]!Tabela33[ID ORACLE],[1]!Tabela33[BROKER],0,0,1)))))))))))))</f>
        <v>CLAUDIO DE SOUZA PACINI</v>
      </c>
      <c r="E79" s="22">
        <f t="shared" si="5"/>
        <v>-177.70621050000003</v>
      </c>
      <c r="F79" s="9" t="str">
        <f t="shared" si="6"/>
        <v>OPTIONS PRICE REPORTING AUTHORITY (OPRA)</v>
      </c>
      <c r="G79" s="20">
        <f t="shared" si="8"/>
        <v>46235</v>
      </c>
      <c r="H79" s="23">
        <v>1170</v>
      </c>
      <c r="J79" s="52">
        <v>158778</v>
      </c>
      <c r="K79" s="45" t="s">
        <v>45</v>
      </c>
      <c r="L79" s="45" t="s">
        <v>12</v>
      </c>
      <c r="M79" s="45">
        <v>34.295625000000001</v>
      </c>
      <c r="N79" s="2"/>
      <c r="O79" s="1"/>
      <c r="P79" s="26"/>
      <c r="Q79" s="27"/>
      <c r="R79" s="27"/>
      <c r="S79" s="27"/>
      <c r="T79" s="26"/>
      <c r="U79" s="27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</row>
    <row r="80" spans="1:78" customFormat="1" ht="15" customHeight="1" x14ac:dyDescent="0.25">
      <c r="A80" s="5" t="str">
        <f t="shared" si="7"/>
        <v>CUSTO MARKET DATA - AGOSTO/26-BLOOMBERG-159506</v>
      </c>
      <c r="B80" s="20">
        <v>46235</v>
      </c>
      <c r="C80" s="21">
        <v>817393</v>
      </c>
      <c r="D80" s="9" t="str">
        <f>IF(J80=57036,"ALEXANDRE DA COSTA SOARES",IF(J80=24157,"JOSE MAURICIO GOMES TEIXEIRA",IF(J80=24203,"JOSE MAURICIO GOMES TEIXEIRA",IF(J80=24149,"CHRISTIANO MARCONDES DE BARROS LIMA",IF(J80=24137,"CHRISTIANO MARCONDES DE BARROS LIMA",IF(J80=135152,"ENRICO BORTPLUZO CASSIANO",IF(J80=136568,"ENRICO BORTPLUZO CASSIANO", IF(J80=130976,"MARYLIA CARVALHO PONCE",IF(J80=136668,"ALEXANDRE DA COSTA SOARES",IF(J80=52340,"OFFSHORE LISTED",IF(J80=158778,"CLAUDIO DE SOUZA PACINI",IF(J80=159800,"CLAUDIO DE SOUZA PACINI",_xlfn.XLOOKUP(J80,[1]!Tabela33[ID ORACLE],[1]!Tabela33[BROKER],0,0,1)))))))))))))</f>
        <v>PAULO VINICIUS RIBEIRO SILVA</v>
      </c>
      <c r="E80" s="22">
        <f t="shared" si="5"/>
        <v>-51.816000000000003</v>
      </c>
      <c r="F80" s="9" t="str">
        <f t="shared" si="6"/>
        <v>BLOOMBERG</v>
      </c>
      <c r="G80" s="20">
        <f t="shared" si="8"/>
        <v>46235</v>
      </c>
      <c r="H80" s="23">
        <v>1170</v>
      </c>
      <c r="J80" s="52">
        <v>159506</v>
      </c>
      <c r="K80" s="45" t="s">
        <v>41</v>
      </c>
      <c r="L80" s="45" t="s">
        <v>12</v>
      </c>
      <c r="M80" s="45">
        <v>10</v>
      </c>
      <c r="N80" s="2"/>
      <c r="O80" s="1"/>
      <c r="P80" s="26"/>
      <c r="Q80" s="27"/>
      <c r="R80" s="27"/>
      <c r="S80" s="27"/>
      <c r="T80" s="26"/>
      <c r="U80" s="27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</row>
    <row r="81" spans="1:78" customFormat="1" ht="15" customHeight="1" x14ac:dyDescent="0.25">
      <c r="A81" s="5" t="str">
        <f t="shared" si="7"/>
        <v>CUSTO MARKET DATA - AGOSTO/26-BLOOMBERG-159800</v>
      </c>
      <c r="B81" s="20">
        <v>46235</v>
      </c>
      <c r="C81" s="21">
        <v>817393</v>
      </c>
      <c r="D81" s="9" t="str">
        <f>IF(J81=57036,"ALEXANDRE DA COSTA SOARES",IF(J81=24157,"JOSE MAURICIO GOMES TEIXEIRA",IF(J81=24203,"JOSE MAURICIO GOMES TEIXEIRA",IF(J81=24149,"CHRISTIANO MARCONDES DE BARROS LIMA",IF(J81=24137,"CHRISTIANO MARCONDES DE BARROS LIMA",IF(J81=135152,"ENRICO BORTPLUZO CASSIANO",IF(J81=136568,"ENRICO BORTPLUZO CASSIANO", IF(J81=130976,"MARYLIA CARVALHO PONCE",IF(J81=136668,"ALEXANDRE DA COSTA SOARES",IF(J81=52340,"OFFSHORE LISTED",IF(J81=158778,"CLAUDIO DE SOUZA PACINI",IF(J81=159800,"CLAUDIO DE SOUZA PACINI",_xlfn.XLOOKUP(J81,[1]!Tabela33[ID ORACLE],[1]!Tabela33[BROKER],0,0,1)))))))))))))</f>
        <v>CLAUDIO DE SOUZA PACINI</v>
      </c>
      <c r="E81" s="22">
        <f t="shared" si="5"/>
        <v>-14052.039125736002</v>
      </c>
      <c r="F81" s="9" t="str">
        <f t="shared" si="6"/>
        <v>BLOOMBERG</v>
      </c>
      <c r="G81" s="20">
        <f t="shared" si="8"/>
        <v>46235</v>
      </c>
      <c r="H81" s="23">
        <v>1170</v>
      </c>
      <c r="J81" s="52">
        <v>159800</v>
      </c>
      <c r="K81" s="45" t="s">
        <v>41</v>
      </c>
      <c r="L81" s="45" t="s">
        <v>12</v>
      </c>
      <c r="M81" s="45">
        <v>2711.9112100000002</v>
      </c>
      <c r="N81" s="2"/>
      <c r="O81" s="1"/>
      <c r="P81" s="26"/>
      <c r="Q81" s="27"/>
      <c r="R81" s="27"/>
      <c r="S81" s="27"/>
      <c r="T81" s="26"/>
      <c r="U81" s="27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</row>
    <row r="82" spans="1:78" customFormat="1" ht="15" customHeight="1" x14ac:dyDescent="0.25">
      <c r="A82" s="5" t="str">
        <f t="shared" si="7"/>
        <v>CUSTO MARKET DATA - AGOSTO/26-FIDESSA-159800</v>
      </c>
      <c r="B82" s="20">
        <v>46235</v>
      </c>
      <c r="C82" s="21">
        <v>817393</v>
      </c>
      <c r="D82" s="9" t="str">
        <f>IF(J82=57036,"ALEXANDRE DA COSTA SOARES",IF(J82=24157,"JOSE MAURICIO GOMES TEIXEIRA",IF(J82=24203,"JOSE MAURICIO GOMES TEIXEIRA",IF(J82=24149,"CHRISTIANO MARCONDES DE BARROS LIMA",IF(J82=24137,"CHRISTIANO MARCONDES DE BARROS LIMA",IF(J82=135152,"ENRICO BORTPLUZO CASSIANO",IF(J82=136568,"ENRICO BORTPLUZO CASSIANO", IF(J82=130976,"MARYLIA CARVALHO PONCE",IF(J82=136668,"ALEXANDRE DA COSTA SOARES",IF(J82=52340,"OFFSHORE LISTED",IF(J82=158778,"CLAUDIO DE SOUZA PACINI",IF(J82=159800,"CLAUDIO DE SOUZA PACINI",_xlfn.XLOOKUP(J82,[1]!Tabela33[ID ORACLE],[1]!Tabela33[BROKER],0,0,1)))))))))))))</f>
        <v>CLAUDIO DE SOUZA PACINI</v>
      </c>
      <c r="E82" s="22">
        <f t="shared" si="5"/>
        <v>-2766.6318392424005</v>
      </c>
      <c r="F82" s="9" t="str">
        <f t="shared" si="6"/>
        <v>FIDESSA</v>
      </c>
      <c r="G82" s="20">
        <f t="shared" si="8"/>
        <v>46235</v>
      </c>
      <c r="H82" s="23">
        <v>1170</v>
      </c>
      <c r="J82" s="52">
        <v>159800</v>
      </c>
      <c r="K82" s="45" t="s">
        <v>47</v>
      </c>
      <c r="L82" s="45" t="s">
        <v>12</v>
      </c>
      <c r="M82" s="45">
        <v>533.93388900000002</v>
      </c>
      <c r="N82" s="2"/>
      <c r="O82" s="1"/>
      <c r="P82" s="26"/>
      <c r="Q82" s="27"/>
      <c r="R82" s="27"/>
      <c r="S82" s="27"/>
      <c r="T82" s="26"/>
      <c r="U82" s="27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</row>
    <row r="83" spans="1:78" customFormat="1" ht="15" customHeight="1" x14ac:dyDescent="0.25">
      <c r="A83" s="5" t="str">
        <f t="shared" si="7"/>
        <v>CUSTO MARKET DATA - AGOSTO/26-NYSE MARKET INC.-159800</v>
      </c>
      <c r="B83" s="20">
        <v>46235</v>
      </c>
      <c r="C83" s="21">
        <v>817393</v>
      </c>
      <c r="D83" s="9" t="str">
        <f>IF(J83=57036,"ALEXANDRE DA COSTA SOARES",IF(J83=24157,"JOSE MAURICIO GOMES TEIXEIRA",IF(J83=24203,"JOSE MAURICIO GOMES TEIXEIRA",IF(J83=24149,"CHRISTIANO MARCONDES DE BARROS LIMA",IF(J83=24137,"CHRISTIANO MARCONDES DE BARROS LIMA",IF(J83=135152,"ENRICO BORTPLUZO CASSIANO",IF(J83=136568,"ENRICO BORTPLUZO CASSIANO", IF(J83=130976,"MARYLIA CARVALHO PONCE",IF(J83=136668,"ALEXANDRE DA COSTA SOARES",IF(J83=52340,"OFFSHORE LISTED",IF(J83=158778,"CLAUDIO DE SOUZA PACINI",IF(J83=159800,"CLAUDIO DE SOUZA PACINI",_xlfn.XLOOKUP(J83,[1]!Tabela33[ID ORACLE],[1]!Tabela33[BROKER],0,0,1)))))))))))))</f>
        <v>CLAUDIO DE SOUZA PACINI</v>
      </c>
      <c r="E83" s="22">
        <f t="shared" si="5"/>
        <v>-1579.183278</v>
      </c>
      <c r="F83" s="9" t="str">
        <f t="shared" si="6"/>
        <v>NYSE MARKET INC.</v>
      </c>
      <c r="G83" s="20">
        <f t="shared" si="8"/>
        <v>46235</v>
      </c>
      <c r="H83" s="23">
        <v>1170</v>
      </c>
      <c r="J83" s="52">
        <v>159800</v>
      </c>
      <c r="K83" s="45" t="s">
        <v>44</v>
      </c>
      <c r="L83" s="45" t="s">
        <v>12</v>
      </c>
      <c r="M83" s="45">
        <v>304.76749999999998</v>
      </c>
      <c r="N83" s="2"/>
      <c r="O83" s="1"/>
      <c r="P83" s="26"/>
      <c r="Q83" s="27"/>
      <c r="R83" s="27"/>
      <c r="S83" s="27"/>
      <c r="T83" s="26"/>
      <c r="U83" s="27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</row>
    <row r="84" spans="1:78" customFormat="1" ht="15" customHeight="1" x14ac:dyDescent="0.25">
      <c r="A84" s="5" t="str">
        <f t="shared" si="7"/>
        <v>CUSTO MARKET DATA - AGOSTO/26-OPTIONS PRICE REPORTING AUTHORITY (OPRA)-159800</v>
      </c>
      <c r="B84" s="20">
        <v>46235</v>
      </c>
      <c r="C84" s="21">
        <v>817393</v>
      </c>
      <c r="D84" s="9" t="str">
        <f>IF(J84=57036,"ALEXANDRE DA COSTA SOARES",IF(J84=24157,"JOSE MAURICIO GOMES TEIXEIRA",IF(J84=24203,"JOSE MAURICIO GOMES TEIXEIRA",IF(J84=24149,"CHRISTIANO MARCONDES DE BARROS LIMA",IF(J84=24137,"CHRISTIANO MARCONDES DE BARROS LIMA",IF(J84=135152,"ENRICO BORTPLUZO CASSIANO",IF(J84=136568,"ENRICO BORTPLUZO CASSIANO", IF(J84=130976,"MARYLIA CARVALHO PONCE",IF(J84=136668,"ALEXANDRE DA COSTA SOARES",IF(J84=52340,"OFFSHORE LISTED",IF(J84=158778,"CLAUDIO DE SOUZA PACINI",IF(J84=159800,"CLAUDIO DE SOUZA PACINI",_xlfn.XLOOKUP(J84,[1]!Tabela33[ID ORACLE],[1]!Tabela33[BROKER],0,0,1)))))))))))))</f>
        <v>CLAUDIO DE SOUZA PACINI</v>
      </c>
      <c r="E84" s="22">
        <f t="shared" si="5"/>
        <v>-340.92661050000004</v>
      </c>
      <c r="F84" s="9" t="str">
        <f t="shared" si="6"/>
        <v>OPTIONS PRICE REPORTING AUTHORITY (OPRA)</v>
      </c>
      <c r="G84" s="20">
        <f t="shared" si="8"/>
        <v>46235</v>
      </c>
      <c r="H84" s="23">
        <v>1170</v>
      </c>
      <c r="J84" s="52">
        <v>159800</v>
      </c>
      <c r="K84" s="45" t="s">
        <v>45</v>
      </c>
      <c r="L84" s="45" t="s">
        <v>12</v>
      </c>
      <c r="M84" s="45">
        <v>65.795625000000001</v>
      </c>
      <c r="N84" s="2"/>
      <c r="O84" s="1"/>
      <c r="P84" s="26"/>
      <c r="Q84" s="27"/>
      <c r="R84" s="27"/>
      <c r="S84" s="27"/>
      <c r="T84" s="26"/>
      <c r="U84" s="27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</row>
    <row r="85" spans="1:78" customFormat="1" ht="15" customHeight="1" x14ac:dyDescent="0.25">
      <c r="A85" s="5" t="str">
        <f t="shared" si="7"/>
        <v>CUSTO MARKET DATA - AGOSTO/26-BLOOMBERG-22361</v>
      </c>
      <c r="B85" s="20">
        <v>46235</v>
      </c>
      <c r="C85" s="21">
        <v>817393</v>
      </c>
      <c r="D85" s="9" t="str">
        <f>IF(J85=57036,"ALEXANDRE DA COSTA SOARES",IF(J85=24157,"JOSE MAURICIO GOMES TEIXEIRA",IF(J85=24203,"JOSE MAURICIO GOMES TEIXEIRA",IF(J85=24149,"CHRISTIANO MARCONDES DE BARROS LIMA",IF(J85=24137,"CHRISTIANO MARCONDES DE BARROS LIMA",IF(J85=135152,"ENRICO BORTPLUZO CASSIANO",IF(J85=136568,"ENRICO BORTPLUZO CASSIANO", IF(J85=130976,"MARYLIA CARVALHO PONCE",IF(J85=136668,"ALEXANDRE DA COSTA SOARES",IF(J85=52340,"OFFSHORE LISTED",IF(J85=158778,"CLAUDIO DE SOUZA PACINI",IF(J85=159800,"CLAUDIO DE SOUZA PACINI",_xlfn.XLOOKUP(J85,[1]!Tabela33[ID ORACLE],[1]!Tabela33[BROKER],0,0,1)))))))))))))</f>
        <v>DANIEL TEIXEIRA SIQUEIRA GONÇALVES</v>
      </c>
      <c r="E85" s="22">
        <f t="shared" si="5"/>
        <v>-6217.9490428679992</v>
      </c>
      <c r="F85" s="9" t="str">
        <f t="shared" si="6"/>
        <v>BLOOMBERG</v>
      </c>
      <c r="G85" s="20">
        <f t="shared" si="8"/>
        <v>46235</v>
      </c>
      <c r="H85" s="23">
        <v>1170</v>
      </c>
      <c r="J85" s="52">
        <v>22361</v>
      </c>
      <c r="K85" s="45" t="s">
        <v>41</v>
      </c>
      <c r="L85" s="45" t="s">
        <v>12</v>
      </c>
      <c r="M85" s="45">
        <v>1200.0056049999998</v>
      </c>
      <c r="N85" s="2"/>
      <c r="O85" s="1"/>
      <c r="P85" s="26"/>
      <c r="Q85" s="27"/>
      <c r="R85" s="27"/>
      <c r="S85" s="27"/>
      <c r="T85" s="26"/>
      <c r="U85" s="27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</row>
    <row r="86" spans="1:78" customFormat="1" ht="15" customHeight="1" x14ac:dyDescent="0.25">
      <c r="A86" s="5" t="str">
        <f t="shared" si="7"/>
        <v>CUSTO MARKET DATA - AGOSTO/26-REFINITIV-22361</v>
      </c>
      <c r="B86" s="20">
        <v>46235</v>
      </c>
      <c r="C86" s="21">
        <v>817393</v>
      </c>
      <c r="D86" s="9" t="str">
        <f>IF(J86=57036,"ALEXANDRE DA COSTA SOARES",IF(J86=24157,"JOSE MAURICIO GOMES TEIXEIRA",IF(J86=24203,"JOSE MAURICIO GOMES TEIXEIRA",IF(J86=24149,"CHRISTIANO MARCONDES DE BARROS LIMA",IF(J86=24137,"CHRISTIANO MARCONDES DE BARROS LIMA",IF(J86=135152,"ENRICO BORTPLUZO CASSIANO",IF(J86=136568,"ENRICO BORTPLUZO CASSIANO", IF(J86=130976,"MARYLIA CARVALHO PONCE",IF(J86=136668,"ALEXANDRE DA COSTA SOARES",IF(J86=52340,"OFFSHORE LISTED",IF(J86=158778,"CLAUDIO DE SOUZA PACINI",IF(J86=159800,"CLAUDIO DE SOUZA PACINI",_xlfn.XLOOKUP(J86,[1]!Tabela33[ID ORACLE],[1]!Tabela33[BROKER],0,0,1)))))))))))))</f>
        <v>DANIEL TEIXEIRA SIQUEIRA GONÇALVES</v>
      </c>
      <c r="E86" s="22">
        <f t="shared" si="5"/>
        <v>-144.4717584828</v>
      </c>
      <c r="F86" s="9" t="str">
        <f t="shared" si="6"/>
        <v>REFINITIV</v>
      </c>
      <c r="G86" s="20">
        <f t="shared" si="8"/>
        <v>46235</v>
      </c>
      <c r="H86" s="23">
        <v>1170</v>
      </c>
      <c r="J86" s="52">
        <v>22361</v>
      </c>
      <c r="K86" s="45" t="s">
        <v>42</v>
      </c>
      <c r="L86" s="45" t="s">
        <v>17</v>
      </c>
      <c r="M86" s="45">
        <v>20.573868000000001</v>
      </c>
      <c r="N86" s="2"/>
      <c r="O86" s="1"/>
      <c r="P86" s="26"/>
      <c r="Q86" s="27"/>
      <c r="R86" s="27"/>
      <c r="S86" s="27"/>
      <c r="T86" s="26"/>
      <c r="U86" s="27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</row>
    <row r="87" spans="1:78" customFormat="1" ht="15" customHeight="1" x14ac:dyDescent="0.25">
      <c r="A87" s="5" t="str">
        <f t="shared" si="7"/>
        <v>CUSTO MARKET DATA - AGOSTO/26-BLOOMBERG-24137</v>
      </c>
      <c r="B87" s="20">
        <v>46235</v>
      </c>
      <c r="C87" s="21">
        <v>817393</v>
      </c>
      <c r="D87" s="9" t="str">
        <f>IF(J87=57036,"ALEXANDRE DA COSTA SOARES",IF(J87=24157,"JOSE MAURICIO GOMES TEIXEIRA",IF(J87=24203,"JOSE MAURICIO GOMES TEIXEIRA",IF(J87=24149,"CHRISTIANO MARCONDES DE BARROS LIMA",IF(J87=24137,"CHRISTIANO MARCONDES DE BARROS LIMA",IF(J87=135152,"ENRICO BORTPLUZO CASSIANO",IF(J87=136568,"ENRICO BORTPLUZO CASSIANO", IF(J87=130976,"MARYLIA CARVALHO PONCE",IF(J87=136668,"ALEXANDRE DA COSTA SOARES",IF(J87=52340,"OFFSHORE LISTED",IF(J87=158778,"CLAUDIO DE SOUZA PACINI",IF(J87=159800,"CLAUDIO DE SOUZA PACINI",_xlfn.XLOOKUP(J87,[1]!Tabela33[ID ORACLE],[1]!Tabela33[BROKER],0,0,1)))))))))))))</f>
        <v>CHRISTIANO MARCONDES DE BARROS LIMA</v>
      </c>
      <c r="E87" s="22">
        <f t="shared" si="5"/>
        <v>-12699.123365736003</v>
      </c>
      <c r="F87" s="9" t="str">
        <f t="shared" si="6"/>
        <v>BLOOMBERG</v>
      </c>
      <c r="G87" s="20">
        <f t="shared" si="8"/>
        <v>46235</v>
      </c>
      <c r="H87" s="23">
        <v>1170</v>
      </c>
      <c r="J87" s="52">
        <v>24137</v>
      </c>
      <c r="K87" s="45" t="s">
        <v>41</v>
      </c>
      <c r="L87" s="45" t="s">
        <v>12</v>
      </c>
      <c r="M87" s="45">
        <v>2450.8112100000003</v>
      </c>
      <c r="N87" s="2"/>
      <c r="O87" s="1"/>
      <c r="P87" s="26"/>
      <c r="Q87" s="27"/>
      <c r="R87" s="27"/>
      <c r="S87" s="27"/>
      <c r="T87" s="26"/>
      <c r="U87" s="27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</row>
    <row r="88" spans="1:78" customFormat="1" ht="15" customHeight="1" x14ac:dyDescent="0.25">
      <c r="A88" s="5" t="str">
        <f t="shared" si="7"/>
        <v>CUSTO MARKET DATA - AGOSTO/26-BLOOMBERG-24140</v>
      </c>
      <c r="B88" s="20">
        <v>46235</v>
      </c>
      <c r="C88" s="21">
        <v>817393</v>
      </c>
      <c r="D88" s="9" t="str">
        <f>IF(J88=57036,"ALEXANDRE DA COSTA SOARES",IF(J88=24157,"JOSE MAURICIO GOMES TEIXEIRA",IF(J88=24203,"JOSE MAURICIO GOMES TEIXEIRA",IF(J88=24149,"CHRISTIANO MARCONDES DE BARROS LIMA",IF(J88=24137,"CHRISTIANO MARCONDES DE BARROS LIMA",IF(J88=135152,"ENRICO BORTPLUZO CASSIANO",IF(J88=136568,"ENRICO BORTPLUZO CASSIANO", IF(J88=130976,"MARYLIA CARVALHO PONCE",IF(J88=136668,"ALEXANDRE DA COSTA SOARES",IF(J88=52340,"OFFSHORE LISTED",IF(J88=158778,"CLAUDIO DE SOUZA PACINI",IF(J88=159800,"CLAUDIO DE SOUZA PACINI",_xlfn.XLOOKUP(J88,[1]!Tabela33[ID ORACLE],[1]!Tabela33[BROKER],0,0,1)))))))))))))</f>
        <v>FRANCISCO JOSE DIAS CARVALHO</v>
      </c>
      <c r="E88" s="22">
        <f t="shared" si="5"/>
        <v>-9368.3763720744009</v>
      </c>
      <c r="F88" s="9" t="str">
        <f t="shared" si="6"/>
        <v>BLOOMBERG</v>
      </c>
      <c r="G88" s="20">
        <f t="shared" si="8"/>
        <v>46235</v>
      </c>
      <c r="H88" s="23">
        <v>1170</v>
      </c>
      <c r="J88" s="52">
        <v>24140</v>
      </c>
      <c r="K88" s="45" t="s">
        <v>41</v>
      </c>
      <c r="L88" s="45" t="s">
        <v>12</v>
      </c>
      <c r="M88" s="45">
        <v>1808.008409</v>
      </c>
      <c r="N88" s="2"/>
      <c r="O88" s="1"/>
      <c r="P88" s="26"/>
      <c r="Q88" s="27"/>
      <c r="R88" s="27"/>
      <c r="S88" s="27"/>
      <c r="T88" s="26"/>
      <c r="U88" s="27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</row>
    <row r="89" spans="1:78" ht="15" customHeight="1" x14ac:dyDescent="0.25">
      <c r="A89" s="5" t="str">
        <f t="shared" si="7"/>
        <v>CUSTO MARKET DATA - AGOSTO/26-REFINITIV-24140</v>
      </c>
      <c r="B89" s="20">
        <v>46235</v>
      </c>
      <c r="C89" s="21">
        <v>817393</v>
      </c>
      <c r="D89" s="9" t="str">
        <f>IF(J89=57036,"ALEXANDRE DA COSTA SOARES",IF(J89=24157,"JOSE MAURICIO GOMES TEIXEIRA",IF(J89=24203,"JOSE MAURICIO GOMES TEIXEIRA",IF(J89=24149,"CHRISTIANO MARCONDES DE BARROS LIMA",IF(J89=24137,"CHRISTIANO MARCONDES DE BARROS LIMA",IF(J89=135152,"ENRICO BORTPLUZO CASSIANO",IF(J89=136568,"ENRICO BORTPLUZO CASSIANO", IF(J89=130976,"MARYLIA CARVALHO PONCE",IF(J89=136668,"ALEXANDRE DA COSTA SOARES",IF(J89=52340,"OFFSHORE LISTED",IF(J89=158778,"CLAUDIO DE SOUZA PACINI",IF(J89=159800,"CLAUDIO DE SOUZA PACINI",_xlfn.XLOOKUP(J89,[1]!Tabela33[ID ORACLE],[1]!Tabela33[BROKER],0,0,1)))))))))))))</f>
        <v>FRANCISCO JOSE DIAS CARVALHO</v>
      </c>
      <c r="E89" s="22">
        <f t="shared" si="5"/>
        <v>-144.4717584828</v>
      </c>
      <c r="F89" s="9" t="str">
        <f t="shared" si="6"/>
        <v>REFINITIV</v>
      </c>
      <c r="G89" s="20">
        <f t="shared" si="8"/>
        <v>46235</v>
      </c>
      <c r="H89" s="23">
        <v>1170</v>
      </c>
      <c r="J89" s="52">
        <v>24140</v>
      </c>
      <c r="K89" s="45" t="s">
        <v>42</v>
      </c>
      <c r="L89" s="45" t="s">
        <v>17</v>
      </c>
      <c r="M89" s="45">
        <v>20.573868000000001</v>
      </c>
      <c r="Q89" s="27"/>
      <c r="R89" s="27"/>
      <c r="S89" s="27"/>
      <c r="U89" s="27"/>
    </row>
    <row r="90" spans="1:78" ht="15" customHeight="1" x14ac:dyDescent="0.25">
      <c r="A90" s="5" t="str">
        <f t="shared" si="7"/>
        <v>CUSTO MARKET DATA - AGOSTO/26-BLOOMBERG-24141</v>
      </c>
      <c r="B90" s="20">
        <v>46235</v>
      </c>
      <c r="C90" s="21">
        <v>817393</v>
      </c>
      <c r="D90" s="9" t="str">
        <f>IF(J90=57036,"ALEXANDRE DA COSTA SOARES",IF(J90=24157,"JOSE MAURICIO GOMES TEIXEIRA",IF(J90=24203,"JOSE MAURICIO GOMES TEIXEIRA",IF(J90=24149,"CHRISTIANO MARCONDES DE BARROS LIMA",IF(J90=24137,"CHRISTIANO MARCONDES DE BARROS LIMA",IF(J90=135152,"ENRICO BORTPLUZO CASSIANO",IF(J90=136568,"ENRICO BORTPLUZO CASSIANO", IF(J90=130976,"MARYLIA CARVALHO PONCE",IF(J90=136668,"ALEXANDRE DA COSTA SOARES",IF(J90=52340,"OFFSHORE LISTED",IF(J90=158778,"CLAUDIO DE SOUZA PACINI",IF(J90=159800,"CLAUDIO DE SOUZA PACINI",_xlfn.XLOOKUP(J90,[1]!Tabela33[ID ORACLE],[1]!Tabela33[BROKER],0,0,1)))))))))))))</f>
        <v>ANTONIO AUGUSTO DAS CHAGAS CARVALHO</v>
      </c>
      <c r="E90" s="22">
        <f t="shared" si="5"/>
        <v>-12499.631765736003</v>
      </c>
      <c r="F90" s="9" t="str">
        <f t="shared" si="6"/>
        <v>BLOOMBERG</v>
      </c>
      <c r="G90" s="20">
        <f t="shared" si="8"/>
        <v>46235</v>
      </c>
      <c r="H90" s="23">
        <v>1170</v>
      </c>
      <c r="J90" s="52">
        <v>24141</v>
      </c>
      <c r="K90" s="45" t="s">
        <v>41</v>
      </c>
      <c r="L90" s="45" t="s">
        <v>12</v>
      </c>
      <c r="M90" s="45">
        <v>2412.3112100000003</v>
      </c>
      <c r="Q90" s="27"/>
      <c r="R90" s="27"/>
      <c r="S90" s="27"/>
      <c r="U90" s="27"/>
    </row>
    <row r="91" spans="1:78" ht="15" customHeight="1" x14ac:dyDescent="0.25">
      <c r="A91" s="5" t="str">
        <f t="shared" si="7"/>
        <v>CUSTO MARKET DATA - AGOSTO/26-REFINITIV-24141</v>
      </c>
      <c r="B91" s="20">
        <v>46235</v>
      </c>
      <c r="C91" s="21">
        <v>817393</v>
      </c>
      <c r="D91" s="9" t="str">
        <f>IF(J91=57036,"ALEXANDRE DA COSTA SOARES",IF(J91=24157,"JOSE MAURICIO GOMES TEIXEIRA",IF(J91=24203,"JOSE MAURICIO GOMES TEIXEIRA",IF(J91=24149,"CHRISTIANO MARCONDES DE BARROS LIMA",IF(J91=24137,"CHRISTIANO MARCONDES DE BARROS LIMA",IF(J91=135152,"ENRICO BORTPLUZO CASSIANO",IF(J91=136568,"ENRICO BORTPLUZO CASSIANO", IF(J91=130976,"MARYLIA CARVALHO PONCE",IF(J91=136668,"ALEXANDRE DA COSTA SOARES",IF(J91=52340,"OFFSHORE LISTED",IF(J91=158778,"CLAUDIO DE SOUZA PACINI",IF(J91=159800,"CLAUDIO DE SOUZA PACINI",_xlfn.XLOOKUP(J91,[1]!Tabela33[ID ORACLE],[1]!Tabela33[BROKER],0,0,1)))))))))))))</f>
        <v>ANTONIO AUGUSTO DAS CHAGAS CARVALHO</v>
      </c>
      <c r="E91" s="22">
        <f t="shared" si="5"/>
        <v>-144.4717584828</v>
      </c>
      <c r="F91" s="9" t="str">
        <f t="shared" si="6"/>
        <v>REFINITIV</v>
      </c>
      <c r="G91" s="20">
        <f t="shared" si="8"/>
        <v>46235</v>
      </c>
      <c r="H91" s="23">
        <v>1170</v>
      </c>
      <c r="J91" s="52">
        <v>24141</v>
      </c>
      <c r="K91" s="45" t="s">
        <v>42</v>
      </c>
      <c r="L91" s="45" t="s">
        <v>17</v>
      </c>
      <c r="M91" s="45">
        <v>20.573868000000001</v>
      </c>
      <c r="Q91" s="27"/>
      <c r="R91" s="27"/>
      <c r="S91" s="27"/>
      <c r="U91" s="27"/>
    </row>
    <row r="92" spans="1:78" ht="15" customHeight="1" x14ac:dyDescent="0.25">
      <c r="A92" s="5" t="str">
        <f t="shared" si="7"/>
        <v>CUSTO MARKET DATA - AGOSTO/26-BLOOMBERG-24156</v>
      </c>
      <c r="B92" s="20">
        <v>46235</v>
      </c>
      <c r="C92" s="21">
        <v>817393</v>
      </c>
      <c r="D92" s="9" t="str">
        <f>IF(J92=57036,"ALEXANDRE DA COSTA SOARES",IF(J92=24157,"JOSE MAURICIO GOMES TEIXEIRA",IF(J92=24203,"JOSE MAURICIO GOMES TEIXEIRA",IF(J92=24149,"CHRISTIANO MARCONDES DE BARROS LIMA",IF(J92=24137,"CHRISTIANO MARCONDES DE BARROS LIMA",IF(J92=135152,"ENRICO BORTPLUZO CASSIANO",IF(J92=136568,"ENRICO BORTPLUZO CASSIANO", IF(J92=130976,"MARYLIA CARVALHO PONCE",IF(J92=136668,"ALEXANDRE DA COSTA SOARES",IF(J92=52340,"OFFSHORE LISTED",IF(J92=158778,"CLAUDIO DE SOUZA PACINI",IF(J92=159800,"CLAUDIO DE SOUZA PACINI",_xlfn.XLOOKUP(J92,[1]!Tabela33[ID ORACLE],[1]!Tabela33[BROKER],0,0,1)))))))))))))</f>
        <v>JOSE MAURICIO GOMES TEIXEIRA</v>
      </c>
      <c r="E92" s="22">
        <f t="shared" si="5"/>
        <v>-12637.980485736001</v>
      </c>
      <c r="F92" s="9" t="str">
        <f t="shared" si="6"/>
        <v>BLOOMBERG</v>
      </c>
      <c r="G92" s="20">
        <f t="shared" si="8"/>
        <v>46235</v>
      </c>
      <c r="H92" s="23">
        <v>1170</v>
      </c>
      <c r="J92" s="52">
        <v>24156</v>
      </c>
      <c r="K92" s="45" t="s">
        <v>41</v>
      </c>
      <c r="L92" s="45" t="s">
        <v>12</v>
      </c>
      <c r="M92" s="45">
        <v>2439.0112100000001</v>
      </c>
      <c r="Q92" s="27"/>
      <c r="R92" s="27"/>
      <c r="S92" s="27"/>
      <c r="U92" s="27"/>
    </row>
    <row r="93" spans="1:78" customFormat="1" ht="15" customHeight="1" x14ac:dyDescent="0.25">
      <c r="A93" s="5" t="str">
        <f t="shared" si="7"/>
        <v>CUSTO MARKET DATA - AGOSTO/26-REFINITIV-24156</v>
      </c>
      <c r="B93" s="20">
        <v>46235</v>
      </c>
      <c r="C93" s="21">
        <v>817393</v>
      </c>
      <c r="D93" s="9" t="str">
        <f>IF(J93=57036,"ALEXANDRE DA COSTA SOARES",IF(J93=24157,"JOSE MAURICIO GOMES TEIXEIRA",IF(J93=24203,"JOSE MAURICIO GOMES TEIXEIRA",IF(J93=24149,"CHRISTIANO MARCONDES DE BARROS LIMA",IF(J93=24137,"CHRISTIANO MARCONDES DE BARROS LIMA",IF(J93=135152,"ENRICO BORTPLUZO CASSIANO",IF(J93=136568,"ENRICO BORTPLUZO CASSIANO", IF(J93=130976,"MARYLIA CARVALHO PONCE",IF(J93=136668,"ALEXANDRE DA COSTA SOARES",IF(J93=52340,"OFFSHORE LISTED",IF(J93=158778,"CLAUDIO DE SOUZA PACINI",IF(J93=159800,"CLAUDIO DE SOUZA PACINI",_xlfn.XLOOKUP(J93,[1]!Tabela33[ID ORACLE],[1]!Tabela33[BROKER],0,0,1)))))))))))))</f>
        <v>JOSE MAURICIO GOMES TEIXEIRA</v>
      </c>
      <c r="E93" s="22">
        <f t="shared" ref="E93:E156" si="9">-IF(L93="BRL",M93,IF(L93="GBP",M93*$R$1,IF(L93="CAD",M93*$T$1,M93*$P$1)))</f>
        <v>-144.4717584828</v>
      </c>
      <c r="F93" s="9" t="str">
        <f t="shared" ref="F93:F156" si="10">IF(UPPER(K93)="Valor Analytics LLC","VALOR",UPPER(K93))</f>
        <v>REFINITIV</v>
      </c>
      <c r="G93" s="20">
        <f t="shared" si="8"/>
        <v>46235</v>
      </c>
      <c r="H93" s="23">
        <v>1170</v>
      </c>
      <c r="J93" s="52">
        <v>24156</v>
      </c>
      <c r="K93" s="45" t="s">
        <v>42</v>
      </c>
      <c r="L93" s="45" t="s">
        <v>17</v>
      </c>
      <c r="M93" s="45">
        <v>20.573868000000001</v>
      </c>
      <c r="O93" s="1"/>
      <c r="P93" s="26"/>
      <c r="Q93" s="27"/>
      <c r="R93" s="27"/>
      <c r="S93" s="27"/>
      <c r="T93" s="26"/>
      <c r="U93" s="27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</row>
    <row r="94" spans="1:78" customFormat="1" ht="15" customHeight="1" x14ac:dyDescent="0.25">
      <c r="A94" s="5" t="str">
        <f t="shared" si="7"/>
        <v>CUSTO MARKET DATA - AGOSTO/26-BLOOMBERG-24157</v>
      </c>
      <c r="B94" s="20">
        <v>46235</v>
      </c>
      <c r="C94" s="21">
        <v>817393</v>
      </c>
      <c r="D94" s="9" t="str">
        <f>IF(J94=57036,"ALEXANDRE DA COSTA SOARES",IF(J94=24157,"JOSE MAURICIO GOMES TEIXEIRA",IF(J94=24203,"JOSE MAURICIO GOMES TEIXEIRA",IF(J94=24149,"CHRISTIANO MARCONDES DE BARROS LIMA",IF(J94=24137,"CHRISTIANO MARCONDES DE BARROS LIMA",IF(J94=135152,"ENRICO BORTPLUZO CASSIANO",IF(J94=136568,"ENRICO BORTPLUZO CASSIANO", IF(J94=130976,"MARYLIA CARVALHO PONCE",IF(J94=136668,"ALEXANDRE DA COSTA SOARES",IF(J94=52340,"OFFSHORE LISTED",IF(J94=158778,"CLAUDIO DE SOUZA PACINI",IF(J94=159800,"CLAUDIO DE SOUZA PACINI",_xlfn.XLOOKUP(J94,[1]!Tabela33[ID ORACLE],[1]!Tabela33[BROKER],0,0,1)))))))))))))</f>
        <v>JOSE MAURICIO GOMES TEIXEIRA</v>
      </c>
      <c r="E94" s="22">
        <f t="shared" si="9"/>
        <v>-12499.631765736003</v>
      </c>
      <c r="F94" s="9" t="str">
        <f t="shared" si="10"/>
        <v>BLOOMBERG</v>
      </c>
      <c r="G94" s="20">
        <f t="shared" si="8"/>
        <v>46235</v>
      </c>
      <c r="H94" s="23">
        <v>1170</v>
      </c>
      <c r="J94" s="52">
        <v>24157</v>
      </c>
      <c r="K94" s="45" t="s">
        <v>41</v>
      </c>
      <c r="L94" s="45" t="s">
        <v>12</v>
      </c>
      <c r="M94" s="45">
        <v>2412.3112100000003</v>
      </c>
      <c r="O94" s="1"/>
      <c r="P94" s="26"/>
      <c r="Q94" s="27"/>
      <c r="R94" s="27"/>
      <c r="S94" s="27"/>
      <c r="T94" s="26"/>
      <c r="U94" s="27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</row>
    <row r="95" spans="1:78" customFormat="1" ht="15" customHeight="1" x14ac:dyDescent="0.25">
      <c r="A95" s="5" t="str">
        <f t="shared" si="7"/>
        <v>CUSTO MARKET DATA - AGOSTO/26-REFINITIV-24157</v>
      </c>
      <c r="B95" s="20">
        <v>46235</v>
      </c>
      <c r="C95" s="21">
        <v>817393</v>
      </c>
      <c r="D95" s="9" t="str">
        <f>IF(J95=57036,"ALEXANDRE DA COSTA SOARES",IF(J95=24157,"JOSE MAURICIO GOMES TEIXEIRA",IF(J95=24203,"JOSE MAURICIO GOMES TEIXEIRA",IF(J95=24149,"CHRISTIANO MARCONDES DE BARROS LIMA",IF(J95=24137,"CHRISTIANO MARCONDES DE BARROS LIMA",IF(J95=135152,"ENRICO BORTPLUZO CASSIANO",IF(J95=136568,"ENRICO BORTPLUZO CASSIANO", IF(J95=130976,"MARYLIA CARVALHO PONCE",IF(J95=136668,"ALEXANDRE DA COSTA SOARES",IF(J95=52340,"OFFSHORE LISTED",IF(J95=158778,"CLAUDIO DE SOUZA PACINI",IF(J95=159800,"CLAUDIO DE SOUZA PACINI",_xlfn.XLOOKUP(J95,[1]!Tabela33[ID ORACLE],[1]!Tabela33[BROKER],0,0,1)))))))))))))</f>
        <v>JOSE MAURICIO GOMES TEIXEIRA</v>
      </c>
      <c r="E95" s="22">
        <f t="shared" si="9"/>
        <v>-778.8046020429</v>
      </c>
      <c r="F95" s="9" t="str">
        <f t="shared" si="10"/>
        <v>REFINITIV</v>
      </c>
      <c r="G95" s="20">
        <f t="shared" si="8"/>
        <v>46235</v>
      </c>
      <c r="H95" s="23">
        <v>1170</v>
      </c>
      <c r="J95" s="52">
        <v>24157</v>
      </c>
      <c r="K95" s="45" t="s">
        <v>42</v>
      </c>
      <c r="L95" s="45" t="s">
        <v>17</v>
      </c>
      <c r="M95" s="45">
        <v>110.90764899999999</v>
      </c>
      <c r="O95" s="1"/>
      <c r="P95" s="26"/>
      <c r="Q95" s="27"/>
      <c r="R95" s="27"/>
      <c r="S95" s="27"/>
      <c r="T95" s="26"/>
      <c r="U95" s="27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</row>
    <row r="96" spans="1:78" customFormat="1" ht="15" customHeight="1" x14ac:dyDescent="0.25">
      <c r="A96" s="5" t="str">
        <f t="shared" si="7"/>
        <v>CUSTO MARKET DATA - AGOSTO/26-REFINITIV-24170</v>
      </c>
      <c r="B96" s="20">
        <v>46235</v>
      </c>
      <c r="C96" s="21">
        <v>817393</v>
      </c>
      <c r="D96" s="9" t="str">
        <f>IF(J96=57036,"ALEXANDRE DA COSTA SOARES",IF(J96=24157,"JOSE MAURICIO GOMES TEIXEIRA",IF(J96=24203,"JOSE MAURICIO GOMES TEIXEIRA",IF(J96=24149,"CHRISTIANO MARCONDES DE BARROS LIMA",IF(J96=24137,"CHRISTIANO MARCONDES DE BARROS LIMA",IF(J96=135152,"ENRICO BORTPLUZO CASSIANO",IF(J96=136568,"ENRICO BORTPLUZO CASSIANO", IF(J96=130976,"MARYLIA CARVALHO PONCE",IF(J96=136668,"ALEXANDRE DA COSTA SOARES",IF(J96=52340,"OFFSHORE LISTED",IF(J96=158778,"CLAUDIO DE SOUZA PACINI",IF(J96=159800,"CLAUDIO DE SOUZA PACINI",_xlfn.XLOOKUP(J96,[1]!Tabela33[ID ORACLE],[1]!Tabela33[BROKER],0,0,1)))))))))))))</f>
        <v>ANDREA LICASSIA ALMEIDA SANTOS</v>
      </c>
      <c r="E96" s="22">
        <f t="shared" si="9"/>
        <v>-144.4717584828</v>
      </c>
      <c r="F96" s="9" t="str">
        <f t="shared" si="10"/>
        <v>REFINITIV</v>
      </c>
      <c r="G96" s="20">
        <f t="shared" si="8"/>
        <v>46235</v>
      </c>
      <c r="H96" s="23">
        <v>1170</v>
      </c>
      <c r="J96" s="52">
        <v>24170</v>
      </c>
      <c r="K96" s="45" t="s">
        <v>42</v>
      </c>
      <c r="L96" s="45" t="s">
        <v>17</v>
      </c>
      <c r="M96" s="45">
        <v>20.573868000000001</v>
      </c>
      <c r="O96" s="1"/>
      <c r="P96" s="26"/>
      <c r="Q96" s="27"/>
      <c r="R96" s="27"/>
      <c r="S96" s="27"/>
      <c r="T96" s="26"/>
      <c r="U96" s="27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</row>
    <row r="97" spans="1:78" customFormat="1" ht="15" customHeight="1" x14ac:dyDescent="0.25">
      <c r="A97" s="5" t="str">
        <f t="shared" si="7"/>
        <v>CUSTO MARKET DATA - AGOSTO/26-BLOOMBERG-24182</v>
      </c>
      <c r="B97" s="20">
        <v>46235</v>
      </c>
      <c r="C97" s="21">
        <v>817393</v>
      </c>
      <c r="D97" s="9" t="str">
        <f>IF(J97=57036,"ALEXANDRE DA COSTA SOARES",IF(J97=24157,"JOSE MAURICIO GOMES TEIXEIRA",IF(J97=24203,"JOSE MAURICIO GOMES TEIXEIRA",IF(J97=24149,"CHRISTIANO MARCONDES DE BARROS LIMA",IF(J97=24137,"CHRISTIANO MARCONDES DE BARROS LIMA",IF(J97=135152,"ENRICO BORTPLUZO CASSIANO",IF(J97=136568,"ENRICO BORTPLUZO CASSIANO", IF(J97=130976,"MARYLIA CARVALHO PONCE",IF(J97=136668,"ALEXANDRE DA COSTA SOARES",IF(J97=52340,"OFFSHORE LISTED",IF(J97=158778,"CLAUDIO DE SOUZA PACINI",IF(J97=159800,"CLAUDIO DE SOUZA PACINI",_xlfn.XLOOKUP(J97,[1]!Tabela33[ID ORACLE],[1]!Tabela33[BROKER],0,0,1)))))))))))))</f>
        <v>ANTONIO AGIZ FILHO</v>
      </c>
      <c r="E97" s="22">
        <f t="shared" si="9"/>
        <v>-11542.072085736001</v>
      </c>
      <c r="F97" s="9" t="str">
        <f t="shared" si="10"/>
        <v>BLOOMBERG</v>
      </c>
      <c r="G97" s="20">
        <f t="shared" si="8"/>
        <v>46235</v>
      </c>
      <c r="H97" s="23">
        <v>1170</v>
      </c>
      <c r="J97" s="52">
        <v>24182</v>
      </c>
      <c r="K97" s="45" t="s">
        <v>41</v>
      </c>
      <c r="L97" s="45" t="s">
        <v>12</v>
      </c>
      <c r="M97" s="45">
        <v>2227.5112100000001</v>
      </c>
      <c r="O97" s="1"/>
      <c r="P97" s="26"/>
      <c r="Q97" s="27"/>
      <c r="R97" s="27"/>
      <c r="S97" s="27"/>
      <c r="T97" s="26"/>
      <c r="U97" s="27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</row>
    <row r="98" spans="1:78" customFormat="1" ht="15" customHeight="1" x14ac:dyDescent="0.25">
      <c r="A98" s="5" t="str">
        <f t="shared" si="7"/>
        <v>CUSTO MARKET DATA - AGOSTO/26-REFINITIV-24183</v>
      </c>
      <c r="B98" s="20">
        <v>46235</v>
      </c>
      <c r="C98" s="21">
        <v>817393</v>
      </c>
      <c r="D98" s="9" t="str">
        <f>IF(J98=57036,"ALEXANDRE DA COSTA SOARES",IF(J98=24157,"JOSE MAURICIO GOMES TEIXEIRA",IF(J98=24203,"JOSE MAURICIO GOMES TEIXEIRA",IF(J98=24149,"CHRISTIANO MARCONDES DE BARROS LIMA",IF(J98=24137,"CHRISTIANO MARCONDES DE BARROS LIMA",IF(J98=135152,"ENRICO BORTPLUZO CASSIANO",IF(J98=136568,"ENRICO BORTPLUZO CASSIANO", IF(J98=130976,"MARYLIA CARVALHO PONCE",IF(J98=136668,"ALEXANDRE DA COSTA SOARES",IF(J98=52340,"OFFSHORE LISTED",IF(J98=158778,"CLAUDIO DE SOUZA PACINI",IF(J98=159800,"CLAUDIO DE SOUZA PACINI",_xlfn.XLOOKUP(J98,[1]!Tabela33[ID ORACLE],[1]!Tabela33[BROKER],0,0,1)))))))))))))</f>
        <v>CARLA REGINA DE SOUZA CARREIRA</v>
      </c>
      <c r="E98" s="22">
        <f t="shared" si="9"/>
        <v>-144.4717584828</v>
      </c>
      <c r="F98" s="9" t="str">
        <f t="shared" si="10"/>
        <v>REFINITIV</v>
      </c>
      <c r="G98" s="20">
        <f t="shared" si="8"/>
        <v>46235</v>
      </c>
      <c r="H98" s="23">
        <v>1170</v>
      </c>
      <c r="J98" s="52">
        <v>24183</v>
      </c>
      <c r="K98" s="45" t="s">
        <v>42</v>
      </c>
      <c r="L98" s="45" t="s">
        <v>17</v>
      </c>
      <c r="M98" s="45">
        <v>20.573868000000001</v>
      </c>
      <c r="O98" s="1"/>
      <c r="P98" s="26"/>
      <c r="Q98" s="27"/>
      <c r="R98" s="27"/>
      <c r="S98" s="27"/>
      <c r="T98" s="26"/>
      <c r="U98" s="27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</row>
    <row r="99" spans="1:78" customFormat="1" ht="15" customHeight="1" x14ac:dyDescent="0.25">
      <c r="A99" s="5" t="str">
        <f t="shared" si="7"/>
        <v>CUSTO MARKET DATA - AGOSTO/26-BLOOMBERG-24184</v>
      </c>
      <c r="B99" s="20">
        <v>46235</v>
      </c>
      <c r="C99" s="21">
        <v>817393</v>
      </c>
      <c r="D99" s="9" t="str">
        <f>IF(J99=57036,"ALEXANDRE DA COSTA SOARES",IF(J99=24157,"JOSE MAURICIO GOMES TEIXEIRA",IF(J99=24203,"JOSE MAURICIO GOMES TEIXEIRA",IF(J99=24149,"CHRISTIANO MARCONDES DE BARROS LIMA",IF(J99=24137,"CHRISTIANO MARCONDES DE BARROS LIMA",IF(J99=135152,"ENRICO BORTPLUZO CASSIANO",IF(J99=136568,"ENRICO BORTPLUZO CASSIANO", IF(J99=130976,"MARYLIA CARVALHO PONCE",IF(J99=136668,"ALEXANDRE DA COSTA SOARES",IF(J99=52340,"OFFSHORE LISTED",IF(J99=158778,"CLAUDIO DE SOUZA PACINI",IF(J99=159800,"CLAUDIO DE SOUZA PACINI",_xlfn.XLOOKUP(J99,[1]!Tabela33[ID ORACLE],[1]!Tabela33[BROKER],0,0,1)))))))))))))</f>
        <v>CHRISTIANO MARCONDES DE BARROS LIMA</v>
      </c>
      <c r="E99" s="22">
        <f t="shared" si="9"/>
        <v>-12699.123365736003</v>
      </c>
      <c r="F99" s="9" t="str">
        <f t="shared" si="10"/>
        <v>BLOOMBERG</v>
      </c>
      <c r="G99" s="20">
        <f t="shared" si="8"/>
        <v>46235</v>
      </c>
      <c r="H99" s="23">
        <v>1170</v>
      </c>
      <c r="J99" s="52">
        <v>24184</v>
      </c>
      <c r="K99" s="45" t="s">
        <v>41</v>
      </c>
      <c r="L99" s="45" t="s">
        <v>12</v>
      </c>
      <c r="M99" s="45">
        <v>2450.8112100000003</v>
      </c>
      <c r="O99" s="1"/>
      <c r="P99" s="26"/>
      <c r="Q99" s="27"/>
      <c r="R99" s="27"/>
      <c r="S99" s="27"/>
      <c r="T99" s="26"/>
      <c r="U99" s="27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</row>
    <row r="100" spans="1:78" customFormat="1" ht="15" customHeight="1" x14ac:dyDescent="0.25">
      <c r="A100" s="5" t="str">
        <f t="shared" si="7"/>
        <v>CUSTO MARKET DATA - AGOSTO/26-REFINITIV-24184</v>
      </c>
      <c r="B100" s="20">
        <v>46235</v>
      </c>
      <c r="C100" s="21">
        <v>817393</v>
      </c>
      <c r="D100" s="9" t="str">
        <f>IF(J100=57036,"ALEXANDRE DA COSTA SOARES",IF(J100=24157,"JOSE MAURICIO GOMES TEIXEIRA",IF(J100=24203,"JOSE MAURICIO GOMES TEIXEIRA",IF(J100=24149,"CHRISTIANO MARCONDES DE BARROS LIMA",IF(J100=24137,"CHRISTIANO MARCONDES DE BARROS LIMA",IF(J100=135152,"ENRICO BORTPLUZO CASSIANO",IF(J100=136568,"ENRICO BORTPLUZO CASSIANO", IF(J100=130976,"MARYLIA CARVALHO PONCE",IF(J100=136668,"ALEXANDRE DA COSTA SOARES",IF(J100=52340,"OFFSHORE LISTED",IF(J100=158778,"CLAUDIO DE SOUZA PACINI",IF(J100=159800,"CLAUDIO DE SOUZA PACINI",_xlfn.XLOOKUP(J100,[1]!Tabela33[ID ORACLE],[1]!Tabela33[BROKER],0,0,1)))))))))))))</f>
        <v>CHRISTIANO MARCONDES DE BARROS LIMA</v>
      </c>
      <c r="E100" s="22">
        <f t="shared" si="9"/>
        <v>-144.4717584828</v>
      </c>
      <c r="F100" s="9" t="str">
        <f t="shared" si="10"/>
        <v>REFINITIV</v>
      </c>
      <c r="G100" s="20">
        <f t="shared" si="8"/>
        <v>46235</v>
      </c>
      <c r="H100" s="23">
        <v>1170</v>
      </c>
      <c r="J100" s="52">
        <v>24184</v>
      </c>
      <c r="K100" s="45" t="s">
        <v>42</v>
      </c>
      <c r="L100" s="45" t="s">
        <v>17</v>
      </c>
      <c r="M100" s="45">
        <v>20.573868000000001</v>
      </c>
      <c r="O100" s="1"/>
      <c r="P100" s="26"/>
      <c r="Q100" s="27"/>
      <c r="R100" s="27"/>
      <c r="S100" s="27"/>
      <c r="T100" s="26"/>
      <c r="U100" s="27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</row>
    <row r="101" spans="1:78" customFormat="1" ht="15" customHeight="1" x14ac:dyDescent="0.25">
      <c r="A101" s="5" t="str">
        <f t="shared" si="7"/>
        <v>CUSTO MARKET DATA - AGOSTO/26-REFINITIV-24189</v>
      </c>
      <c r="B101" s="20">
        <v>46235</v>
      </c>
      <c r="C101" s="21">
        <v>817393</v>
      </c>
      <c r="D101" s="9" t="str">
        <f>IF(J101=57036,"ALEXANDRE DA COSTA SOARES",IF(J101=24157,"JOSE MAURICIO GOMES TEIXEIRA",IF(J101=24203,"JOSE MAURICIO GOMES TEIXEIRA",IF(J101=24149,"CHRISTIANO MARCONDES DE BARROS LIMA",IF(J101=24137,"CHRISTIANO MARCONDES DE BARROS LIMA",IF(J101=135152,"ENRICO BORTPLUZO CASSIANO",IF(J101=136568,"ENRICO BORTPLUZO CASSIANO", IF(J101=130976,"MARYLIA CARVALHO PONCE",IF(J101=136668,"ALEXANDRE DA COSTA SOARES",IF(J101=52340,"OFFSHORE LISTED",IF(J101=158778,"CLAUDIO DE SOUZA PACINI",IF(J101=159800,"CLAUDIO DE SOUZA PACINI",_xlfn.XLOOKUP(J101,[1]!Tabela33[ID ORACLE],[1]!Tabela33[BROKER],0,0,1)))))))))))))</f>
        <v>VINICIUS AMARAL DE MOURA</v>
      </c>
      <c r="E101" s="22">
        <f t="shared" si="9"/>
        <v>-144.4717584828</v>
      </c>
      <c r="F101" s="9" t="str">
        <f t="shared" si="10"/>
        <v>REFINITIV</v>
      </c>
      <c r="G101" s="20">
        <f t="shared" si="8"/>
        <v>46235</v>
      </c>
      <c r="H101" s="23">
        <v>1170</v>
      </c>
      <c r="J101" s="52">
        <v>24189</v>
      </c>
      <c r="K101" s="45" t="s">
        <v>42</v>
      </c>
      <c r="L101" s="45" t="s">
        <v>17</v>
      </c>
      <c r="M101" s="45">
        <v>20.573868000000001</v>
      </c>
      <c r="O101" s="1"/>
      <c r="P101" s="26"/>
      <c r="Q101" s="27"/>
      <c r="R101" s="27"/>
      <c r="S101" s="27"/>
      <c r="T101" s="26"/>
      <c r="U101" s="27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</row>
    <row r="102" spans="1:78" customFormat="1" ht="15" customHeight="1" x14ac:dyDescent="0.25">
      <c r="A102" s="5" t="str">
        <f t="shared" si="7"/>
        <v>CUSTO MARKET DATA - AGOSTO/26-REFINITIV-24199</v>
      </c>
      <c r="B102" s="20">
        <v>46235</v>
      </c>
      <c r="C102" s="21">
        <v>817393</v>
      </c>
      <c r="D102" s="9" t="str">
        <f>IF(J102=57036,"ALEXANDRE DA COSTA SOARES",IF(J102=24157,"JOSE MAURICIO GOMES TEIXEIRA",IF(J102=24203,"JOSE MAURICIO GOMES TEIXEIRA",IF(J102=24149,"CHRISTIANO MARCONDES DE BARROS LIMA",IF(J102=24137,"CHRISTIANO MARCONDES DE BARROS LIMA",IF(J102=135152,"ENRICO BORTPLUZO CASSIANO",IF(J102=136568,"ENRICO BORTPLUZO CASSIANO", IF(J102=130976,"MARYLIA CARVALHO PONCE",IF(J102=136668,"ALEXANDRE DA COSTA SOARES",IF(J102=52340,"OFFSHORE LISTED",IF(J102=158778,"CLAUDIO DE SOUZA PACINI",IF(J102=159800,"CLAUDIO DE SOUZA PACINI",_xlfn.XLOOKUP(J102,[1]!Tabela33[ID ORACLE],[1]!Tabela33[BROKER],0,0,1)))))))))))))</f>
        <v>RICARDO FERREIRA DA COSTA</v>
      </c>
      <c r="E102" s="22">
        <f t="shared" si="9"/>
        <v>-144.4717584828</v>
      </c>
      <c r="F102" s="9" t="str">
        <f t="shared" si="10"/>
        <v>REFINITIV</v>
      </c>
      <c r="G102" s="20">
        <f t="shared" si="8"/>
        <v>46235</v>
      </c>
      <c r="H102" s="23">
        <v>1170</v>
      </c>
      <c r="J102" s="52">
        <v>24199</v>
      </c>
      <c r="K102" s="45" t="s">
        <v>42</v>
      </c>
      <c r="L102" s="45" t="s">
        <v>17</v>
      </c>
      <c r="M102" s="45">
        <v>20.573868000000001</v>
      </c>
      <c r="O102" s="1"/>
      <c r="P102" s="26"/>
      <c r="Q102" s="27"/>
      <c r="R102" s="27"/>
      <c r="S102" s="27"/>
      <c r="T102" s="26"/>
      <c r="U102" s="27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</row>
    <row r="103" spans="1:78" customFormat="1" ht="15" customHeight="1" x14ac:dyDescent="0.25">
      <c r="A103" s="5" t="str">
        <f t="shared" si="7"/>
        <v>CUSTO MARKET DATA - AGOSTO/26-BLOOMBERG-24203</v>
      </c>
      <c r="B103" s="20">
        <v>46235</v>
      </c>
      <c r="C103" s="21">
        <v>817393</v>
      </c>
      <c r="D103" s="9" t="str">
        <f>IF(J103=57036,"ALEXANDRE DA COSTA SOARES",IF(J103=24157,"JOSE MAURICIO GOMES TEIXEIRA",IF(J103=24203,"JOSE MAURICIO GOMES TEIXEIRA",IF(J103=24149,"CHRISTIANO MARCONDES DE BARROS LIMA",IF(J103=24137,"CHRISTIANO MARCONDES DE BARROS LIMA",IF(J103=135152,"ENRICO BORTPLUZO CASSIANO",IF(J103=136568,"ENRICO BORTPLUZO CASSIANO", IF(J103=130976,"MARYLIA CARVALHO PONCE",IF(J103=136668,"ALEXANDRE DA COSTA SOARES",IF(J103=52340,"OFFSHORE LISTED",IF(J103=158778,"CLAUDIO DE SOUZA PACINI",IF(J103=159800,"CLAUDIO DE SOUZA PACINI",_xlfn.XLOOKUP(J103,[1]!Tabela33[ID ORACLE],[1]!Tabela33[BROKER],0,0,1)))))))))))))</f>
        <v>JOSE MAURICIO GOMES TEIXEIRA</v>
      </c>
      <c r="E103" s="22">
        <f t="shared" si="9"/>
        <v>-12499.631765736003</v>
      </c>
      <c r="F103" s="9" t="str">
        <f t="shared" si="10"/>
        <v>BLOOMBERG</v>
      </c>
      <c r="G103" s="20">
        <f t="shared" si="8"/>
        <v>46235</v>
      </c>
      <c r="H103" s="23">
        <v>1170</v>
      </c>
      <c r="J103" s="52">
        <v>24203</v>
      </c>
      <c r="K103" s="45" t="s">
        <v>41</v>
      </c>
      <c r="L103" s="45" t="s">
        <v>12</v>
      </c>
      <c r="M103" s="45">
        <v>2412.3112100000003</v>
      </c>
      <c r="O103" s="1"/>
      <c r="P103" s="26"/>
      <c r="Q103" s="27"/>
      <c r="R103" s="27"/>
      <c r="S103" s="27"/>
      <c r="T103" s="26"/>
      <c r="U103" s="27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</row>
    <row r="104" spans="1:78" customFormat="1" ht="15" customHeight="1" x14ac:dyDescent="0.25">
      <c r="A104" s="5" t="str">
        <f t="shared" si="7"/>
        <v>CUSTO MARKET DATA - AGOSTO/26-REFINITIV-24237</v>
      </c>
      <c r="B104" s="20">
        <v>46235</v>
      </c>
      <c r="C104" s="21">
        <v>817393</v>
      </c>
      <c r="D104" s="9" t="str">
        <f>IF(J104=57036,"ALEXANDRE DA COSTA SOARES",IF(J104=24157,"JOSE MAURICIO GOMES TEIXEIRA",IF(J104=24203,"JOSE MAURICIO GOMES TEIXEIRA",IF(J104=24149,"CHRISTIANO MARCONDES DE BARROS LIMA",IF(J104=24137,"CHRISTIANO MARCONDES DE BARROS LIMA",IF(J104=135152,"ENRICO BORTPLUZO CASSIANO",IF(J104=136568,"ENRICO BORTPLUZO CASSIANO", IF(J104=130976,"MARYLIA CARVALHO PONCE",IF(J104=136668,"ALEXANDRE DA COSTA SOARES",IF(J104=52340,"OFFSHORE LISTED",IF(J104=158778,"CLAUDIO DE SOUZA PACINI",IF(J104=159800,"CLAUDIO DE SOUZA PACINI",_xlfn.XLOOKUP(J104,[1]!Tabela33[ID ORACLE],[1]!Tabela33[BROKER],0,0,1)))))))))))))</f>
        <v>EDUARDO TADEU CARAPIA UTTEMBERG</v>
      </c>
      <c r="E104" s="22">
        <f t="shared" si="9"/>
        <v>-144.4717584828</v>
      </c>
      <c r="F104" s="9" t="str">
        <f t="shared" si="10"/>
        <v>REFINITIV</v>
      </c>
      <c r="G104" s="20">
        <f t="shared" si="8"/>
        <v>46235</v>
      </c>
      <c r="H104" s="23">
        <v>1170</v>
      </c>
      <c r="J104" s="52">
        <v>24237</v>
      </c>
      <c r="K104" s="45" t="s">
        <v>42</v>
      </c>
      <c r="L104" s="45" t="s">
        <v>17</v>
      </c>
      <c r="M104" s="45">
        <v>20.573868000000001</v>
      </c>
      <c r="O104" s="1"/>
      <c r="P104" s="26"/>
      <c r="Q104" s="27"/>
      <c r="R104" s="27"/>
      <c r="S104" s="27"/>
      <c r="T104" s="26"/>
      <c r="U104" s="27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</row>
    <row r="105" spans="1:78" customFormat="1" ht="15" customHeight="1" x14ac:dyDescent="0.25">
      <c r="A105" s="5" t="str">
        <f t="shared" si="7"/>
        <v>CUSTO MARKET DATA - AGOSTO/26-BLOOMBERG-24243</v>
      </c>
      <c r="B105" s="20">
        <v>46235</v>
      </c>
      <c r="C105" s="21">
        <v>817393</v>
      </c>
      <c r="D105" s="9" t="str">
        <f>IF(J105=57036,"ALEXANDRE DA COSTA SOARES",IF(J105=24157,"JOSE MAURICIO GOMES TEIXEIRA",IF(J105=24203,"JOSE MAURICIO GOMES TEIXEIRA",IF(J105=24149,"CHRISTIANO MARCONDES DE BARROS LIMA",IF(J105=24137,"CHRISTIANO MARCONDES DE BARROS LIMA",IF(J105=135152,"ENRICO BORTPLUZO CASSIANO",IF(J105=136568,"ENRICO BORTPLUZO CASSIANO", IF(J105=130976,"MARYLIA CARVALHO PONCE",IF(J105=136668,"ALEXANDRE DA COSTA SOARES",IF(J105=52340,"OFFSHORE LISTED",IF(J105=158778,"CLAUDIO DE SOUZA PACINI",IF(J105=159800,"CLAUDIO DE SOUZA PACINI",_xlfn.XLOOKUP(J105,[1]!Tabela33[ID ORACLE],[1]!Tabela33[BROKER],0,0,1)))))))))))))</f>
        <v>JOSÉ VERGARA</v>
      </c>
      <c r="E105" s="22">
        <f t="shared" si="9"/>
        <v>-11684.566085736002</v>
      </c>
      <c r="F105" s="9" t="str">
        <f t="shared" si="10"/>
        <v>BLOOMBERG</v>
      </c>
      <c r="G105" s="20">
        <f t="shared" si="8"/>
        <v>46235</v>
      </c>
      <c r="H105" s="23">
        <v>1170</v>
      </c>
      <c r="J105" s="52">
        <v>24243</v>
      </c>
      <c r="K105" s="45" t="s">
        <v>41</v>
      </c>
      <c r="L105" s="45" t="s">
        <v>12</v>
      </c>
      <c r="M105" s="45">
        <v>2255.0112100000001</v>
      </c>
      <c r="O105" s="1"/>
      <c r="P105" s="26"/>
      <c r="Q105" s="27"/>
      <c r="R105" s="27"/>
      <c r="S105" s="28"/>
      <c r="T105" s="26"/>
      <c r="U105" s="28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</row>
    <row r="106" spans="1:78" customFormat="1" ht="15" customHeight="1" x14ac:dyDescent="0.25">
      <c r="A106" s="5" t="str">
        <f t="shared" si="7"/>
        <v>CUSTO MARKET DATA - AGOSTO/26-BLOOMBERG-36538</v>
      </c>
      <c r="B106" s="20">
        <v>46235</v>
      </c>
      <c r="C106" s="21">
        <v>817393</v>
      </c>
      <c r="D106" s="9" t="str">
        <f>IF(J106=57036,"ALEXANDRE DA COSTA SOARES",IF(J106=24157,"JOSE MAURICIO GOMES TEIXEIRA",IF(J106=24203,"JOSE MAURICIO GOMES TEIXEIRA",IF(J106=24149,"CHRISTIANO MARCONDES DE BARROS LIMA",IF(J106=24137,"CHRISTIANO MARCONDES DE BARROS LIMA",IF(J106=135152,"ENRICO BORTPLUZO CASSIANO",IF(J106=136568,"ENRICO BORTPLUZO CASSIANO", IF(J106=130976,"MARYLIA CARVALHO PONCE",IF(J106=136668,"ALEXANDRE DA COSTA SOARES",IF(J106=52340,"OFFSHORE LISTED",IF(J106=158778,"CLAUDIO DE SOUZA PACINI",IF(J106=159800,"CLAUDIO DE SOUZA PACINI",_xlfn.XLOOKUP(J106,[1]!Tabela33[ID ORACLE],[1]!Tabela33[BROKER],0,0,1)))))))))))))</f>
        <v>CLYBAS PINTO FERRAZ NETO</v>
      </c>
      <c r="E106" s="22">
        <f t="shared" si="9"/>
        <v>-11684.566085736002</v>
      </c>
      <c r="F106" s="9" t="str">
        <f t="shared" si="10"/>
        <v>BLOOMBERG</v>
      </c>
      <c r="G106" s="20">
        <f t="shared" si="8"/>
        <v>46235</v>
      </c>
      <c r="H106" s="23">
        <v>1170</v>
      </c>
      <c r="J106" s="52">
        <v>36538</v>
      </c>
      <c r="K106" s="45" t="s">
        <v>41</v>
      </c>
      <c r="L106" s="45" t="s">
        <v>12</v>
      </c>
      <c r="M106" s="45">
        <v>2255.0112100000001</v>
      </c>
      <c r="O106" s="1"/>
      <c r="P106" s="26"/>
      <c r="Q106" s="27"/>
      <c r="R106" s="27"/>
      <c r="S106" s="28"/>
      <c r="T106" s="26"/>
      <c r="U106" s="28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</row>
    <row r="107" spans="1:78" customFormat="1" ht="15" customHeight="1" x14ac:dyDescent="0.25">
      <c r="A107" s="5" t="str">
        <f t="shared" si="7"/>
        <v>CUSTO MARKET DATA - AGOSTO/26-REFINITIV-36538</v>
      </c>
      <c r="B107" s="20">
        <v>46235</v>
      </c>
      <c r="C107" s="21">
        <v>817393</v>
      </c>
      <c r="D107" s="9" t="str">
        <f>IF(J107=57036,"ALEXANDRE DA COSTA SOARES",IF(J107=24157,"JOSE MAURICIO GOMES TEIXEIRA",IF(J107=24203,"JOSE MAURICIO GOMES TEIXEIRA",IF(J107=24149,"CHRISTIANO MARCONDES DE BARROS LIMA",IF(J107=24137,"CHRISTIANO MARCONDES DE BARROS LIMA",IF(J107=135152,"ENRICO BORTPLUZO CASSIANO",IF(J107=136568,"ENRICO BORTPLUZO CASSIANO", IF(J107=130976,"MARYLIA CARVALHO PONCE",IF(J107=136668,"ALEXANDRE DA COSTA SOARES",IF(J107=52340,"OFFSHORE LISTED",IF(J107=158778,"CLAUDIO DE SOUZA PACINI",IF(J107=159800,"CLAUDIO DE SOUZA PACINI",_xlfn.XLOOKUP(J107,[1]!Tabela33[ID ORACLE],[1]!Tabela33[BROKER],0,0,1)))))))))))))</f>
        <v>CLYBAS PINTO FERRAZ NETO</v>
      </c>
      <c r="E107" s="22">
        <f t="shared" si="9"/>
        <v>-144.4717584828</v>
      </c>
      <c r="F107" s="9" t="str">
        <f t="shared" si="10"/>
        <v>REFINITIV</v>
      </c>
      <c r="G107" s="20">
        <f t="shared" si="8"/>
        <v>46235</v>
      </c>
      <c r="H107" s="23">
        <v>1170</v>
      </c>
      <c r="J107" s="52">
        <v>36538</v>
      </c>
      <c r="K107" s="45" t="s">
        <v>42</v>
      </c>
      <c r="L107" s="45" t="s">
        <v>17</v>
      </c>
      <c r="M107" s="45">
        <v>20.573868000000001</v>
      </c>
      <c r="O107" s="1"/>
      <c r="P107" s="26"/>
      <c r="Q107" s="27"/>
      <c r="R107" s="27"/>
      <c r="S107" s="28"/>
      <c r="T107" s="26"/>
      <c r="U107" s="28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</row>
    <row r="108" spans="1:78" customFormat="1" ht="15" customHeight="1" x14ac:dyDescent="0.25">
      <c r="A108" s="5" t="str">
        <f t="shared" si="7"/>
        <v>CUSTO MARKET DATA - AGOSTO/26-BLOOMBERG-52340</v>
      </c>
      <c r="B108" s="20">
        <v>46235</v>
      </c>
      <c r="C108" s="21">
        <v>817393</v>
      </c>
      <c r="D108" s="9" t="str">
        <f>IF(J108=57036,"ALEXANDRE DA COSTA SOARES",IF(J108=24157,"JOSE MAURICIO GOMES TEIXEIRA",IF(J108=24203,"JOSE MAURICIO GOMES TEIXEIRA",IF(J108=24149,"CHRISTIANO MARCONDES DE BARROS LIMA",IF(J108=24137,"CHRISTIANO MARCONDES DE BARROS LIMA",IF(J108=135152,"ENRICO BORTPLUZO CASSIANO",IF(J108=136568,"ENRICO BORTPLUZO CASSIANO", IF(J108=130976,"MARYLIA CARVALHO PONCE",IF(J108=136668,"ALEXANDRE DA COSTA SOARES",IF(J108=52340,"OFFSHORE LISTED",IF(J108=158778,"CLAUDIO DE SOUZA PACINI",IF(J108=159800,"CLAUDIO DE SOUZA PACINI",_xlfn.XLOOKUP(J108,[1]!Tabela33[ID ORACLE],[1]!Tabela33[BROKER],0,0,1)))))))))))))</f>
        <v>OFFSHORE LISTED</v>
      </c>
      <c r="E108" s="22">
        <f t="shared" si="9"/>
        <v>-13764.460325736001</v>
      </c>
      <c r="F108" s="9" t="str">
        <f t="shared" si="10"/>
        <v>BLOOMBERG</v>
      </c>
      <c r="G108" s="20">
        <f t="shared" si="8"/>
        <v>46235</v>
      </c>
      <c r="H108" s="23">
        <v>1170</v>
      </c>
      <c r="J108" s="52">
        <v>52340</v>
      </c>
      <c r="K108" s="45" t="s">
        <v>41</v>
      </c>
      <c r="L108" s="45" t="s">
        <v>12</v>
      </c>
      <c r="M108" s="45">
        <v>2656.4112100000002</v>
      </c>
      <c r="O108" s="1"/>
      <c r="P108" s="26"/>
      <c r="Q108" s="27"/>
      <c r="R108" s="27"/>
      <c r="S108" s="28"/>
      <c r="T108" s="26"/>
      <c r="U108" s="28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</row>
    <row r="109" spans="1:78" customFormat="1" ht="15" customHeight="1" x14ac:dyDescent="0.25">
      <c r="A109" s="5" t="str">
        <f t="shared" si="7"/>
        <v>CUSTO MARKET DATA - AGOSTO/26-FIDESSA-52340</v>
      </c>
      <c r="B109" s="20">
        <v>46235</v>
      </c>
      <c r="C109" s="21">
        <v>817393</v>
      </c>
      <c r="D109" s="9" t="str">
        <f>IF(J109=57036,"ALEXANDRE DA COSTA SOARES",IF(J109=24157,"JOSE MAURICIO GOMES TEIXEIRA",IF(J109=24203,"JOSE MAURICIO GOMES TEIXEIRA",IF(J109=24149,"CHRISTIANO MARCONDES DE BARROS LIMA",IF(J109=24137,"CHRISTIANO MARCONDES DE BARROS LIMA",IF(J109=135152,"ENRICO BORTPLUZO CASSIANO",IF(J109=136568,"ENRICO BORTPLUZO CASSIANO", IF(J109=130976,"MARYLIA CARVALHO PONCE",IF(J109=136668,"ALEXANDRE DA COSTA SOARES",IF(J109=52340,"OFFSHORE LISTED",IF(J109=158778,"CLAUDIO DE SOUZA PACINI",IF(J109=159800,"CLAUDIO DE SOUZA PACINI",_xlfn.XLOOKUP(J109,[1]!Tabela33[ID ORACLE],[1]!Tabela33[BROKER],0,0,1)))))))))))))</f>
        <v>OFFSHORE LISTED</v>
      </c>
      <c r="E109" s="22">
        <f t="shared" si="9"/>
        <v>-1802.8436117808001</v>
      </c>
      <c r="F109" s="9" t="str">
        <f t="shared" si="10"/>
        <v>FIDESSA</v>
      </c>
      <c r="G109" s="20">
        <f t="shared" si="8"/>
        <v>46235</v>
      </c>
      <c r="H109" s="23">
        <v>1170</v>
      </c>
      <c r="J109" s="52">
        <v>52340</v>
      </c>
      <c r="K109" s="45" t="s">
        <v>47</v>
      </c>
      <c r="L109" s="45" t="s">
        <v>12</v>
      </c>
      <c r="M109" s="45">
        <v>347.93183799999997</v>
      </c>
      <c r="O109" s="1"/>
      <c r="P109" s="26"/>
      <c r="Q109" s="27"/>
      <c r="R109" s="27"/>
      <c r="S109" s="28"/>
      <c r="T109" s="26"/>
      <c r="U109" s="28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</row>
    <row r="110" spans="1:78" customFormat="1" ht="15" customHeight="1" x14ac:dyDescent="0.25">
      <c r="A110" s="5" t="str">
        <f t="shared" si="7"/>
        <v>CUSTO MARKET DATA - AGOSTO/26-NYSE MARKET INC.-52340</v>
      </c>
      <c r="B110" s="20">
        <v>46235</v>
      </c>
      <c r="C110" s="21">
        <v>817393</v>
      </c>
      <c r="D110" s="9" t="str">
        <f>IF(J110=57036,"ALEXANDRE DA COSTA SOARES",IF(J110=24157,"JOSE MAURICIO GOMES TEIXEIRA",IF(J110=24203,"JOSE MAURICIO GOMES TEIXEIRA",IF(J110=24149,"CHRISTIANO MARCONDES DE BARROS LIMA",IF(J110=24137,"CHRISTIANO MARCONDES DE BARROS LIMA",IF(J110=135152,"ENRICO BORTPLUZO CASSIANO",IF(J110=136568,"ENRICO BORTPLUZO CASSIANO", IF(J110=130976,"MARYLIA CARVALHO PONCE",IF(J110=136668,"ALEXANDRE DA COSTA SOARES",IF(J110=52340,"OFFSHORE LISTED",IF(J110=158778,"CLAUDIO DE SOUZA PACINI",IF(J110=159800,"CLAUDIO DE SOUZA PACINI",_xlfn.XLOOKUP(J110,[1]!Tabela33[ID ORACLE],[1]!Tabela33[BROKER],0,0,1)))))))))))))</f>
        <v>OFFSHORE LISTED</v>
      </c>
      <c r="E110" s="22">
        <f t="shared" si="9"/>
        <v>-1890.0792780000002</v>
      </c>
      <c r="F110" s="9" t="str">
        <f t="shared" si="10"/>
        <v>NYSE MARKET INC.</v>
      </c>
      <c r="G110" s="20">
        <f t="shared" si="8"/>
        <v>46235</v>
      </c>
      <c r="H110" s="23">
        <v>1170</v>
      </c>
      <c r="J110" s="52">
        <v>52340</v>
      </c>
      <c r="K110" s="45" t="s">
        <v>44</v>
      </c>
      <c r="L110" s="45" t="s">
        <v>12</v>
      </c>
      <c r="M110" s="45">
        <v>364.76749999999998</v>
      </c>
      <c r="O110" s="1"/>
      <c r="P110" s="26"/>
      <c r="Q110" s="27"/>
      <c r="R110" s="27"/>
      <c r="S110" s="28"/>
      <c r="T110" s="26"/>
      <c r="U110" s="28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</row>
    <row r="111" spans="1:78" customFormat="1" ht="15" customHeight="1" x14ac:dyDescent="0.25">
      <c r="A111" s="5" t="str">
        <f t="shared" si="7"/>
        <v>CUSTO MARKET DATA - AGOSTO/26-OPTIONS PRICE REPORTING AUTHORITY (OPRA)-52340</v>
      </c>
      <c r="B111" s="20">
        <v>46235</v>
      </c>
      <c r="C111" s="21">
        <v>817393</v>
      </c>
      <c r="D111" s="9" t="str">
        <f>IF(J111=57036,"ALEXANDRE DA COSTA SOARES",IF(J111=24157,"JOSE MAURICIO GOMES TEIXEIRA",IF(J111=24203,"JOSE MAURICIO GOMES TEIXEIRA",IF(J111=24149,"CHRISTIANO MARCONDES DE BARROS LIMA",IF(J111=24137,"CHRISTIANO MARCONDES DE BARROS LIMA",IF(J111=135152,"ENRICO BORTPLUZO CASSIANO",IF(J111=136568,"ENRICO BORTPLUZO CASSIANO", IF(J111=130976,"MARYLIA CARVALHO PONCE",IF(J111=136668,"ALEXANDRE DA COSTA SOARES",IF(J111=52340,"OFFSHORE LISTED",IF(J111=158778,"CLAUDIO DE SOUZA PACINI",IF(J111=159800,"CLAUDIO DE SOUZA PACINI",_xlfn.XLOOKUP(J111,[1]!Tabela33[ID ORACLE],[1]!Tabela33[BROKER],0,0,1)))))))))))))</f>
        <v>OFFSHORE LISTED</v>
      </c>
      <c r="E111" s="22">
        <f t="shared" si="9"/>
        <v>-163.22040000000001</v>
      </c>
      <c r="F111" s="9" t="str">
        <f t="shared" si="10"/>
        <v>OPTIONS PRICE REPORTING AUTHORITY (OPRA)</v>
      </c>
      <c r="G111" s="20">
        <f t="shared" si="8"/>
        <v>46235</v>
      </c>
      <c r="H111" s="23">
        <v>1170</v>
      </c>
      <c r="J111" s="52">
        <v>52340</v>
      </c>
      <c r="K111" s="45" t="s">
        <v>45</v>
      </c>
      <c r="L111" s="45" t="s">
        <v>12</v>
      </c>
      <c r="M111" s="45">
        <v>31.5</v>
      </c>
      <c r="O111" s="1"/>
      <c r="P111" s="26"/>
      <c r="Q111" s="27"/>
      <c r="R111" s="27"/>
      <c r="S111" s="42"/>
      <c r="T111" s="26"/>
      <c r="U111" s="42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</row>
    <row r="112" spans="1:78" customFormat="1" ht="15" customHeight="1" x14ac:dyDescent="0.25">
      <c r="A112" s="5" t="str">
        <f t="shared" si="7"/>
        <v>CUSTO MARKET DATA - AGOSTO/26-BLOOMBERG-56258</v>
      </c>
      <c r="B112" s="20">
        <v>46235</v>
      </c>
      <c r="C112" s="21">
        <v>817393</v>
      </c>
      <c r="D112" s="9" t="str">
        <f>IF(J112=57036,"ALEXANDRE DA COSTA SOARES",IF(J112=24157,"JOSE MAURICIO GOMES TEIXEIRA",IF(J112=24203,"JOSE MAURICIO GOMES TEIXEIRA",IF(J112=24149,"CHRISTIANO MARCONDES DE BARROS LIMA",IF(J112=24137,"CHRISTIANO MARCONDES DE BARROS LIMA",IF(J112=135152,"ENRICO BORTPLUZO CASSIANO",IF(J112=136568,"ENRICO BORTPLUZO CASSIANO", IF(J112=130976,"MARYLIA CARVALHO PONCE",IF(J112=136668,"ALEXANDRE DA COSTA SOARES",IF(J112=52340,"OFFSHORE LISTED",IF(J112=158778,"CLAUDIO DE SOUZA PACINI",IF(J112=159800,"CLAUDIO DE SOUZA PACINI",_xlfn.XLOOKUP(J112,[1]!Tabela33[ID ORACLE],[1]!Tabela33[BROKER],0,0,1)))))))))))))</f>
        <v>RAFFAELE SCURTI NETTO</v>
      </c>
      <c r="E112" s="22">
        <f t="shared" si="9"/>
        <v>-9368.3763720744009</v>
      </c>
      <c r="F112" s="9" t="str">
        <f t="shared" si="10"/>
        <v>BLOOMBERG</v>
      </c>
      <c r="G112" s="20">
        <f t="shared" si="8"/>
        <v>46235</v>
      </c>
      <c r="H112" s="23">
        <v>1170</v>
      </c>
      <c r="J112" s="52">
        <v>56258</v>
      </c>
      <c r="K112" s="45" t="s">
        <v>41</v>
      </c>
      <c r="L112" s="45" t="s">
        <v>12</v>
      </c>
      <c r="M112" s="45">
        <v>1808.008409</v>
      </c>
      <c r="O112" s="1"/>
      <c r="P112" s="26"/>
      <c r="Q112" s="27"/>
      <c r="R112" s="27"/>
      <c r="S112" s="42"/>
      <c r="T112" s="26"/>
      <c r="U112" s="42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</row>
    <row r="113" spans="1:78" customFormat="1" ht="15" customHeight="1" x14ac:dyDescent="0.25">
      <c r="A113" s="5" t="str">
        <f t="shared" si="7"/>
        <v>CUSTO MARKET DATA - AGOSTO/26-REFINITIV-56258</v>
      </c>
      <c r="B113" s="20">
        <v>46235</v>
      </c>
      <c r="C113" s="21">
        <v>817393</v>
      </c>
      <c r="D113" s="9" t="str">
        <f>IF(J113=57036,"ALEXANDRE DA COSTA SOARES",IF(J113=24157,"JOSE MAURICIO GOMES TEIXEIRA",IF(J113=24203,"JOSE MAURICIO GOMES TEIXEIRA",IF(J113=24149,"CHRISTIANO MARCONDES DE BARROS LIMA",IF(J113=24137,"CHRISTIANO MARCONDES DE BARROS LIMA",IF(J113=135152,"ENRICO BORTPLUZO CASSIANO",IF(J113=136568,"ENRICO BORTPLUZO CASSIANO", IF(J113=130976,"MARYLIA CARVALHO PONCE",IF(J113=136668,"ALEXANDRE DA COSTA SOARES",IF(J113=52340,"OFFSHORE LISTED",IF(J113=158778,"CLAUDIO DE SOUZA PACINI",IF(J113=159800,"CLAUDIO DE SOUZA PACINI",_xlfn.XLOOKUP(J113,[1]!Tabela33[ID ORACLE],[1]!Tabela33[BROKER],0,0,1)))))))))))))</f>
        <v>RAFFAELE SCURTI NETTO</v>
      </c>
      <c r="E113" s="22">
        <f t="shared" si="9"/>
        <v>-144.4717584828</v>
      </c>
      <c r="F113" s="9" t="str">
        <f t="shared" si="10"/>
        <v>REFINITIV</v>
      </c>
      <c r="G113" s="20">
        <f t="shared" si="8"/>
        <v>46235</v>
      </c>
      <c r="H113" s="23">
        <v>1170</v>
      </c>
      <c r="J113" s="52">
        <v>56258</v>
      </c>
      <c r="K113" s="45" t="s">
        <v>42</v>
      </c>
      <c r="L113" s="45" t="s">
        <v>17</v>
      </c>
      <c r="M113" s="45">
        <v>20.573868000000001</v>
      </c>
      <c r="O113" s="1"/>
      <c r="P113" s="26"/>
      <c r="Q113" s="27"/>
      <c r="R113" s="27"/>
      <c r="S113" s="42"/>
      <c r="T113" s="26"/>
      <c r="U113" s="42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</row>
    <row r="114" spans="1:78" ht="15" customHeight="1" x14ac:dyDescent="0.25">
      <c r="A114" s="5" t="str">
        <f t="shared" si="7"/>
        <v>CUSTO MARKET DATA - AGOSTO/26-BLOOMBERG-57036</v>
      </c>
      <c r="B114" s="20">
        <v>46235</v>
      </c>
      <c r="C114" s="21">
        <v>817393</v>
      </c>
      <c r="D114" s="9" t="str">
        <f>IF(J114=57036,"ALEXANDRE DA COSTA SOARES",IF(J114=24157,"JOSE MAURICIO GOMES TEIXEIRA",IF(J114=24203,"JOSE MAURICIO GOMES TEIXEIRA",IF(J114=24149,"CHRISTIANO MARCONDES DE BARROS LIMA",IF(J114=24137,"CHRISTIANO MARCONDES DE BARROS LIMA",IF(J114=135152,"ENRICO BORTPLUZO CASSIANO",IF(J114=136568,"ENRICO BORTPLUZO CASSIANO", IF(J114=130976,"MARYLIA CARVALHO PONCE",IF(J114=136668,"ALEXANDRE DA COSTA SOARES",IF(J114=52340,"OFFSHORE LISTED",IF(J114=158778,"CLAUDIO DE SOUZA PACINI",IF(J114=159800,"CLAUDIO DE SOUZA PACINI",_xlfn.XLOOKUP(J114,[1]!Tabela33[ID ORACLE],[1]!Tabela33[BROKER],0,0,1)))))))))))))</f>
        <v>ALEXANDRE DA COSTA SOARES</v>
      </c>
      <c r="E114" s="22">
        <f t="shared" si="9"/>
        <v>-13323.506165736</v>
      </c>
      <c r="F114" s="9" t="str">
        <f t="shared" si="10"/>
        <v>BLOOMBERG</v>
      </c>
      <c r="G114" s="20">
        <f t="shared" si="8"/>
        <v>46235</v>
      </c>
      <c r="H114" s="23">
        <v>1170</v>
      </c>
      <c r="J114" s="52">
        <v>57036</v>
      </c>
      <c r="K114" s="45" t="s">
        <v>41</v>
      </c>
      <c r="L114" s="45" t="s">
        <v>12</v>
      </c>
      <c r="M114" s="45">
        <v>2571.3112099999998</v>
      </c>
      <c r="Q114" s="27"/>
      <c r="R114" s="27"/>
      <c r="S114" s="42"/>
      <c r="U114" s="42"/>
    </row>
    <row r="115" spans="1:78" ht="15" customHeight="1" x14ac:dyDescent="0.25">
      <c r="A115" s="5" t="str">
        <f t="shared" si="7"/>
        <v>CUSTO MARKET DATA - AGOSTO/26-FIDESSA-57036</v>
      </c>
      <c r="B115" s="20">
        <v>46235</v>
      </c>
      <c r="C115" s="21">
        <v>817393</v>
      </c>
      <c r="D115" s="9" t="str">
        <f>IF(J115=57036,"ALEXANDRE DA COSTA SOARES",IF(J115=24157,"JOSE MAURICIO GOMES TEIXEIRA",IF(J115=24203,"JOSE MAURICIO GOMES TEIXEIRA",IF(J115=24149,"CHRISTIANO MARCONDES DE BARROS LIMA",IF(J115=24137,"CHRISTIANO MARCONDES DE BARROS LIMA",IF(J115=135152,"ENRICO BORTPLUZO CASSIANO",IF(J115=136568,"ENRICO BORTPLUZO CASSIANO", IF(J115=130976,"MARYLIA CARVALHO PONCE",IF(J115=136668,"ALEXANDRE DA COSTA SOARES",IF(J115=52340,"OFFSHORE LISTED",IF(J115=158778,"CLAUDIO DE SOUZA PACINI",IF(J115=159800,"CLAUDIO DE SOUZA PACINI",_xlfn.XLOOKUP(J115,[1]!Tabela33[ID ORACLE],[1]!Tabela33[BROKER],0,0,1)))))))))))))</f>
        <v>ALEXANDRE DA COSTA SOARES</v>
      </c>
      <c r="E115" s="22">
        <f t="shared" si="9"/>
        <v>-2185.6755521352002</v>
      </c>
      <c r="F115" s="9" t="str">
        <f t="shared" si="10"/>
        <v>FIDESSA</v>
      </c>
      <c r="G115" s="20">
        <f t="shared" si="8"/>
        <v>46235</v>
      </c>
      <c r="H115" s="23">
        <v>1170</v>
      </c>
      <c r="J115" s="52">
        <v>57036</v>
      </c>
      <c r="K115" s="45" t="s">
        <v>47</v>
      </c>
      <c r="L115" s="45" t="s">
        <v>12</v>
      </c>
      <c r="M115" s="45">
        <v>421.814797</v>
      </c>
      <c r="Q115" s="27"/>
      <c r="R115" s="27"/>
      <c r="S115" s="42"/>
      <c r="U115" s="42"/>
    </row>
    <row r="116" spans="1:78" ht="15" customHeight="1" x14ac:dyDescent="0.25">
      <c r="A116" s="5" t="str">
        <f t="shared" si="7"/>
        <v>CUSTO MARKET DATA - AGOSTO/26-NYSE MARKET INC.-57036</v>
      </c>
      <c r="B116" s="20">
        <v>46235</v>
      </c>
      <c r="C116" s="21">
        <v>817393</v>
      </c>
      <c r="D116" s="9" t="str">
        <f>IF(J116=57036,"ALEXANDRE DA COSTA SOARES",IF(J116=24157,"JOSE MAURICIO GOMES TEIXEIRA",IF(J116=24203,"JOSE MAURICIO GOMES TEIXEIRA",IF(J116=24149,"CHRISTIANO MARCONDES DE BARROS LIMA",IF(J116=24137,"CHRISTIANO MARCONDES DE BARROS LIMA",IF(J116=135152,"ENRICO BORTPLUZO CASSIANO",IF(J116=136568,"ENRICO BORTPLUZO CASSIANO", IF(J116=130976,"MARYLIA CARVALHO PONCE",IF(J116=136668,"ALEXANDRE DA COSTA SOARES",IF(J116=52340,"OFFSHORE LISTED",IF(J116=158778,"CLAUDIO DE SOUZA PACINI",IF(J116=159800,"CLAUDIO DE SOUZA PACINI",_xlfn.XLOOKUP(J116,[1]!Tabela33[ID ORACLE],[1]!Tabela33[BROKER],0,0,1)))))))))))))</f>
        <v>ALEXANDRE DA COSTA SOARES</v>
      </c>
      <c r="E116" s="22">
        <f t="shared" si="9"/>
        <v>-1218.1293900000001</v>
      </c>
      <c r="F116" s="9" t="str">
        <f t="shared" si="10"/>
        <v>NYSE MARKET INC.</v>
      </c>
      <c r="G116" s="20">
        <f t="shared" si="8"/>
        <v>46235</v>
      </c>
      <c r="H116" s="23">
        <v>1170</v>
      </c>
      <c r="J116" s="52">
        <v>57036</v>
      </c>
      <c r="K116" s="45" t="s">
        <v>44</v>
      </c>
      <c r="L116" s="45" t="s">
        <v>12</v>
      </c>
      <c r="M116" s="45">
        <v>235.08750000000001</v>
      </c>
      <c r="Q116" s="27"/>
      <c r="R116" s="27"/>
      <c r="S116" s="42"/>
      <c r="U116" s="42"/>
    </row>
    <row r="117" spans="1:78" ht="15" customHeight="1" x14ac:dyDescent="0.25">
      <c r="A117" s="5" t="str">
        <f t="shared" si="7"/>
        <v>CUSTO MARKET DATA - AGOSTO/26-OPTIONS PRICE REPORTING AUTHORITY (OPRA)-57036</v>
      </c>
      <c r="B117" s="20">
        <v>46235</v>
      </c>
      <c r="C117" s="21">
        <v>817393</v>
      </c>
      <c r="D117" s="9" t="str">
        <f>IF(J117=57036,"ALEXANDRE DA COSTA SOARES",IF(J117=24157,"JOSE MAURICIO GOMES TEIXEIRA",IF(J117=24203,"JOSE MAURICIO GOMES TEIXEIRA",IF(J117=24149,"CHRISTIANO MARCONDES DE BARROS LIMA",IF(J117=24137,"CHRISTIANO MARCONDES DE BARROS LIMA",IF(J117=135152,"ENRICO BORTPLUZO CASSIANO",IF(J117=136568,"ENRICO BORTPLUZO CASSIANO", IF(J117=130976,"MARYLIA CARVALHO PONCE",IF(J117=136668,"ALEXANDRE DA COSTA SOARES",IF(J117=52340,"OFFSHORE LISTED",IF(J117=158778,"CLAUDIO DE SOUZA PACINI",IF(J117=159800,"CLAUDIO DE SOUZA PACINI",_xlfn.XLOOKUP(J117,[1]!Tabela33[ID ORACLE],[1]!Tabela33[BROKER],0,0,1)))))))))))))</f>
        <v>ALEXANDRE DA COSTA SOARES</v>
      </c>
      <c r="E117" s="22">
        <f t="shared" si="9"/>
        <v>-340.92661050000004</v>
      </c>
      <c r="F117" s="9" t="str">
        <f t="shared" si="10"/>
        <v>OPTIONS PRICE REPORTING AUTHORITY (OPRA)</v>
      </c>
      <c r="G117" s="20">
        <f t="shared" si="8"/>
        <v>46235</v>
      </c>
      <c r="H117" s="23">
        <v>1170</v>
      </c>
      <c r="J117" s="52">
        <v>57036</v>
      </c>
      <c r="K117" s="45" t="s">
        <v>45</v>
      </c>
      <c r="L117" s="45" t="s">
        <v>12</v>
      </c>
      <c r="M117" s="45">
        <v>65.795625000000001</v>
      </c>
      <c r="Q117" s="27"/>
      <c r="R117" s="27"/>
      <c r="S117" s="42"/>
      <c r="U117" s="42"/>
    </row>
    <row r="118" spans="1:78" ht="15" customHeight="1" x14ac:dyDescent="0.25">
      <c r="A118" s="5" t="str">
        <f t="shared" si="7"/>
        <v>CUSTO MARKET DATA - AGOSTO/26-REFINITIV-57036</v>
      </c>
      <c r="B118" s="20">
        <v>46235</v>
      </c>
      <c r="C118" s="21">
        <v>817393</v>
      </c>
      <c r="D118" s="9" t="str">
        <f>IF(J118=57036,"ALEXANDRE DA COSTA SOARES",IF(J118=24157,"JOSE MAURICIO GOMES TEIXEIRA",IF(J118=24203,"JOSE MAURICIO GOMES TEIXEIRA",IF(J118=24149,"CHRISTIANO MARCONDES DE BARROS LIMA",IF(J118=24137,"CHRISTIANO MARCONDES DE BARROS LIMA",IF(J118=135152,"ENRICO BORTPLUZO CASSIANO",IF(J118=136568,"ENRICO BORTPLUZO CASSIANO", IF(J118=130976,"MARYLIA CARVALHO PONCE",IF(J118=136668,"ALEXANDRE DA COSTA SOARES",IF(J118=52340,"OFFSHORE LISTED",IF(J118=158778,"CLAUDIO DE SOUZA PACINI",IF(J118=159800,"CLAUDIO DE SOUZA PACINI",_xlfn.XLOOKUP(J118,[1]!Tabela33[ID ORACLE],[1]!Tabela33[BROKER],0,0,1)))))))))))))</f>
        <v>ALEXANDRE DA COSTA SOARES</v>
      </c>
      <c r="E118" s="22">
        <f t="shared" si="9"/>
        <v>-144.4717584828</v>
      </c>
      <c r="F118" s="9" t="str">
        <f t="shared" si="10"/>
        <v>REFINITIV</v>
      </c>
      <c r="G118" s="20">
        <f t="shared" si="8"/>
        <v>46235</v>
      </c>
      <c r="H118" s="23">
        <v>1170</v>
      </c>
      <c r="J118" s="52">
        <v>57036</v>
      </c>
      <c r="K118" s="45" t="s">
        <v>42</v>
      </c>
      <c r="L118" s="45" t="s">
        <v>17</v>
      </c>
      <c r="M118" s="45">
        <v>20.573868000000001</v>
      </c>
      <c r="Q118" s="27"/>
      <c r="R118" s="27"/>
      <c r="S118" s="42"/>
      <c r="U118" s="42"/>
    </row>
    <row r="119" spans="1:78" ht="15" customHeight="1" x14ac:dyDescent="0.25">
      <c r="A119" s="5" t="str">
        <f t="shared" si="7"/>
        <v>CUSTO MARKET DATA - AGOSTO/26-TORONTO STOCK EXCHANGE-57036</v>
      </c>
      <c r="B119" s="20">
        <v>46235</v>
      </c>
      <c r="C119" s="21">
        <v>817393</v>
      </c>
      <c r="D119" s="9" t="str">
        <f>IF(J119=57036,"ALEXANDRE DA COSTA SOARES",IF(J119=24157,"JOSE MAURICIO GOMES TEIXEIRA",IF(J119=24203,"JOSE MAURICIO GOMES TEIXEIRA",IF(J119=24149,"CHRISTIANO MARCONDES DE BARROS LIMA",IF(J119=24137,"CHRISTIANO MARCONDES DE BARROS LIMA",IF(J119=135152,"ENRICO BORTPLUZO CASSIANO",IF(J119=136568,"ENRICO BORTPLUZO CASSIANO", IF(J119=130976,"MARYLIA CARVALHO PONCE",IF(J119=136668,"ALEXANDRE DA COSTA SOARES",IF(J119=52340,"OFFSHORE LISTED",IF(J119=158778,"CLAUDIO DE SOUZA PACINI",IF(J119=159800,"CLAUDIO DE SOUZA PACINI",_xlfn.XLOOKUP(J119,[1]!Tabela33[ID ORACLE],[1]!Tabela33[BROKER],0,0,1)))))))))))))</f>
        <v>ALEXANDRE DA COSTA SOARES</v>
      </c>
      <c r="E119" s="22">
        <f t="shared" si="9"/>
        <v>-503.20866937440007</v>
      </c>
      <c r="F119" s="9" t="str">
        <f t="shared" si="10"/>
        <v>TORONTO STOCK EXCHANGE</v>
      </c>
      <c r="G119" s="20">
        <f t="shared" si="8"/>
        <v>46235</v>
      </c>
      <c r="H119" s="23">
        <v>1170</v>
      </c>
      <c r="J119" s="52">
        <v>57036</v>
      </c>
      <c r="K119" s="45" t="s">
        <v>51</v>
      </c>
      <c r="L119" s="45" t="s">
        <v>12</v>
      </c>
      <c r="M119" s="45">
        <v>97.114534000000006</v>
      </c>
      <c r="Q119" s="27"/>
      <c r="R119" s="27"/>
      <c r="S119" s="42"/>
      <c r="U119" s="42"/>
    </row>
    <row r="120" spans="1:78" ht="15" customHeight="1" x14ac:dyDescent="0.25">
      <c r="A120" s="5" t="str">
        <f t="shared" si="7"/>
        <v>CUSTO MARKET DATA - AGOSTO/26-BLOOMBERG-61086</v>
      </c>
      <c r="B120" s="20">
        <v>46235</v>
      </c>
      <c r="C120" s="21">
        <v>817393</v>
      </c>
      <c r="D120" s="9" t="str">
        <f>IF(J120=57036,"ALEXANDRE DA COSTA SOARES",IF(J120=24157,"JOSE MAURICIO GOMES TEIXEIRA",IF(J120=24203,"JOSE MAURICIO GOMES TEIXEIRA",IF(J120=24149,"CHRISTIANO MARCONDES DE BARROS LIMA",IF(J120=24137,"CHRISTIANO MARCONDES DE BARROS LIMA",IF(J120=135152,"ENRICO BORTPLUZO CASSIANO",IF(J120=136568,"ENRICO BORTPLUZO CASSIANO", IF(J120=130976,"MARYLIA CARVALHO PONCE",IF(J120=136668,"ALEXANDRE DA COSTA SOARES",IF(J120=52340,"OFFSHORE LISTED",IF(J120=158778,"CLAUDIO DE SOUZA PACINI",IF(J120=159800,"CLAUDIO DE SOUZA PACINI",_xlfn.XLOOKUP(J120,[1]!Tabela33[ID ORACLE],[1]!Tabela33[BROKER],0,0,1)))))))))))))</f>
        <v>ALEXANDRE DA COSTA SOARES</v>
      </c>
      <c r="E120" s="22">
        <f t="shared" si="9"/>
        <v>-13718.344085736</v>
      </c>
      <c r="F120" s="9" t="str">
        <f t="shared" si="10"/>
        <v>BLOOMBERG</v>
      </c>
      <c r="G120" s="20">
        <f t="shared" si="8"/>
        <v>46235</v>
      </c>
      <c r="H120" s="23">
        <v>1170</v>
      </c>
      <c r="J120" s="52">
        <v>61086</v>
      </c>
      <c r="K120" s="45" t="s">
        <v>41</v>
      </c>
      <c r="L120" s="45" t="s">
        <v>12</v>
      </c>
      <c r="M120" s="45">
        <v>2647.5112099999997</v>
      </c>
      <c r="Q120" s="27"/>
      <c r="R120" s="27"/>
      <c r="S120" s="42"/>
      <c r="U120" s="42"/>
    </row>
    <row r="121" spans="1:78" ht="15" customHeight="1" x14ac:dyDescent="0.25">
      <c r="A121" s="5" t="str">
        <f t="shared" si="7"/>
        <v>CUSTO MARKET DATA - AGOSTO/26-FIDESSA-61086</v>
      </c>
      <c r="B121" s="20">
        <v>46235</v>
      </c>
      <c r="C121" s="21">
        <v>817393</v>
      </c>
      <c r="D121" s="9" t="str">
        <f>IF(J121=57036,"ALEXANDRE DA COSTA SOARES",IF(J121=24157,"JOSE MAURICIO GOMES TEIXEIRA",IF(J121=24203,"JOSE MAURICIO GOMES TEIXEIRA",IF(J121=24149,"CHRISTIANO MARCONDES DE BARROS LIMA",IF(J121=24137,"CHRISTIANO MARCONDES DE BARROS LIMA",IF(J121=135152,"ENRICO BORTPLUZO CASSIANO",IF(J121=136568,"ENRICO BORTPLUZO CASSIANO", IF(J121=130976,"MARYLIA CARVALHO PONCE",IF(J121=136668,"ALEXANDRE DA COSTA SOARES",IF(J121=52340,"OFFSHORE LISTED",IF(J121=158778,"CLAUDIO DE SOUZA PACINI",IF(J121=159800,"CLAUDIO DE SOUZA PACINI",_xlfn.XLOOKUP(J121,[1]!Tabela33[ID ORACLE],[1]!Tabela33[BROKER],0,0,1)))))))))))))</f>
        <v>ALEXANDRE DA COSTA SOARES</v>
      </c>
      <c r="E121" s="22">
        <f t="shared" si="9"/>
        <v>-2196.2795255424003</v>
      </c>
      <c r="F121" s="9" t="str">
        <f t="shared" si="10"/>
        <v>FIDESSA</v>
      </c>
      <c r="G121" s="20">
        <f t="shared" si="8"/>
        <v>46235</v>
      </c>
      <c r="H121" s="23">
        <v>1170</v>
      </c>
      <c r="J121" s="52">
        <v>61086</v>
      </c>
      <c r="K121" s="45" t="s">
        <v>47</v>
      </c>
      <c r="L121" s="45" t="s">
        <v>12</v>
      </c>
      <c r="M121" s="45">
        <v>423.86126400000001</v>
      </c>
      <c r="Q121" s="27"/>
      <c r="R121" s="27"/>
    </row>
    <row r="122" spans="1:78" ht="15" customHeight="1" x14ac:dyDescent="0.25">
      <c r="A122" s="5" t="str">
        <f t="shared" si="7"/>
        <v>CUSTO MARKET DATA - AGOSTO/26-NYSE MARKET INC.-61086</v>
      </c>
      <c r="B122" s="20">
        <v>46235</v>
      </c>
      <c r="C122" s="21">
        <v>817393</v>
      </c>
      <c r="D122" s="9" t="str">
        <f>IF(J122=57036,"ALEXANDRE DA COSTA SOARES",IF(J122=24157,"JOSE MAURICIO GOMES TEIXEIRA",IF(J122=24203,"JOSE MAURICIO GOMES TEIXEIRA",IF(J122=24149,"CHRISTIANO MARCONDES DE BARROS LIMA",IF(J122=24137,"CHRISTIANO MARCONDES DE BARROS LIMA",IF(J122=135152,"ENRICO BORTPLUZO CASSIANO",IF(J122=136568,"ENRICO BORTPLUZO CASSIANO", IF(J122=130976,"MARYLIA CARVALHO PONCE",IF(J122=136668,"ALEXANDRE DA COSTA SOARES",IF(J122=52340,"OFFSHORE LISTED",IF(J122=158778,"CLAUDIO DE SOUZA PACINI",IF(J122=159800,"CLAUDIO DE SOUZA PACINI",_xlfn.XLOOKUP(J122,[1]!Tabela33[ID ORACLE],[1]!Tabela33[BROKER],0,0,1)))))))))))))</f>
        <v>ALEXANDRE DA COSTA SOARES</v>
      </c>
      <c r="E122" s="22">
        <f t="shared" si="9"/>
        <v>-1890.0792780000002</v>
      </c>
      <c r="F122" s="9" t="str">
        <f t="shared" si="10"/>
        <v>NYSE MARKET INC.</v>
      </c>
      <c r="G122" s="20">
        <f t="shared" si="8"/>
        <v>46235</v>
      </c>
      <c r="H122" s="23">
        <v>1170</v>
      </c>
      <c r="J122" s="52">
        <v>61086</v>
      </c>
      <c r="K122" s="45" t="s">
        <v>44</v>
      </c>
      <c r="L122" s="45" t="s">
        <v>12</v>
      </c>
      <c r="M122" s="45">
        <v>364.76749999999998</v>
      </c>
      <c r="Q122" s="27"/>
      <c r="R122" s="27"/>
    </row>
    <row r="123" spans="1:78" customFormat="1" ht="15" customHeight="1" x14ac:dyDescent="0.25">
      <c r="A123" s="5" t="str">
        <f t="shared" si="7"/>
        <v>CUSTO MARKET DATA - AGOSTO/26-OPTIONS PRICE REPORTING AUTHORITY (OPRA)-61086</v>
      </c>
      <c r="B123" s="20">
        <v>46235</v>
      </c>
      <c r="C123" s="21">
        <v>817393</v>
      </c>
      <c r="D123" s="9" t="str">
        <f>IF(J123=57036,"ALEXANDRE DA COSTA SOARES",IF(J123=24157,"JOSE MAURICIO GOMES TEIXEIRA",IF(J123=24203,"JOSE MAURICIO GOMES TEIXEIRA",IF(J123=24149,"CHRISTIANO MARCONDES DE BARROS LIMA",IF(J123=24137,"CHRISTIANO MARCONDES DE BARROS LIMA",IF(J123=135152,"ENRICO BORTPLUZO CASSIANO",IF(J123=136568,"ENRICO BORTPLUZO CASSIANO", IF(J123=130976,"MARYLIA CARVALHO PONCE",IF(J123=136668,"ALEXANDRE DA COSTA SOARES",IF(J123=52340,"OFFSHORE LISTED",IF(J123=158778,"CLAUDIO DE SOUZA PACINI",IF(J123=159800,"CLAUDIO DE SOUZA PACINI",_xlfn.XLOOKUP(J123,[1]!Tabela33[ID ORACLE],[1]!Tabela33[BROKER],0,0,1)))))))))))))</f>
        <v>ALEXANDRE DA COSTA SOARES</v>
      </c>
      <c r="E123" s="22">
        <f t="shared" si="9"/>
        <v>-340.92661050000004</v>
      </c>
      <c r="F123" s="9" t="str">
        <f t="shared" si="10"/>
        <v>OPTIONS PRICE REPORTING AUTHORITY (OPRA)</v>
      </c>
      <c r="G123" s="20">
        <f t="shared" si="8"/>
        <v>46235</v>
      </c>
      <c r="H123" s="23">
        <v>1170</v>
      </c>
      <c r="J123" s="52">
        <v>61086</v>
      </c>
      <c r="K123" s="45" t="s">
        <v>45</v>
      </c>
      <c r="L123" s="45" t="s">
        <v>12</v>
      </c>
      <c r="M123" s="45">
        <v>65.795625000000001</v>
      </c>
      <c r="O123" s="1"/>
      <c r="P123" s="26"/>
      <c r="Q123" s="27"/>
      <c r="R123" s="27"/>
      <c r="S123" s="28"/>
      <c r="T123" s="26"/>
      <c r="U123" s="28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</row>
    <row r="124" spans="1:78" ht="15" customHeight="1" x14ac:dyDescent="0.25">
      <c r="A124" s="5" t="str">
        <f t="shared" si="7"/>
        <v>CUSTO MARKET DATA - AGOSTO/26-REFINITIV-61086</v>
      </c>
      <c r="B124" s="20">
        <v>46235</v>
      </c>
      <c r="C124" s="21">
        <v>817393</v>
      </c>
      <c r="D124" s="9" t="str">
        <f>IF(J124=57036,"ALEXANDRE DA COSTA SOARES",IF(J124=24157,"JOSE MAURICIO GOMES TEIXEIRA",IF(J124=24203,"JOSE MAURICIO GOMES TEIXEIRA",IF(J124=24149,"CHRISTIANO MARCONDES DE BARROS LIMA",IF(J124=24137,"CHRISTIANO MARCONDES DE BARROS LIMA",IF(J124=135152,"ENRICO BORTPLUZO CASSIANO",IF(J124=136568,"ENRICO BORTPLUZO CASSIANO", IF(J124=130976,"MARYLIA CARVALHO PONCE",IF(J124=136668,"ALEXANDRE DA COSTA SOARES",IF(J124=52340,"OFFSHORE LISTED",IF(J124=158778,"CLAUDIO DE SOUZA PACINI",IF(J124=159800,"CLAUDIO DE SOUZA PACINI",_xlfn.XLOOKUP(J124,[1]!Tabela33[ID ORACLE],[1]!Tabela33[BROKER],0,0,1)))))))))))))</f>
        <v>ALEXANDRE DA COSTA SOARES</v>
      </c>
      <c r="E124" s="22">
        <f t="shared" si="9"/>
        <v>-144.4717584828</v>
      </c>
      <c r="F124" s="9" t="str">
        <f t="shared" si="10"/>
        <v>REFINITIV</v>
      </c>
      <c r="G124" s="20">
        <f t="shared" si="8"/>
        <v>46235</v>
      </c>
      <c r="H124" s="23">
        <v>1170</v>
      </c>
      <c r="J124" s="52">
        <v>61086</v>
      </c>
      <c r="K124" s="45" t="s">
        <v>42</v>
      </c>
      <c r="L124" s="45" t="s">
        <v>17</v>
      </c>
      <c r="M124" s="45">
        <v>20.573868000000001</v>
      </c>
      <c r="Q124" s="27"/>
      <c r="R124" s="27"/>
    </row>
    <row r="125" spans="1:78" ht="15" customHeight="1" x14ac:dyDescent="0.25">
      <c r="A125" s="5" t="str">
        <f t="shared" si="7"/>
        <v>CUSTO MARKET DATA - AGOSTO/26-TORONTO STOCK EXCHANGE-61086</v>
      </c>
      <c r="B125" s="20">
        <v>46235</v>
      </c>
      <c r="C125" s="21">
        <v>817393</v>
      </c>
      <c r="D125" s="9" t="str">
        <f>IF(J125=57036,"ALEXANDRE DA COSTA SOARES",IF(J125=24157,"JOSE MAURICIO GOMES TEIXEIRA",IF(J125=24203,"JOSE MAURICIO GOMES TEIXEIRA",IF(J125=24149,"CHRISTIANO MARCONDES DE BARROS LIMA",IF(J125=24137,"CHRISTIANO MARCONDES DE BARROS LIMA",IF(J125=135152,"ENRICO BORTPLUZO CASSIANO",IF(J125=136568,"ENRICO BORTPLUZO CASSIANO", IF(J125=130976,"MARYLIA CARVALHO PONCE",IF(J125=136668,"ALEXANDRE DA COSTA SOARES",IF(J125=52340,"OFFSHORE LISTED",IF(J125=158778,"CLAUDIO DE SOUZA PACINI",IF(J125=159800,"CLAUDIO DE SOUZA PACINI",_xlfn.XLOOKUP(J125,[1]!Tabela33[ID ORACLE],[1]!Tabela33[BROKER],0,0,1)))))))))))))</f>
        <v>ALEXANDRE DA COSTA SOARES</v>
      </c>
      <c r="E125" s="22">
        <f t="shared" si="9"/>
        <v>-503.20867455600006</v>
      </c>
      <c r="F125" s="9" t="str">
        <f t="shared" si="10"/>
        <v>TORONTO STOCK EXCHANGE</v>
      </c>
      <c r="G125" s="20">
        <f t="shared" si="8"/>
        <v>46235</v>
      </c>
      <c r="H125" s="23">
        <v>1170</v>
      </c>
      <c r="J125" s="52">
        <v>61086</v>
      </c>
      <c r="K125" s="45" t="s">
        <v>51</v>
      </c>
      <c r="L125" s="45" t="s">
        <v>12</v>
      </c>
      <c r="M125" s="45">
        <v>97.114535000000004</v>
      </c>
      <c r="Q125" s="27"/>
      <c r="R125" s="27"/>
    </row>
    <row r="126" spans="1:78" ht="15" customHeight="1" x14ac:dyDescent="0.25">
      <c r="A126" s="5" t="str">
        <f t="shared" si="7"/>
        <v>CUSTO MARKET DATA - AGOSTO/26-BLOOMBERG-63203</v>
      </c>
      <c r="B126" s="20">
        <v>46235</v>
      </c>
      <c r="C126" s="21">
        <v>817393</v>
      </c>
      <c r="D126" s="9" t="str">
        <f>IF(J126=57036,"ALEXANDRE DA COSTA SOARES",IF(J126=24157,"JOSE MAURICIO GOMES TEIXEIRA",IF(J126=24203,"JOSE MAURICIO GOMES TEIXEIRA",IF(J126=24149,"CHRISTIANO MARCONDES DE BARROS LIMA",IF(J126=24137,"CHRISTIANO MARCONDES DE BARROS LIMA",IF(J126=135152,"ENRICO BORTPLUZO CASSIANO",IF(J126=136568,"ENRICO BORTPLUZO CASSIANO", IF(J126=130976,"MARYLIA CARVALHO PONCE",IF(J126=136668,"ALEXANDRE DA COSTA SOARES",IF(J126=52340,"OFFSHORE LISTED",IF(J126=158778,"CLAUDIO DE SOUZA PACINI",IF(J126=159800,"CLAUDIO DE SOUZA PACINI",_xlfn.XLOOKUP(J126,[1]!Tabela33[ID ORACLE],[1]!Tabela33[BROKER],0,0,1)))))))))))))</f>
        <v>FABIO SOARES PFAENDER</v>
      </c>
      <c r="E126" s="22">
        <f t="shared" si="9"/>
        <v>-12359.555847463202</v>
      </c>
      <c r="F126" s="9" t="str">
        <f t="shared" si="10"/>
        <v>BLOOMBERG</v>
      </c>
      <c r="G126" s="20">
        <f t="shared" si="8"/>
        <v>46235</v>
      </c>
      <c r="H126" s="23">
        <v>1170</v>
      </c>
      <c r="J126" s="52">
        <v>63203</v>
      </c>
      <c r="K126" s="45" t="s">
        <v>41</v>
      </c>
      <c r="L126" s="45" t="s">
        <v>12</v>
      </c>
      <c r="M126" s="45">
        <v>2385.277877</v>
      </c>
      <c r="N126" s="29"/>
      <c r="Q126" s="27"/>
      <c r="R126" s="27"/>
    </row>
    <row r="127" spans="1:78" ht="15" customHeight="1" x14ac:dyDescent="0.25">
      <c r="A127" s="5" t="str">
        <f t="shared" si="7"/>
        <v>CUSTO MARKET DATA - AGOSTO/26-REFINITIV-63203</v>
      </c>
      <c r="B127" s="20">
        <v>46235</v>
      </c>
      <c r="C127" s="21">
        <v>817393</v>
      </c>
      <c r="D127" s="9" t="str">
        <f>IF(J127=57036,"ALEXANDRE DA COSTA SOARES",IF(J127=24157,"JOSE MAURICIO GOMES TEIXEIRA",IF(J127=24203,"JOSE MAURICIO GOMES TEIXEIRA",IF(J127=24149,"CHRISTIANO MARCONDES DE BARROS LIMA",IF(J127=24137,"CHRISTIANO MARCONDES DE BARROS LIMA",IF(J127=135152,"ENRICO BORTPLUZO CASSIANO",IF(J127=136568,"ENRICO BORTPLUZO CASSIANO", IF(J127=130976,"MARYLIA CARVALHO PONCE",IF(J127=136668,"ALEXANDRE DA COSTA SOARES",IF(J127=52340,"OFFSHORE LISTED",IF(J127=158778,"CLAUDIO DE SOUZA PACINI",IF(J127=159800,"CLAUDIO DE SOUZA PACINI",_xlfn.XLOOKUP(J127,[1]!Tabela33[ID ORACLE],[1]!Tabela33[BROKER],0,0,1)))))))))))))</f>
        <v>FABIO SOARES PFAENDER</v>
      </c>
      <c r="E127" s="22">
        <f t="shared" si="9"/>
        <v>-778.8046020429</v>
      </c>
      <c r="F127" s="9" t="str">
        <f t="shared" si="10"/>
        <v>REFINITIV</v>
      </c>
      <c r="G127" s="20">
        <f t="shared" si="8"/>
        <v>46235</v>
      </c>
      <c r="H127" s="23">
        <v>1170</v>
      </c>
      <c r="J127" s="53">
        <v>63203</v>
      </c>
      <c r="K127" s="45" t="s">
        <v>42</v>
      </c>
      <c r="L127" s="45" t="s">
        <v>17</v>
      </c>
      <c r="M127" s="45">
        <v>110.90764899999999</v>
      </c>
      <c r="N127" s="29"/>
      <c r="Q127" s="27"/>
      <c r="R127" s="27"/>
    </row>
    <row r="128" spans="1:78" customFormat="1" ht="15" customHeight="1" x14ac:dyDescent="0.25">
      <c r="A128" s="5" t="str">
        <f t="shared" si="7"/>
        <v>CUSTO MARKET DATA - AGOSTO/26-BLOOMBERG-63705</v>
      </c>
      <c r="B128" s="20">
        <v>46235</v>
      </c>
      <c r="C128" s="21">
        <v>817393</v>
      </c>
      <c r="D128" s="9" t="str">
        <f>IF(J128=57036,"ALEXANDRE DA COSTA SOARES",IF(J128=24157,"JOSE MAURICIO GOMES TEIXEIRA",IF(J128=24203,"JOSE MAURICIO GOMES TEIXEIRA",IF(J128=24149,"CHRISTIANO MARCONDES DE BARROS LIMA",IF(J128=24137,"CHRISTIANO MARCONDES DE BARROS LIMA",IF(J128=135152,"ENRICO BORTPLUZO CASSIANO",IF(J128=136568,"ENRICO BORTPLUZO CASSIANO", IF(J128=130976,"MARYLIA CARVALHO PONCE",IF(J128=136668,"ALEXANDRE DA COSTA SOARES",IF(J128=52340,"OFFSHORE LISTED",IF(J128=158778,"CLAUDIO DE SOUZA PACINI",IF(J128=159800,"CLAUDIO DE SOUZA PACINI",_xlfn.XLOOKUP(J128,[1]!Tabela33[ID ORACLE],[1]!Tabela33[BROKER],0,0,1)))))))))))))</f>
        <v>ALEXANDRE DE CARVALHO GALHARDO</v>
      </c>
      <c r="E128" s="22">
        <f t="shared" si="9"/>
        <v>-12504.813365736003</v>
      </c>
      <c r="F128" s="9" t="str">
        <f t="shared" si="10"/>
        <v>BLOOMBERG</v>
      </c>
      <c r="G128" s="20">
        <f t="shared" si="8"/>
        <v>46235</v>
      </c>
      <c r="H128" s="23">
        <v>1170</v>
      </c>
      <c r="J128" s="52">
        <v>63705</v>
      </c>
      <c r="K128" s="45" t="s">
        <v>41</v>
      </c>
      <c r="L128" s="45" t="s">
        <v>12</v>
      </c>
      <c r="M128" s="45">
        <v>2413.3112100000003</v>
      </c>
      <c r="N128" s="29"/>
      <c r="O128" s="1"/>
      <c r="P128" s="26"/>
      <c r="Q128" s="27"/>
      <c r="R128" s="27"/>
      <c r="S128" s="28"/>
      <c r="T128" s="26"/>
      <c r="U128" s="28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</row>
    <row r="129" spans="1:78" customFormat="1" ht="15" customHeight="1" x14ac:dyDescent="0.25">
      <c r="A129" s="5" t="str">
        <f t="shared" si="7"/>
        <v>CUSTO MARKET DATA - AGOSTO/26-NYSE MARKET INC.-63705</v>
      </c>
      <c r="B129" s="20">
        <v>46235</v>
      </c>
      <c r="C129" s="21">
        <v>817393</v>
      </c>
      <c r="D129" s="9" t="str">
        <f>IF(J129=57036,"ALEXANDRE DA COSTA SOARES",IF(J129=24157,"JOSE MAURICIO GOMES TEIXEIRA",IF(J129=24203,"JOSE MAURICIO GOMES TEIXEIRA",IF(J129=24149,"CHRISTIANO MARCONDES DE BARROS LIMA",IF(J129=24137,"CHRISTIANO MARCONDES DE BARROS LIMA",IF(J129=135152,"ENRICO BORTPLUZO CASSIANO",IF(J129=136568,"ENRICO BORTPLUZO CASSIANO", IF(J129=130976,"MARYLIA CARVALHO PONCE",IF(J129=136668,"ALEXANDRE DA COSTA SOARES",IF(J129=52340,"OFFSHORE LISTED",IF(J129=158778,"CLAUDIO DE SOUZA PACINI",IF(J129=159800,"CLAUDIO DE SOUZA PACINI",_xlfn.XLOOKUP(J129,[1]!Tabela33[ID ORACLE],[1]!Tabela33[BROKER],0,0,1)))))))))))))</f>
        <v>ALEXANDRE DE CARVALHO GALHARDO</v>
      </c>
      <c r="E129" s="22">
        <f t="shared" si="9"/>
        <v>-139.9032</v>
      </c>
      <c r="F129" s="9" t="str">
        <f t="shared" si="10"/>
        <v>NYSE MARKET INC.</v>
      </c>
      <c r="G129" s="20">
        <f t="shared" si="8"/>
        <v>46235</v>
      </c>
      <c r="H129" s="23">
        <v>1170</v>
      </c>
      <c r="J129" s="52">
        <v>63705</v>
      </c>
      <c r="K129" s="45" t="s">
        <v>44</v>
      </c>
      <c r="L129" s="45" t="s">
        <v>12</v>
      </c>
      <c r="M129" s="45">
        <v>27</v>
      </c>
      <c r="N129" s="29"/>
      <c r="O129" s="1"/>
      <c r="P129" s="26"/>
      <c r="Q129" s="27"/>
      <c r="R129" s="27"/>
      <c r="S129" s="28"/>
      <c r="T129" s="26"/>
      <c r="U129" s="28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</row>
    <row r="130" spans="1:78" ht="15" customHeight="1" x14ac:dyDescent="0.25">
      <c r="A130" s="5" t="str">
        <f t="shared" ref="A130:A159" si="11">CONCATENATE($N$1,$I$1,F130,$I$1,J130)</f>
        <v>CUSTO MARKET DATA - AGOSTO/26-REFINITIV-63705</v>
      </c>
      <c r="B130" s="20">
        <v>46235</v>
      </c>
      <c r="C130" s="21">
        <v>817393</v>
      </c>
      <c r="D130" s="9" t="str">
        <f>IF(J130=57036,"ALEXANDRE DA COSTA SOARES",IF(J130=24157,"JOSE MAURICIO GOMES TEIXEIRA",IF(J130=24203,"JOSE MAURICIO GOMES TEIXEIRA",IF(J130=24149,"CHRISTIANO MARCONDES DE BARROS LIMA",IF(J130=24137,"CHRISTIANO MARCONDES DE BARROS LIMA",IF(J130=135152,"ENRICO BORTPLUZO CASSIANO",IF(J130=136568,"ENRICO BORTPLUZO CASSIANO", IF(J130=130976,"MARYLIA CARVALHO PONCE",IF(J130=136668,"ALEXANDRE DA COSTA SOARES",IF(J130=52340,"OFFSHORE LISTED",IF(J130=158778,"CLAUDIO DE SOUZA PACINI",IF(J130=159800,"CLAUDIO DE SOUZA PACINI",_xlfn.XLOOKUP(J130,[1]!Tabela33[ID ORACLE],[1]!Tabela33[BROKER],0,0,1)))))))))))))</f>
        <v>ALEXANDRE DE CARVALHO GALHARDO</v>
      </c>
      <c r="E130" s="22">
        <f t="shared" si="9"/>
        <v>-634.33284356010006</v>
      </c>
      <c r="F130" s="9" t="str">
        <f t="shared" si="10"/>
        <v>REFINITIV</v>
      </c>
      <c r="G130" s="20">
        <f t="shared" si="8"/>
        <v>46235</v>
      </c>
      <c r="H130" s="23">
        <v>1170</v>
      </c>
      <c r="J130" s="52">
        <v>63705</v>
      </c>
      <c r="K130" s="45" t="s">
        <v>42</v>
      </c>
      <c r="L130" s="45" t="s">
        <v>17</v>
      </c>
      <c r="M130" s="45">
        <v>90.333781000000002</v>
      </c>
      <c r="N130" s="29"/>
      <c r="O130" s="41"/>
      <c r="Q130" s="27"/>
      <c r="R130" s="27"/>
    </row>
    <row r="131" spans="1:78" ht="15" customHeight="1" x14ac:dyDescent="0.25">
      <c r="A131" s="5" t="str">
        <f t="shared" si="11"/>
        <v>CUSTO MARKET DATA - AGOSTO/26-BLOOMBERG-64098</v>
      </c>
      <c r="B131" s="20">
        <v>46235</v>
      </c>
      <c r="C131" s="21">
        <v>817393</v>
      </c>
      <c r="D131" s="9" t="str">
        <f>IF(J131=57036,"ALEXANDRE DA COSTA SOARES",IF(J131=24157,"JOSE MAURICIO GOMES TEIXEIRA",IF(J131=24203,"JOSE MAURICIO GOMES TEIXEIRA",IF(J131=24149,"CHRISTIANO MARCONDES DE BARROS LIMA",IF(J131=24137,"CHRISTIANO MARCONDES DE BARROS LIMA",IF(J131=135152,"ENRICO BORTPLUZO CASSIANO",IF(J131=136568,"ENRICO BORTPLUZO CASSIANO", IF(J131=130976,"MARYLIA CARVALHO PONCE",IF(J131=136668,"ALEXANDRE DA COSTA SOARES",IF(J131=52340,"OFFSHORE LISTED",IF(J131=158778,"CLAUDIO DE SOUZA PACINI",IF(J131=159800,"CLAUDIO DE SOUZA PACINI",_xlfn.XLOOKUP(J131,[1]!Tabela33[ID ORACLE],[1]!Tabela33[BROKER],0,0,1)))))))))))))</f>
        <v>HAMILTON DEL MONACO FILHO</v>
      </c>
      <c r="E131" s="22">
        <f t="shared" si="9"/>
        <v>-13333.869365736</v>
      </c>
      <c r="F131" s="9" t="str">
        <f t="shared" si="10"/>
        <v>BLOOMBERG</v>
      </c>
      <c r="G131" s="20">
        <f t="shared" ref="G131:G159" si="12">B131</f>
        <v>46235</v>
      </c>
      <c r="H131" s="23">
        <v>1170</v>
      </c>
      <c r="J131" s="52">
        <v>64098</v>
      </c>
      <c r="K131" s="45" t="s">
        <v>41</v>
      </c>
      <c r="L131" s="45" t="s">
        <v>12</v>
      </c>
      <c r="M131" s="45">
        <v>2573.3112099999998</v>
      </c>
      <c r="N131" s="29"/>
      <c r="O131" s="41"/>
      <c r="Q131" s="27"/>
      <c r="R131" s="27"/>
    </row>
    <row r="132" spans="1:78" ht="15" customHeight="1" x14ac:dyDescent="0.25">
      <c r="A132" s="5" t="str">
        <f t="shared" si="11"/>
        <v>CUSTO MARKET DATA - AGOSTO/26-NYSE MARKET INC.-64098</v>
      </c>
      <c r="B132" s="20">
        <v>46235</v>
      </c>
      <c r="C132" s="21">
        <v>817393</v>
      </c>
      <c r="D132" s="9" t="str">
        <f>IF(J132=57036,"ALEXANDRE DA COSTA SOARES",IF(J132=24157,"JOSE MAURICIO GOMES TEIXEIRA",IF(J132=24203,"JOSE MAURICIO GOMES TEIXEIRA",IF(J132=24149,"CHRISTIANO MARCONDES DE BARROS LIMA",IF(J132=24137,"CHRISTIANO MARCONDES DE BARROS LIMA",IF(J132=135152,"ENRICO BORTPLUZO CASSIANO",IF(J132=136568,"ENRICO BORTPLUZO CASSIANO", IF(J132=130976,"MARYLIA CARVALHO PONCE",IF(J132=136668,"ALEXANDRE DA COSTA SOARES",IF(J132=52340,"OFFSHORE LISTED",IF(J132=158778,"CLAUDIO DE SOUZA PACINI",IF(J132=159800,"CLAUDIO DE SOUZA PACINI",_xlfn.XLOOKUP(J132,[1]!Tabela33[ID ORACLE],[1]!Tabela33[BROKER],0,0,1)))))))))))))</f>
        <v>HAMILTON DEL MONACO FILHO</v>
      </c>
      <c r="E132" s="22">
        <f t="shared" si="9"/>
        <v>-1839.4680000000001</v>
      </c>
      <c r="F132" s="9" t="str">
        <f t="shared" si="10"/>
        <v>NYSE MARKET INC.</v>
      </c>
      <c r="G132" s="20">
        <f t="shared" si="12"/>
        <v>46235</v>
      </c>
      <c r="H132" s="23">
        <v>1170</v>
      </c>
      <c r="J132" s="52">
        <v>64098</v>
      </c>
      <c r="K132" s="1" t="s">
        <v>44</v>
      </c>
      <c r="L132" s="1" t="s">
        <v>12</v>
      </c>
      <c r="M132" s="2">
        <v>355</v>
      </c>
      <c r="N132" s="29"/>
      <c r="O132" s="41"/>
      <c r="Q132" s="27"/>
      <c r="R132" s="27"/>
    </row>
    <row r="133" spans="1:78" ht="15" customHeight="1" x14ac:dyDescent="0.25">
      <c r="A133" s="5" t="str">
        <f t="shared" si="11"/>
        <v>CUSTO MARKET DATA - AGOSTO/26-OPTIONS PRICE REPORTING AUTHORITY (OPRA)-64098</v>
      </c>
      <c r="B133" s="20">
        <v>46235</v>
      </c>
      <c r="C133" s="21">
        <v>817393</v>
      </c>
      <c r="D133" s="9" t="str">
        <f>IF(J133=57036,"ALEXANDRE DA COSTA SOARES",IF(J133=24157,"JOSE MAURICIO GOMES TEIXEIRA",IF(J133=24203,"JOSE MAURICIO GOMES TEIXEIRA",IF(J133=24149,"CHRISTIANO MARCONDES DE BARROS LIMA",IF(J133=24137,"CHRISTIANO MARCONDES DE BARROS LIMA",IF(J133=135152,"ENRICO BORTPLUZO CASSIANO",IF(J133=136568,"ENRICO BORTPLUZO CASSIANO", IF(J133=130976,"MARYLIA CARVALHO PONCE",IF(J133=136668,"ALEXANDRE DA COSTA SOARES",IF(J133=52340,"OFFSHORE LISTED",IF(J133=158778,"CLAUDIO DE SOUZA PACINI",IF(J133=159800,"CLAUDIO DE SOUZA PACINI",_xlfn.XLOOKUP(J133,[1]!Tabela33[ID ORACLE],[1]!Tabela33[BROKER],0,0,1)))))))))))))</f>
        <v>HAMILTON DEL MONACO FILHO</v>
      </c>
      <c r="E133" s="22">
        <f t="shared" si="9"/>
        <v>-163.22040000000001</v>
      </c>
      <c r="F133" s="9" t="str">
        <f t="shared" si="10"/>
        <v>OPTIONS PRICE REPORTING AUTHORITY (OPRA)</v>
      </c>
      <c r="G133" s="20">
        <f t="shared" si="12"/>
        <v>46235</v>
      </c>
      <c r="H133" s="23">
        <v>1170</v>
      </c>
      <c r="J133" s="52">
        <v>64098</v>
      </c>
      <c r="K133" s="45" t="s">
        <v>45</v>
      </c>
      <c r="L133" s="45" t="s">
        <v>12</v>
      </c>
      <c r="M133" s="45">
        <v>31.5</v>
      </c>
      <c r="N133" s="29"/>
      <c r="O133" s="41"/>
      <c r="Q133" s="27"/>
      <c r="R133" s="27"/>
    </row>
    <row r="134" spans="1:78" s="26" customFormat="1" ht="15" customHeight="1" x14ac:dyDescent="0.25">
      <c r="A134" s="5" t="str">
        <f t="shared" si="11"/>
        <v>CUSTO MARKET DATA - AGOSTO/26-REFINITIV-64098</v>
      </c>
      <c r="B134" s="20">
        <v>46235</v>
      </c>
      <c r="C134" s="21">
        <v>817393</v>
      </c>
      <c r="D134" s="9" t="str">
        <f>IF(J134=57036,"ALEXANDRE DA COSTA SOARES",IF(J134=24157,"JOSE MAURICIO GOMES TEIXEIRA",IF(J134=24203,"JOSE MAURICIO GOMES TEIXEIRA",IF(J134=24149,"CHRISTIANO MARCONDES DE BARROS LIMA",IF(J134=24137,"CHRISTIANO MARCONDES DE BARROS LIMA",IF(J134=135152,"ENRICO BORTPLUZO CASSIANO",IF(J134=136568,"ENRICO BORTPLUZO CASSIANO", IF(J134=130976,"MARYLIA CARVALHO PONCE",IF(J134=136668,"ALEXANDRE DA COSTA SOARES",IF(J134=52340,"OFFSHORE LISTED",IF(J134=158778,"CLAUDIO DE SOUZA PACINI",IF(J134=159800,"CLAUDIO DE SOUZA PACINI",_xlfn.XLOOKUP(J134,[1]!Tabela33[ID ORACLE],[1]!Tabela33[BROKER],0,0,1)))))))))))))</f>
        <v>HAMILTON DEL MONACO FILHO</v>
      </c>
      <c r="E134" s="22">
        <f t="shared" si="9"/>
        <v>-144.4717584828</v>
      </c>
      <c r="F134" s="9" t="str">
        <f t="shared" si="10"/>
        <v>REFINITIV</v>
      </c>
      <c r="G134" s="20">
        <f t="shared" si="12"/>
        <v>46235</v>
      </c>
      <c r="H134" s="23">
        <v>1170</v>
      </c>
      <c r="I134"/>
      <c r="J134" s="53">
        <v>64098</v>
      </c>
      <c r="K134" s="45" t="s">
        <v>42</v>
      </c>
      <c r="L134" s="45" t="s">
        <v>17</v>
      </c>
      <c r="M134" s="45">
        <v>20.573868000000001</v>
      </c>
      <c r="N134" s="29"/>
      <c r="O134" s="41"/>
      <c r="Q134" s="27"/>
      <c r="R134" s="27"/>
      <c r="S134" s="28"/>
      <c r="U134" s="28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</row>
    <row r="135" spans="1:78" s="26" customFormat="1" ht="15" customHeight="1" x14ac:dyDescent="0.25">
      <c r="A135" s="5" t="str">
        <f t="shared" si="11"/>
        <v>CUSTO MARKET DATA - AGOSTO/26-SYMPHONY COMMUNICATION SERVICES, LLC-64098</v>
      </c>
      <c r="B135" s="20">
        <v>46235</v>
      </c>
      <c r="C135" s="21">
        <v>817393</v>
      </c>
      <c r="D135" s="9" t="str">
        <f>IF(J135=57036,"ALEXANDRE DA COSTA SOARES",IF(J135=24157,"JOSE MAURICIO GOMES TEIXEIRA",IF(J135=24203,"JOSE MAURICIO GOMES TEIXEIRA",IF(J135=24149,"CHRISTIANO MARCONDES DE BARROS LIMA",IF(J135=24137,"CHRISTIANO MARCONDES DE BARROS LIMA",IF(J135=135152,"ENRICO BORTPLUZO CASSIANO",IF(J135=136568,"ENRICO BORTPLUZO CASSIANO", IF(J135=130976,"MARYLIA CARVALHO PONCE",IF(J135=136668,"ALEXANDRE DA COSTA SOARES",IF(J135=52340,"OFFSHORE LISTED",IF(J135=158778,"CLAUDIO DE SOUZA PACINI",IF(J135=159800,"CLAUDIO DE SOUZA PACINI",_xlfn.XLOOKUP(J135,[1]!Tabela33[ID ORACLE],[1]!Tabela33[BROKER],0,0,1)))))))))))))</f>
        <v>HAMILTON DEL MONACO FILHO</v>
      </c>
      <c r="E135" s="22">
        <f t="shared" si="9"/>
        <v>-129.75374100000002</v>
      </c>
      <c r="F135" s="9" t="str">
        <f t="shared" si="10"/>
        <v>SYMPHONY COMMUNICATION SERVICES, LLC</v>
      </c>
      <c r="G135" s="20">
        <f t="shared" si="12"/>
        <v>46235</v>
      </c>
      <c r="H135" s="23">
        <v>1170</v>
      </c>
      <c r="I135"/>
      <c r="J135" s="53">
        <v>64098</v>
      </c>
      <c r="K135" s="45" t="s">
        <v>50</v>
      </c>
      <c r="L135" s="45" t="s">
        <v>12</v>
      </c>
      <c r="M135" s="45">
        <v>25.041250000000002</v>
      </c>
      <c r="N135" s="29"/>
      <c r="O135" s="41"/>
      <c r="Q135" s="27"/>
      <c r="R135" s="27"/>
      <c r="S135" s="28"/>
      <c r="U135" s="28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</row>
    <row r="136" spans="1:78" s="26" customFormat="1" ht="15" customHeight="1" x14ac:dyDescent="0.25">
      <c r="A136" s="5" t="str">
        <f t="shared" si="11"/>
        <v>CUSTO MARKET DATA - AGOSTO/26-BLOOMBERG-66546</v>
      </c>
      <c r="B136" s="20">
        <v>46235</v>
      </c>
      <c r="C136" s="21">
        <v>817393</v>
      </c>
      <c r="D136" s="9" t="str">
        <f>IF(J136=57036,"ALEXANDRE DA COSTA SOARES",IF(J136=24157,"JOSE MAURICIO GOMES TEIXEIRA",IF(J136=24203,"JOSE MAURICIO GOMES TEIXEIRA",IF(J136=24149,"CHRISTIANO MARCONDES DE BARROS LIMA",IF(J136=24137,"CHRISTIANO MARCONDES DE BARROS LIMA",IF(J136=135152,"ENRICO BORTPLUZO CASSIANO",IF(J136=136568,"ENRICO BORTPLUZO CASSIANO", IF(J136=130976,"MARYLIA CARVALHO PONCE",IF(J136=136668,"ALEXANDRE DA COSTA SOARES",IF(J136=52340,"OFFSHORE LISTED",IF(J136=158778,"CLAUDIO DE SOUZA PACINI",IF(J136=159800,"CLAUDIO DE SOUZA PACINI",_xlfn.XLOOKUP(J136,[1]!Tabela33[ID ORACLE],[1]!Tabela33[BROKER],0,0,1)))))))))))))</f>
        <v>ERMINIO OLIVI LUCCI</v>
      </c>
      <c r="E136" s="22">
        <f t="shared" si="9"/>
        <v>-12293.404085736001</v>
      </c>
      <c r="F136" s="9" t="str">
        <f t="shared" si="10"/>
        <v>BLOOMBERG</v>
      </c>
      <c r="G136" s="20">
        <f t="shared" si="12"/>
        <v>46235</v>
      </c>
      <c r="H136" s="23">
        <v>1170</v>
      </c>
      <c r="I136"/>
      <c r="J136" s="53">
        <v>66546</v>
      </c>
      <c r="K136" s="45" t="s">
        <v>41</v>
      </c>
      <c r="L136" s="45" t="s">
        <v>12</v>
      </c>
      <c r="M136" s="45">
        <v>2372.5112100000001</v>
      </c>
      <c r="N136" s="29"/>
      <c r="O136" s="41"/>
      <c r="Q136" s="27"/>
      <c r="R136" s="27"/>
      <c r="S136" s="28"/>
      <c r="U136" s="28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</row>
    <row r="137" spans="1:78" s="26" customFormat="1" ht="15" customHeight="1" x14ac:dyDescent="0.25">
      <c r="A137" s="5" t="str">
        <f t="shared" si="11"/>
        <v>CUSTO MARKET DATA - AGOSTO/26-REFINITIV-66729</v>
      </c>
      <c r="B137" s="20">
        <v>46235</v>
      </c>
      <c r="C137" s="21">
        <v>817393</v>
      </c>
      <c r="D137" s="9" t="str">
        <f>IF(J137=57036,"ALEXANDRE DA COSTA SOARES",IF(J137=24157,"JOSE MAURICIO GOMES TEIXEIRA",IF(J137=24203,"JOSE MAURICIO GOMES TEIXEIRA",IF(J137=24149,"CHRISTIANO MARCONDES DE BARROS LIMA",IF(J137=24137,"CHRISTIANO MARCONDES DE BARROS LIMA",IF(J137=135152,"ENRICO BORTPLUZO CASSIANO",IF(J137=136568,"ENRICO BORTPLUZO CASSIANO", IF(J137=130976,"MARYLIA CARVALHO PONCE",IF(J137=136668,"ALEXANDRE DA COSTA SOARES",IF(J137=52340,"OFFSHORE LISTED",IF(J137=158778,"CLAUDIO DE SOUZA PACINI",IF(J137=159800,"CLAUDIO DE SOUZA PACINI",_xlfn.XLOOKUP(J137,[1]!Tabela33[ID ORACLE],[1]!Tabela33[BROKER],0,0,1)))))))))))))</f>
        <v>PAOLO FRANCA LIDA</v>
      </c>
      <c r="E137" s="22">
        <f t="shared" si="9"/>
        <v>-634.33284356009995</v>
      </c>
      <c r="F137" s="9" t="str">
        <f t="shared" si="10"/>
        <v>REFINITIV</v>
      </c>
      <c r="G137" s="20">
        <f t="shared" si="12"/>
        <v>46235</v>
      </c>
      <c r="H137" s="23">
        <v>1170</v>
      </c>
      <c r="I137"/>
      <c r="J137" s="53">
        <v>66729</v>
      </c>
      <c r="K137" s="45" t="s">
        <v>42</v>
      </c>
      <c r="L137" s="45" t="s">
        <v>17</v>
      </c>
      <c r="M137" s="45">
        <v>90.333780999999988</v>
      </c>
      <c r="N137" s="41"/>
      <c r="O137" s="1"/>
      <c r="Q137" s="27"/>
      <c r="R137" s="27"/>
      <c r="S137" s="28"/>
      <c r="U137" s="28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</row>
    <row r="138" spans="1:78" s="26" customFormat="1" ht="15" customHeight="1" x14ac:dyDescent="0.25">
      <c r="A138" s="5" t="str">
        <f t="shared" si="11"/>
        <v>CUSTO MARKET DATA - AGOSTO/26-REFINITIV-67829</v>
      </c>
      <c r="B138" s="20">
        <v>46235</v>
      </c>
      <c r="C138" s="21">
        <v>817393</v>
      </c>
      <c r="D138" s="9" t="str">
        <f>IF(J138=57036,"ALEXANDRE DA COSTA SOARES",IF(J138=24157,"JOSE MAURICIO GOMES TEIXEIRA",IF(J138=24203,"JOSE MAURICIO GOMES TEIXEIRA",IF(J138=24149,"CHRISTIANO MARCONDES DE BARROS LIMA",IF(J138=24137,"CHRISTIANO MARCONDES DE BARROS LIMA",IF(J138=135152,"ENRICO BORTPLUZO CASSIANO",IF(J138=136568,"ENRICO BORTPLUZO CASSIANO", IF(J138=130976,"MARYLIA CARVALHO PONCE",IF(J138=136668,"ALEXANDRE DA COSTA SOARES",IF(J138=52340,"OFFSHORE LISTED",IF(J138=158778,"CLAUDIO DE SOUZA PACINI",IF(J138=159800,"CLAUDIO DE SOUZA PACINI",_xlfn.XLOOKUP(J138,[1]!Tabela33[ID ORACLE],[1]!Tabela33[BROKER],0,0,1)))))))))))))</f>
        <v>WESLEY MARQUES DA SILVA</v>
      </c>
      <c r="E138" s="22">
        <f t="shared" si="9"/>
        <v>-144.4717584828</v>
      </c>
      <c r="F138" s="9" t="str">
        <f t="shared" si="10"/>
        <v>REFINITIV</v>
      </c>
      <c r="G138" s="20">
        <f t="shared" si="12"/>
        <v>46235</v>
      </c>
      <c r="H138" s="23">
        <v>1170</v>
      </c>
      <c r="I138"/>
      <c r="J138" s="53">
        <v>67829</v>
      </c>
      <c r="K138" s="1" t="s">
        <v>42</v>
      </c>
      <c r="L138" s="1" t="s">
        <v>17</v>
      </c>
      <c r="M138" s="2">
        <v>20.573868000000001</v>
      </c>
      <c r="N138" s="41"/>
      <c r="O138" s="1"/>
      <c r="Q138" s="27"/>
      <c r="R138" s="27"/>
      <c r="S138" s="28"/>
      <c r="U138" s="28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</row>
    <row r="139" spans="1:78" s="26" customFormat="1" ht="15" customHeight="1" x14ac:dyDescent="0.25">
      <c r="A139" s="5" t="str">
        <f t="shared" si="11"/>
        <v>CUSTO MARKET DATA - AGOSTO/26-BLOOMBERG-67841</v>
      </c>
      <c r="B139" s="20">
        <v>46235</v>
      </c>
      <c r="C139" s="21">
        <v>817393</v>
      </c>
      <c r="D139" s="9" t="str">
        <f>IF(J139=57036,"ALEXANDRE DA COSTA SOARES",IF(J139=24157,"JOSE MAURICIO GOMES TEIXEIRA",IF(J139=24203,"JOSE MAURICIO GOMES TEIXEIRA",IF(J139=24149,"CHRISTIANO MARCONDES DE BARROS LIMA",IF(J139=24137,"CHRISTIANO MARCONDES DE BARROS LIMA",IF(J139=135152,"ENRICO BORTPLUZO CASSIANO",IF(J139=136568,"ENRICO BORTPLUZO CASSIANO", IF(J139=130976,"MARYLIA CARVALHO PONCE",IF(J139=136668,"ALEXANDRE DA COSTA SOARES",IF(J139=52340,"OFFSHORE LISTED",IF(J139=158778,"CLAUDIO DE SOUZA PACINI",IF(J139=159800,"CLAUDIO DE SOUZA PACINI",_xlfn.XLOOKUP(J139,[1]!Tabela33[ID ORACLE],[1]!Tabela33[BROKER],0,0,1)))))))))))))</f>
        <v>FERNANDO FERREIRA FEITOSA</v>
      </c>
      <c r="E139" s="22">
        <f t="shared" si="9"/>
        <v>-51.816000000000003</v>
      </c>
      <c r="F139" s="9" t="str">
        <f t="shared" si="10"/>
        <v>BLOOMBERG</v>
      </c>
      <c r="G139" s="20">
        <f t="shared" si="12"/>
        <v>46235</v>
      </c>
      <c r="H139" s="23">
        <v>1170</v>
      </c>
      <c r="I139"/>
      <c r="J139" s="53">
        <v>67841</v>
      </c>
      <c r="K139" s="1" t="s">
        <v>41</v>
      </c>
      <c r="L139" s="1" t="s">
        <v>12</v>
      </c>
      <c r="M139" s="2">
        <v>10</v>
      </c>
      <c r="N139" s="41"/>
      <c r="O139" s="1"/>
      <c r="Q139" s="27"/>
      <c r="R139" s="27"/>
      <c r="S139" s="28"/>
      <c r="U139" s="28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</row>
    <row r="140" spans="1:78" s="26" customFormat="1" ht="15" customHeight="1" x14ac:dyDescent="0.25">
      <c r="A140" s="5" t="str">
        <f t="shared" si="11"/>
        <v>CUSTO MARKET DATA - AGOSTO/26-REFINITIV-67841</v>
      </c>
      <c r="B140" s="20">
        <v>46235</v>
      </c>
      <c r="C140" s="21">
        <v>817393</v>
      </c>
      <c r="D140" s="9" t="str">
        <f>IF(J140=57036,"ALEXANDRE DA COSTA SOARES",IF(J140=24157,"JOSE MAURICIO GOMES TEIXEIRA",IF(J140=24203,"JOSE MAURICIO GOMES TEIXEIRA",IF(J140=24149,"CHRISTIANO MARCONDES DE BARROS LIMA",IF(J140=24137,"CHRISTIANO MARCONDES DE BARROS LIMA",IF(J140=135152,"ENRICO BORTPLUZO CASSIANO",IF(J140=136568,"ENRICO BORTPLUZO CASSIANO", IF(J140=130976,"MARYLIA CARVALHO PONCE",IF(J140=136668,"ALEXANDRE DA COSTA SOARES",IF(J140=52340,"OFFSHORE LISTED",IF(J140=158778,"CLAUDIO DE SOUZA PACINI",IF(J140=159800,"CLAUDIO DE SOUZA PACINI",_xlfn.XLOOKUP(J140,[1]!Tabela33[ID ORACLE],[1]!Tabela33[BROKER],0,0,1)))))))))))))</f>
        <v>FERNANDO FERREIRA FEITOSA</v>
      </c>
      <c r="E140" s="22">
        <f t="shared" si="9"/>
        <v>-144.4717584828</v>
      </c>
      <c r="F140" s="9" t="str">
        <f t="shared" si="10"/>
        <v>REFINITIV</v>
      </c>
      <c r="G140" s="20">
        <f t="shared" si="12"/>
        <v>46235</v>
      </c>
      <c r="H140" s="23">
        <v>1170</v>
      </c>
      <c r="I140"/>
      <c r="J140" s="53">
        <v>67841</v>
      </c>
      <c r="K140" s="1" t="s">
        <v>42</v>
      </c>
      <c r="L140" s="1" t="s">
        <v>17</v>
      </c>
      <c r="M140" s="2">
        <v>20.573868000000001</v>
      </c>
      <c r="N140" s="41"/>
      <c r="O140" s="1"/>
      <c r="Q140" s="27"/>
      <c r="R140" s="27"/>
      <c r="S140" s="28"/>
      <c r="U140" s="28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</row>
    <row r="141" spans="1:78" s="26" customFormat="1" ht="15" customHeight="1" x14ac:dyDescent="0.25">
      <c r="A141" s="5" t="str">
        <f t="shared" si="11"/>
        <v>CUSTO MARKET DATA - AGOSTO/26-BLOOMBERG-67843</v>
      </c>
      <c r="B141" s="20">
        <v>46235</v>
      </c>
      <c r="C141" s="21">
        <v>817393</v>
      </c>
      <c r="D141" s="9" t="str">
        <f>IF(J141=57036,"ALEXANDRE DA COSTA SOARES",IF(J141=24157,"JOSE MAURICIO GOMES TEIXEIRA",IF(J141=24203,"JOSE MAURICIO GOMES TEIXEIRA",IF(J141=24149,"CHRISTIANO MARCONDES DE BARROS LIMA",IF(J141=24137,"CHRISTIANO MARCONDES DE BARROS LIMA",IF(J141=135152,"ENRICO BORTPLUZO CASSIANO",IF(J141=136568,"ENRICO BORTPLUZO CASSIANO", IF(J141=130976,"MARYLIA CARVALHO PONCE",IF(J141=136668,"ALEXANDRE DA COSTA SOARES",IF(J141=52340,"OFFSHORE LISTED",IF(J141=158778,"CLAUDIO DE SOUZA PACINI",IF(J141=159800,"CLAUDIO DE SOUZA PACINI",_xlfn.XLOOKUP(J141,[1]!Tabela33[ID ORACLE],[1]!Tabela33[BROKER],0,0,1)))))))))))))</f>
        <v>ANTÔNIO MARTINS NETO</v>
      </c>
      <c r="E141" s="22">
        <f t="shared" si="9"/>
        <v>-12293.404085736001</v>
      </c>
      <c r="F141" s="9" t="str">
        <f t="shared" si="10"/>
        <v>BLOOMBERG</v>
      </c>
      <c r="G141" s="20">
        <f t="shared" si="12"/>
        <v>46235</v>
      </c>
      <c r="H141" s="23">
        <v>1170</v>
      </c>
      <c r="I141"/>
      <c r="J141" s="53">
        <v>67843</v>
      </c>
      <c r="K141" s="1" t="s">
        <v>41</v>
      </c>
      <c r="L141" s="1" t="s">
        <v>12</v>
      </c>
      <c r="M141" s="2">
        <v>2372.5112100000001</v>
      </c>
      <c r="N141" s="41"/>
      <c r="O141" s="1"/>
      <c r="Q141" s="27"/>
      <c r="R141" s="27"/>
      <c r="S141" s="28"/>
      <c r="U141" s="28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</row>
    <row r="142" spans="1:78" s="26" customFormat="1" ht="15" customHeight="1" x14ac:dyDescent="0.25">
      <c r="A142" s="5" t="str">
        <f t="shared" si="11"/>
        <v>CUSTO MARKET DATA - AGOSTO/26-REFINITIV-67843</v>
      </c>
      <c r="B142" s="20">
        <v>46235</v>
      </c>
      <c r="C142" s="21">
        <v>817393</v>
      </c>
      <c r="D142" s="9" t="str">
        <f>IF(J142=57036,"ALEXANDRE DA COSTA SOARES",IF(J142=24157,"JOSE MAURICIO GOMES TEIXEIRA",IF(J142=24203,"JOSE MAURICIO GOMES TEIXEIRA",IF(J142=24149,"CHRISTIANO MARCONDES DE BARROS LIMA",IF(J142=24137,"CHRISTIANO MARCONDES DE BARROS LIMA",IF(J142=135152,"ENRICO BORTPLUZO CASSIANO",IF(J142=136568,"ENRICO BORTPLUZO CASSIANO", IF(J142=130976,"MARYLIA CARVALHO PONCE",IF(J142=136668,"ALEXANDRE DA COSTA SOARES",IF(J142=52340,"OFFSHORE LISTED",IF(J142=158778,"CLAUDIO DE SOUZA PACINI",IF(J142=159800,"CLAUDIO DE SOUZA PACINI",_xlfn.XLOOKUP(J142,[1]!Tabela33[ID ORACLE],[1]!Tabela33[BROKER],0,0,1)))))))))))))</f>
        <v>ANTÔNIO MARTINS NETO</v>
      </c>
      <c r="E142" s="22">
        <f t="shared" si="9"/>
        <v>-144.4717584828</v>
      </c>
      <c r="F142" s="9" t="str">
        <f t="shared" si="10"/>
        <v>REFINITIV</v>
      </c>
      <c r="G142" s="20">
        <f t="shared" si="12"/>
        <v>46235</v>
      </c>
      <c r="H142" s="23">
        <v>1170</v>
      </c>
      <c r="I142"/>
      <c r="J142" s="53">
        <v>67843</v>
      </c>
      <c r="K142" s="1" t="s">
        <v>42</v>
      </c>
      <c r="L142" s="1" t="s">
        <v>17</v>
      </c>
      <c r="M142" s="2">
        <v>20.573868000000001</v>
      </c>
      <c r="N142" s="41"/>
      <c r="O142" s="1"/>
      <c r="Q142" s="27"/>
      <c r="R142" s="27"/>
      <c r="S142" s="28"/>
      <c r="U142" s="28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</row>
    <row r="143" spans="1:78" s="26" customFormat="1" ht="15" customHeight="1" x14ac:dyDescent="0.25">
      <c r="A143" s="5" t="str">
        <f t="shared" si="11"/>
        <v>CUSTO MARKET DATA - AGOSTO/26-BLOOMBERG-70461</v>
      </c>
      <c r="B143" s="20">
        <v>46235</v>
      </c>
      <c r="C143" s="21">
        <v>817393</v>
      </c>
      <c r="D143" s="9" t="str">
        <f>IF(J143=57036,"ALEXANDRE DA COSTA SOARES",IF(J143=24157,"JOSE MAURICIO GOMES TEIXEIRA",IF(J143=24203,"JOSE MAURICIO GOMES TEIXEIRA",IF(J143=24149,"CHRISTIANO MARCONDES DE BARROS LIMA",IF(J143=24137,"CHRISTIANO MARCONDES DE BARROS LIMA",IF(J143=135152,"ENRICO BORTPLUZO CASSIANO",IF(J143=136568,"ENRICO BORTPLUZO CASSIANO", IF(J143=130976,"MARYLIA CARVALHO PONCE",IF(J143=136668,"ALEXANDRE DA COSTA SOARES",IF(J143=52340,"OFFSHORE LISTED",IF(J143=158778,"CLAUDIO DE SOUZA PACINI",IF(J143=159800,"CLAUDIO DE SOUZA PACINI",_xlfn.XLOOKUP(J143,[1]!Tabela33[ID ORACLE],[1]!Tabela33[BROKER],0,0,1)))))))))))))</f>
        <v>ALVARO LUIZ RICOTTA SOARES</v>
      </c>
      <c r="E143" s="22">
        <f t="shared" si="9"/>
        <v>-9368.3763720744009</v>
      </c>
      <c r="F143" s="9" t="str">
        <f t="shared" si="10"/>
        <v>BLOOMBERG</v>
      </c>
      <c r="G143" s="20">
        <f t="shared" si="12"/>
        <v>46235</v>
      </c>
      <c r="H143" s="23">
        <v>1170</v>
      </c>
      <c r="I143"/>
      <c r="J143" s="53">
        <v>70461</v>
      </c>
      <c r="K143" s="1" t="s">
        <v>41</v>
      </c>
      <c r="L143" s="1" t="s">
        <v>12</v>
      </c>
      <c r="M143" s="2">
        <v>1808.008409</v>
      </c>
      <c r="N143" s="41"/>
      <c r="O143" s="1"/>
      <c r="Q143" s="27"/>
      <c r="R143" s="27"/>
      <c r="S143" s="28"/>
      <c r="U143" s="28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</row>
    <row r="144" spans="1:78" s="26" customFormat="1" ht="15" customHeight="1" x14ac:dyDescent="0.25">
      <c r="A144" s="5" t="str">
        <f t="shared" si="11"/>
        <v>CUSTO MARKET DATA - AGOSTO/26-BLOOMBERG-70953</v>
      </c>
      <c r="B144" s="20">
        <v>46235</v>
      </c>
      <c r="C144" s="21">
        <v>817393</v>
      </c>
      <c r="D144" s="9" t="str">
        <f>IF(J144=57036,"ALEXANDRE DA COSTA SOARES",IF(J144=24157,"JOSE MAURICIO GOMES TEIXEIRA",IF(J144=24203,"JOSE MAURICIO GOMES TEIXEIRA",IF(J144=24149,"CHRISTIANO MARCONDES DE BARROS LIMA",IF(J144=24137,"CHRISTIANO MARCONDES DE BARROS LIMA",IF(J144=135152,"ENRICO BORTPLUZO CASSIANO",IF(J144=136568,"ENRICO BORTPLUZO CASSIANO", IF(J144=130976,"MARYLIA CARVALHO PONCE",IF(J144=136668,"ALEXANDRE DA COSTA SOARES",IF(J144=52340,"OFFSHORE LISTED",IF(J144=158778,"CLAUDIO DE SOUZA PACINI",IF(J144=159800,"CLAUDIO DE SOUZA PACINI",_xlfn.XLOOKUP(J144,[1]!Tabela33[ID ORACLE],[1]!Tabela33[BROKER],0,0,1)))))))))))))</f>
        <v>CARLOS BASILE</v>
      </c>
      <c r="E144" s="22">
        <f t="shared" si="9"/>
        <v>-12637.980485736001</v>
      </c>
      <c r="F144" s="9" t="str">
        <f t="shared" si="10"/>
        <v>BLOOMBERG</v>
      </c>
      <c r="G144" s="20">
        <f t="shared" si="12"/>
        <v>46235</v>
      </c>
      <c r="H144" s="23">
        <v>1170</v>
      </c>
      <c r="I144"/>
      <c r="J144" s="53">
        <v>70953</v>
      </c>
      <c r="K144" s="1" t="s">
        <v>41</v>
      </c>
      <c r="L144" s="1" t="s">
        <v>12</v>
      </c>
      <c r="M144" s="2">
        <v>2439.0112100000001</v>
      </c>
      <c r="N144"/>
      <c r="O144" s="1"/>
      <c r="Q144" s="27"/>
      <c r="R144" s="27"/>
      <c r="S144" s="28"/>
      <c r="U144" s="28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</row>
    <row r="145" spans="1:18" ht="15" customHeight="1" x14ac:dyDescent="0.25">
      <c r="A145" s="5" t="str">
        <f t="shared" si="11"/>
        <v>CUSTO MARKET DATA - AGOSTO/26-REFINITIV-70953</v>
      </c>
      <c r="B145" s="20">
        <v>46235</v>
      </c>
      <c r="C145" s="21">
        <v>817393</v>
      </c>
      <c r="D145" s="9" t="str">
        <f>IF(J145=57036,"ALEXANDRE DA COSTA SOARES",IF(J145=24157,"JOSE MAURICIO GOMES TEIXEIRA",IF(J145=24203,"JOSE MAURICIO GOMES TEIXEIRA",IF(J145=24149,"CHRISTIANO MARCONDES DE BARROS LIMA",IF(J145=24137,"CHRISTIANO MARCONDES DE BARROS LIMA",IF(J145=135152,"ENRICO BORTPLUZO CASSIANO",IF(J145=136568,"ENRICO BORTPLUZO CASSIANO", IF(J145=130976,"MARYLIA CARVALHO PONCE",IF(J145=136668,"ALEXANDRE DA COSTA SOARES",IF(J145=52340,"OFFSHORE LISTED",IF(J145=158778,"CLAUDIO DE SOUZA PACINI",IF(J145=159800,"CLAUDIO DE SOUZA PACINI",_xlfn.XLOOKUP(J145,[1]!Tabela33[ID ORACLE],[1]!Tabela33[BROKER],0,0,1)))))))))))))</f>
        <v>CARLOS BASILE</v>
      </c>
      <c r="E145" s="22">
        <f t="shared" si="9"/>
        <v>-634.33284356010006</v>
      </c>
      <c r="F145" s="9" t="str">
        <f t="shared" si="10"/>
        <v>REFINITIV</v>
      </c>
      <c r="G145" s="20">
        <f t="shared" si="12"/>
        <v>46235</v>
      </c>
      <c r="H145" s="23">
        <v>1170</v>
      </c>
      <c r="J145" s="53">
        <v>70953</v>
      </c>
      <c r="K145" s="1" t="s">
        <v>42</v>
      </c>
      <c r="L145" s="1" t="s">
        <v>17</v>
      </c>
      <c r="M145" s="2">
        <v>90.333781000000002</v>
      </c>
      <c r="Q145" s="27"/>
      <c r="R145" s="27"/>
    </row>
    <row r="146" spans="1:18" ht="15" customHeight="1" x14ac:dyDescent="0.25">
      <c r="A146" s="5" t="str">
        <f t="shared" si="11"/>
        <v>CUSTO MARKET DATA - AGOSTO/26-REFINITIV-72574</v>
      </c>
      <c r="B146" s="20">
        <v>46235</v>
      </c>
      <c r="C146" s="21">
        <v>817393</v>
      </c>
      <c r="D146" s="9" t="str">
        <f>IF(J146=57036,"ALEXANDRE DA COSTA SOARES",IF(J146=24157,"JOSE MAURICIO GOMES TEIXEIRA",IF(J146=24203,"JOSE MAURICIO GOMES TEIXEIRA",IF(J146=24149,"CHRISTIANO MARCONDES DE BARROS LIMA",IF(J146=24137,"CHRISTIANO MARCONDES DE BARROS LIMA",IF(J146=135152,"ENRICO BORTPLUZO CASSIANO",IF(J146=136568,"ENRICO BORTPLUZO CASSIANO", IF(J146=130976,"MARYLIA CARVALHO PONCE",IF(J146=136668,"ALEXANDRE DA COSTA SOARES",IF(J146=52340,"OFFSHORE LISTED",IF(J146=158778,"CLAUDIO DE SOUZA PACINI",IF(J146=159800,"CLAUDIO DE SOUZA PACINI",_xlfn.XLOOKUP(J146,[1]!Tabela33[ID ORACLE],[1]!Tabela33[BROKER],0,0,1)))))))))))))</f>
        <v>CARLOS JOSE SEPPE MILANI</v>
      </c>
      <c r="E146" s="22">
        <f t="shared" si="9"/>
        <v>581.44164201750004</v>
      </c>
      <c r="F146" s="9" t="str">
        <f t="shared" si="10"/>
        <v>REFINITIV</v>
      </c>
      <c r="G146" s="20">
        <f t="shared" si="12"/>
        <v>46235</v>
      </c>
      <c r="H146" s="23">
        <v>1170</v>
      </c>
      <c r="J146" s="53">
        <v>72574</v>
      </c>
      <c r="K146" s="1" t="s">
        <v>42</v>
      </c>
      <c r="L146" s="1" t="s">
        <v>17</v>
      </c>
      <c r="M146" s="2">
        <v>-82.801675000000003</v>
      </c>
      <c r="Q146" s="27"/>
      <c r="R146" s="27"/>
    </row>
    <row r="147" spans="1:18" ht="15" customHeight="1" x14ac:dyDescent="0.25">
      <c r="A147" s="5" t="str">
        <f t="shared" si="11"/>
        <v>CUSTO MARKET DATA - AGOSTO/26-BLOOMBERG-100142</v>
      </c>
      <c r="B147" s="20">
        <v>46235</v>
      </c>
      <c r="C147" s="21">
        <v>817393</v>
      </c>
      <c r="D147" s="9" t="str">
        <f>IF(J147=57036,"ALEXANDRE DA COSTA SOARES",IF(J147=24157,"JOSE MAURICIO GOMES TEIXEIRA",IF(J147=24203,"JOSE MAURICIO GOMES TEIXEIRA",IF(J147=24149,"CHRISTIANO MARCONDES DE BARROS LIMA",IF(J147=24137,"CHRISTIANO MARCONDES DE BARROS LIMA",IF(J147=135152,"ENRICO BORTPLUZO CASSIANO",IF(J147=136568,"ENRICO BORTPLUZO CASSIANO", IF(J147=130976,"MARYLIA CARVALHO PONCE",IF(J147=136668,"ALEXANDRE DA COSTA SOARES",IF(J147=52340,"OFFSHORE LISTED",IF(J147=158778,"CLAUDIO DE SOUZA PACINI",IF(J147=159800,"CLAUDIO DE SOUZA PACINI",_xlfn.XLOOKUP(J147,[1]!Tabela33[ID ORACLE],[1]!Tabela33[BROKER],0,0,1)))))))))))))</f>
        <v>RAFAEL TENORIO CAVALCANTI</v>
      </c>
      <c r="E147" s="22">
        <f t="shared" si="9"/>
        <v>-12498.019200000001</v>
      </c>
      <c r="F147" s="9" t="str">
        <f t="shared" si="10"/>
        <v>BLOOMBERG</v>
      </c>
      <c r="G147" s="20">
        <f t="shared" si="12"/>
        <v>46235</v>
      </c>
      <c r="H147" s="23">
        <v>1170</v>
      </c>
      <c r="J147" s="53">
        <v>100142</v>
      </c>
      <c r="K147" s="1" t="s">
        <v>41</v>
      </c>
      <c r="L147" s="1" t="s">
        <v>12</v>
      </c>
      <c r="M147" s="2">
        <v>2412</v>
      </c>
      <c r="Q147" s="27"/>
      <c r="R147" s="27"/>
    </row>
    <row r="148" spans="1:18" ht="15" customHeight="1" x14ac:dyDescent="0.25">
      <c r="A148" s="5" t="str">
        <f t="shared" si="11"/>
        <v>CUSTO MARKET DATA - AGOSTO/26-BLOOMBERG-136667</v>
      </c>
      <c r="B148" s="20">
        <v>46235</v>
      </c>
      <c r="C148" s="21">
        <v>817393</v>
      </c>
      <c r="D148" s="9" t="str">
        <f>IF(J148=57036,"ALEXANDRE DA COSTA SOARES",IF(J148=24157,"JOSE MAURICIO GOMES TEIXEIRA",IF(J148=24203,"JOSE MAURICIO GOMES TEIXEIRA",IF(J148=24149,"CHRISTIANO MARCONDES DE BARROS LIMA",IF(J148=24137,"CHRISTIANO MARCONDES DE BARROS LIMA",IF(J148=135152,"ENRICO BORTPLUZO CASSIANO",IF(J148=136568,"ENRICO BORTPLUZO CASSIANO", IF(J148=130976,"MARYLIA CARVALHO PONCE",IF(J148=136668,"ALEXANDRE DA COSTA SOARES",IF(J148=52340,"OFFSHORE LISTED",IF(J148=158778,"CLAUDIO DE SOUZA PACINI",IF(J148=159800,"CLAUDIO DE SOUZA PACINI",_xlfn.XLOOKUP(J148,[1]!Tabela33[ID ORACLE],[1]!Tabela33[BROKER],0,0,1)))))))))))))</f>
        <v>HUGO BIANCHI RIBEIRO</v>
      </c>
      <c r="E148" s="22">
        <f t="shared" si="9"/>
        <v>-12498.019200000001</v>
      </c>
      <c r="F148" s="9" t="str">
        <f t="shared" si="10"/>
        <v>BLOOMBERG</v>
      </c>
      <c r="G148" s="20">
        <f t="shared" si="12"/>
        <v>46235</v>
      </c>
      <c r="H148" s="23">
        <v>1170</v>
      </c>
      <c r="J148" s="53">
        <v>136667</v>
      </c>
      <c r="K148" s="1" t="s">
        <v>41</v>
      </c>
      <c r="L148" s="1" t="s">
        <v>12</v>
      </c>
      <c r="M148" s="2">
        <v>2412</v>
      </c>
      <c r="Q148" s="27"/>
      <c r="R148" s="27"/>
    </row>
    <row r="149" spans="1:18" ht="15" customHeight="1" x14ac:dyDescent="0.25">
      <c r="A149" s="5" t="str">
        <f t="shared" si="11"/>
        <v>CUSTO MARKET DATA - AGOSTO/26-BLOOMBERG-66729</v>
      </c>
      <c r="B149" s="20">
        <v>46235</v>
      </c>
      <c r="C149" s="21">
        <v>817393</v>
      </c>
      <c r="D149" s="9" t="str">
        <f>IF(J149=57036,"ALEXANDRE DA COSTA SOARES",IF(J149=24157,"JOSE MAURICIO GOMES TEIXEIRA",IF(J149=24203,"JOSE MAURICIO GOMES TEIXEIRA",IF(J149=24149,"CHRISTIANO MARCONDES DE BARROS LIMA",IF(J149=24137,"CHRISTIANO MARCONDES DE BARROS LIMA",IF(J149=135152,"ENRICO BORTPLUZO CASSIANO",IF(J149=136568,"ENRICO BORTPLUZO CASSIANO", IF(J149=130976,"MARYLIA CARVALHO PONCE",IF(J149=136668,"ALEXANDRE DA COSTA SOARES",IF(J149=52340,"OFFSHORE LISTED",IF(J149=158778,"CLAUDIO DE SOUZA PACINI",IF(J149=159800,"CLAUDIO DE SOUZA PACINI",_xlfn.XLOOKUP(J149,[1]!Tabela33[ID ORACLE],[1]!Tabela33[BROKER],0,0,1)))))))))))))</f>
        <v>PAOLO FRANCA LIDA</v>
      </c>
      <c r="E149" s="22">
        <f t="shared" si="9"/>
        <v>-11746.6872</v>
      </c>
      <c r="F149" s="9" t="str">
        <f t="shared" si="10"/>
        <v>BLOOMBERG</v>
      </c>
      <c r="G149" s="20">
        <f t="shared" si="12"/>
        <v>46235</v>
      </c>
      <c r="H149" s="23">
        <v>1170</v>
      </c>
      <c r="J149" s="53">
        <v>66729</v>
      </c>
      <c r="K149" s="1" t="s">
        <v>41</v>
      </c>
      <c r="L149" s="1" t="s">
        <v>12</v>
      </c>
      <c r="M149" s="2">
        <v>2267</v>
      </c>
      <c r="Q149" s="27"/>
      <c r="R149" s="27"/>
    </row>
    <row r="150" spans="1:18" ht="15" customHeight="1" x14ac:dyDescent="0.25">
      <c r="A150" s="5" t="str">
        <f t="shared" si="11"/>
        <v>CUSTO MARKET DATA - AGOSTO/26-BLOOMBERG-153754</v>
      </c>
      <c r="B150" s="20">
        <v>46235</v>
      </c>
      <c r="C150" s="21">
        <v>817393</v>
      </c>
      <c r="D150" s="9" t="str">
        <f>IF(J150=57036,"ALEXANDRE DA COSTA SOARES",IF(J150=24157,"JOSE MAURICIO GOMES TEIXEIRA",IF(J150=24203,"JOSE MAURICIO GOMES TEIXEIRA",IF(J150=24149,"CHRISTIANO MARCONDES DE BARROS LIMA",IF(J150=24137,"CHRISTIANO MARCONDES DE BARROS LIMA",IF(J150=135152,"ENRICO BORTPLUZO CASSIANO",IF(J150=136568,"ENRICO BORTPLUZO CASSIANO", IF(J150=130976,"MARYLIA CARVALHO PONCE",IF(J150=136668,"ALEXANDRE DA COSTA SOARES",IF(J150=52340,"OFFSHORE LISTED",IF(J150=158778,"CLAUDIO DE SOUZA PACINI",IF(J150=159800,"CLAUDIO DE SOUZA PACINI",_xlfn.XLOOKUP(J150,[1]!Tabela33[ID ORACLE],[1]!Tabela33[BROKER],0,0,1)))))))))))))</f>
        <v>CLAUDIO DE SOUZA PACINI</v>
      </c>
      <c r="E150" s="22">
        <f t="shared" si="9"/>
        <v>-17711.693044920001</v>
      </c>
      <c r="F150" s="9" t="str">
        <f t="shared" si="10"/>
        <v>BLOOMBERG</v>
      </c>
      <c r="G150" s="20">
        <f t="shared" si="12"/>
        <v>46235</v>
      </c>
      <c r="H150" s="23">
        <v>1170</v>
      </c>
      <c r="J150" s="53">
        <v>153754</v>
      </c>
      <c r="K150" s="1" t="s">
        <v>41</v>
      </c>
      <c r="L150" s="1" t="s">
        <v>12</v>
      </c>
      <c r="M150" s="2">
        <v>3418.18995</v>
      </c>
      <c r="Q150" s="27"/>
      <c r="R150" s="27"/>
    </row>
    <row r="151" spans="1:18" ht="15" customHeight="1" x14ac:dyDescent="0.25">
      <c r="A151" s="5" t="str">
        <f t="shared" si="11"/>
        <v>CUSTO MARKET DATA - AGOSTO/26-FIDESSA-153754</v>
      </c>
      <c r="B151" s="20">
        <v>46235</v>
      </c>
      <c r="C151" s="21">
        <v>817393</v>
      </c>
      <c r="D151" s="9" t="str">
        <f>IF(J151=57036,"ALEXANDRE DA COSTA SOARES",IF(J151=24157,"JOSE MAURICIO GOMES TEIXEIRA",IF(J151=24203,"JOSE MAURICIO GOMES TEIXEIRA",IF(J151=24149,"CHRISTIANO MARCONDES DE BARROS LIMA",IF(J151=24137,"CHRISTIANO MARCONDES DE BARROS LIMA",IF(J151=135152,"ENRICO BORTPLUZO CASSIANO",IF(J151=136568,"ENRICO BORTPLUZO CASSIANO", IF(J151=130976,"MARYLIA CARVALHO PONCE",IF(J151=136668,"ALEXANDRE DA COSTA SOARES",IF(J151=52340,"OFFSHORE LISTED",IF(J151=158778,"CLAUDIO DE SOUZA PACINI",IF(J151=159800,"CLAUDIO DE SOUZA PACINI",_xlfn.XLOOKUP(J151,[1]!Tabela33[ID ORACLE],[1]!Tabela33[BROKER],0,0,1)))))))))))))</f>
        <v>CLAUDIO DE SOUZA PACINI</v>
      </c>
      <c r="E151" s="22">
        <f t="shared" si="9"/>
        <v>-2766.6318392424005</v>
      </c>
      <c r="F151" s="9" t="str">
        <f t="shared" si="10"/>
        <v>FIDESSA</v>
      </c>
      <c r="G151" s="20">
        <f t="shared" si="12"/>
        <v>46235</v>
      </c>
      <c r="H151" s="23">
        <v>1170</v>
      </c>
      <c r="J151" s="53">
        <v>153754</v>
      </c>
      <c r="K151" s="1" t="s">
        <v>47</v>
      </c>
      <c r="L151" s="1" t="s">
        <v>12</v>
      </c>
      <c r="M151" s="2">
        <v>533.93388900000002</v>
      </c>
      <c r="Q151" s="27"/>
      <c r="R151" s="27"/>
    </row>
    <row r="152" spans="1:18" ht="15" customHeight="1" x14ac:dyDescent="0.25">
      <c r="A152" s="5" t="str">
        <f t="shared" si="11"/>
        <v>CUSTO MARKET DATA - AGOSTO/26-NYSE MARKET INC.-153754</v>
      </c>
      <c r="B152" s="20">
        <v>46235</v>
      </c>
      <c r="C152" s="21">
        <v>817393</v>
      </c>
      <c r="D152" s="9" t="str">
        <f>IF(J152=57036,"ALEXANDRE DA COSTA SOARES",IF(J152=24157,"JOSE MAURICIO GOMES TEIXEIRA",IF(J152=24203,"JOSE MAURICIO GOMES TEIXEIRA",IF(J152=24149,"CHRISTIANO MARCONDES DE BARROS LIMA",IF(J152=24137,"CHRISTIANO MARCONDES DE BARROS LIMA",IF(J152=135152,"ENRICO BORTPLUZO CASSIANO",IF(J152=136568,"ENRICO BORTPLUZO CASSIANO", IF(J152=130976,"MARYLIA CARVALHO PONCE",IF(J152=136668,"ALEXANDRE DA COSTA SOARES",IF(J152=52340,"OFFSHORE LISTED",IF(J152=158778,"CLAUDIO DE SOUZA PACINI",IF(J152=159800,"CLAUDIO DE SOUZA PACINI",_xlfn.XLOOKUP(J152,[1]!Tabela33[ID ORACLE],[1]!Tabela33[BROKER],0,0,1)))))))))))))</f>
        <v>CLAUDIO DE SOUZA PACINI</v>
      </c>
      <c r="E152" s="22">
        <f t="shared" si="9"/>
        <v>-1890.0792780000002</v>
      </c>
      <c r="F152" s="9" t="str">
        <f t="shared" si="10"/>
        <v>NYSE MARKET INC.</v>
      </c>
      <c r="G152" s="20">
        <f t="shared" si="12"/>
        <v>46235</v>
      </c>
      <c r="H152" s="23">
        <v>1170</v>
      </c>
      <c r="J152" s="53">
        <v>153754</v>
      </c>
      <c r="K152" s="1" t="s">
        <v>44</v>
      </c>
      <c r="L152" s="1" t="s">
        <v>12</v>
      </c>
      <c r="M152" s="2">
        <v>364.76749999999998</v>
      </c>
      <c r="Q152" s="27"/>
      <c r="R152" s="27"/>
    </row>
    <row r="153" spans="1:18" ht="15" customHeight="1" x14ac:dyDescent="0.25">
      <c r="A153" s="5" t="str">
        <f t="shared" si="11"/>
        <v>CUSTO MARKET DATA - AGOSTO/26-OPTIONS PRICE REPORTING AUTHORITY (OPRA)-153754</v>
      </c>
      <c r="B153" s="20">
        <v>46235</v>
      </c>
      <c r="C153" s="21">
        <v>817393</v>
      </c>
      <c r="D153" s="9" t="str">
        <f>IF(J153=57036,"ALEXANDRE DA COSTA SOARES",IF(J153=24157,"JOSE MAURICIO GOMES TEIXEIRA",IF(J153=24203,"JOSE MAURICIO GOMES TEIXEIRA",IF(J153=24149,"CHRISTIANO MARCONDES DE BARROS LIMA",IF(J153=24137,"CHRISTIANO MARCONDES DE BARROS LIMA",IF(J153=135152,"ENRICO BORTPLUZO CASSIANO",IF(J153=136568,"ENRICO BORTPLUZO CASSIANO", IF(J153=130976,"MARYLIA CARVALHO PONCE",IF(J153=136668,"ALEXANDRE DA COSTA SOARES",IF(J153=52340,"OFFSHORE LISTED",IF(J153=158778,"CLAUDIO DE SOUZA PACINI",IF(J153=159800,"CLAUDIO DE SOUZA PACINI",_xlfn.XLOOKUP(J153,[1]!Tabela33[ID ORACLE],[1]!Tabela33[BROKER],0,0,1)))))))))))))</f>
        <v>CLAUDIO DE SOUZA PACINI</v>
      </c>
      <c r="E153" s="22">
        <f t="shared" si="9"/>
        <v>-340.92661050000004</v>
      </c>
      <c r="F153" s="9" t="str">
        <f t="shared" si="10"/>
        <v>OPTIONS PRICE REPORTING AUTHORITY (OPRA)</v>
      </c>
      <c r="G153" s="20">
        <f t="shared" si="12"/>
        <v>46235</v>
      </c>
      <c r="H153" s="23">
        <v>1170</v>
      </c>
      <c r="J153" s="53">
        <v>153754</v>
      </c>
      <c r="K153" s="1" t="s">
        <v>45</v>
      </c>
      <c r="L153" s="1" t="s">
        <v>12</v>
      </c>
      <c r="M153" s="2">
        <v>65.795625000000001</v>
      </c>
      <c r="Q153" s="27"/>
      <c r="R153" s="27"/>
    </row>
    <row r="154" spans="1:18" ht="15" customHeight="1" x14ac:dyDescent="0.25">
      <c r="A154" s="5" t="str">
        <f t="shared" si="11"/>
        <v>CUSTO MARKET DATA - AGOSTO/26-TORONTO STOCK EXCHANGE-153754</v>
      </c>
      <c r="B154" s="20">
        <v>46235</v>
      </c>
      <c r="C154" s="21">
        <v>817393</v>
      </c>
      <c r="D154" s="9" t="str">
        <f>IF(J154=57036,"ALEXANDRE DA COSTA SOARES",IF(J154=24157,"JOSE MAURICIO GOMES TEIXEIRA",IF(J154=24203,"JOSE MAURICIO GOMES TEIXEIRA",IF(J154=24149,"CHRISTIANO MARCONDES DE BARROS LIMA",IF(J154=24137,"CHRISTIANO MARCONDES DE BARROS LIMA",IF(J154=135152,"ENRICO BORTPLUZO CASSIANO",IF(J154=136568,"ENRICO BORTPLUZO CASSIANO", IF(J154=130976,"MARYLIA CARVALHO PONCE",IF(J154=136668,"ALEXANDRE DA COSTA SOARES",IF(J154=52340,"OFFSHORE LISTED",IF(J154=158778,"CLAUDIO DE SOUZA PACINI",IF(J154=159800,"CLAUDIO DE SOUZA PACINI",_xlfn.XLOOKUP(J154,[1]!Tabela33[ID ORACLE],[1]!Tabela33[BROKER],0,0,1)))))))))))))</f>
        <v>CLAUDIO DE SOUZA PACINI</v>
      </c>
      <c r="E154" s="22">
        <f t="shared" si="9"/>
        <v>-341.46744000000007</v>
      </c>
      <c r="F154" s="9" t="str">
        <f t="shared" si="10"/>
        <v>TORONTO STOCK EXCHANGE</v>
      </c>
      <c r="G154" s="20">
        <f t="shared" si="12"/>
        <v>46235</v>
      </c>
      <c r="H154" s="23">
        <v>1170</v>
      </c>
      <c r="J154" s="53">
        <v>153754</v>
      </c>
      <c r="K154" s="1" t="s">
        <v>51</v>
      </c>
      <c r="L154" s="1" t="s">
        <v>12</v>
      </c>
      <c r="M154" s="2">
        <v>65.900000000000006</v>
      </c>
      <c r="Q154" s="27"/>
      <c r="R154" s="27"/>
    </row>
    <row r="155" spans="1:18" ht="15" customHeight="1" x14ac:dyDescent="0.25">
      <c r="A155" s="5" t="str">
        <f t="shared" si="11"/>
        <v>CUSTO MARKET DATA - AGOSTO/26-TRADE THE NEWS, INC.-153754</v>
      </c>
      <c r="B155" s="20">
        <v>46235</v>
      </c>
      <c r="C155" s="21">
        <v>817393</v>
      </c>
      <c r="D155" s="9" t="str">
        <f>IF(J155=57036,"ALEXANDRE DA COSTA SOARES",IF(J155=24157,"JOSE MAURICIO GOMES TEIXEIRA",IF(J155=24203,"JOSE MAURICIO GOMES TEIXEIRA",IF(J155=24149,"CHRISTIANO MARCONDES DE BARROS LIMA",IF(J155=24137,"CHRISTIANO MARCONDES DE BARROS LIMA",IF(J155=135152,"ENRICO BORTPLUZO CASSIANO",IF(J155=136568,"ENRICO BORTPLUZO CASSIANO", IF(J155=130976,"MARYLIA CARVALHO PONCE",IF(J155=136668,"ALEXANDRE DA COSTA SOARES",IF(J155=52340,"OFFSHORE LISTED",IF(J155=158778,"CLAUDIO DE SOUZA PACINI",IF(J155=159800,"CLAUDIO DE SOUZA PACINI",_xlfn.XLOOKUP(J155,[1]!Tabela33[ID ORACLE],[1]!Tabela33[BROKER],0,0,1)))))))))))))</f>
        <v>CLAUDIO DE SOUZA PACINI</v>
      </c>
      <c r="E155" s="22">
        <f t="shared" si="9"/>
        <v>-1241.4249982728002</v>
      </c>
      <c r="F155" s="9" t="str">
        <f t="shared" si="10"/>
        <v>TRADE THE NEWS, INC.</v>
      </c>
      <c r="G155" s="20">
        <f t="shared" si="12"/>
        <v>46235</v>
      </c>
      <c r="H155" s="23">
        <v>1170</v>
      </c>
      <c r="J155" s="53">
        <v>153754</v>
      </c>
      <c r="K155" s="1" t="s">
        <v>52</v>
      </c>
      <c r="L155" s="1" t="s">
        <v>12</v>
      </c>
      <c r="M155" s="2">
        <v>239.58333300000001</v>
      </c>
      <c r="Q155" s="27"/>
      <c r="R155" s="27"/>
    </row>
    <row r="156" spans="1:18" ht="15" customHeight="1" x14ac:dyDescent="0.25">
      <c r="A156" s="5" t="str">
        <f t="shared" si="11"/>
        <v>CUSTO MARKET DATA - AGOSTO/26-BLOOMBERG-128550</v>
      </c>
      <c r="B156" s="20">
        <v>46235</v>
      </c>
      <c r="C156" s="21">
        <v>817393</v>
      </c>
      <c r="D156" s="9" t="str">
        <f>IF(J156=57036,"ALEXANDRE DA COSTA SOARES",IF(J156=24157,"JOSE MAURICIO GOMES TEIXEIRA",IF(J156=24203,"JOSE MAURICIO GOMES TEIXEIRA",IF(J156=24149,"CHRISTIANO MARCONDES DE BARROS LIMA",IF(J156=24137,"CHRISTIANO MARCONDES DE BARROS LIMA",IF(J156=135152,"ENRICO BORTPLUZO CASSIANO",IF(J156=136568,"ENRICO BORTPLUZO CASSIANO", IF(J156=130976,"MARYLIA CARVALHO PONCE",IF(J156=136668,"ALEXANDRE DA COSTA SOARES",IF(J156=52340,"OFFSHORE LISTED",IF(J156=158778,"CLAUDIO DE SOUZA PACINI",IF(J156=159800,"CLAUDIO DE SOUZA PACINI",_xlfn.XLOOKUP(J156,[1]!Tabela33[ID ORACLE],[1]!Tabela33[BROKER],0,0,1)))))))))))))</f>
        <v>ALINE FAUSTINI</v>
      </c>
      <c r="E156" s="22">
        <f t="shared" si="9"/>
        <v>-14102.490421836001</v>
      </c>
      <c r="F156" s="9" t="str">
        <f t="shared" si="10"/>
        <v>BLOOMBERG</v>
      </c>
      <c r="G156" s="20">
        <f t="shared" si="12"/>
        <v>46235</v>
      </c>
      <c r="H156" s="23">
        <v>1170</v>
      </c>
      <c r="J156" s="53">
        <v>128550</v>
      </c>
      <c r="K156" s="1" t="s">
        <v>41</v>
      </c>
      <c r="L156" s="1" t="s">
        <v>12</v>
      </c>
      <c r="M156" s="2">
        <v>2721.6478349999998</v>
      </c>
      <c r="Q156" s="27"/>
      <c r="R156" s="27"/>
    </row>
    <row r="157" spans="1:18" ht="15" customHeight="1" x14ac:dyDescent="0.25">
      <c r="A157" s="5" t="str">
        <f t="shared" si="11"/>
        <v>CUSTO MARKET DATA - AGOSTO/26-NYSE MARKET INC.-128550</v>
      </c>
      <c r="B157" s="20">
        <v>46235</v>
      </c>
      <c r="C157" s="21">
        <v>817393</v>
      </c>
      <c r="D157" s="9" t="str">
        <f>IF(J157=57036,"ALEXANDRE DA COSTA SOARES",IF(J157=24157,"JOSE MAURICIO GOMES TEIXEIRA",IF(J157=24203,"JOSE MAURICIO GOMES TEIXEIRA",IF(J157=24149,"CHRISTIANO MARCONDES DE BARROS LIMA",IF(J157=24137,"CHRISTIANO MARCONDES DE BARROS LIMA",IF(J157=135152,"ENRICO BORTPLUZO CASSIANO",IF(J157=136568,"ENRICO BORTPLUZO CASSIANO", IF(J157=130976,"MARYLIA CARVALHO PONCE",IF(J157=136668,"ALEXANDRE DA COSTA SOARES",IF(J157=52340,"OFFSHORE LISTED",IF(J157=158778,"CLAUDIO DE SOUZA PACINI",IF(J157=159800,"CLAUDIO DE SOUZA PACINI",_xlfn.XLOOKUP(J157,[1]!Tabela33[ID ORACLE],[1]!Tabela33[BROKER],0,0,1)))))))))))))</f>
        <v>ALINE FAUSTINI</v>
      </c>
      <c r="E157" s="22">
        <f t="shared" ref="E157:E159" si="13">-IF(L157="BRL",M157,IF(L157="GBP",M157*$R$1,IF(L157="CAD",M157*$T$1,M157*$P$1)))</f>
        <v>-152.31960900000001</v>
      </c>
      <c r="F157" s="9" t="str">
        <f t="shared" ref="F157:F159" si="14">IF(UPPER(K157)="Valor Analytics LLC","VALOR",UPPER(K157))</f>
        <v>NYSE MARKET INC.</v>
      </c>
      <c r="G157" s="20">
        <f t="shared" si="12"/>
        <v>46235</v>
      </c>
      <c r="H157" s="23">
        <v>1170</v>
      </c>
      <c r="J157" s="53">
        <v>128550</v>
      </c>
      <c r="K157" s="1" t="s">
        <v>44</v>
      </c>
      <c r="L157" s="1" t="s">
        <v>12</v>
      </c>
      <c r="M157" s="2">
        <v>29.396249999999998</v>
      </c>
      <c r="Q157" s="27"/>
      <c r="R157" s="27"/>
    </row>
    <row r="158" spans="1:18" ht="15" customHeight="1" x14ac:dyDescent="0.25">
      <c r="A158" s="5" t="str">
        <f t="shared" si="11"/>
        <v>CUSTO MARKET DATA - AGOSTO/26-REFINITIV-128550</v>
      </c>
      <c r="B158" s="20">
        <v>46235</v>
      </c>
      <c r="C158" s="21">
        <v>817393</v>
      </c>
      <c r="D158" s="9" t="str">
        <f>IF(J158=57036,"ALEXANDRE DA COSTA SOARES",IF(J158=24157,"JOSE MAURICIO GOMES TEIXEIRA",IF(J158=24203,"JOSE MAURICIO GOMES TEIXEIRA",IF(J158=24149,"CHRISTIANO MARCONDES DE BARROS LIMA",IF(J158=24137,"CHRISTIANO MARCONDES DE BARROS LIMA",IF(J158=135152,"ENRICO BORTPLUZO CASSIANO",IF(J158=136568,"ENRICO BORTPLUZO CASSIANO", IF(J158=130976,"MARYLIA CARVALHO PONCE",IF(J158=136668,"ALEXANDRE DA COSTA SOARES",IF(J158=52340,"OFFSHORE LISTED",IF(J158=158778,"CLAUDIO DE SOUZA PACINI",IF(J158=159800,"CLAUDIO DE SOUZA PACINI",_xlfn.XLOOKUP(J158,[1]!Tabela33[ID ORACLE],[1]!Tabela33[BROKER],0,0,1)))))))))))))</f>
        <v>ALINE FAUSTINI</v>
      </c>
      <c r="E158" s="22">
        <f t="shared" si="13"/>
        <v>-634.33284356009995</v>
      </c>
      <c r="F158" s="9" t="str">
        <f t="shared" si="14"/>
        <v>REFINITIV</v>
      </c>
      <c r="G158" s="20">
        <f t="shared" si="12"/>
        <v>46235</v>
      </c>
      <c r="H158" s="23">
        <v>1170</v>
      </c>
      <c r="J158" s="53">
        <v>128550</v>
      </c>
      <c r="K158" s="1" t="s">
        <v>42</v>
      </c>
      <c r="L158" s="1" t="s">
        <v>17</v>
      </c>
      <c r="M158" s="2">
        <v>90.333780999999988</v>
      </c>
      <c r="Q158" s="27"/>
      <c r="R158" s="27"/>
    </row>
    <row r="159" spans="1:18" ht="15" customHeight="1" x14ac:dyDescent="0.25">
      <c r="A159" s="9"/>
      <c r="B159" s="20"/>
      <c r="C159" s="21"/>
      <c r="D159" s="9"/>
      <c r="E159" s="22"/>
      <c r="F159" s="9"/>
      <c r="G159" s="20"/>
      <c r="H159" s="23"/>
      <c r="Q159" s="27"/>
      <c r="R159" s="27"/>
    </row>
    <row r="160" spans="1:18" ht="15" customHeight="1" x14ac:dyDescent="0.25">
      <c r="A160" s="9"/>
      <c r="B160" s="20"/>
      <c r="C160" s="21"/>
      <c r="D160" s="9"/>
      <c r="E160" s="22"/>
      <c r="F160" s="9"/>
      <c r="G160" s="20"/>
      <c r="H160" s="23"/>
      <c r="Q160" s="27"/>
      <c r="R160" s="27"/>
    </row>
    <row r="161" spans="1:18" ht="15" customHeight="1" x14ac:dyDescent="0.25">
      <c r="A161" s="9"/>
      <c r="B161" s="20"/>
      <c r="C161" s="21"/>
      <c r="D161" s="9"/>
      <c r="E161" s="22"/>
      <c r="F161" s="9"/>
      <c r="G161" s="20"/>
      <c r="H161" s="46"/>
      <c r="Q161" s="27"/>
      <c r="R161" s="27"/>
    </row>
    <row r="162" spans="1:18" ht="15" customHeight="1" x14ac:dyDescent="0.25">
      <c r="A162" s="9"/>
      <c r="B162" s="20"/>
      <c r="C162" s="21"/>
      <c r="D162" s="9"/>
      <c r="E162" s="22"/>
      <c r="F162" s="9"/>
      <c r="G162" s="20"/>
      <c r="H162" s="46"/>
      <c r="Q162" s="27"/>
      <c r="R162" s="27"/>
    </row>
    <row r="163" spans="1:18" ht="15" customHeight="1" x14ac:dyDescent="0.25">
      <c r="A163" s="9"/>
      <c r="B163" s="20"/>
      <c r="C163" s="21"/>
      <c r="D163" s="9"/>
      <c r="E163" s="22"/>
      <c r="F163" s="9"/>
      <c r="G163" s="20"/>
      <c r="H163" s="46"/>
      <c r="Q163" s="27"/>
      <c r="R163" s="27"/>
    </row>
    <row r="164" spans="1:18" ht="15" customHeight="1" x14ac:dyDescent="0.25">
      <c r="A164" s="9"/>
      <c r="B164" s="20"/>
      <c r="C164" s="21"/>
      <c r="D164" s="9"/>
      <c r="E164" s="22"/>
      <c r="F164" s="9"/>
      <c r="G164" s="20"/>
      <c r="H164" s="46"/>
      <c r="Q164" s="27"/>
      <c r="R164" s="27"/>
    </row>
    <row r="165" spans="1:18" ht="15" customHeight="1" x14ac:dyDescent="0.25">
      <c r="A165" s="9"/>
      <c r="B165" s="20"/>
      <c r="C165" s="21"/>
      <c r="D165" s="9"/>
      <c r="E165" s="22"/>
      <c r="F165" s="9"/>
      <c r="G165" s="20"/>
      <c r="H165" s="46"/>
    </row>
    <row r="166" spans="1:18" ht="15" customHeight="1" x14ac:dyDescent="0.25">
      <c r="A166" s="9"/>
      <c r="B166" s="20"/>
      <c r="C166" s="21"/>
      <c r="D166" s="9"/>
      <c r="E166" s="22"/>
      <c r="F166" s="9"/>
      <c r="G166" s="20"/>
      <c r="H166" s="46"/>
    </row>
    <row r="167" spans="1:18" ht="15" customHeight="1" x14ac:dyDescent="0.25">
      <c r="A167" s="9"/>
      <c r="B167" s="20"/>
      <c r="C167" s="21"/>
      <c r="D167" s="9"/>
      <c r="E167" s="22"/>
      <c r="F167" s="9"/>
      <c r="G167" s="20"/>
      <c r="H167" s="46"/>
    </row>
    <row r="168" spans="1:18" ht="15" customHeight="1" x14ac:dyDescent="0.25">
      <c r="A168" s="9"/>
      <c r="B168" s="20"/>
      <c r="C168" s="21"/>
      <c r="D168" s="9"/>
      <c r="E168" s="22"/>
      <c r="F168" s="9"/>
      <c r="G168" s="20"/>
      <c r="H168" s="46"/>
    </row>
    <row r="169" spans="1:18" ht="15" customHeight="1" x14ac:dyDescent="0.25">
      <c r="A169" s="9"/>
      <c r="B169" s="20"/>
      <c r="C169" s="21"/>
      <c r="D169" s="9"/>
      <c r="E169" s="22"/>
      <c r="F169" s="9"/>
      <c r="G169" s="20"/>
      <c r="H169" s="46"/>
    </row>
    <row r="170" spans="1:18" ht="15" customHeight="1" x14ac:dyDescent="0.25">
      <c r="A170" s="9"/>
      <c r="B170" s="20"/>
      <c r="C170" s="21"/>
      <c r="D170" s="9"/>
      <c r="E170" s="22"/>
      <c r="F170" s="9"/>
      <c r="G170" s="20"/>
      <c r="H170" s="46"/>
    </row>
    <row r="171" spans="1:18" ht="15" customHeight="1" x14ac:dyDescent="0.25">
      <c r="A171" s="9"/>
      <c r="B171" s="20"/>
      <c r="C171" s="21"/>
      <c r="D171" s="9"/>
      <c r="E171" s="22"/>
      <c r="F171" s="9"/>
      <c r="G171" s="20"/>
      <c r="H171" s="46"/>
    </row>
    <row r="172" spans="1:18" ht="15" customHeight="1" x14ac:dyDescent="0.25">
      <c r="A172" s="9"/>
      <c r="B172" s="20"/>
      <c r="C172" s="21"/>
      <c r="D172" s="9"/>
      <c r="E172" s="22"/>
      <c r="F172" s="9"/>
      <c r="G172" s="20"/>
      <c r="H172" s="46"/>
    </row>
    <row r="173" spans="1:18" ht="15" customHeight="1" x14ac:dyDescent="0.25">
      <c r="A173" s="9"/>
      <c r="B173" s="20"/>
      <c r="C173" s="21"/>
      <c r="D173" s="9"/>
      <c r="E173" s="22"/>
      <c r="F173" s="9"/>
      <c r="G173" s="20"/>
      <c r="H173" s="46"/>
    </row>
    <row r="174" spans="1:18" ht="15" customHeight="1" x14ac:dyDescent="0.25">
      <c r="A174" s="9"/>
      <c r="B174" s="20"/>
      <c r="C174" s="21"/>
      <c r="D174" s="9"/>
      <c r="E174" s="22"/>
      <c r="F174" s="9"/>
      <c r="G174" s="20"/>
      <c r="H174" s="46"/>
    </row>
    <row r="175" spans="1:18" ht="15" customHeight="1" x14ac:dyDescent="0.25">
      <c r="A175" s="9"/>
      <c r="B175" s="20"/>
      <c r="C175" s="21"/>
      <c r="D175" s="9"/>
      <c r="E175" s="22"/>
      <c r="F175" s="9"/>
      <c r="G175" s="20"/>
      <c r="H175" s="46"/>
    </row>
    <row r="176" spans="1:18" ht="15" customHeight="1" x14ac:dyDescent="0.25">
      <c r="A176" s="9"/>
      <c r="B176" s="20"/>
      <c r="C176" s="21"/>
      <c r="D176" s="9"/>
      <c r="E176" s="22"/>
      <c r="F176" s="9"/>
      <c r="G176" s="20"/>
      <c r="H176" s="46"/>
    </row>
    <row r="177" spans="1:8" ht="15" customHeight="1" x14ac:dyDescent="0.25">
      <c r="A177" s="9"/>
      <c r="B177" s="20"/>
      <c r="C177" s="21"/>
      <c r="D177" s="9"/>
      <c r="E177" s="22"/>
      <c r="F177" s="9"/>
      <c r="G177" s="20"/>
      <c r="H177" s="46"/>
    </row>
    <row r="1048548" spans="3:3" ht="15" customHeight="1" x14ac:dyDescent="0.25">
      <c r="C1048548" s="21"/>
    </row>
  </sheetData>
  <autoFilter ref="A1:T177" xr:uid="{D70B35B3-77FF-43AD-AE42-8938E8C76D36}"/>
  <mergeCells count="11">
    <mergeCell ref="N8:N9"/>
    <mergeCell ref="O8:O9"/>
    <mergeCell ref="N10:N11"/>
    <mergeCell ref="O10:O11"/>
    <mergeCell ref="N12:N23"/>
    <mergeCell ref="N2:N3"/>
    <mergeCell ref="O2:O3"/>
    <mergeCell ref="N4:N5"/>
    <mergeCell ref="O4:O5"/>
    <mergeCell ref="N6:N7"/>
    <mergeCell ref="O6:O7"/>
  </mergeCells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JAN</vt:lpstr>
      <vt:lpstr>FEV</vt:lpstr>
      <vt:lpstr>MAR</vt:lpstr>
      <vt:lpstr>ABR</vt:lpstr>
      <vt:lpstr>MAI</vt:lpstr>
      <vt:lpstr>JUN</vt:lpstr>
      <vt:lpstr>JUL</vt:lpstr>
      <vt:lpstr>AGO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Collete, Giovana</dc:creator>
  <cp:lastModifiedBy>Cavicchio, Leticia</cp:lastModifiedBy>
  <dcterms:created xsi:type="dcterms:W3CDTF">2020-08-06T21:12:31Z</dcterms:created>
  <dcterms:modified xsi:type="dcterms:W3CDTF">2026-09-08T17:35:26Z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