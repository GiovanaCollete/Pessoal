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X:\Gerencial\Mensal\2026\Custos\Plataforma\"/>
    </mc:Choice>
  </mc:AlternateContent>
  <xr:revisionPtr revIDLastSave="0" documentId="13_ncr:1_{D057E46B-A560-4606-9421-A51EE6D6CCE3}" xr6:coauthVersionLast="47" xr6:coauthVersionMax="47" xr10:uidLastSave="{00000000-0000-0000-0000-000000000000}"/>
  <bookViews>
    <workbookView xWindow="28740" yWindow="15" windowWidth="29040" windowHeight="16440" activeTab="5" xr2:uid="{120E7CD3-46C7-4E68-B7FA-03E9DA91525C}"/>
  </bookViews>
  <sheets>
    <sheet name="JAN" sheetId="58" r:id="rId1"/>
    <sheet name="FEV" sheetId="59" r:id="rId2"/>
    <sheet name="MAR" sheetId="60" r:id="rId3"/>
    <sheet name="ABR" sheetId="61" r:id="rId4"/>
    <sheet name="MAI" sheetId="63" r:id="rId5"/>
    <sheet name="JUN" sheetId="62" r:id="rId6"/>
  </sheets>
  <externalReferences>
    <externalReference r:id="rId7"/>
  </externalReferences>
  <definedNames>
    <definedName name="_xlnm._FilterDatabase" localSheetId="3" hidden="1">ABR!$A$1:$L$96</definedName>
    <definedName name="_xlnm._FilterDatabase" localSheetId="1" hidden="1">FEV!$A$1:$L$94</definedName>
    <definedName name="_xlnm._FilterDatabase" localSheetId="0" hidden="1">JAN!$A$1:$L$98</definedName>
    <definedName name="_xlnm._FilterDatabase" localSheetId="5" hidden="1">JUN!$A$1:$L$100</definedName>
    <definedName name="_xlnm._FilterDatabase" localSheetId="4" hidden="1">MAI!$A$1:$L$98</definedName>
    <definedName name="_xlnm._FilterDatabase" localSheetId="2" hidden="1">MAR!$A$1:$L$96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8" i="63" l="1"/>
  <c r="E48" i="62"/>
  <c r="E46" i="62"/>
  <c r="E40" i="62"/>
  <c r="E39" i="62"/>
  <c r="E38" i="62"/>
  <c r="E96" i="62"/>
  <c r="E95" i="62"/>
  <c r="E94" i="62"/>
  <c r="N98" i="62" l="1"/>
  <c r="A93" i="62"/>
  <c r="E48" i="63" l="1"/>
  <c r="E47" i="63"/>
  <c r="E46" i="63"/>
  <c r="E45" i="63"/>
  <c r="E44" i="63"/>
  <c r="E43" i="63"/>
  <c r="E42" i="63"/>
  <c r="E41" i="63"/>
  <c r="E40" i="63"/>
  <c r="E39" i="63"/>
  <c r="A92" i="63"/>
  <c r="E48" i="61" l="1"/>
  <c r="E45" i="61"/>
  <c r="E44" i="61"/>
  <c r="E43" i="61"/>
  <c r="E42" i="61"/>
  <c r="E41" i="61"/>
  <c r="E46" i="61"/>
  <c r="E39" i="61"/>
  <c r="E40" i="61"/>
  <c r="E47" i="61"/>
  <c r="E38" i="61"/>
  <c r="E51" i="60"/>
  <c r="E50" i="60"/>
  <c r="E49" i="60"/>
  <c r="E48" i="60"/>
  <c r="E42" i="60"/>
  <c r="E41" i="60"/>
  <c r="E40" i="60"/>
  <c r="E51" i="59"/>
  <c r="E50" i="59"/>
  <c r="E49" i="59"/>
  <c r="E48" i="59"/>
  <c r="E42" i="59"/>
  <c r="E41" i="59"/>
  <c r="E40" i="59"/>
  <c r="A42" i="58"/>
  <c r="E53" i="58"/>
  <c r="E51" i="58"/>
  <c r="E50" i="58"/>
  <c r="E49" i="58"/>
  <c r="E48" i="58"/>
  <c r="E47" i="58"/>
  <c r="E46" i="58"/>
  <c r="E45" i="58"/>
  <c r="E44" i="58"/>
  <c r="E43" i="58"/>
  <c r="E41" i="58"/>
  <c r="E40" i="58"/>
  <c r="A73" i="62"/>
  <c r="A70" i="62"/>
  <c r="A72" i="63" l="1"/>
  <c r="Q97" i="63"/>
  <c r="Q95" i="63"/>
  <c r="R96" i="63" s="1"/>
  <c r="O96" i="63" s="1"/>
  <c r="N96" i="63" s="1"/>
  <c r="A95" i="63"/>
  <c r="A94" i="63"/>
  <c r="A93" i="63"/>
  <c r="A91" i="63"/>
  <c r="A90" i="63"/>
  <c r="A89" i="63"/>
  <c r="A88" i="63"/>
  <c r="A87" i="63"/>
  <c r="A86" i="63"/>
  <c r="A85" i="63"/>
  <c r="A84" i="63"/>
  <c r="A83" i="63"/>
  <c r="A82" i="63"/>
  <c r="A81" i="63"/>
  <c r="A80" i="63"/>
  <c r="A79" i="63"/>
  <c r="A78" i="63"/>
  <c r="A77" i="63"/>
  <c r="A76" i="63"/>
  <c r="K75" i="63"/>
  <c r="A75" i="63"/>
  <c r="K74" i="63"/>
  <c r="A74" i="63"/>
  <c r="K73" i="63"/>
  <c r="A73" i="63"/>
  <c r="A71" i="63"/>
  <c r="K70" i="63"/>
  <c r="A70" i="63"/>
  <c r="A69" i="63"/>
  <c r="K68" i="63"/>
  <c r="A68" i="63"/>
  <c r="K67" i="63"/>
  <c r="A67" i="63"/>
  <c r="K66" i="63"/>
  <c r="A66" i="63"/>
  <c r="K65" i="63"/>
  <c r="A65" i="63"/>
  <c r="A64" i="63"/>
  <c r="A63" i="63"/>
  <c r="A62" i="63"/>
  <c r="A61" i="63"/>
  <c r="A60" i="63"/>
  <c r="K59" i="63"/>
  <c r="D59" i="63"/>
  <c r="A59" i="63"/>
  <c r="K58" i="63"/>
  <c r="D58" i="63" s="1"/>
  <c r="A58" i="63"/>
  <c r="K57" i="63"/>
  <c r="D57" i="63" s="1"/>
  <c r="A57" i="63"/>
  <c r="K56" i="63"/>
  <c r="D56" i="63" s="1"/>
  <c r="A56" i="63"/>
  <c r="K55" i="63"/>
  <c r="D55" i="63" s="1"/>
  <c r="A55" i="63"/>
  <c r="D54" i="63"/>
  <c r="A54" i="63"/>
  <c r="K53" i="63"/>
  <c r="D53" i="63" s="1"/>
  <c r="A53" i="63"/>
  <c r="K52" i="63"/>
  <c r="D52" i="63" s="1"/>
  <c r="A52" i="63"/>
  <c r="K51" i="63"/>
  <c r="D51" i="63" s="1"/>
  <c r="A51" i="63"/>
  <c r="K50" i="63"/>
  <c r="D50" i="63" s="1"/>
  <c r="A50" i="63"/>
  <c r="K49" i="63"/>
  <c r="D49" i="63" s="1"/>
  <c r="A49" i="63"/>
  <c r="K48" i="63"/>
  <c r="A48" i="63"/>
  <c r="A47" i="63"/>
  <c r="K46" i="63"/>
  <c r="A46" i="63"/>
  <c r="K45" i="63"/>
  <c r="D45" i="63" s="1"/>
  <c r="A45" i="63"/>
  <c r="K44" i="63"/>
  <c r="D44" i="63" s="1"/>
  <c r="A44" i="63"/>
  <c r="K43" i="63"/>
  <c r="D43" i="63" s="1"/>
  <c r="A43" i="63"/>
  <c r="K42" i="63"/>
  <c r="D42" i="63" s="1"/>
  <c r="A42" i="63"/>
  <c r="K41" i="63"/>
  <c r="D41" i="63" s="1"/>
  <c r="A41" i="63"/>
  <c r="A40" i="63"/>
  <c r="A39" i="63"/>
  <c r="K38" i="63"/>
  <c r="A38" i="63"/>
  <c r="K37" i="63"/>
  <c r="A37" i="63"/>
  <c r="A36" i="63"/>
  <c r="K35" i="63"/>
  <c r="A35" i="63"/>
  <c r="K34" i="63"/>
  <c r="A34" i="63"/>
  <c r="K33" i="63"/>
  <c r="A33" i="63"/>
  <c r="K32" i="63"/>
  <c r="A32" i="63"/>
  <c r="K31" i="63"/>
  <c r="A31" i="63"/>
  <c r="K30" i="63"/>
  <c r="A30" i="63"/>
  <c r="K29" i="63"/>
  <c r="A29" i="63"/>
  <c r="K28" i="63"/>
  <c r="A28" i="63"/>
  <c r="K27" i="63"/>
  <c r="A27" i="63"/>
  <c r="K26" i="63"/>
  <c r="A26" i="63"/>
  <c r="A25" i="63"/>
  <c r="A24" i="63"/>
  <c r="A23" i="63"/>
  <c r="A22" i="63"/>
  <c r="A21" i="63"/>
  <c r="A20" i="63"/>
  <c r="A19" i="63"/>
  <c r="A18" i="63"/>
  <c r="A17" i="63"/>
  <c r="A16" i="63"/>
  <c r="K15" i="63"/>
  <c r="A15" i="63"/>
  <c r="K14" i="63"/>
  <c r="A14" i="63"/>
  <c r="A13" i="63"/>
  <c r="K12" i="63"/>
  <c r="A12" i="63"/>
  <c r="K11" i="63"/>
  <c r="A11" i="63"/>
  <c r="K10" i="63"/>
  <c r="A10" i="63"/>
  <c r="K9" i="63"/>
  <c r="A9" i="63"/>
  <c r="K8" i="63"/>
  <c r="A8" i="63"/>
  <c r="K7" i="63"/>
  <c r="A7" i="63"/>
  <c r="K6" i="63"/>
  <c r="A6" i="63"/>
  <c r="K5" i="63"/>
  <c r="A5" i="63"/>
  <c r="K4" i="63"/>
  <c r="A4" i="63"/>
  <c r="K3" i="63"/>
  <c r="A3" i="63"/>
  <c r="K2" i="63"/>
  <c r="A2" i="63"/>
  <c r="Q96" i="62"/>
  <c r="A96" i="62"/>
  <c r="A95" i="62"/>
  <c r="A94" i="62"/>
  <c r="A92" i="62"/>
  <c r="A91" i="62"/>
  <c r="A90" i="62"/>
  <c r="A89" i="62"/>
  <c r="A88" i="62"/>
  <c r="A87" i="62"/>
  <c r="A86" i="62"/>
  <c r="A85" i="62"/>
  <c r="A84" i="62"/>
  <c r="A83" i="62"/>
  <c r="A82" i="62"/>
  <c r="A81" i="62"/>
  <c r="A80" i="62"/>
  <c r="A79" i="62"/>
  <c r="A78" i="62"/>
  <c r="A77" i="62"/>
  <c r="K76" i="62"/>
  <c r="A76" i="62"/>
  <c r="K75" i="62"/>
  <c r="A75" i="62"/>
  <c r="K74" i="62"/>
  <c r="A74" i="62"/>
  <c r="A72" i="62"/>
  <c r="K71" i="62"/>
  <c r="A71" i="62"/>
  <c r="A69" i="62"/>
  <c r="K68" i="62"/>
  <c r="A68" i="62"/>
  <c r="K67" i="62"/>
  <c r="A67" i="62"/>
  <c r="K66" i="62"/>
  <c r="A66" i="62"/>
  <c r="K65" i="62"/>
  <c r="A65" i="62"/>
  <c r="A64" i="62"/>
  <c r="A63" i="62"/>
  <c r="A62" i="62"/>
  <c r="A61" i="62"/>
  <c r="A60" i="62"/>
  <c r="K59" i="62"/>
  <c r="D59" i="62" s="1"/>
  <c r="A59" i="62"/>
  <c r="K58" i="62"/>
  <c r="D58" i="62" s="1"/>
  <c r="A58" i="62"/>
  <c r="K57" i="62"/>
  <c r="D57" i="62" s="1"/>
  <c r="A57" i="62"/>
  <c r="K56" i="62"/>
  <c r="D56" i="62" s="1"/>
  <c r="A56" i="62"/>
  <c r="K55" i="62"/>
  <c r="D55" i="62" s="1"/>
  <c r="A55" i="62"/>
  <c r="D54" i="62"/>
  <c r="A54" i="62"/>
  <c r="K53" i="62"/>
  <c r="D53" i="62" s="1"/>
  <c r="A53" i="62"/>
  <c r="K52" i="62"/>
  <c r="D52" i="62" s="1"/>
  <c r="A52" i="62"/>
  <c r="K51" i="62"/>
  <c r="D51" i="62" s="1"/>
  <c r="A51" i="62"/>
  <c r="K50" i="62"/>
  <c r="D50" i="62" s="1"/>
  <c r="A50" i="62"/>
  <c r="K49" i="62"/>
  <c r="D49" i="62" s="1"/>
  <c r="A49" i="62"/>
  <c r="K48" i="62"/>
  <c r="A48" i="62"/>
  <c r="A47" i="62"/>
  <c r="K46" i="62"/>
  <c r="A46" i="62"/>
  <c r="K45" i="62"/>
  <c r="D45" i="62" s="1"/>
  <c r="A45" i="62"/>
  <c r="K44" i="62"/>
  <c r="D44" i="62" s="1"/>
  <c r="A44" i="62"/>
  <c r="K43" i="62"/>
  <c r="D43" i="62" s="1"/>
  <c r="A43" i="62"/>
  <c r="K42" i="62"/>
  <c r="D42" i="62" s="1"/>
  <c r="A42" i="62"/>
  <c r="K41" i="62"/>
  <c r="D41" i="62" s="1"/>
  <c r="A41" i="62"/>
  <c r="A40" i="62"/>
  <c r="A39" i="62"/>
  <c r="K38" i="62"/>
  <c r="A38" i="62"/>
  <c r="K37" i="62"/>
  <c r="A37" i="62"/>
  <c r="A36" i="62"/>
  <c r="K35" i="62"/>
  <c r="A35" i="62"/>
  <c r="K34" i="62"/>
  <c r="A34" i="62"/>
  <c r="K33" i="62"/>
  <c r="A33" i="62"/>
  <c r="K32" i="62"/>
  <c r="A32" i="62"/>
  <c r="K31" i="62"/>
  <c r="A31" i="62"/>
  <c r="K30" i="62"/>
  <c r="A30" i="62"/>
  <c r="K29" i="62"/>
  <c r="A29" i="62"/>
  <c r="K28" i="62"/>
  <c r="A28" i="62"/>
  <c r="K27" i="62"/>
  <c r="A27" i="62"/>
  <c r="K26" i="62"/>
  <c r="A26" i="62"/>
  <c r="A25" i="62"/>
  <c r="A24" i="62"/>
  <c r="A23" i="62"/>
  <c r="A22" i="62"/>
  <c r="A21" i="62"/>
  <c r="A20" i="62"/>
  <c r="A19" i="62"/>
  <c r="A18" i="62"/>
  <c r="A17" i="62"/>
  <c r="A16" i="62"/>
  <c r="K15" i="62"/>
  <c r="A15" i="62"/>
  <c r="K14" i="62"/>
  <c r="A14" i="62"/>
  <c r="A13" i="62"/>
  <c r="K12" i="62"/>
  <c r="A12" i="62"/>
  <c r="K11" i="62"/>
  <c r="A11" i="62"/>
  <c r="K10" i="62"/>
  <c r="A10" i="62"/>
  <c r="K9" i="62"/>
  <c r="A9" i="62"/>
  <c r="K8" i="62"/>
  <c r="A8" i="62"/>
  <c r="K7" i="62"/>
  <c r="A7" i="62"/>
  <c r="K6" i="62"/>
  <c r="A6" i="62"/>
  <c r="K5" i="62"/>
  <c r="A5" i="62"/>
  <c r="K4" i="62"/>
  <c r="A4" i="62"/>
  <c r="K3" i="62"/>
  <c r="A3" i="62"/>
  <c r="K2" i="62"/>
  <c r="A2" i="62"/>
  <c r="E92" i="61"/>
  <c r="R98" i="62" l="1"/>
  <c r="O98" i="62" s="1"/>
  <c r="R97" i="62"/>
  <c r="O97" i="62" s="1"/>
  <c r="N97" i="62" s="1"/>
  <c r="R99" i="62"/>
  <c r="O99" i="62" s="1"/>
  <c r="N99" i="62" s="1"/>
  <c r="R97" i="63"/>
  <c r="O97" i="63" s="1"/>
  <c r="N97" i="63" s="1"/>
  <c r="K68" i="61"/>
  <c r="A68" i="61"/>
  <c r="K67" i="61"/>
  <c r="A67" i="61"/>
  <c r="K66" i="61"/>
  <c r="A66" i="61"/>
  <c r="K65" i="61"/>
  <c r="A65" i="61"/>
  <c r="D54" i="61"/>
  <c r="A54" i="61"/>
  <c r="A84" i="61"/>
  <c r="A83" i="61"/>
  <c r="A82" i="61"/>
  <c r="A90" i="61"/>
  <c r="A89" i="61"/>
  <c r="A88" i="61"/>
  <c r="A87" i="61"/>
  <c r="A86" i="61"/>
  <c r="A85" i="61"/>
  <c r="A81" i="61"/>
  <c r="A80" i="61"/>
  <c r="A79" i="61"/>
  <c r="A78" i="61"/>
  <c r="A77" i="61"/>
  <c r="A76" i="61"/>
  <c r="A75" i="61"/>
  <c r="A90" i="60"/>
  <c r="A89" i="60"/>
  <c r="A88" i="60"/>
  <c r="A87" i="60"/>
  <c r="A86" i="60"/>
  <c r="A85" i="60"/>
  <c r="A84" i="60"/>
  <c r="A83" i="60"/>
  <c r="A82" i="60"/>
  <c r="A81" i="60"/>
  <c r="A80" i="60"/>
  <c r="A79" i="60"/>
  <c r="A78" i="60"/>
  <c r="A77" i="60"/>
  <c r="A76" i="60"/>
  <c r="A75" i="60"/>
  <c r="A74" i="60"/>
  <c r="A81" i="59"/>
  <c r="A79" i="59"/>
  <c r="A78" i="59"/>
  <c r="A89" i="59"/>
  <c r="A88" i="59"/>
  <c r="A87" i="59"/>
  <c r="A86" i="59"/>
  <c r="A85" i="59"/>
  <c r="A84" i="59"/>
  <c r="A83" i="59"/>
  <c r="A82" i="59"/>
  <c r="A80" i="59"/>
  <c r="A77" i="59"/>
  <c r="A76" i="59"/>
  <c r="A75" i="59"/>
  <c r="A74" i="59"/>
  <c r="A92" i="58"/>
  <c r="A91" i="58"/>
  <c r="A90" i="58"/>
  <c r="A89" i="58"/>
  <c r="A88" i="58"/>
  <c r="A87" i="58"/>
  <c r="A86" i="58"/>
  <c r="A85" i="58"/>
  <c r="A84" i="58"/>
  <c r="A83" i="58"/>
  <c r="A82" i="58"/>
  <c r="A81" i="58"/>
  <c r="A80" i="58"/>
  <c r="A79" i="58"/>
  <c r="A78" i="58"/>
  <c r="A77" i="58"/>
  <c r="A76" i="58"/>
  <c r="Q95" i="61" l="1"/>
  <c r="Q93" i="61" s="1"/>
  <c r="Q94" i="59"/>
  <c r="Q93" i="59"/>
  <c r="Q91" i="59" s="1"/>
  <c r="Q93" i="60" l="1"/>
  <c r="Q95" i="58" l="1"/>
  <c r="R95" i="61"/>
  <c r="O95" i="61" s="1"/>
  <c r="N95" i="61" s="1"/>
  <c r="R94" i="61"/>
  <c r="O94" i="61" s="1"/>
  <c r="N94" i="61" s="1"/>
  <c r="A93" i="61"/>
  <c r="A92" i="61"/>
  <c r="A91" i="61"/>
  <c r="K74" i="61"/>
  <c r="A74" i="61"/>
  <c r="K73" i="61"/>
  <c r="A73" i="61"/>
  <c r="K72" i="61"/>
  <c r="A72" i="61"/>
  <c r="A71" i="61"/>
  <c r="K70" i="61"/>
  <c r="A70" i="61"/>
  <c r="A69" i="61"/>
  <c r="A64" i="61"/>
  <c r="A63" i="61"/>
  <c r="A62" i="61"/>
  <c r="A61" i="61"/>
  <c r="A60" i="61"/>
  <c r="K59" i="61"/>
  <c r="D59" i="61" s="1"/>
  <c r="A59" i="61"/>
  <c r="K58" i="61"/>
  <c r="D58" i="61" s="1"/>
  <c r="A58" i="61"/>
  <c r="K57" i="61"/>
  <c r="D57" i="61" s="1"/>
  <c r="A57" i="61"/>
  <c r="K56" i="61"/>
  <c r="D56" i="61" s="1"/>
  <c r="A56" i="61"/>
  <c r="K55" i="61"/>
  <c r="D55" i="61" s="1"/>
  <c r="A55" i="61"/>
  <c r="K53" i="61"/>
  <c r="D53" i="61" s="1"/>
  <c r="A53" i="61"/>
  <c r="K52" i="61"/>
  <c r="D52" i="61" s="1"/>
  <c r="A52" i="61"/>
  <c r="K51" i="61"/>
  <c r="D51" i="61" s="1"/>
  <c r="A51" i="61"/>
  <c r="K50" i="61"/>
  <c r="D50" i="61" s="1"/>
  <c r="A50" i="61"/>
  <c r="K49" i="61"/>
  <c r="D49" i="61" s="1"/>
  <c r="A49" i="61"/>
  <c r="K48" i="61"/>
  <c r="A48" i="61"/>
  <c r="A47" i="61"/>
  <c r="K46" i="61"/>
  <c r="A46" i="61"/>
  <c r="K45" i="61"/>
  <c r="D45" i="61" s="1"/>
  <c r="A45" i="61"/>
  <c r="K44" i="61"/>
  <c r="D44" i="61" s="1"/>
  <c r="A44" i="61"/>
  <c r="K43" i="61"/>
  <c r="D43" i="61" s="1"/>
  <c r="A43" i="61"/>
  <c r="K42" i="61"/>
  <c r="D42" i="61" s="1"/>
  <c r="A42" i="61"/>
  <c r="K41" i="61"/>
  <c r="D41" i="61" s="1"/>
  <c r="A41" i="61"/>
  <c r="A40" i="61"/>
  <c r="A39" i="61"/>
  <c r="K38" i="61"/>
  <c r="A38" i="61"/>
  <c r="K37" i="61"/>
  <c r="A37" i="61"/>
  <c r="A36" i="61"/>
  <c r="K35" i="61"/>
  <c r="A35" i="61"/>
  <c r="K34" i="61"/>
  <c r="A34" i="61"/>
  <c r="K33" i="61"/>
  <c r="A33" i="61"/>
  <c r="K32" i="61"/>
  <c r="A32" i="61"/>
  <c r="K31" i="61"/>
  <c r="A31" i="61"/>
  <c r="K30" i="61"/>
  <c r="A30" i="61"/>
  <c r="K29" i="61"/>
  <c r="A29" i="61"/>
  <c r="K28" i="61"/>
  <c r="A28" i="61"/>
  <c r="K27" i="61"/>
  <c r="A27" i="61"/>
  <c r="K26" i="61"/>
  <c r="A26" i="61"/>
  <c r="A25" i="61"/>
  <c r="A24" i="61"/>
  <c r="A23" i="61"/>
  <c r="A22" i="61"/>
  <c r="A21" i="61"/>
  <c r="A20" i="61"/>
  <c r="A19" i="61"/>
  <c r="A18" i="61"/>
  <c r="A17" i="61"/>
  <c r="A16" i="61"/>
  <c r="K15" i="61"/>
  <c r="A15" i="61"/>
  <c r="K14" i="61"/>
  <c r="A14" i="61"/>
  <c r="A13" i="61"/>
  <c r="K12" i="61"/>
  <c r="A12" i="61"/>
  <c r="K11" i="61"/>
  <c r="A11" i="61"/>
  <c r="K10" i="61"/>
  <c r="A10" i="61"/>
  <c r="K9" i="61"/>
  <c r="A9" i="61"/>
  <c r="K8" i="61"/>
  <c r="A8" i="61"/>
  <c r="K7" i="61"/>
  <c r="A7" i="61"/>
  <c r="K6" i="61"/>
  <c r="A6" i="61"/>
  <c r="K5" i="61"/>
  <c r="A5" i="61"/>
  <c r="K4" i="61"/>
  <c r="A4" i="61"/>
  <c r="K3" i="61"/>
  <c r="A3" i="61"/>
  <c r="K2" i="61"/>
  <c r="A2" i="61"/>
  <c r="R95" i="60" l="1"/>
  <c r="O95" i="60" s="1"/>
  <c r="N95" i="60" s="1"/>
  <c r="R94" i="60"/>
  <c r="O94" i="60" s="1"/>
  <c r="N94" i="60" s="1"/>
  <c r="A92" i="60"/>
  <c r="A91" i="60"/>
  <c r="K73" i="60"/>
  <c r="A73" i="60"/>
  <c r="K72" i="60"/>
  <c r="A72" i="60"/>
  <c r="K71" i="60"/>
  <c r="A71" i="60"/>
  <c r="E70" i="60"/>
  <c r="A70" i="60"/>
  <c r="K69" i="60"/>
  <c r="E69" i="60"/>
  <c r="A69" i="60"/>
  <c r="E68" i="60"/>
  <c r="A68" i="60"/>
  <c r="K67" i="60"/>
  <c r="E67" i="60"/>
  <c r="A67" i="60"/>
  <c r="A66" i="60"/>
  <c r="A65" i="60"/>
  <c r="A64" i="60"/>
  <c r="A63" i="60"/>
  <c r="A62" i="60"/>
  <c r="K61" i="60"/>
  <c r="D61" i="60" s="1"/>
  <c r="A61" i="60"/>
  <c r="K60" i="60"/>
  <c r="D60" i="60" s="1"/>
  <c r="A60" i="60"/>
  <c r="K59" i="60"/>
  <c r="D59" i="60" s="1"/>
  <c r="A59" i="60"/>
  <c r="K58" i="60"/>
  <c r="D58" i="60" s="1"/>
  <c r="A58" i="60"/>
  <c r="K57" i="60"/>
  <c r="D57" i="60" s="1"/>
  <c r="A57" i="60"/>
  <c r="K56" i="60"/>
  <c r="D56" i="60" s="1"/>
  <c r="A56" i="60"/>
  <c r="K55" i="60"/>
  <c r="D55" i="60" s="1"/>
  <c r="A55" i="60"/>
  <c r="K54" i="60"/>
  <c r="D54" i="60" s="1"/>
  <c r="A54" i="60"/>
  <c r="K53" i="60"/>
  <c r="D53" i="60" s="1"/>
  <c r="A53" i="60"/>
  <c r="K52" i="60"/>
  <c r="D52" i="60" s="1"/>
  <c r="A52" i="60"/>
  <c r="K51" i="60"/>
  <c r="A51" i="60"/>
  <c r="K50" i="60"/>
  <c r="A50" i="60"/>
  <c r="A49" i="60"/>
  <c r="K48" i="60"/>
  <c r="A48" i="60"/>
  <c r="K47" i="60"/>
  <c r="D47" i="60" s="1"/>
  <c r="A47" i="60"/>
  <c r="K46" i="60"/>
  <c r="D46" i="60" s="1"/>
  <c r="A46" i="60"/>
  <c r="K45" i="60"/>
  <c r="D45" i="60" s="1"/>
  <c r="A45" i="60"/>
  <c r="K44" i="60"/>
  <c r="D44" i="60" s="1"/>
  <c r="A44" i="60"/>
  <c r="K43" i="60"/>
  <c r="D43" i="60" s="1"/>
  <c r="A43" i="60"/>
  <c r="A42" i="60"/>
  <c r="A41" i="60"/>
  <c r="K40" i="60"/>
  <c r="A40" i="60"/>
  <c r="K39" i="60"/>
  <c r="A39" i="60"/>
  <c r="K38" i="60"/>
  <c r="A38" i="60"/>
  <c r="A37" i="60"/>
  <c r="K36" i="60"/>
  <c r="A36" i="60"/>
  <c r="K35" i="60"/>
  <c r="A35" i="60"/>
  <c r="K34" i="60"/>
  <c r="A34" i="60"/>
  <c r="K33" i="60"/>
  <c r="A33" i="60"/>
  <c r="K32" i="60"/>
  <c r="A32" i="60"/>
  <c r="K31" i="60"/>
  <c r="A31" i="60"/>
  <c r="K30" i="60"/>
  <c r="A30" i="60"/>
  <c r="K29" i="60"/>
  <c r="A29" i="60"/>
  <c r="K28" i="60"/>
  <c r="A28" i="60"/>
  <c r="K27" i="60"/>
  <c r="A27" i="60"/>
  <c r="A26" i="60"/>
  <c r="A25" i="60"/>
  <c r="A24" i="60"/>
  <c r="A23" i="60"/>
  <c r="A22" i="60"/>
  <c r="A21" i="60"/>
  <c r="A20" i="60"/>
  <c r="A19" i="60"/>
  <c r="A18" i="60"/>
  <c r="A17" i="60"/>
  <c r="K16" i="60"/>
  <c r="A16" i="60"/>
  <c r="K15" i="60"/>
  <c r="A15" i="60"/>
  <c r="K14" i="60"/>
  <c r="A14" i="60"/>
  <c r="A13" i="60"/>
  <c r="K12" i="60"/>
  <c r="A12" i="60"/>
  <c r="K11" i="60"/>
  <c r="A11" i="60"/>
  <c r="K10" i="60"/>
  <c r="A10" i="60"/>
  <c r="K9" i="60"/>
  <c r="A9" i="60"/>
  <c r="K8" i="60"/>
  <c r="A8" i="60"/>
  <c r="K7" i="60"/>
  <c r="A7" i="60"/>
  <c r="K6" i="60"/>
  <c r="A6" i="60"/>
  <c r="K5" i="60"/>
  <c r="A5" i="60"/>
  <c r="K4" i="60"/>
  <c r="A4" i="60"/>
  <c r="K3" i="60"/>
  <c r="A3" i="60"/>
  <c r="K2" i="60"/>
  <c r="A2" i="60"/>
  <c r="E70" i="59" l="1"/>
  <c r="E69" i="59"/>
  <c r="E68" i="59"/>
  <c r="E67" i="59"/>
  <c r="A44" i="58" l="1"/>
  <c r="R93" i="59"/>
  <c r="O93" i="59" s="1"/>
  <c r="N93" i="59" s="1"/>
  <c r="R92" i="59"/>
  <c r="A92" i="59"/>
  <c r="A91" i="59"/>
  <c r="A90" i="59"/>
  <c r="K73" i="59"/>
  <c r="A73" i="59"/>
  <c r="K72" i="59"/>
  <c r="A72" i="59"/>
  <c r="K71" i="59"/>
  <c r="A71" i="59"/>
  <c r="A70" i="59"/>
  <c r="K69" i="59"/>
  <c r="A69" i="59"/>
  <c r="A68" i="59"/>
  <c r="K67" i="59"/>
  <c r="A67" i="59"/>
  <c r="A66" i="59"/>
  <c r="A65" i="59"/>
  <c r="A64" i="59"/>
  <c r="A63" i="59"/>
  <c r="A62" i="59"/>
  <c r="K61" i="59"/>
  <c r="D61" i="59" s="1"/>
  <c r="A61" i="59"/>
  <c r="K60" i="59"/>
  <c r="D60" i="59" s="1"/>
  <c r="A60" i="59"/>
  <c r="K59" i="59"/>
  <c r="D59" i="59" s="1"/>
  <c r="A59" i="59"/>
  <c r="K58" i="59"/>
  <c r="D58" i="59" s="1"/>
  <c r="A58" i="59"/>
  <c r="K57" i="59"/>
  <c r="D57" i="59" s="1"/>
  <c r="A57" i="59"/>
  <c r="K56" i="59"/>
  <c r="D56" i="59" s="1"/>
  <c r="A56" i="59"/>
  <c r="K55" i="59"/>
  <c r="D55" i="59" s="1"/>
  <c r="A55" i="59"/>
  <c r="K54" i="59"/>
  <c r="D54" i="59" s="1"/>
  <c r="A54" i="59"/>
  <c r="K53" i="59"/>
  <c r="D53" i="59" s="1"/>
  <c r="A53" i="59"/>
  <c r="K52" i="59"/>
  <c r="D52" i="59" s="1"/>
  <c r="A52" i="59"/>
  <c r="K51" i="59"/>
  <c r="A51" i="59"/>
  <c r="K50" i="59"/>
  <c r="A50" i="59"/>
  <c r="A49" i="59"/>
  <c r="K48" i="59"/>
  <c r="A48" i="59"/>
  <c r="K47" i="59"/>
  <c r="D47" i="59" s="1"/>
  <c r="A47" i="59"/>
  <c r="K46" i="59"/>
  <c r="D46" i="59" s="1"/>
  <c r="A46" i="59"/>
  <c r="K45" i="59"/>
  <c r="D45" i="59" s="1"/>
  <c r="A45" i="59"/>
  <c r="K44" i="59"/>
  <c r="D44" i="59" s="1"/>
  <c r="A44" i="59"/>
  <c r="K43" i="59"/>
  <c r="D43" i="59" s="1"/>
  <c r="A43" i="59"/>
  <c r="A42" i="59"/>
  <c r="A41" i="59"/>
  <c r="K40" i="59"/>
  <c r="A40" i="59"/>
  <c r="K39" i="59"/>
  <c r="A39" i="59"/>
  <c r="K38" i="59"/>
  <c r="A38" i="59"/>
  <c r="A37" i="59"/>
  <c r="K36" i="59"/>
  <c r="A36" i="59"/>
  <c r="K35" i="59"/>
  <c r="A35" i="59"/>
  <c r="K34" i="59"/>
  <c r="A34" i="59"/>
  <c r="K33" i="59"/>
  <c r="A33" i="59"/>
  <c r="K32" i="59"/>
  <c r="A32" i="59"/>
  <c r="K31" i="59"/>
  <c r="A31" i="59"/>
  <c r="K30" i="59"/>
  <c r="A30" i="59"/>
  <c r="K29" i="59"/>
  <c r="A29" i="59"/>
  <c r="K28" i="59"/>
  <c r="A28" i="59"/>
  <c r="K27" i="59"/>
  <c r="A27" i="59"/>
  <c r="A26" i="59"/>
  <c r="A25" i="59"/>
  <c r="A24" i="59"/>
  <c r="A23" i="59"/>
  <c r="A22" i="59"/>
  <c r="A21" i="59"/>
  <c r="A20" i="59"/>
  <c r="A19" i="59"/>
  <c r="A18" i="59"/>
  <c r="A17" i="59"/>
  <c r="K16" i="59"/>
  <c r="A16" i="59"/>
  <c r="K15" i="59"/>
  <c r="A15" i="59"/>
  <c r="K14" i="59"/>
  <c r="A14" i="59"/>
  <c r="A13" i="59"/>
  <c r="K12" i="59"/>
  <c r="A12" i="59"/>
  <c r="K11" i="59"/>
  <c r="A11" i="59"/>
  <c r="K10" i="59"/>
  <c r="A10" i="59"/>
  <c r="K9" i="59"/>
  <c r="A9" i="59"/>
  <c r="K8" i="59"/>
  <c r="A8" i="59"/>
  <c r="K7" i="59"/>
  <c r="A7" i="59"/>
  <c r="K6" i="59"/>
  <c r="A6" i="59"/>
  <c r="K5" i="59"/>
  <c r="A5" i="59"/>
  <c r="K4" i="59"/>
  <c r="A4" i="59"/>
  <c r="K3" i="59"/>
  <c r="A3" i="59"/>
  <c r="K2" i="59"/>
  <c r="A2" i="59"/>
  <c r="K50" i="58"/>
  <c r="K75" i="58"/>
  <c r="K74" i="58"/>
  <c r="K73" i="58"/>
  <c r="K71" i="58"/>
  <c r="K69" i="58"/>
  <c r="K63" i="58"/>
  <c r="D63" i="58" s="1"/>
  <c r="K62" i="58"/>
  <c r="D62" i="58" s="1"/>
  <c r="K61" i="58"/>
  <c r="D61" i="58" s="1"/>
  <c r="K60" i="58"/>
  <c r="D60" i="58" s="1"/>
  <c r="K59" i="58"/>
  <c r="D59" i="58" s="1"/>
  <c r="K58" i="58"/>
  <c r="D58" i="58" s="1"/>
  <c r="K57" i="58"/>
  <c r="D57" i="58" s="1"/>
  <c r="K56" i="58"/>
  <c r="D56" i="58" s="1"/>
  <c r="K55" i="58"/>
  <c r="D55" i="58" s="1"/>
  <c r="K54" i="58"/>
  <c r="D54" i="58" s="1"/>
  <c r="K53" i="58"/>
  <c r="K52" i="58"/>
  <c r="K49" i="58"/>
  <c r="D49" i="58" s="1"/>
  <c r="K48" i="58"/>
  <c r="D48" i="58" s="1"/>
  <c r="K47" i="58"/>
  <c r="D47" i="58" s="1"/>
  <c r="K46" i="58"/>
  <c r="D46" i="58" s="1"/>
  <c r="K45" i="58"/>
  <c r="D45" i="58" s="1"/>
  <c r="K40" i="58"/>
  <c r="K39" i="58"/>
  <c r="K38" i="58"/>
  <c r="K36" i="58"/>
  <c r="K35" i="58"/>
  <c r="K34" i="58"/>
  <c r="K33" i="58"/>
  <c r="K32" i="58"/>
  <c r="K31" i="58"/>
  <c r="K30" i="58"/>
  <c r="K29" i="58"/>
  <c r="K28" i="58"/>
  <c r="K27" i="58"/>
  <c r="K16" i="58"/>
  <c r="K15" i="58"/>
  <c r="K14" i="58"/>
  <c r="K12" i="58"/>
  <c r="K11" i="58"/>
  <c r="K10" i="58"/>
  <c r="K9" i="58"/>
  <c r="K8" i="58"/>
  <c r="K6" i="58"/>
  <c r="K5" i="58"/>
  <c r="K4" i="58"/>
  <c r="K3" i="58"/>
  <c r="K2" i="58"/>
  <c r="A50" i="58"/>
  <c r="O92" i="59" l="1"/>
  <c r="N92" i="59" s="1"/>
  <c r="R94" i="59"/>
  <c r="O94" i="59" s="1"/>
  <c r="N94" i="59" s="1"/>
  <c r="A26" i="58"/>
  <c r="A25" i="58"/>
  <c r="A24" i="58"/>
  <c r="A23" i="58"/>
  <c r="A21" i="58"/>
  <c r="A20" i="58"/>
  <c r="A19" i="58"/>
  <c r="A18" i="58"/>
  <c r="R97" i="58"/>
  <c r="O97" i="58" s="1"/>
  <c r="N97" i="58" s="1"/>
  <c r="R96" i="58"/>
  <c r="O96" i="58" s="1"/>
  <c r="N96" i="58" s="1"/>
  <c r="A94" i="58"/>
  <c r="A93" i="58"/>
  <c r="A75" i="58"/>
  <c r="A74" i="58"/>
  <c r="A73" i="58"/>
  <c r="A72" i="58"/>
  <c r="A71" i="58"/>
  <c r="A70" i="58"/>
  <c r="A69" i="58"/>
  <c r="A68" i="58"/>
  <c r="A67" i="58"/>
  <c r="A66" i="58"/>
  <c r="A65" i="58"/>
  <c r="A64" i="58"/>
  <c r="A63" i="58"/>
  <c r="A62" i="58"/>
  <c r="A61" i="58"/>
  <c r="A60" i="58"/>
  <c r="A59" i="58"/>
  <c r="A58" i="58"/>
  <c r="A57" i="58"/>
  <c r="A56" i="58"/>
  <c r="A55" i="58"/>
  <c r="A54" i="58"/>
  <c r="A53" i="58"/>
  <c r="A52" i="58"/>
  <c r="A51" i="58"/>
  <c r="A49" i="58"/>
  <c r="A48" i="58"/>
  <c r="A47" i="58"/>
  <c r="A46" i="58"/>
  <c r="A45" i="58"/>
  <c r="A43" i="58"/>
  <c r="A41" i="58"/>
  <c r="A40" i="58"/>
  <c r="A39" i="58"/>
  <c r="A38" i="58"/>
  <c r="A37" i="58"/>
  <c r="A36" i="58"/>
  <c r="A35" i="58"/>
  <c r="A34" i="58"/>
  <c r="A33" i="58"/>
  <c r="A32" i="58"/>
  <c r="A31" i="58"/>
  <c r="A30" i="58"/>
  <c r="A29" i="58"/>
  <c r="A28" i="58"/>
  <c r="A27" i="58"/>
  <c r="A22" i="58"/>
  <c r="A17" i="58"/>
  <c r="A16" i="58"/>
  <c r="A15" i="58"/>
  <c r="A14" i="58"/>
  <c r="A13" i="58"/>
  <c r="A12" i="58"/>
  <c r="A11" i="58"/>
  <c r="A10" i="58"/>
  <c r="A9" i="58"/>
  <c r="A8" i="58"/>
  <c r="A7" i="58"/>
  <c r="A6" i="58"/>
  <c r="A5" i="58"/>
  <c r="A4" i="58"/>
  <c r="A3" i="58"/>
  <c r="A2" i="58"/>
</calcChain>
</file>

<file path=xl/sharedStrings.xml><?xml version="1.0" encoding="utf-8"?>
<sst xmlns="http://schemas.openxmlformats.org/spreadsheetml/2006/main" count="1602" uniqueCount="83">
  <si>
    <t xml:space="preserve">HISTORICO </t>
  </si>
  <si>
    <t>ID ORACLE</t>
  </si>
  <si>
    <t>BROKER</t>
  </si>
  <si>
    <t>VALOR</t>
  </si>
  <si>
    <t>FORNECEDOR</t>
  </si>
  <si>
    <t>DATA LANCAMENTO</t>
  </si>
  <si>
    <t>CODIGO CLIENTE</t>
  </si>
  <si>
    <t>DATA COMPETENCIA</t>
  </si>
  <si>
    <t>ATG</t>
  </si>
  <si>
    <t>OMS CARE ORDER</t>
  </si>
  <si>
    <t>TACTICS</t>
  </si>
  <si>
    <t>TRADING TECHNOLOGIES</t>
  </si>
  <si>
    <t xml:space="preserve"> - </t>
  </si>
  <si>
    <t>ALVARO LUIZ RICOTTA SOARES</t>
  </si>
  <si>
    <t>FRANCISCO JOSE DIAS CARVALHO</t>
  </si>
  <si>
    <t>RAFFAELE SCURTI NETTO</t>
  </si>
  <si>
    <t>PEDRO STENZEL BRASILIANO DA COSTA</t>
  </si>
  <si>
    <t>RODRIGO PENTAGNA</t>
  </si>
  <si>
    <t>ANDRE FERREIRA DOS SANTOS</t>
  </si>
  <si>
    <t>DANIEL TEIXEIRA SIQUEIRA GONÇALVES</t>
  </si>
  <si>
    <t>CESAR MARIANO SCARAMBONE MENEZES</t>
  </si>
  <si>
    <t>ALEXANDRE DA COSTA SOARES</t>
  </si>
  <si>
    <t>JOAO RODRIGUES DOS SANTOS E JUNQUEIRA</t>
  </si>
  <si>
    <t>FELIPE DE ANDRADE BASILE</t>
  </si>
  <si>
    <t>HAMILTON DEL MONACO FILHO</t>
  </si>
  <si>
    <t>GUSTAVO BURMAS CARVALHO</t>
  </si>
  <si>
    <t>ID ORACLE CUSTO</t>
  </si>
  <si>
    <t>ID ORACLE BROKER</t>
  </si>
  <si>
    <t>FELIPE GOMES BASILE</t>
  </si>
  <si>
    <t>OFFSHORE LISTED</t>
  </si>
  <si>
    <t>ALEXANDRE BRENO STEVENS</t>
  </si>
  <si>
    <t>FELIPE MEIRELLES RACCAH</t>
  </si>
  <si>
    <t>MATHEUS NACIF NESRALLAH</t>
  </si>
  <si>
    <t>SILICON TRADER</t>
  </si>
  <si>
    <t>ENRICO BORTPLUZO CASSIANO</t>
  </si>
  <si>
    <t>TERMO</t>
  </si>
  <si>
    <t>VICTOR FRANCISCO DOS SANTOS PRETO</t>
  </si>
  <si>
    <t>BLOOMBERG SINGAPURA</t>
  </si>
  <si>
    <t>FABIO SOARES PFAENDER</t>
  </si>
  <si>
    <t>CETIP</t>
  </si>
  <si>
    <t>VINICIUS AMARAL DE MOURA</t>
  </si>
  <si>
    <t>C</t>
  </si>
  <si>
    <t>Pfaender</t>
  </si>
  <si>
    <t>CLYBAS PINTO FERRAZ NETO</t>
  </si>
  <si>
    <t>ANDRE LUIZ MARQUES MATTOS</t>
  </si>
  <si>
    <t>ja vai atualizar sozinho</t>
  </si>
  <si>
    <t>conferir na planilha RFQ BTBS</t>
  </si>
  <si>
    <t>B</t>
  </si>
  <si>
    <t>E</t>
  </si>
  <si>
    <t>Z</t>
  </si>
  <si>
    <t>FI</t>
  </si>
  <si>
    <t>ANTÔNIO MARTINS NETO</t>
  </si>
  <si>
    <t>BRENO MELLO DOS SANTOS</t>
  </si>
  <si>
    <t>EDRAS DURAES D ANUNCIACAO</t>
  </si>
  <si>
    <t>GUSTAVO D ELBOUX FERRIELLO</t>
  </si>
  <si>
    <t>RICARDO ANDRE VASCONCELOS RAMOS</t>
  </si>
  <si>
    <t>JUAREZ JOAQUIM DE LACERDA</t>
  </si>
  <si>
    <t>WESLEY MARQUES DA SILVA</t>
  </si>
  <si>
    <t>CARLOS JOSE SEPPE MILANI</t>
  </si>
  <si>
    <t>FERNANDA CORVELLO BUTRICO</t>
  </si>
  <si>
    <t>TRADEMATE</t>
  </si>
  <si>
    <t>REINALDO ANDRE URBANO FILHO</t>
  </si>
  <si>
    <t>PARAMITA</t>
  </si>
  <si>
    <t>CUSTO PLATAFORMA - JANEIRO/26</t>
  </si>
  <si>
    <t>CLAUDIO DE SOUZA PACINI</t>
  </si>
  <si>
    <t>MARIO VICTOR SOARES MIRANDA</t>
  </si>
  <si>
    <t>CUSTO PLATAFORMA - FEVEREIRO/26</t>
  </si>
  <si>
    <t>CUSTO PLATAFORMA - MARÇO/26</t>
  </si>
  <si>
    <t>Ricardo Ramos</t>
  </si>
  <si>
    <t>REINALDO URBANO</t>
  </si>
  <si>
    <t>CLYBAS FERRAZ</t>
  </si>
  <si>
    <t>FABIO FENDER</t>
  </si>
  <si>
    <t>MESA PRE</t>
  </si>
  <si>
    <t>MESA NTN-B</t>
  </si>
  <si>
    <t>BGC SEGUNDA VOLTA</t>
  </si>
  <si>
    <t>FERNANDO FERREIRA FEITOSA</t>
  </si>
  <si>
    <t>NAYANA IVO DE ALMEIDA</t>
  </si>
  <si>
    <t>RODRIGO MOURA MARQUES</t>
  </si>
  <si>
    <t>RPPS</t>
  </si>
  <si>
    <t>previa</t>
  </si>
  <si>
    <t>CUSTO PLATAFORMA - ABRIL/26</t>
  </si>
  <si>
    <t>CUSTO PLATAFORMA - MAIO/26</t>
  </si>
  <si>
    <t>CUSTO PLATAFORMA - JUNHO/26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</si>
</sst>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_(* #,##0.00_);_(* \(#,##0.00\);_(* &quot;-&quot;??_);_(@_)"/>
    <numFmt numFmtId="165" formatCode="#,##0.00##_);[Red]\(#,##0.00##\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FEDD7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6" fillId="0" borderId="0"/>
  </cellStyleXfs>
  <cellXfs count="71">
    <xf numFmtId="0" fontId="0" fillId="0" borderId="0" xfId="0"/>
    <xf numFmtId="0" fontId="2" fillId="0" borderId="0" xfId="0" applyFont="1" applyAlignment="1">
      <alignment vertical="center"/>
    </xf>
    <xf numFmtId="164" fontId="2" fillId="0" borderId="0" xfId="1" applyFont="1" applyAlignment="1">
      <alignment vertical="center"/>
    </xf>
    <xf numFmtId="0" fontId="3" fillId="0" borderId="0" xfId="0" applyFont="1"/>
    <xf numFmtId="164" fontId="3" fillId="0" borderId="0" xfId="1" applyFont="1"/>
    <xf numFmtId="0" fontId="3" fillId="0" borderId="0" xfId="0" applyFont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3" fillId="0" borderId="1" xfId="0" applyFont="1" applyBorder="1" applyAlignment="1">
      <alignment vertical="center"/>
    </xf>
    <xf numFmtId="14" fontId="3" fillId="0" borderId="1" xfId="0" applyNumberFormat="1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64" fontId="4" fillId="2" borderId="0" xfId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vertical="center"/>
    </xf>
    <xf numFmtId="14" fontId="3" fillId="3" borderId="0" xfId="0" applyNumberFormat="1" applyFont="1" applyFill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14" fontId="3" fillId="3" borderId="1" xfId="0" applyNumberFormat="1" applyFont="1" applyFill="1" applyBorder="1" applyAlignment="1">
      <alignment horizontal="center" vertical="center"/>
    </xf>
    <xf numFmtId="14" fontId="3" fillId="0" borderId="0" xfId="0" applyNumberFormat="1" applyFont="1" applyAlignment="1">
      <alignment horizontal="left" vertical="center"/>
    </xf>
    <xf numFmtId="14" fontId="3" fillId="3" borderId="0" xfId="0" applyNumberFormat="1" applyFont="1" applyFill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/>
    </xf>
    <xf numFmtId="14" fontId="3" fillId="3" borderId="1" xfId="0" applyNumberFormat="1" applyFont="1" applyFill="1" applyBorder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 vertical="center"/>
    </xf>
    <xf numFmtId="164" fontId="0" fillId="0" borderId="0" xfId="1" applyFont="1" applyBorder="1"/>
    <xf numFmtId="43" fontId="0" fillId="0" borderId="0" xfId="0" applyNumberFormat="1"/>
    <xf numFmtId="164" fontId="5" fillId="0" borderId="0" xfId="1" applyFont="1" applyFill="1" applyBorder="1" applyAlignment="1">
      <alignment vertical="center"/>
    </xf>
    <xf numFmtId="0" fontId="5" fillId="3" borderId="0" xfId="0" applyFont="1" applyFill="1" applyAlignment="1">
      <alignment vertical="center"/>
    </xf>
    <xf numFmtId="0" fontId="5" fillId="0" borderId="1" xfId="0" applyFont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9" fontId="0" fillId="0" borderId="0" xfId="2" applyFont="1"/>
    <xf numFmtId="164" fontId="0" fillId="0" borderId="0" xfId="1" applyFont="1"/>
    <xf numFmtId="164" fontId="0" fillId="0" borderId="0" xfId="0" applyNumberFormat="1"/>
    <xf numFmtId="9" fontId="2" fillId="0" borderId="0" xfId="0" applyNumberFormat="1" applyFont="1" applyAlignment="1">
      <alignment vertical="center"/>
    </xf>
    <xf numFmtId="164" fontId="0" fillId="4" borderId="0" xfId="1" applyFont="1" applyFill="1"/>
    <xf numFmtId="0" fontId="3" fillId="0" borderId="2" xfId="0" applyFont="1" applyBorder="1" applyAlignment="1">
      <alignment vertical="center"/>
    </xf>
    <xf numFmtId="0" fontId="3" fillId="3" borderId="0" xfId="0" applyFont="1" applyFill="1"/>
    <xf numFmtId="0" fontId="3" fillId="3" borderId="1" xfId="0" applyFont="1" applyFill="1" applyBorder="1"/>
    <xf numFmtId="164" fontId="5" fillId="5" borderId="1" xfId="1" applyFont="1" applyFill="1" applyBorder="1" applyAlignment="1">
      <alignment vertical="center"/>
    </xf>
    <xf numFmtId="164" fontId="5" fillId="5" borderId="0" xfId="1" applyFont="1" applyFill="1" applyBorder="1" applyAlignment="1">
      <alignment vertical="center"/>
    </xf>
    <xf numFmtId="164" fontId="5" fillId="6" borderId="0" xfId="1" applyFont="1" applyFill="1" applyAlignment="1">
      <alignment vertical="center"/>
    </xf>
    <xf numFmtId="164" fontId="5" fillId="6" borderId="1" xfId="1" applyFont="1" applyFill="1" applyBorder="1" applyAlignment="1">
      <alignment vertical="center"/>
    </xf>
    <xf numFmtId="164" fontId="5" fillId="6" borderId="0" xfId="1" applyFont="1" applyFill="1" applyBorder="1" applyAlignment="1">
      <alignment vertical="center"/>
    </xf>
    <xf numFmtId="164" fontId="5" fillId="3" borderId="0" xfId="1" applyFont="1" applyFill="1" applyBorder="1" applyAlignment="1">
      <alignment vertical="center"/>
    </xf>
    <xf numFmtId="9" fontId="0" fillId="5" borderId="0" xfId="2" applyFont="1" applyFill="1"/>
    <xf numFmtId="10" fontId="0" fillId="5" borderId="0" xfId="2" applyNumberFormat="1" applyFont="1" applyFill="1"/>
    <xf numFmtId="10" fontId="0" fillId="5" borderId="0" xfId="1" applyNumberFormat="1" applyFont="1" applyFill="1"/>
    <xf numFmtId="164" fontId="0" fillId="5" borderId="0" xfId="1" applyFont="1" applyFill="1"/>
    <xf numFmtId="9" fontId="0" fillId="5" borderId="0" xfId="0" applyNumberFormat="1" applyFill="1"/>
    <xf numFmtId="0" fontId="3" fillId="3" borderId="3" xfId="0" applyFont="1" applyFill="1" applyBorder="1" applyAlignment="1">
      <alignment vertical="center"/>
    </xf>
    <xf numFmtId="14" fontId="3" fillId="3" borderId="2" xfId="0" applyNumberFormat="1" applyFont="1" applyFill="1" applyBorder="1" applyAlignment="1">
      <alignment horizontal="left" vertical="center"/>
    </xf>
    <xf numFmtId="14" fontId="3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0" fillId="0" borderId="2" xfId="0" applyBorder="1"/>
    <xf numFmtId="0" fontId="3" fillId="3" borderId="2" xfId="0" applyFont="1" applyFill="1" applyBorder="1" applyAlignment="1">
      <alignment horizontal="center" vertical="center"/>
    </xf>
    <xf numFmtId="164" fontId="5" fillId="5" borderId="0" xfId="1" applyFont="1" applyFill="1" applyAlignment="1">
      <alignment vertical="center"/>
    </xf>
    <xf numFmtId="164" fontId="5" fillId="5" borderId="2" xfId="1" applyFont="1" applyFill="1" applyBorder="1" applyAlignment="1">
      <alignment vertical="center"/>
    </xf>
    <xf numFmtId="164" fontId="7" fillId="4" borderId="0" xfId="1" applyFont="1" applyFill="1"/>
    <xf numFmtId="164" fontId="5" fillId="4" borderId="1" xfId="1" applyFont="1" applyFill="1" applyBorder="1" applyAlignment="1">
      <alignment vertical="center"/>
    </xf>
  </cellXfs>
  <cellStyles count="4">
    <cellStyle name="blp_amount" xfId="3" xr:uid="{7AF23E08-AD60-4109-8DB0-8813C43E0694}"/>
    <cellStyle name="Comma" xfId="1" builtinId="3"/>
    <cellStyle name="Normal" xfId="0" builtinId="0"/>
    <cellStyle name="Percent" xfId="2" builtinId="5"/>
  </cellStyles>
  <dxfs count="0"/>
  <tableStyles count="1" defaultTableStyle="TableStyleMedium2" defaultPivotStyle="PivotStyleLight16">
    <tableStyle name="Invisible" pivot="0" table="0" count="0" xr9:uid="{5E428D6C-B2DC-4CA0-8BBD-544D3F61C7B2}"/>
  </tableStyles>
  <colors>
    <mruColors>
      <color rgb="FFDFED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X:\Gerencial\Diversos\Cadastro\BROKERS\2026\Matriz%20de%20Brokers.xlsx" TargetMode="External"/><Relationship Id="rId1" Type="http://schemas.openxmlformats.org/officeDocument/2006/relationships/externalLinkPath" Target="/Gerencial/Diversos/Cadastro/BROKERS/2026/Matriz%20de%20Brok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triz Brokers"/>
      <sheetName val="Desligado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4293F-97A6-4574-927D-22891F521A7E}">
  <dimension ref="A1:R312"/>
  <sheetViews>
    <sheetView showGridLines="0" topLeftCell="A64" zoomScaleNormal="100" workbookViewId="0">
      <selection activeCell="E76" sqref="E76:E92"/>
    </sheetView>
  </sheetViews>
  <sheetFormatPr defaultRowHeight="15" customHeight="1" x14ac:dyDescent="0.25"/>
  <cols>
    <col min="1" max="1" width="49" style="26" customWidth="1"/>
    <col min="2" max="2" width="19.28515625" style="7" bestFit="1" customWidth="1"/>
    <col min="3" max="3" width="12.42578125" style="5" bestFit="1" customWidth="1"/>
    <col min="4" max="4" width="30" style="3" bestFit="1" customWidth="1"/>
    <col min="5" max="5" width="11" style="4" bestFit="1" customWidth="1"/>
    <col min="6" max="6" width="17.28515625" style="3" bestFit="1" customWidth="1"/>
    <col min="7" max="7" width="19.140625" style="7" bestFit="1" customWidth="1"/>
    <col min="8" max="8" width="16.28515625" style="3" bestFit="1" customWidth="1"/>
    <col min="9" max="9" width="2" bestFit="1" customWidth="1"/>
    <col min="10" max="10" width="17" style="5" bestFit="1" customWidth="1"/>
    <col min="11" max="11" width="18" style="27" bestFit="1" customWidth="1"/>
    <col min="12" max="12" width="30" bestFit="1" customWidth="1"/>
    <col min="13" max="13" width="11.140625" bestFit="1" customWidth="1"/>
    <col min="14" max="14" width="10.5703125" bestFit="1" customWidth="1"/>
    <col min="16" max="17" width="9.5703125" bestFit="1" customWidth="1"/>
  </cols>
  <sheetData>
    <row r="1" spans="1:14" ht="14.25" customHeight="1" x14ac:dyDescent="0.25">
      <c r="A1" s="10" t="s">
        <v>0</v>
      </c>
      <c r="B1" s="10" t="s">
        <v>7</v>
      </c>
      <c r="C1" s="13" t="s">
        <v>1</v>
      </c>
      <c r="D1" s="13" t="s">
        <v>2</v>
      </c>
      <c r="E1" s="14" t="s">
        <v>3</v>
      </c>
      <c r="F1" s="13" t="s">
        <v>4</v>
      </c>
      <c r="G1" s="10" t="s">
        <v>5</v>
      </c>
      <c r="H1" s="13" t="s">
        <v>6</v>
      </c>
      <c r="I1" s="15" t="s">
        <v>12</v>
      </c>
      <c r="J1" s="16" t="s">
        <v>26</v>
      </c>
      <c r="K1" s="16" t="s">
        <v>27</v>
      </c>
      <c r="L1" s="15" t="s">
        <v>63</v>
      </c>
    </row>
    <row r="2" spans="1:14" ht="15" customHeight="1" x14ac:dyDescent="0.25">
      <c r="A2" s="21" t="str">
        <f>_xlfn.CONCAT($L$1,$I$1,F2,$I$1,J2)</f>
        <v>CUSTO PLATAFORMA - JANEIRO/26 - OMS CARE ORDER - 61086</v>
      </c>
      <c r="B2" s="9">
        <v>46023</v>
      </c>
      <c r="C2" s="8">
        <v>817394</v>
      </c>
      <c r="D2" s="8" t="s">
        <v>21</v>
      </c>
      <c r="E2" s="51">
        <v>-1687.10443059096</v>
      </c>
      <c r="F2" s="8" t="s">
        <v>9</v>
      </c>
      <c r="G2" s="9">
        <v>46023</v>
      </c>
      <c r="H2" s="8">
        <v>1170</v>
      </c>
      <c r="J2" s="37">
        <v>61086</v>
      </c>
      <c r="K2" s="37">
        <f>_xlfn.XLOOKUP(L2,[1]!Tabela33[BROKER],[1]!Tabela33[ID ORACLE],0,0,1)</f>
        <v>61086</v>
      </c>
      <c r="L2" s="8" t="s">
        <v>21</v>
      </c>
    </row>
    <row r="3" spans="1:14" ht="15" customHeight="1" x14ac:dyDescent="0.25">
      <c r="A3" s="21" t="str">
        <f t="shared" ref="A3:A72" si="0">_xlfn.CONCAT($L$1,$I$1,F3,$I$1,J3)</f>
        <v>CUSTO PLATAFORMA - JANEIRO/26 - OMS CARE ORDER - 57036</v>
      </c>
      <c r="B3" s="9">
        <v>46023</v>
      </c>
      <c r="C3" s="8">
        <v>817394</v>
      </c>
      <c r="D3" s="8" t="s">
        <v>21</v>
      </c>
      <c r="E3" s="51">
        <v>-1687.10443059096</v>
      </c>
      <c r="F3" s="8" t="s">
        <v>9</v>
      </c>
      <c r="G3" s="9">
        <v>46023</v>
      </c>
      <c r="H3" s="8">
        <v>1170</v>
      </c>
      <c r="J3" s="37">
        <v>57036</v>
      </c>
      <c r="K3" s="37">
        <f>_xlfn.XLOOKUP(L3,[1]!Tabela33[BROKER],[1]!Tabela33[ID ORACLE],0,0,1)</f>
        <v>57036</v>
      </c>
      <c r="L3" s="8" t="s">
        <v>22</v>
      </c>
      <c r="N3" s="29"/>
    </row>
    <row r="4" spans="1:14" ht="15" customHeight="1" x14ac:dyDescent="0.25">
      <c r="A4" s="21" t="str">
        <f t="shared" si="0"/>
        <v>CUSTO PLATAFORMA - JANEIRO/26 - OMS CARE ORDER - 115154</v>
      </c>
      <c r="B4" s="9">
        <v>46023</v>
      </c>
      <c r="C4" s="8">
        <v>817394</v>
      </c>
      <c r="D4" s="8" t="s">
        <v>21</v>
      </c>
      <c r="E4" s="51">
        <v>-1687.10443059096</v>
      </c>
      <c r="F4" s="8" t="s">
        <v>9</v>
      </c>
      <c r="G4" s="9">
        <v>46023</v>
      </c>
      <c r="H4" s="8">
        <v>1170</v>
      </c>
      <c r="J4" s="37">
        <v>115154</v>
      </c>
      <c r="K4" s="37">
        <f>_xlfn.XLOOKUP(L4,[1]!Tabela33[BROKER],[1]!Tabela33[ID ORACLE],0,0,1)</f>
        <v>115154</v>
      </c>
      <c r="L4" s="8" t="s">
        <v>23</v>
      </c>
      <c r="M4" s="30"/>
      <c r="N4" s="29"/>
    </row>
    <row r="5" spans="1:14" ht="15" customHeight="1" x14ac:dyDescent="0.25">
      <c r="A5" s="21" t="str">
        <f t="shared" si="0"/>
        <v>CUSTO PLATAFORMA - JANEIRO/26 - OMS CARE ORDER - 136668</v>
      </c>
      <c r="B5" s="9">
        <v>46023</v>
      </c>
      <c r="C5" s="8">
        <v>817394</v>
      </c>
      <c r="D5" s="8" t="s">
        <v>21</v>
      </c>
      <c r="E5" s="51">
        <v>-1687.10443059096</v>
      </c>
      <c r="F5" s="8" t="s">
        <v>9</v>
      </c>
      <c r="G5" s="9">
        <v>46023</v>
      </c>
      <c r="H5" s="8">
        <v>1170</v>
      </c>
      <c r="J5" s="37">
        <v>136668</v>
      </c>
      <c r="K5" s="37">
        <f>_xlfn.XLOOKUP(L5,[1]!Tabela33[BROKER],[1]!Tabela33[ID ORACLE],0,0,1)</f>
        <v>136668</v>
      </c>
      <c r="L5" s="8" t="s">
        <v>36</v>
      </c>
      <c r="M5" s="30"/>
      <c r="N5" s="29"/>
    </row>
    <row r="6" spans="1:14" ht="15" customHeight="1" x14ac:dyDescent="0.25">
      <c r="A6" s="21" t="str">
        <f t="shared" si="0"/>
        <v>CUSTO PLATAFORMA - JANEIRO/26 - OMS CARE ORDER - 64098</v>
      </c>
      <c r="B6" s="9">
        <v>46023</v>
      </c>
      <c r="C6" s="8">
        <v>817394</v>
      </c>
      <c r="D6" s="8" t="s">
        <v>24</v>
      </c>
      <c r="E6" s="51">
        <v>-1687.10443059096</v>
      </c>
      <c r="F6" s="8" t="s">
        <v>9</v>
      </c>
      <c r="G6" s="9">
        <v>46023</v>
      </c>
      <c r="H6" s="8">
        <v>1170</v>
      </c>
      <c r="J6" s="37">
        <v>64098</v>
      </c>
      <c r="K6" s="37">
        <f>_xlfn.XLOOKUP(L6,[1]!Tabela33[BROKER],[1]!Tabela33[ID ORACLE],0,0,1)</f>
        <v>64098</v>
      </c>
      <c r="L6" s="8" t="s">
        <v>24</v>
      </c>
      <c r="N6" s="30"/>
    </row>
    <row r="7" spans="1:14" ht="15" customHeight="1" x14ac:dyDescent="0.25">
      <c r="A7" s="21" t="str">
        <f t="shared" si="0"/>
        <v>CUSTO PLATAFORMA - JANEIRO/26 - OMS CARE ORDER - 36554</v>
      </c>
      <c r="B7" s="9">
        <v>46023</v>
      </c>
      <c r="C7" s="8">
        <v>817394</v>
      </c>
      <c r="D7" s="8" t="s">
        <v>40</v>
      </c>
      <c r="E7" s="51">
        <v>-1687.10443059096</v>
      </c>
      <c r="F7" s="8" t="s">
        <v>9</v>
      </c>
      <c r="G7" s="9">
        <v>46023</v>
      </c>
      <c r="H7" s="8">
        <v>1170</v>
      </c>
      <c r="J7" s="37">
        <v>36554</v>
      </c>
      <c r="K7" s="37">
        <v>24189</v>
      </c>
      <c r="L7" s="8" t="s">
        <v>40</v>
      </c>
    </row>
    <row r="8" spans="1:14" ht="15" customHeight="1" x14ac:dyDescent="0.25">
      <c r="A8" s="22" t="str">
        <f t="shared" si="0"/>
        <v>CUSTO PLATAFORMA - JANEIRO/26 - OMS CARE ORDER - 122758</v>
      </c>
      <c r="B8" s="18">
        <v>46023</v>
      </c>
      <c r="C8" s="17">
        <v>817394</v>
      </c>
      <c r="D8" s="17" t="s">
        <v>20</v>
      </c>
      <c r="E8" s="51">
        <v>-337.42088611819202</v>
      </c>
      <c r="F8" s="17" t="s">
        <v>9</v>
      </c>
      <c r="G8" s="18">
        <v>46023</v>
      </c>
      <c r="H8" s="17">
        <v>1170</v>
      </c>
      <c r="J8" s="28">
        <v>122758</v>
      </c>
      <c r="K8" s="28">
        <f>_xlfn.XLOOKUP(L8,[1]!Tabela33[BROKER],[1]!Tabela33[ID ORACLE],0,0,1)</f>
        <v>106970</v>
      </c>
      <c r="L8" s="17" t="s">
        <v>20</v>
      </c>
    </row>
    <row r="9" spans="1:14" ht="15" customHeight="1" x14ac:dyDescent="0.25">
      <c r="A9" s="22" t="str">
        <f t="shared" si="0"/>
        <v>CUSTO PLATAFORMA - JANEIRO/26 - OMS CARE ORDER - 122758</v>
      </c>
      <c r="B9" s="18">
        <v>46023</v>
      </c>
      <c r="C9" s="17">
        <v>817394</v>
      </c>
      <c r="D9" s="17" t="s">
        <v>31</v>
      </c>
      <c r="E9" s="51">
        <v>-337.42088611819202</v>
      </c>
      <c r="F9" s="17" t="s">
        <v>9</v>
      </c>
      <c r="G9" s="18">
        <v>46023</v>
      </c>
      <c r="H9" s="17">
        <v>1170</v>
      </c>
      <c r="J9" s="28">
        <v>122758</v>
      </c>
      <c r="K9" s="28">
        <f>_xlfn.XLOOKUP(L9,[1]!Tabela33[BROKER],[1]!Tabela33[ID ORACLE],0,0,1)</f>
        <v>139345</v>
      </c>
      <c r="L9" s="17" t="s">
        <v>31</v>
      </c>
    </row>
    <row r="10" spans="1:14" ht="15" customHeight="1" x14ac:dyDescent="0.25">
      <c r="A10" s="22" t="str">
        <f t="shared" si="0"/>
        <v>CUSTO PLATAFORMA - JANEIRO/26 - OMS CARE ORDER - 122758</v>
      </c>
      <c r="B10" s="18">
        <v>46023</v>
      </c>
      <c r="C10" s="17">
        <v>817394</v>
      </c>
      <c r="D10" s="17" t="s">
        <v>19</v>
      </c>
      <c r="E10" s="51">
        <v>-337.42088611819202</v>
      </c>
      <c r="F10" s="17" t="s">
        <v>9</v>
      </c>
      <c r="G10" s="18">
        <v>46023</v>
      </c>
      <c r="H10" s="17">
        <v>1170</v>
      </c>
      <c r="J10" s="28">
        <v>122758</v>
      </c>
      <c r="K10" s="28">
        <f>_xlfn.XLOOKUP(L10,[1]!Tabela33[BROKER],[1]!Tabela33[ID ORACLE],0,0,1)</f>
        <v>22361</v>
      </c>
      <c r="L10" s="17" t="s">
        <v>19</v>
      </c>
    </row>
    <row r="11" spans="1:14" ht="15" customHeight="1" x14ac:dyDescent="0.25">
      <c r="A11" s="22" t="str">
        <f t="shared" si="0"/>
        <v>CUSTO PLATAFORMA - JANEIRO/26 - OMS CARE ORDER - 122758</v>
      </c>
      <c r="B11" s="18">
        <v>46023</v>
      </c>
      <c r="C11" s="17">
        <v>817394</v>
      </c>
      <c r="D11" s="17" t="s">
        <v>32</v>
      </c>
      <c r="E11" s="51">
        <v>-337.42088611819202</v>
      </c>
      <c r="F11" s="17" t="s">
        <v>9</v>
      </c>
      <c r="G11" s="18">
        <v>46023</v>
      </c>
      <c r="H11" s="17">
        <v>1170</v>
      </c>
      <c r="J11" s="28">
        <v>122758</v>
      </c>
      <c r="K11" s="28">
        <f>_xlfn.XLOOKUP(L11,[1]!Tabela33[BROKER],[1]!Tabela33[ID ORACLE],0,0,1)</f>
        <v>132975</v>
      </c>
      <c r="L11" s="17" t="s">
        <v>32</v>
      </c>
    </row>
    <row r="12" spans="1:14" ht="15" customHeight="1" x14ac:dyDescent="0.25">
      <c r="A12" s="22" t="str">
        <f t="shared" si="0"/>
        <v>CUSTO PLATAFORMA - JANEIRO/26 - OMS CARE ORDER - 122758</v>
      </c>
      <c r="B12" s="18">
        <v>46023</v>
      </c>
      <c r="C12" s="17">
        <v>817394</v>
      </c>
      <c r="D12" s="17" t="s">
        <v>18</v>
      </c>
      <c r="E12" s="51">
        <v>-337.42088611819202</v>
      </c>
      <c r="F12" s="17" t="s">
        <v>9</v>
      </c>
      <c r="G12" s="18">
        <v>46023</v>
      </c>
      <c r="H12" s="17">
        <v>1170</v>
      </c>
      <c r="J12" s="28">
        <v>122758</v>
      </c>
      <c r="K12" s="28">
        <f>_xlfn.XLOOKUP(L12,[1]!Tabela33[BROKER],[1]!Tabela33[ID ORACLE],0,0,1)</f>
        <v>122758</v>
      </c>
      <c r="L12" s="17" t="s">
        <v>18</v>
      </c>
      <c r="M12" s="29"/>
    </row>
    <row r="13" spans="1:14" ht="15" customHeight="1" x14ac:dyDescent="0.25">
      <c r="A13" s="21" t="str">
        <f t="shared" si="0"/>
        <v>CUSTO PLATAFORMA - JANEIRO/26 - OMS CARE ORDER - 125412</v>
      </c>
      <c r="B13" s="9">
        <v>46023</v>
      </c>
      <c r="C13" s="8">
        <v>817394</v>
      </c>
      <c r="D13" s="8" t="s">
        <v>29</v>
      </c>
      <c r="E13" s="51">
        <v>-1687.10443059096</v>
      </c>
      <c r="F13" s="8" t="s">
        <v>9</v>
      </c>
      <c r="G13" s="9">
        <v>46023</v>
      </c>
      <c r="H13" s="8">
        <v>1170</v>
      </c>
      <c r="J13" s="37">
        <v>125412</v>
      </c>
      <c r="K13" s="37">
        <v>52340</v>
      </c>
      <c r="L13" s="8" t="s">
        <v>29</v>
      </c>
      <c r="M13" s="30"/>
    </row>
    <row r="14" spans="1:14" ht="15" customHeight="1" x14ac:dyDescent="0.25">
      <c r="A14" s="21" t="str">
        <f t="shared" si="0"/>
        <v>CUSTO PLATAFORMA - JANEIRO/26 - OMS CARE ORDER - 127165</v>
      </c>
      <c r="B14" s="9">
        <v>46023</v>
      </c>
      <c r="C14" s="8">
        <v>817394</v>
      </c>
      <c r="D14" s="8" t="s">
        <v>17</v>
      </c>
      <c r="E14" s="51">
        <v>-1687.10443059096</v>
      </c>
      <c r="F14" s="8" t="s">
        <v>9</v>
      </c>
      <c r="G14" s="9">
        <v>46023</v>
      </c>
      <c r="H14" s="8">
        <v>1170</v>
      </c>
      <c r="J14" s="37">
        <v>127165</v>
      </c>
      <c r="K14" s="37">
        <f>_xlfn.XLOOKUP(L14,[1]!Tabela33[BROKER],[1]!Tabela33[ID ORACLE],0,0,1)</f>
        <v>127165</v>
      </c>
      <c r="L14" s="8" t="s">
        <v>17</v>
      </c>
    </row>
    <row r="15" spans="1:14" ht="15" customHeight="1" x14ac:dyDescent="0.25">
      <c r="A15" s="21" t="str">
        <f>_xlfn.CONCAT($L$1,$I$1,F15,$I$1,J15)</f>
        <v>CUSTO PLATAFORMA - JANEIRO/26 - OMS CARE ORDER - 133842</v>
      </c>
      <c r="B15" s="9">
        <v>46023</v>
      </c>
      <c r="C15" s="8">
        <v>817394</v>
      </c>
      <c r="D15" s="8" t="s">
        <v>28</v>
      </c>
      <c r="E15" s="51">
        <v>-1687.10443059096</v>
      </c>
      <c r="F15" s="8" t="s">
        <v>9</v>
      </c>
      <c r="G15" s="9">
        <v>46023</v>
      </c>
      <c r="H15" s="8">
        <v>1170</v>
      </c>
      <c r="J15" s="37">
        <v>133842</v>
      </c>
      <c r="K15" s="37">
        <f>_xlfn.XLOOKUP(L15,[1]!Tabela33[BROKER],[1]!Tabela33[ID ORACLE],0,0,1)</f>
        <v>133842</v>
      </c>
      <c r="L15" s="8" t="s">
        <v>28</v>
      </c>
    </row>
    <row r="16" spans="1:14" ht="15" customHeight="1" x14ac:dyDescent="0.25">
      <c r="A16" s="23" t="str">
        <f t="shared" si="0"/>
        <v>CUSTO PLATAFORMA - JANEIRO/26 - OMS CARE ORDER - 111439</v>
      </c>
      <c r="B16" s="12">
        <v>46023</v>
      </c>
      <c r="C16" s="11">
        <v>817394</v>
      </c>
      <c r="D16" s="11" t="s">
        <v>24</v>
      </c>
      <c r="E16" s="52">
        <v>-1687.10443059096</v>
      </c>
      <c r="F16" s="11" t="s">
        <v>9</v>
      </c>
      <c r="G16" s="12">
        <v>46023</v>
      </c>
      <c r="H16" s="11">
        <v>1170</v>
      </c>
      <c r="J16" s="38">
        <v>111439</v>
      </c>
      <c r="K16" s="38">
        <f>_xlfn.XLOOKUP(L16,[1]!Tabela33[BROKER],[1]!Tabela33[ID ORACLE],0,0,1)</f>
        <v>111439</v>
      </c>
      <c r="L16" s="11" t="s">
        <v>25</v>
      </c>
    </row>
    <row r="17" spans="1:13" ht="15" customHeight="1" x14ac:dyDescent="0.25">
      <c r="A17" s="22" t="str">
        <f t="shared" si="0"/>
        <v>CUSTO PLATAFORMA - JANEIRO/26 - TACTICS - 106970</v>
      </c>
      <c r="B17" s="18">
        <v>46023</v>
      </c>
      <c r="C17" s="17">
        <v>817394</v>
      </c>
      <c r="D17" s="17" t="s">
        <v>20</v>
      </c>
      <c r="E17" s="51">
        <v>-156.99535300417901</v>
      </c>
      <c r="F17" s="17" t="s">
        <v>10</v>
      </c>
      <c r="G17" s="18">
        <v>46023</v>
      </c>
      <c r="H17" s="17">
        <v>1170</v>
      </c>
      <c r="J17" s="28">
        <v>106970</v>
      </c>
      <c r="K17" s="28">
        <v>106970</v>
      </c>
      <c r="L17" s="17" t="s">
        <v>20</v>
      </c>
    </row>
    <row r="18" spans="1:13" ht="15" customHeight="1" x14ac:dyDescent="0.25">
      <c r="A18" s="22" t="str">
        <f t="shared" ref="A18:A21" si="1">_xlfn.CONCAT($L$1,$I$1,F18,$I$1,J18)</f>
        <v>CUSTO PLATAFORMA - JANEIRO/26 - TACTICS - 106970</v>
      </c>
      <c r="B18" s="18">
        <v>46023</v>
      </c>
      <c r="C18" s="17">
        <v>817394</v>
      </c>
      <c r="D18" s="17" t="s">
        <v>31</v>
      </c>
      <c r="E18" s="51">
        <v>-156.99535300417901</v>
      </c>
      <c r="F18" s="17" t="s">
        <v>10</v>
      </c>
      <c r="G18" s="18">
        <v>46023</v>
      </c>
      <c r="H18" s="17">
        <v>1170</v>
      </c>
      <c r="J18" s="28">
        <v>106970</v>
      </c>
      <c r="K18" s="28">
        <v>139345</v>
      </c>
      <c r="L18" s="17" t="s">
        <v>31</v>
      </c>
    </row>
    <row r="19" spans="1:13" ht="15" customHeight="1" x14ac:dyDescent="0.25">
      <c r="A19" s="22" t="str">
        <f t="shared" si="1"/>
        <v>CUSTO PLATAFORMA - JANEIRO/26 - TACTICS - 106970</v>
      </c>
      <c r="B19" s="18">
        <v>46023</v>
      </c>
      <c r="C19" s="17">
        <v>817394</v>
      </c>
      <c r="D19" s="17" t="s">
        <v>19</v>
      </c>
      <c r="E19" s="51">
        <v>-156.99535300417901</v>
      </c>
      <c r="F19" s="17" t="s">
        <v>10</v>
      </c>
      <c r="G19" s="18">
        <v>46023</v>
      </c>
      <c r="H19" s="17">
        <v>1170</v>
      </c>
      <c r="J19" s="28">
        <v>106970</v>
      </c>
      <c r="K19" s="28">
        <v>22361</v>
      </c>
      <c r="L19" s="17" t="s">
        <v>19</v>
      </c>
    </row>
    <row r="20" spans="1:13" ht="15" customHeight="1" x14ac:dyDescent="0.25">
      <c r="A20" s="22" t="str">
        <f t="shared" si="1"/>
        <v>CUSTO PLATAFORMA - JANEIRO/26 - TACTICS - 106970</v>
      </c>
      <c r="B20" s="18">
        <v>46023</v>
      </c>
      <c r="C20" s="17">
        <v>817394</v>
      </c>
      <c r="D20" s="17" t="s">
        <v>32</v>
      </c>
      <c r="E20" s="51">
        <v>-156.99535300417901</v>
      </c>
      <c r="F20" s="17" t="s">
        <v>10</v>
      </c>
      <c r="G20" s="18">
        <v>46023</v>
      </c>
      <c r="H20" s="17">
        <v>1170</v>
      </c>
      <c r="J20" s="28">
        <v>106970</v>
      </c>
      <c r="K20" s="28">
        <v>132975</v>
      </c>
      <c r="L20" s="17" t="s">
        <v>32</v>
      </c>
    </row>
    <row r="21" spans="1:13" ht="15" customHeight="1" x14ac:dyDescent="0.25">
      <c r="A21" s="22" t="str">
        <f t="shared" si="1"/>
        <v>CUSTO PLATAFORMA - JANEIRO/26 - TACTICS - 106970</v>
      </c>
      <c r="B21" s="18">
        <v>46023</v>
      </c>
      <c r="C21" s="17">
        <v>817394</v>
      </c>
      <c r="D21" s="17" t="s">
        <v>18</v>
      </c>
      <c r="E21" s="51">
        <v>-156.99535300417901</v>
      </c>
      <c r="F21" s="17" t="s">
        <v>10</v>
      </c>
      <c r="G21" s="18">
        <v>46023</v>
      </c>
      <c r="H21" s="17">
        <v>1170</v>
      </c>
      <c r="J21" s="28">
        <v>106970</v>
      </c>
      <c r="K21" s="28">
        <v>122758</v>
      </c>
      <c r="L21" s="17" t="s">
        <v>18</v>
      </c>
      <c r="M21" s="29"/>
    </row>
    <row r="22" spans="1:13" ht="15" customHeight="1" x14ac:dyDescent="0.25">
      <c r="A22" s="21" t="str">
        <f t="shared" si="0"/>
        <v>CUSTO PLATAFORMA - JANEIRO/26 - TACTICS - 122758</v>
      </c>
      <c r="B22" s="9">
        <v>46023</v>
      </c>
      <c r="C22" s="8">
        <v>817394</v>
      </c>
      <c r="D22" s="8" t="s">
        <v>20</v>
      </c>
      <c r="E22" s="51">
        <v>-156.99535300417901</v>
      </c>
      <c r="F22" s="8" t="s">
        <v>10</v>
      </c>
      <c r="G22" s="9">
        <v>46023</v>
      </c>
      <c r="H22" s="8">
        <v>1170</v>
      </c>
      <c r="J22" s="37">
        <v>122758</v>
      </c>
      <c r="K22" s="37">
        <v>106970</v>
      </c>
      <c r="L22" s="8" t="s">
        <v>20</v>
      </c>
    </row>
    <row r="23" spans="1:13" ht="15" customHeight="1" x14ac:dyDescent="0.25">
      <c r="A23" s="21" t="str">
        <f t="shared" ref="A23:A26" si="2">_xlfn.CONCAT($L$1,$I$1,F23,$I$1,J23)</f>
        <v>CUSTO PLATAFORMA - JANEIRO/26 - TACTICS - 122758</v>
      </c>
      <c r="B23" s="9">
        <v>46023</v>
      </c>
      <c r="C23" s="8">
        <v>817394</v>
      </c>
      <c r="D23" s="8" t="s">
        <v>31</v>
      </c>
      <c r="E23" s="51">
        <v>-156.99535300417901</v>
      </c>
      <c r="F23" s="8" t="s">
        <v>10</v>
      </c>
      <c r="G23" s="9">
        <v>46023</v>
      </c>
      <c r="H23" s="8">
        <v>1170</v>
      </c>
      <c r="J23" s="37">
        <v>122758</v>
      </c>
      <c r="K23" s="37">
        <v>139345</v>
      </c>
      <c r="L23" s="8" t="s">
        <v>31</v>
      </c>
    </row>
    <row r="24" spans="1:13" ht="15" customHeight="1" x14ac:dyDescent="0.25">
      <c r="A24" s="21" t="str">
        <f t="shared" si="2"/>
        <v>CUSTO PLATAFORMA - JANEIRO/26 - TACTICS - 122758</v>
      </c>
      <c r="B24" s="9">
        <v>46023</v>
      </c>
      <c r="C24" s="8">
        <v>817394</v>
      </c>
      <c r="D24" s="8" t="s">
        <v>19</v>
      </c>
      <c r="E24" s="51">
        <v>-156.99535300417901</v>
      </c>
      <c r="F24" s="8" t="s">
        <v>10</v>
      </c>
      <c r="G24" s="9">
        <v>46023</v>
      </c>
      <c r="H24" s="8">
        <v>1170</v>
      </c>
      <c r="J24" s="37">
        <v>122758</v>
      </c>
      <c r="K24" s="37">
        <v>22361</v>
      </c>
      <c r="L24" s="8" t="s">
        <v>19</v>
      </c>
    </row>
    <row r="25" spans="1:13" ht="15" customHeight="1" x14ac:dyDescent="0.25">
      <c r="A25" s="21" t="str">
        <f t="shared" si="2"/>
        <v>CUSTO PLATAFORMA - JANEIRO/26 - TACTICS - 122758</v>
      </c>
      <c r="B25" s="9">
        <v>46023</v>
      </c>
      <c r="C25" s="8">
        <v>817394</v>
      </c>
      <c r="D25" s="8" t="s">
        <v>32</v>
      </c>
      <c r="E25" s="51">
        <v>-156.99535300417901</v>
      </c>
      <c r="F25" s="8" t="s">
        <v>10</v>
      </c>
      <c r="G25" s="9">
        <v>46023</v>
      </c>
      <c r="H25" s="8">
        <v>1170</v>
      </c>
      <c r="J25" s="37">
        <v>122758</v>
      </c>
      <c r="K25" s="37">
        <v>132975</v>
      </c>
      <c r="L25" s="8" t="s">
        <v>32</v>
      </c>
    </row>
    <row r="26" spans="1:13" ht="15" customHeight="1" x14ac:dyDescent="0.25">
      <c r="A26" s="21" t="str">
        <f t="shared" si="2"/>
        <v>CUSTO PLATAFORMA - JANEIRO/26 - TACTICS - 122758</v>
      </c>
      <c r="B26" s="9">
        <v>46023</v>
      </c>
      <c r="C26" s="8">
        <v>817394</v>
      </c>
      <c r="D26" s="8" t="s">
        <v>18</v>
      </c>
      <c r="E26" s="51">
        <v>-156.99535300417901</v>
      </c>
      <c r="F26" s="8" t="s">
        <v>10</v>
      </c>
      <c r="G26" s="9">
        <v>46023</v>
      </c>
      <c r="H26" s="8">
        <v>1170</v>
      </c>
      <c r="J26" s="37">
        <v>122758</v>
      </c>
      <c r="K26" s="37">
        <v>122758</v>
      </c>
      <c r="L26" s="8" t="s">
        <v>18</v>
      </c>
    </row>
    <row r="27" spans="1:13" ht="15" customHeight="1" x14ac:dyDescent="0.25">
      <c r="A27" s="22" t="str">
        <f t="shared" si="0"/>
        <v>CUSTO PLATAFORMA - JANEIRO/26 - TACTICS - 56258</v>
      </c>
      <c r="B27" s="18">
        <v>46023</v>
      </c>
      <c r="C27" s="17">
        <v>817394</v>
      </c>
      <c r="D27" s="17" t="s">
        <v>13</v>
      </c>
      <c r="E27" s="51">
        <v>-196.24419125522377</v>
      </c>
      <c r="F27" s="17" t="s">
        <v>10</v>
      </c>
      <c r="G27" s="18">
        <v>46023</v>
      </c>
      <c r="H27" s="17">
        <v>1170</v>
      </c>
      <c r="J27" s="28">
        <v>56258</v>
      </c>
      <c r="K27" s="28">
        <f>_xlfn.XLOOKUP(L27,[1]!Tabela33[BROKER],[1]!Tabela33[ID ORACLE],0,0,1)</f>
        <v>70461</v>
      </c>
      <c r="L27" s="17" t="s">
        <v>13</v>
      </c>
    </row>
    <row r="28" spans="1:13" ht="15" customHeight="1" x14ac:dyDescent="0.25">
      <c r="A28" s="22" t="str">
        <f t="shared" si="0"/>
        <v>CUSTO PLATAFORMA - JANEIRO/26 - TACTICS - 56258</v>
      </c>
      <c r="B28" s="18">
        <v>46023</v>
      </c>
      <c r="C28" s="17">
        <v>817394</v>
      </c>
      <c r="D28" s="17" t="s">
        <v>14</v>
      </c>
      <c r="E28" s="51">
        <v>-196.24419125522377</v>
      </c>
      <c r="F28" s="17" t="s">
        <v>10</v>
      </c>
      <c r="G28" s="18">
        <v>46023</v>
      </c>
      <c r="H28" s="17">
        <v>1170</v>
      </c>
      <c r="J28" s="28">
        <v>56258</v>
      </c>
      <c r="K28" s="28">
        <f>_xlfn.XLOOKUP(L28,[1]!Tabela33[BROKER],[1]!Tabela33[ID ORACLE],0,0,1)</f>
        <v>24140</v>
      </c>
      <c r="L28" s="17" t="s">
        <v>14</v>
      </c>
    </row>
    <row r="29" spans="1:13" ht="15" customHeight="1" x14ac:dyDescent="0.25">
      <c r="A29" s="22" t="str">
        <f t="shared" si="0"/>
        <v>CUSTO PLATAFORMA - JANEIRO/26 - TACTICS - 56258</v>
      </c>
      <c r="B29" s="18">
        <v>46023</v>
      </c>
      <c r="C29" s="17">
        <v>817394</v>
      </c>
      <c r="D29" s="17" t="s">
        <v>30</v>
      </c>
      <c r="E29" s="51">
        <v>-196.24419125522377</v>
      </c>
      <c r="F29" s="17" t="s">
        <v>10</v>
      </c>
      <c r="G29" s="18">
        <v>46023</v>
      </c>
      <c r="H29" s="17">
        <v>1170</v>
      </c>
      <c r="J29" s="28">
        <v>56258</v>
      </c>
      <c r="K29" s="28">
        <f>_xlfn.XLOOKUP(L29,[1]!Tabela33[BROKER],[1]!Tabela33[ID ORACLE],0,0,1)</f>
        <v>137478</v>
      </c>
      <c r="L29" s="17" t="s">
        <v>30</v>
      </c>
      <c r="M29" s="43"/>
    </row>
    <row r="30" spans="1:13" ht="15" customHeight="1" x14ac:dyDescent="0.25">
      <c r="A30" s="22" t="str">
        <f t="shared" si="0"/>
        <v>CUSTO PLATAFORMA - JANEIRO/26 - TACTICS - 56258</v>
      </c>
      <c r="B30" s="18">
        <v>46023</v>
      </c>
      <c r="C30" s="17">
        <v>817394</v>
      </c>
      <c r="D30" s="17" t="s">
        <v>15</v>
      </c>
      <c r="E30" s="51">
        <v>-196.24419125522377</v>
      </c>
      <c r="F30" s="17" t="s">
        <v>10</v>
      </c>
      <c r="G30" s="18">
        <v>46023</v>
      </c>
      <c r="H30" s="17">
        <v>1170</v>
      </c>
      <c r="J30" s="28">
        <v>56258</v>
      </c>
      <c r="K30" s="28">
        <f>_xlfn.XLOOKUP(L30,[1]!Tabela33[BROKER],[1]!Tabela33[ID ORACLE],0,0,1)</f>
        <v>56258</v>
      </c>
      <c r="L30" s="17" t="s">
        <v>15</v>
      </c>
    </row>
    <row r="31" spans="1:13" ht="15" customHeight="1" x14ac:dyDescent="0.25">
      <c r="A31" s="21" t="str">
        <f t="shared" si="0"/>
        <v>CUSTO PLATAFORMA - JANEIRO/26 - TACTICS - 133842</v>
      </c>
      <c r="B31" s="9">
        <v>46023</v>
      </c>
      <c r="C31" s="8">
        <v>817394</v>
      </c>
      <c r="D31" s="8" t="s">
        <v>28</v>
      </c>
      <c r="E31" s="51">
        <v>-784.97676502089598</v>
      </c>
      <c r="F31" s="8" t="s">
        <v>10</v>
      </c>
      <c r="G31" s="9">
        <v>46023</v>
      </c>
      <c r="H31" s="8">
        <v>1170</v>
      </c>
      <c r="J31" s="37">
        <v>133842</v>
      </c>
      <c r="K31" s="37">
        <f>_xlfn.XLOOKUP(L31,[1]!Tabela33[BROKER],[1]!Tabela33[ID ORACLE],0,0,1)</f>
        <v>133842</v>
      </c>
      <c r="L31" s="8" t="s">
        <v>28</v>
      </c>
    </row>
    <row r="32" spans="1:13" ht="15" customHeight="1" x14ac:dyDescent="0.25">
      <c r="A32" s="21" t="str">
        <f t="shared" si="0"/>
        <v>CUSTO PLATAFORMA - JANEIRO/26 - TACTICS - 61086</v>
      </c>
      <c r="B32" s="9">
        <v>46023</v>
      </c>
      <c r="C32" s="8">
        <v>817394</v>
      </c>
      <c r="D32" s="8" t="s">
        <v>21</v>
      </c>
      <c r="E32" s="51">
        <v>-784.97676502089598</v>
      </c>
      <c r="F32" s="8" t="s">
        <v>10</v>
      </c>
      <c r="G32" s="9">
        <v>46023</v>
      </c>
      <c r="H32" s="8">
        <v>1170</v>
      </c>
      <c r="J32" s="37">
        <v>61086</v>
      </c>
      <c r="K32" s="37">
        <f>_xlfn.XLOOKUP(L32,[1]!Tabela33[BROKER],[1]!Tabela33[ID ORACLE],0,0,1)</f>
        <v>61086</v>
      </c>
      <c r="L32" s="8" t="s">
        <v>21</v>
      </c>
    </row>
    <row r="33" spans="1:12" ht="15" customHeight="1" x14ac:dyDescent="0.25">
      <c r="A33" s="21" t="str">
        <f t="shared" si="0"/>
        <v>CUSTO PLATAFORMA - JANEIRO/26 - TACTICS - 115154</v>
      </c>
      <c r="B33" s="9">
        <v>46023</v>
      </c>
      <c r="C33" s="8">
        <v>817394</v>
      </c>
      <c r="D33" s="8" t="s">
        <v>21</v>
      </c>
      <c r="E33" s="51">
        <v>-784.97676502089598</v>
      </c>
      <c r="F33" s="8" t="s">
        <v>10</v>
      </c>
      <c r="G33" s="9">
        <v>46023</v>
      </c>
      <c r="H33" s="8">
        <v>1170</v>
      </c>
      <c r="J33" s="37">
        <v>115154</v>
      </c>
      <c r="K33" s="37">
        <f>_xlfn.XLOOKUP(L33,[1]!Tabela33[BROKER],[1]!Tabela33[ID ORACLE],0,0,1)</f>
        <v>115154</v>
      </c>
      <c r="L33" s="8" t="s">
        <v>23</v>
      </c>
    </row>
    <row r="34" spans="1:12" ht="15" customHeight="1" x14ac:dyDescent="0.25">
      <c r="A34" s="21" t="str">
        <f t="shared" si="0"/>
        <v>CUSTO PLATAFORMA - JANEIRO/26 - TACTICS - 57036</v>
      </c>
      <c r="B34" s="9">
        <v>46023</v>
      </c>
      <c r="C34" s="8">
        <v>817394</v>
      </c>
      <c r="D34" s="8" t="s">
        <v>21</v>
      </c>
      <c r="E34" s="51">
        <v>-784.97676502089598</v>
      </c>
      <c r="F34" s="8" t="s">
        <v>10</v>
      </c>
      <c r="G34" s="9">
        <v>46023</v>
      </c>
      <c r="H34" s="8">
        <v>1170</v>
      </c>
      <c r="J34" s="37">
        <v>57036</v>
      </c>
      <c r="K34" s="37">
        <f>_xlfn.XLOOKUP(L34,[1]!Tabela33[BROKER],[1]!Tabela33[ID ORACLE],0,0,1)</f>
        <v>57036</v>
      </c>
      <c r="L34" s="8" t="s">
        <v>22</v>
      </c>
    </row>
    <row r="35" spans="1:12" ht="15" customHeight="1" x14ac:dyDescent="0.25">
      <c r="A35" s="21" t="str">
        <f t="shared" si="0"/>
        <v>CUSTO PLATAFORMA - JANEIRO/26 - TACTICS - 136668</v>
      </c>
      <c r="B35" s="9">
        <v>46023</v>
      </c>
      <c r="C35" s="8">
        <v>817394</v>
      </c>
      <c r="D35" s="8" t="s">
        <v>21</v>
      </c>
      <c r="E35" s="51">
        <v>-784.97676502089598</v>
      </c>
      <c r="F35" s="8" t="s">
        <v>10</v>
      </c>
      <c r="G35" s="9">
        <v>46023</v>
      </c>
      <c r="H35" s="8">
        <v>1170</v>
      </c>
      <c r="J35" s="37">
        <v>136668</v>
      </c>
      <c r="K35" s="37">
        <f>_xlfn.XLOOKUP(L35,[1]!Tabela33[BROKER],[1]!Tabela33[ID ORACLE],0,0,1)</f>
        <v>136668</v>
      </c>
      <c r="L35" s="8" t="s">
        <v>36</v>
      </c>
    </row>
    <row r="36" spans="1:12" ht="15" customHeight="1" x14ac:dyDescent="0.25">
      <c r="A36" s="21" t="str">
        <f t="shared" si="0"/>
        <v>CUSTO PLATAFORMA - JANEIRO/26 - TACTICS - 64098</v>
      </c>
      <c r="B36" s="9">
        <v>46023</v>
      </c>
      <c r="C36" s="8">
        <v>817394</v>
      </c>
      <c r="D36" s="8" t="s">
        <v>24</v>
      </c>
      <c r="E36" s="51">
        <v>-784.97676502089598</v>
      </c>
      <c r="F36" s="8" t="s">
        <v>10</v>
      </c>
      <c r="G36" s="9">
        <v>46023</v>
      </c>
      <c r="H36" s="8">
        <v>1170</v>
      </c>
      <c r="J36" s="37">
        <v>64098</v>
      </c>
      <c r="K36" s="37">
        <f>_xlfn.XLOOKUP(L36,[1]!Tabela33[BROKER],[1]!Tabela33[ID ORACLE],0,0,1)</f>
        <v>64098</v>
      </c>
      <c r="L36" s="8" t="s">
        <v>24</v>
      </c>
    </row>
    <row r="37" spans="1:12" ht="15" customHeight="1" x14ac:dyDescent="0.25">
      <c r="A37" s="21" t="str">
        <f t="shared" si="0"/>
        <v>CUSTO PLATAFORMA - JANEIRO/26 - TACTICS - 125412</v>
      </c>
      <c r="B37" s="9">
        <v>46023</v>
      </c>
      <c r="C37" s="8">
        <v>817394</v>
      </c>
      <c r="D37" s="8" t="s">
        <v>29</v>
      </c>
      <c r="E37" s="51">
        <v>-784.97676502089598</v>
      </c>
      <c r="F37" s="8" t="s">
        <v>10</v>
      </c>
      <c r="G37" s="9">
        <v>46023</v>
      </c>
      <c r="H37" s="8">
        <v>1170</v>
      </c>
      <c r="J37" s="37">
        <v>125412</v>
      </c>
      <c r="K37" s="37">
        <v>52340</v>
      </c>
      <c r="L37" s="8" t="s">
        <v>29</v>
      </c>
    </row>
    <row r="38" spans="1:12" ht="15" customHeight="1" x14ac:dyDescent="0.25">
      <c r="A38" s="21" t="str">
        <f t="shared" si="0"/>
        <v>CUSTO PLATAFORMA - JANEIRO/26 - TACTICS - 127165</v>
      </c>
      <c r="B38" s="9">
        <v>46023</v>
      </c>
      <c r="C38" s="8">
        <v>817394</v>
      </c>
      <c r="D38" s="8" t="s">
        <v>17</v>
      </c>
      <c r="E38" s="51">
        <v>-784.97676502089598</v>
      </c>
      <c r="F38" s="8" t="s">
        <v>10</v>
      </c>
      <c r="G38" s="9">
        <v>46023</v>
      </c>
      <c r="H38" s="8">
        <v>1170</v>
      </c>
      <c r="J38" s="37">
        <v>127165</v>
      </c>
      <c r="K38" s="37">
        <f>_xlfn.XLOOKUP(L38,[1]!Tabela33[BROKER],[1]!Tabela33[ID ORACLE],0,0,1)</f>
        <v>127165</v>
      </c>
      <c r="L38" s="8" t="s">
        <v>17</v>
      </c>
    </row>
    <row r="39" spans="1:12" ht="15" customHeight="1" x14ac:dyDescent="0.25">
      <c r="A39" s="23" t="str">
        <f t="shared" si="0"/>
        <v>CUSTO PLATAFORMA - JANEIRO/26 - TACTICS - 111439</v>
      </c>
      <c r="B39" s="12">
        <v>46023</v>
      </c>
      <c r="C39" s="11">
        <v>817394</v>
      </c>
      <c r="D39" s="11" t="s">
        <v>24</v>
      </c>
      <c r="E39" s="52">
        <v>-784.97676502089598</v>
      </c>
      <c r="F39" s="11" t="s">
        <v>10</v>
      </c>
      <c r="G39" s="12">
        <v>46023</v>
      </c>
      <c r="H39" s="11">
        <v>1170</v>
      </c>
      <c r="J39" s="38">
        <v>111439</v>
      </c>
      <c r="K39" s="38">
        <f>_xlfn.XLOOKUP(L39,[1]!Tabela33[BROKER],[1]!Tabela33[ID ORACLE],0,0,1)</f>
        <v>111439</v>
      </c>
      <c r="L39" s="11" t="s">
        <v>25</v>
      </c>
    </row>
    <row r="40" spans="1:12" ht="15" customHeight="1" x14ac:dyDescent="0.25">
      <c r="A40" s="21" t="str">
        <f t="shared" si="0"/>
        <v>CUSTO PLATAFORMA - JANEIRO/26 - ATG - 115154</v>
      </c>
      <c r="B40" s="9">
        <v>46023</v>
      </c>
      <c r="C40" s="8">
        <v>817394</v>
      </c>
      <c r="D40" s="8" t="s">
        <v>21</v>
      </c>
      <c r="E40" s="53">
        <f>-3130.614586-70</f>
        <v>-3200.6145860000001</v>
      </c>
      <c r="F40" s="8" t="s">
        <v>8</v>
      </c>
      <c r="G40" s="9">
        <v>46023</v>
      </c>
      <c r="H40" s="8">
        <v>1170</v>
      </c>
      <c r="J40" s="37">
        <v>115154</v>
      </c>
      <c r="K40" s="37">
        <f>_xlfn.XLOOKUP(L40,[1]!Tabela33[BROKER],[1]!Tabela33[ID ORACLE],0,0,1)</f>
        <v>115154</v>
      </c>
      <c r="L40" s="8" t="s">
        <v>23</v>
      </c>
    </row>
    <row r="41" spans="1:12" ht="15" customHeight="1" x14ac:dyDescent="0.25">
      <c r="A41" s="21" t="str">
        <f t="shared" si="0"/>
        <v>CUSTO PLATAFORMA - JANEIRO/26 - ATG - 61086</v>
      </c>
      <c r="B41" s="9">
        <v>46023</v>
      </c>
      <c r="C41" s="8">
        <v>817394</v>
      </c>
      <c r="D41" s="8" t="s">
        <v>21</v>
      </c>
      <c r="E41" s="53">
        <f>-2845.46979225-70</f>
        <v>-2915.46979225</v>
      </c>
      <c r="F41" s="8" t="s">
        <v>8</v>
      </c>
      <c r="G41" s="9">
        <v>46023</v>
      </c>
      <c r="H41" s="8">
        <v>1170</v>
      </c>
      <c r="J41" s="37">
        <v>61086</v>
      </c>
      <c r="K41" s="37">
        <v>61086</v>
      </c>
      <c r="L41" s="8" t="s">
        <v>21</v>
      </c>
    </row>
    <row r="42" spans="1:12" ht="15" customHeight="1" x14ac:dyDescent="0.25">
      <c r="A42" s="21" t="str">
        <f t="shared" ref="A42" si="3">_xlfn.CONCAT($L$1,$I$1,F42,$I$1,J42)</f>
        <v>CUSTO PLATAFORMA - JANEIRO/26 - ATG - 57036</v>
      </c>
      <c r="B42" s="9">
        <v>46023</v>
      </c>
      <c r="C42" s="8">
        <v>817394</v>
      </c>
      <c r="D42" s="8" t="s">
        <v>21</v>
      </c>
      <c r="E42" s="53">
        <v>-70</v>
      </c>
      <c r="F42" s="8" t="s">
        <v>8</v>
      </c>
      <c r="G42" s="9">
        <v>46023</v>
      </c>
      <c r="H42" s="8">
        <v>1170</v>
      </c>
      <c r="J42" s="37">
        <v>57036</v>
      </c>
      <c r="K42" s="37">
        <v>57036</v>
      </c>
      <c r="L42" s="8" t="s">
        <v>22</v>
      </c>
    </row>
    <row r="43" spans="1:12" ht="15" customHeight="1" x14ac:dyDescent="0.25">
      <c r="A43" s="21" t="str">
        <f t="shared" si="0"/>
        <v>CUSTO PLATAFORMA - JANEIRO/26 - ATG - 111439</v>
      </c>
      <c r="B43" s="9">
        <v>46023</v>
      </c>
      <c r="C43" s="8">
        <v>817394</v>
      </c>
      <c r="D43" s="8" t="s">
        <v>24</v>
      </c>
      <c r="E43" s="53">
        <f>-4651.4279559952-70</f>
        <v>-4721.4279559952001</v>
      </c>
      <c r="F43" s="8" t="s">
        <v>8</v>
      </c>
      <c r="G43" s="9">
        <v>46023</v>
      </c>
      <c r="H43" s="8">
        <v>1170</v>
      </c>
      <c r="J43" s="37">
        <v>111439</v>
      </c>
      <c r="K43" s="37">
        <v>111439</v>
      </c>
      <c r="L43" s="8" t="s">
        <v>25</v>
      </c>
    </row>
    <row r="44" spans="1:12" ht="15" customHeight="1" x14ac:dyDescent="0.25">
      <c r="A44" s="21" t="str">
        <f t="shared" ref="A44" si="4">_xlfn.CONCAT($L$1,$I$1,F44,$I$1,J44)</f>
        <v>CUSTO PLATAFORMA - JANEIRO/26 - ATG - 64098</v>
      </c>
      <c r="B44" s="9">
        <v>46023</v>
      </c>
      <c r="C44" s="8">
        <v>817394</v>
      </c>
      <c r="D44" s="8" t="s">
        <v>24</v>
      </c>
      <c r="E44" s="53">
        <f>-7752.37992665867-70</f>
        <v>-7822.3799266586702</v>
      </c>
      <c r="F44" s="8" t="s">
        <v>8</v>
      </c>
      <c r="G44" s="9">
        <v>46023</v>
      </c>
      <c r="H44" s="8">
        <v>1170</v>
      </c>
      <c r="J44" s="37">
        <v>64098</v>
      </c>
      <c r="K44" s="37">
        <v>64098</v>
      </c>
      <c r="L44" s="8" t="s">
        <v>24</v>
      </c>
    </row>
    <row r="45" spans="1:12" ht="15" customHeight="1" x14ac:dyDescent="0.25">
      <c r="A45" s="22" t="str">
        <f t="shared" si="0"/>
        <v>CUSTO PLATAFORMA - JANEIRO/26 - ATG - 132975</v>
      </c>
      <c r="B45" s="18">
        <v>46023</v>
      </c>
      <c r="C45" s="17">
        <v>817394</v>
      </c>
      <c r="D45" s="17" t="str">
        <f>IF(K45=57038,"ALEXANDRE DA COSTA SOARES",IF(K45=115154,"ALEXANDRE DA COSTA SOARES",IF(K45=57036,"ALEXANDRE DA COSTA SOARES",IF(K45=24157,"JOSE MAURICIO GOMES TEIXEIRA",IF(K45=24203,"JOSE MAURICIO GOMES TEIXEIRA",IF(K45=24149,"CHRISTIANO MARCONDES DE BARROS LIMA",IF(K45=24137,"CHRISTIANO MARCONDES DE BARROS LIMA",_xlfn.XLOOKUP(K45,[1]!Tabela33[ID ORACLE],[1]!Tabela33[BROKER],0,0,1))))))))</f>
        <v>CESAR MARIANO SCARAMBONE MENEZES</v>
      </c>
      <c r="E45" s="53">
        <f>-775.237992665867-(35/5)</f>
        <v>-782.23799266586695</v>
      </c>
      <c r="F45" s="17" t="s">
        <v>8</v>
      </c>
      <c r="G45" s="18">
        <v>46023</v>
      </c>
      <c r="H45" s="17">
        <v>1170</v>
      </c>
      <c r="J45" s="28">
        <v>132975</v>
      </c>
      <c r="K45" s="28">
        <f>_xlfn.XLOOKUP(L45,[1]!Tabela33[BROKER],[1]!Tabela33[ID ORACLE],0,0,1)</f>
        <v>106970</v>
      </c>
      <c r="L45" s="17" t="s">
        <v>20</v>
      </c>
    </row>
    <row r="46" spans="1:12" ht="15" customHeight="1" x14ac:dyDescent="0.25">
      <c r="A46" s="22" t="str">
        <f t="shared" si="0"/>
        <v>CUSTO PLATAFORMA - JANEIRO/26 - ATG - 132975</v>
      </c>
      <c r="B46" s="18">
        <v>46023</v>
      </c>
      <c r="C46" s="17">
        <v>817394</v>
      </c>
      <c r="D46" s="17" t="str">
        <f>IF(K46=57038,"ALEXANDRE DA COSTA SOARES",IF(K46=115154,"ALEXANDRE DA COSTA SOARES",IF(K46=57036,"ALEXANDRE DA COSTA SOARES",IF(K46=24157,"JOSE MAURICIO GOMES TEIXEIRA",IF(K46=24203,"JOSE MAURICIO GOMES TEIXEIRA",IF(K46=24149,"CHRISTIANO MARCONDES DE BARROS LIMA",IF(K46=24137,"CHRISTIANO MARCONDES DE BARROS LIMA",_xlfn.XLOOKUP(K46,[1]!Tabela33[ID ORACLE],[1]!Tabela33[BROKER],0,0,1))))))))</f>
        <v>DANIEL TEIXEIRA SIQUEIRA GONÇALVES</v>
      </c>
      <c r="E46" s="53">
        <f t="shared" ref="E46:E49" si="5">-775.237992665867-(35/5)</f>
        <v>-782.23799266586695</v>
      </c>
      <c r="F46" s="17" t="s">
        <v>8</v>
      </c>
      <c r="G46" s="18">
        <v>46023</v>
      </c>
      <c r="H46" s="17">
        <v>1170</v>
      </c>
      <c r="J46" s="28">
        <v>132975</v>
      </c>
      <c r="K46" s="28">
        <f>_xlfn.XLOOKUP(L46,[1]!Tabela33[BROKER],[1]!Tabela33[ID ORACLE],0,0,1)</f>
        <v>22361</v>
      </c>
      <c r="L46" s="17" t="s">
        <v>19</v>
      </c>
    </row>
    <row r="47" spans="1:12" ht="15" customHeight="1" x14ac:dyDescent="0.25">
      <c r="A47" s="22" t="str">
        <f t="shared" si="0"/>
        <v>CUSTO PLATAFORMA - JANEIRO/26 - ATG - 132975</v>
      </c>
      <c r="B47" s="18">
        <v>46023</v>
      </c>
      <c r="C47" s="17">
        <v>817394</v>
      </c>
      <c r="D47" s="17" t="str">
        <f>IF(K47=57038,"ALEXANDRE DA COSTA SOARES",IF(K47=115154,"ALEXANDRE DA COSTA SOARES",IF(K47=57036,"ALEXANDRE DA COSTA SOARES",IF(K47=24157,"JOSE MAURICIO GOMES TEIXEIRA",IF(K47=24203,"JOSE MAURICIO GOMES TEIXEIRA",IF(K47=24149,"CHRISTIANO MARCONDES DE BARROS LIMA",IF(K47=24137,"CHRISTIANO MARCONDES DE BARROS LIMA",_xlfn.XLOOKUP(K47,[1]!Tabela33[ID ORACLE],[1]!Tabela33[BROKER],0,0,1))))))))</f>
        <v>FELIPE MEIRELLES RACCAH</v>
      </c>
      <c r="E47" s="53">
        <f t="shared" si="5"/>
        <v>-782.23799266586695</v>
      </c>
      <c r="F47" s="17" t="s">
        <v>8</v>
      </c>
      <c r="G47" s="18">
        <v>46023</v>
      </c>
      <c r="H47" s="17">
        <v>1170</v>
      </c>
      <c r="J47" s="28">
        <v>132975</v>
      </c>
      <c r="K47" s="28">
        <f>_xlfn.XLOOKUP(L47,[1]!Tabela33[BROKER],[1]!Tabela33[ID ORACLE],0,0,1)</f>
        <v>139345</v>
      </c>
      <c r="L47" s="17" t="s">
        <v>31</v>
      </c>
    </row>
    <row r="48" spans="1:12" ht="15" customHeight="1" x14ac:dyDescent="0.25">
      <c r="A48" s="22" t="str">
        <f t="shared" si="0"/>
        <v>CUSTO PLATAFORMA - JANEIRO/26 - ATG - 132975</v>
      </c>
      <c r="B48" s="18">
        <v>46023</v>
      </c>
      <c r="C48" s="17">
        <v>817394</v>
      </c>
      <c r="D48" s="17" t="str">
        <f>IF(K48=57038,"ALEXANDRE DA COSTA SOARES",IF(K48=115154,"ALEXANDRE DA COSTA SOARES",IF(K48=57036,"ALEXANDRE DA COSTA SOARES",IF(K48=24157,"JOSE MAURICIO GOMES TEIXEIRA",IF(K48=24203,"JOSE MAURICIO GOMES TEIXEIRA",IF(K48=24149,"CHRISTIANO MARCONDES DE BARROS LIMA",IF(K48=24137,"CHRISTIANO MARCONDES DE BARROS LIMA",_xlfn.XLOOKUP(K48,[1]!Tabela33[ID ORACLE],[1]!Tabela33[BROKER],0,0,1))))))))</f>
        <v>MATHEUS NACIF NESRALLAH</v>
      </c>
      <c r="E48" s="53">
        <f t="shared" si="5"/>
        <v>-782.23799266586695</v>
      </c>
      <c r="F48" s="17" t="s">
        <v>8</v>
      </c>
      <c r="G48" s="18">
        <v>46023</v>
      </c>
      <c r="H48" s="17">
        <v>1170</v>
      </c>
      <c r="J48" s="28">
        <v>132975</v>
      </c>
      <c r="K48" s="28">
        <f>_xlfn.XLOOKUP(L48,[1]!Tabela33[BROKER],[1]!Tabela33[ID ORACLE],0,0,1)</f>
        <v>132975</v>
      </c>
      <c r="L48" s="17" t="s">
        <v>32</v>
      </c>
    </row>
    <row r="49" spans="1:12" ht="15" customHeight="1" x14ac:dyDescent="0.25">
      <c r="A49" s="22" t="str">
        <f t="shared" si="0"/>
        <v>CUSTO PLATAFORMA - JANEIRO/26 - ATG - 132975</v>
      </c>
      <c r="B49" s="18">
        <v>46023</v>
      </c>
      <c r="C49" s="17">
        <v>817394</v>
      </c>
      <c r="D49" s="17" t="str">
        <f>IF(K49=57038,"ALEXANDRE DA COSTA SOARES",IF(K49=115154,"ALEXANDRE DA COSTA SOARES",IF(K49=57036,"ALEXANDRE DA COSTA SOARES",IF(K49=24157,"JOSE MAURICIO GOMES TEIXEIRA",IF(K49=24203,"JOSE MAURICIO GOMES TEIXEIRA",IF(K49=24149,"CHRISTIANO MARCONDES DE BARROS LIMA",IF(K49=24137,"CHRISTIANO MARCONDES DE BARROS LIMA",_xlfn.XLOOKUP(K49,[1]!Tabela33[ID ORACLE],[1]!Tabela33[BROKER],0,0,1))))))))</f>
        <v>ANDRE FERREIRA DOS SANTOS</v>
      </c>
      <c r="E49" s="53">
        <f t="shared" si="5"/>
        <v>-782.23799266586695</v>
      </c>
      <c r="F49" s="17" t="s">
        <v>8</v>
      </c>
      <c r="G49" s="18">
        <v>46023</v>
      </c>
      <c r="H49" s="17">
        <v>1170</v>
      </c>
      <c r="J49" s="28">
        <v>132975</v>
      </c>
      <c r="K49" s="28">
        <f>_xlfn.XLOOKUP(L49,[1]!Tabela33[BROKER],[1]!Tabela33[ID ORACLE],0,0,1)</f>
        <v>122758</v>
      </c>
      <c r="L49" s="17" t="s">
        <v>18</v>
      </c>
    </row>
    <row r="50" spans="1:12" ht="15" customHeight="1" x14ac:dyDescent="0.25">
      <c r="A50" s="21" t="str">
        <f t="shared" ref="A50" si="6">_xlfn.CONCAT($L$1,$I$1,F50,$I$1,J50)</f>
        <v>CUSTO PLATAFORMA - JANEIRO/26 - ATG - 158778</v>
      </c>
      <c r="B50" s="9">
        <v>46023</v>
      </c>
      <c r="C50" s="8">
        <v>817394</v>
      </c>
      <c r="D50" s="8" t="s">
        <v>64</v>
      </c>
      <c r="E50" s="53">
        <f>-4651.43-35</f>
        <v>-4686.43</v>
      </c>
      <c r="F50" s="8" t="s">
        <v>8</v>
      </c>
      <c r="G50" s="9">
        <v>46023</v>
      </c>
      <c r="H50" s="8">
        <v>1170</v>
      </c>
      <c r="J50" s="37">
        <v>158778</v>
      </c>
      <c r="K50" s="37">
        <f>_xlfn.XLOOKUP(L50,[1]!Tabela33[BROKER],[1]!Tabela33[ID ORACLE],0,0,1)</f>
        <v>158778</v>
      </c>
      <c r="L50" s="8" t="s">
        <v>65</v>
      </c>
    </row>
    <row r="51" spans="1:12" ht="15" customHeight="1" x14ac:dyDescent="0.25">
      <c r="A51" s="21" t="str">
        <f t="shared" si="0"/>
        <v>CUSTO PLATAFORMA - JANEIRO/26 - ATG - 125412</v>
      </c>
      <c r="B51" s="9">
        <v>46023</v>
      </c>
      <c r="C51" s="8">
        <v>817394</v>
      </c>
      <c r="D51" s="8" t="s">
        <v>29</v>
      </c>
      <c r="E51" s="53">
        <f>-4022.57499325-35</f>
        <v>-4057.5749932499998</v>
      </c>
      <c r="F51" s="8" t="s">
        <v>8</v>
      </c>
      <c r="G51" s="9">
        <v>46023</v>
      </c>
      <c r="H51" s="8">
        <v>1170</v>
      </c>
      <c r="J51" s="37">
        <v>125412</v>
      </c>
      <c r="K51" s="37">
        <v>52340</v>
      </c>
      <c r="L51" s="8" t="s">
        <v>29</v>
      </c>
    </row>
    <row r="52" spans="1:12" ht="15" customHeight="1" x14ac:dyDescent="0.25">
      <c r="A52" s="21" t="str">
        <f>_xlfn.CONCAT($L$1,$I$1,F52,$I$1,J52)</f>
        <v>CUSTO PLATAFORMA - JANEIRO/26 - ATG - 127165</v>
      </c>
      <c r="B52" s="9">
        <v>46023</v>
      </c>
      <c r="C52" s="8">
        <v>817394</v>
      </c>
      <c r="D52" s="8" t="s">
        <v>17</v>
      </c>
      <c r="E52" s="53">
        <v>-6151.4279559952001</v>
      </c>
      <c r="F52" s="8" t="s">
        <v>8</v>
      </c>
      <c r="G52" s="9">
        <v>46023</v>
      </c>
      <c r="H52" s="8">
        <v>1170</v>
      </c>
      <c r="J52" s="37">
        <v>127165</v>
      </c>
      <c r="K52" s="37">
        <f>_xlfn.XLOOKUP(L52,[1]!Tabela33[BROKER],[1]!Tabela33[ID ORACLE],0,0,1)</f>
        <v>127165</v>
      </c>
      <c r="L52" s="8" t="s">
        <v>17</v>
      </c>
    </row>
    <row r="53" spans="1:12" ht="15" customHeight="1" x14ac:dyDescent="0.25">
      <c r="A53" s="23" t="str">
        <f>_xlfn.CONCAT($L$1,$I$1,F53,$I$1,J53)</f>
        <v>CUSTO PLATAFORMA - JANEIRO/26 - ATG - 151327</v>
      </c>
      <c r="B53" s="12">
        <v>46023</v>
      </c>
      <c r="C53" s="11">
        <v>817394</v>
      </c>
      <c r="D53" s="11" t="s">
        <v>44</v>
      </c>
      <c r="E53" s="52">
        <f>-7752.37992665867-70</f>
        <v>-7822.3799266586702</v>
      </c>
      <c r="F53" s="11" t="s">
        <v>8</v>
      </c>
      <c r="G53" s="12">
        <v>46023</v>
      </c>
      <c r="H53" s="11">
        <v>1170</v>
      </c>
      <c r="I53" s="36"/>
      <c r="J53" s="38">
        <v>151327</v>
      </c>
      <c r="K53" s="38">
        <f>_xlfn.XLOOKUP(L53,[1]!Tabela33[BROKER],[1]!Tabela33[ID ORACLE],0,0,1)</f>
        <v>151327</v>
      </c>
      <c r="L53" s="11" t="s">
        <v>44</v>
      </c>
    </row>
    <row r="54" spans="1:12" ht="15" customHeight="1" x14ac:dyDescent="0.25">
      <c r="A54" s="22" t="str">
        <f t="shared" si="0"/>
        <v>CUSTO PLATAFORMA - JANEIRO/26 - TRADING TECHNOLOGIES - 22361</v>
      </c>
      <c r="B54" s="18">
        <v>46023</v>
      </c>
      <c r="C54" s="17">
        <v>817394</v>
      </c>
      <c r="D54" s="17" t="str">
        <f>IF(K54=57038,"ALEXANDRE DA COSTA SOARES",IF(K54=115154,"ALEXANDRE DA COSTA SOARES",IF(K54=57036,"ALEXANDRE DA COSTA SOARES",IF(K54=24157,"JOSE MAURICIO GOMES TEIXEIRA",IF(K54=24203,"JOSE MAURICIO GOMES TEIXEIRA",IF(K54=24149,"CHRISTIANO MARCONDES DE BARROS LIMA",IF(K54=24137,"CHRISTIANO MARCONDES DE BARROS LIMA",_xlfn.XLOOKUP(K54,[1]!Tabela33[ID ORACLE],[1]!Tabela33[BROKER],0,0,1))))))))</f>
        <v>CESAR MARIANO SCARAMBONE MENEZES</v>
      </c>
      <c r="E54" s="53">
        <v>-168.79000000000002</v>
      </c>
      <c r="F54" s="32" t="s">
        <v>11</v>
      </c>
      <c r="G54" s="18">
        <v>46023</v>
      </c>
      <c r="H54" s="17">
        <v>1170</v>
      </c>
      <c r="J54" s="28">
        <v>22361</v>
      </c>
      <c r="K54" s="28">
        <f>_xlfn.XLOOKUP(L54,[1]!Tabela33[BROKER],[1]!Tabela33[ID ORACLE],0,0,1)</f>
        <v>106970</v>
      </c>
      <c r="L54" s="17" t="s">
        <v>20</v>
      </c>
    </row>
    <row r="55" spans="1:12" ht="15" customHeight="1" x14ac:dyDescent="0.25">
      <c r="A55" s="22" t="str">
        <f t="shared" si="0"/>
        <v>CUSTO PLATAFORMA - JANEIRO/26 - TRADING TECHNOLOGIES - 22361</v>
      </c>
      <c r="B55" s="18">
        <v>46023</v>
      </c>
      <c r="C55" s="17">
        <v>817394</v>
      </c>
      <c r="D55" s="17" t="str">
        <f>IF(K55=57038,"ALEXANDRE DA COSTA SOARES",IF(K55=115154,"ALEXANDRE DA COSTA SOARES",IF(K55=57036,"ALEXANDRE DA COSTA SOARES",IF(K55=24157,"JOSE MAURICIO GOMES TEIXEIRA",IF(K55=24203,"JOSE MAURICIO GOMES TEIXEIRA",IF(K55=24149,"CHRISTIANO MARCONDES DE BARROS LIMA",IF(K55=24137,"CHRISTIANO MARCONDES DE BARROS LIMA",_xlfn.XLOOKUP(K55,[1]!Tabela33[ID ORACLE],[1]!Tabela33[BROKER],0,0,1))))))))</f>
        <v>FELIPE MEIRELLES RACCAH</v>
      </c>
      <c r="E55" s="53">
        <v>-168.79000000000002</v>
      </c>
      <c r="F55" s="32" t="s">
        <v>11</v>
      </c>
      <c r="G55" s="18">
        <v>46023</v>
      </c>
      <c r="H55" s="17">
        <v>1170</v>
      </c>
      <c r="J55" s="28">
        <v>22361</v>
      </c>
      <c r="K55" s="28">
        <f>_xlfn.XLOOKUP(L55,[1]!Tabela33[BROKER],[1]!Tabela33[ID ORACLE],0,0,1)</f>
        <v>139345</v>
      </c>
      <c r="L55" s="17" t="s">
        <v>31</v>
      </c>
    </row>
    <row r="56" spans="1:12" ht="15" customHeight="1" x14ac:dyDescent="0.25">
      <c r="A56" s="22" t="str">
        <f t="shared" si="0"/>
        <v>CUSTO PLATAFORMA - JANEIRO/26 - TRADING TECHNOLOGIES - 22361</v>
      </c>
      <c r="B56" s="18">
        <v>46023</v>
      </c>
      <c r="C56" s="17">
        <v>817394</v>
      </c>
      <c r="D56" s="17" t="str">
        <f>IF(K56=57038,"ALEXANDRE DA COSTA SOARES",IF(K56=115154,"ALEXANDRE DA COSTA SOARES",IF(K56=57036,"ALEXANDRE DA COSTA SOARES",IF(K56=24157,"JOSE MAURICIO GOMES TEIXEIRA",IF(K56=24203,"JOSE MAURICIO GOMES TEIXEIRA",IF(K56=24149,"CHRISTIANO MARCONDES DE BARROS LIMA",IF(K56=24137,"CHRISTIANO MARCONDES DE BARROS LIMA",_xlfn.XLOOKUP(K56,[1]!Tabela33[ID ORACLE],[1]!Tabela33[BROKER],0,0,1))))))))</f>
        <v>DANIEL TEIXEIRA SIQUEIRA GONÇALVES</v>
      </c>
      <c r="E56" s="53">
        <v>-168.79000000000002</v>
      </c>
      <c r="F56" s="32" t="s">
        <v>11</v>
      </c>
      <c r="G56" s="18">
        <v>46023</v>
      </c>
      <c r="H56" s="17">
        <v>1170</v>
      </c>
      <c r="J56" s="28">
        <v>22361</v>
      </c>
      <c r="K56" s="28">
        <f>_xlfn.XLOOKUP(L56,[1]!Tabela33[BROKER],[1]!Tabela33[ID ORACLE],0,0,1)</f>
        <v>22361</v>
      </c>
      <c r="L56" s="17" t="s">
        <v>19</v>
      </c>
    </row>
    <row r="57" spans="1:12" ht="15" customHeight="1" x14ac:dyDescent="0.25">
      <c r="A57" s="22" t="str">
        <f t="shared" si="0"/>
        <v>CUSTO PLATAFORMA - JANEIRO/26 - TRADING TECHNOLOGIES - 22361</v>
      </c>
      <c r="B57" s="18">
        <v>46023</v>
      </c>
      <c r="C57" s="17">
        <v>817394</v>
      </c>
      <c r="D57" s="17" t="str">
        <f>IF(K57=57038,"ALEXANDRE DA COSTA SOARES",IF(K57=115154,"ALEXANDRE DA COSTA SOARES",IF(K57=57036,"ALEXANDRE DA COSTA SOARES",IF(K57=24157,"JOSE MAURICIO GOMES TEIXEIRA",IF(K57=24203,"JOSE MAURICIO GOMES TEIXEIRA",IF(K57=24149,"CHRISTIANO MARCONDES DE BARROS LIMA",IF(K57=24137,"CHRISTIANO MARCONDES DE BARROS LIMA",_xlfn.XLOOKUP(K57,[1]!Tabela33[ID ORACLE],[1]!Tabela33[BROKER],0,0,1))))))))</f>
        <v>MATHEUS NACIF NESRALLAH</v>
      </c>
      <c r="E57" s="53">
        <v>-168.79000000000002</v>
      </c>
      <c r="F57" s="32" t="s">
        <v>11</v>
      </c>
      <c r="G57" s="18">
        <v>46023</v>
      </c>
      <c r="H57" s="17">
        <v>1170</v>
      </c>
      <c r="J57" s="28">
        <v>22361</v>
      </c>
      <c r="K57" s="28">
        <f>_xlfn.XLOOKUP(L57,[1]!Tabela33[BROKER],[1]!Tabela33[ID ORACLE],0,0,1)</f>
        <v>132975</v>
      </c>
      <c r="L57" s="17" t="s">
        <v>32</v>
      </c>
    </row>
    <row r="58" spans="1:12" ht="15" customHeight="1" x14ac:dyDescent="0.25">
      <c r="A58" s="24" t="str">
        <f t="shared" si="0"/>
        <v>CUSTO PLATAFORMA - JANEIRO/26 - TRADING TECHNOLOGIES - 22361</v>
      </c>
      <c r="B58" s="20">
        <v>46023</v>
      </c>
      <c r="C58" s="19">
        <v>817394</v>
      </c>
      <c r="D58" s="19" t="str">
        <f>IF(K58=57038,"ALEXANDRE DA COSTA SOARES",IF(K58=115154,"ALEXANDRE DA COSTA SOARES",IF(K58=57036,"ALEXANDRE DA COSTA SOARES",IF(K58=24157,"JOSE MAURICIO GOMES TEIXEIRA",IF(K58=24203,"JOSE MAURICIO GOMES TEIXEIRA",IF(K58=24149,"CHRISTIANO MARCONDES DE BARROS LIMA",IF(K58=24137,"CHRISTIANO MARCONDES DE BARROS LIMA",_xlfn.XLOOKUP(K58,[1]!Tabela33[ID ORACLE],[1]!Tabela33[BROKER],0,0,1))))))))</f>
        <v>ANDRE FERREIRA DOS SANTOS</v>
      </c>
      <c r="E58" s="52">
        <v>-168.79000000000002</v>
      </c>
      <c r="F58" s="34" t="s">
        <v>11</v>
      </c>
      <c r="G58" s="20">
        <v>46023</v>
      </c>
      <c r="H58" s="19">
        <v>1170</v>
      </c>
      <c r="I58" s="36"/>
      <c r="J58" s="35">
        <v>22361</v>
      </c>
      <c r="K58" s="35">
        <f>_xlfn.XLOOKUP(L58,[1]!Tabela33[BROKER],[1]!Tabela33[ID ORACLE],0,0,1)</f>
        <v>122758</v>
      </c>
      <c r="L58" s="19" t="s">
        <v>18</v>
      </c>
    </row>
    <row r="59" spans="1:12" ht="15" customHeight="1" x14ac:dyDescent="0.25">
      <c r="A59" s="22" t="str">
        <f t="shared" si="0"/>
        <v>CUSTO PLATAFORMA - JANEIRO/26 - SILICON TRADER - 22361</v>
      </c>
      <c r="B59" s="18">
        <v>46023</v>
      </c>
      <c r="C59" s="17">
        <v>817394</v>
      </c>
      <c r="D59" s="32" t="str">
        <f>IF(K59=57038,"ALEXANDRE DA COSTA SOARES",IF(K59=115154,"ALEXANDRE DA COSTA SOARES",IF(K59=57036,"ALEXANDRE DA COSTA SOARES",IF(K59=24157,"JOSE MAURICIO GOMES TEIXEIRA",IF(K59=24203,"JOSE MAURICIO GOMES TEIXEIRA",IF(K59=24149,"CHRISTIANO MARCONDES DE BARROS LIMA",IF(K59=24137,"CHRISTIANO MARCONDES DE BARROS LIMA",_xlfn.XLOOKUP(K59,[1]!Tabela33[ID ORACLE],[1]!Tabela33[BROKER],0,0,1))))))))</f>
        <v>CESAR MARIANO SCARAMBONE MENEZES</v>
      </c>
      <c r="E59" s="53">
        <v>-720.44</v>
      </c>
      <c r="F59" s="32" t="s">
        <v>33</v>
      </c>
      <c r="G59" s="18">
        <v>46023</v>
      </c>
      <c r="H59" s="17">
        <v>1170</v>
      </c>
      <c r="J59" s="28">
        <v>22361</v>
      </c>
      <c r="K59" s="28">
        <f>_xlfn.XLOOKUP(L59,[1]!Tabela33[BROKER],[1]!Tabela33[ID ORACLE],0,0,1)</f>
        <v>106970</v>
      </c>
      <c r="L59" s="17" t="s">
        <v>20</v>
      </c>
    </row>
    <row r="60" spans="1:12" ht="15" customHeight="1" x14ac:dyDescent="0.25">
      <c r="A60" s="22" t="str">
        <f t="shared" si="0"/>
        <v>CUSTO PLATAFORMA - JANEIRO/26 - SILICON TRADER - 22361</v>
      </c>
      <c r="B60" s="18">
        <v>46023</v>
      </c>
      <c r="C60" s="17">
        <v>817394</v>
      </c>
      <c r="D60" s="32" t="str">
        <f>IF(K60=57038,"ALEXANDRE DA COSTA SOARES",IF(K60=115154,"ALEXANDRE DA COSTA SOARES",IF(K60=57036,"ALEXANDRE DA COSTA SOARES",IF(K60=24157,"JOSE MAURICIO GOMES TEIXEIRA",IF(K60=24203,"JOSE MAURICIO GOMES TEIXEIRA",IF(K60=24149,"CHRISTIANO MARCONDES DE BARROS LIMA",IF(K60=24137,"CHRISTIANO MARCONDES DE BARROS LIMA",_xlfn.XLOOKUP(K60,[1]!Tabela33[ID ORACLE],[1]!Tabela33[BROKER],0,0,1))))))))</f>
        <v>DANIEL TEIXEIRA SIQUEIRA GONÇALVES</v>
      </c>
      <c r="E60" s="53">
        <v>-720.44</v>
      </c>
      <c r="F60" s="32" t="s">
        <v>33</v>
      </c>
      <c r="G60" s="18">
        <v>46023</v>
      </c>
      <c r="H60" s="17">
        <v>1170</v>
      </c>
      <c r="J60" s="28">
        <v>22361</v>
      </c>
      <c r="K60" s="28">
        <f>_xlfn.XLOOKUP(L60,[1]!Tabela33[BROKER],[1]!Tabela33[ID ORACLE],0,0,1)</f>
        <v>22361</v>
      </c>
      <c r="L60" s="17" t="s">
        <v>19</v>
      </c>
    </row>
    <row r="61" spans="1:12" ht="15" customHeight="1" x14ac:dyDescent="0.25">
      <c r="A61" s="22" t="str">
        <f t="shared" si="0"/>
        <v>CUSTO PLATAFORMA - JANEIRO/26 - SILICON TRADER - 22361</v>
      </c>
      <c r="B61" s="18">
        <v>46023</v>
      </c>
      <c r="C61" s="17">
        <v>817394</v>
      </c>
      <c r="D61" s="32" t="str">
        <f>IF(K61=57038,"ALEXANDRE DA COSTA SOARES",IF(K61=115154,"ALEXANDRE DA COSTA SOARES",IF(K61=57036,"ALEXANDRE DA COSTA SOARES",IF(K61=24157,"JOSE MAURICIO GOMES TEIXEIRA",IF(K61=24203,"JOSE MAURICIO GOMES TEIXEIRA",IF(K61=24149,"CHRISTIANO MARCONDES DE BARROS LIMA",IF(K61=24137,"CHRISTIANO MARCONDES DE BARROS LIMA",_xlfn.XLOOKUP(K61,[1]!Tabela33[ID ORACLE],[1]!Tabela33[BROKER],0,0,1))))))))</f>
        <v>FELIPE MEIRELLES RACCAH</v>
      </c>
      <c r="E61" s="53">
        <v>-720.44</v>
      </c>
      <c r="F61" s="32" t="s">
        <v>33</v>
      </c>
      <c r="G61" s="18">
        <v>46023</v>
      </c>
      <c r="H61" s="17">
        <v>1170</v>
      </c>
      <c r="J61" s="28">
        <v>22361</v>
      </c>
      <c r="K61" s="28">
        <f>_xlfn.XLOOKUP(L61,[1]!Tabela33[BROKER],[1]!Tabela33[ID ORACLE],0,0,1)</f>
        <v>139345</v>
      </c>
      <c r="L61" s="17" t="s">
        <v>31</v>
      </c>
    </row>
    <row r="62" spans="1:12" ht="15" customHeight="1" x14ac:dyDescent="0.25">
      <c r="A62" s="22" t="str">
        <f t="shared" si="0"/>
        <v>CUSTO PLATAFORMA - JANEIRO/26 - SILICON TRADER - 22361</v>
      </c>
      <c r="B62" s="18">
        <v>46023</v>
      </c>
      <c r="C62" s="17">
        <v>817394</v>
      </c>
      <c r="D62" s="32" t="str">
        <f>IF(K62=57038,"ALEXANDRE DA COSTA SOARES",IF(K62=115154,"ALEXANDRE DA COSTA SOARES",IF(K62=57036,"ALEXANDRE DA COSTA SOARES",IF(K62=24157,"JOSE MAURICIO GOMES TEIXEIRA",IF(K62=24203,"JOSE MAURICIO GOMES TEIXEIRA",IF(K62=24149,"CHRISTIANO MARCONDES DE BARROS LIMA",IF(K62=24137,"CHRISTIANO MARCONDES DE BARROS LIMA",_xlfn.XLOOKUP(K62,[1]!Tabela33[ID ORACLE],[1]!Tabela33[BROKER],0,0,1))))))))</f>
        <v>MATHEUS NACIF NESRALLAH</v>
      </c>
      <c r="E62" s="53">
        <v>-720.44</v>
      </c>
      <c r="F62" s="32" t="s">
        <v>33</v>
      </c>
      <c r="G62" s="18">
        <v>46023</v>
      </c>
      <c r="H62" s="17">
        <v>1170</v>
      </c>
      <c r="J62" s="28">
        <v>22361</v>
      </c>
      <c r="K62" s="28">
        <f>_xlfn.XLOOKUP(L62,[1]!Tabela33[BROKER],[1]!Tabela33[ID ORACLE],0,0,1)</f>
        <v>132975</v>
      </c>
      <c r="L62" s="17" t="s">
        <v>32</v>
      </c>
    </row>
    <row r="63" spans="1:12" ht="15" customHeight="1" x14ac:dyDescent="0.25">
      <c r="A63" s="24" t="str">
        <f t="shared" si="0"/>
        <v>CUSTO PLATAFORMA - JANEIRO/26 - SILICON TRADER - 22361</v>
      </c>
      <c r="B63" s="20">
        <v>46023</v>
      </c>
      <c r="C63" s="19">
        <v>817394</v>
      </c>
      <c r="D63" s="34" t="str">
        <f>IF(K63=57038,"ALEXANDRE DA COSTA SOARES",IF(K63=115154,"ALEXANDRE DA COSTA SOARES",IF(K63=57036,"ALEXANDRE DA COSTA SOARES",IF(K63=24157,"JOSE MAURICIO GOMES TEIXEIRA",IF(K63=24203,"JOSE MAURICIO GOMES TEIXEIRA",IF(K63=24149,"CHRISTIANO MARCONDES DE BARROS LIMA",IF(K63=24137,"CHRISTIANO MARCONDES DE BARROS LIMA",_xlfn.XLOOKUP(K63,[1]!Tabela33[ID ORACLE],[1]!Tabela33[BROKER],0,0,1))))))))</f>
        <v>ANDRE FERREIRA DOS SANTOS</v>
      </c>
      <c r="E63" s="52">
        <v>-720.44</v>
      </c>
      <c r="F63" s="34" t="s">
        <v>33</v>
      </c>
      <c r="G63" s="20">
        <v>46023</v>
      </c>
      <c r="H63" s="19">
        <v>1170</v>
      </c>
      <c r="J63" s="35">
        <v>22361</v>
      </c>
      <c r="K63" s="35">
        <f>_xlfn.XLOOKUP(L63,[1]!Tabela33[BROKER],[1]!Tabela33[ID ORACLE],0,0,1)</f>
        <v>122758</v>
      </c>
      <c r="L63" s="19" t="s">
        <v>18</v>
      </c>
    </row>
    <row r="64" spans="1:12" ht="15" customHeight="1" x14ac:dyDescent="0.25">
      <c r="A64" s="22" t="str">
        <f t="shared" si="0"/>
        <v>CUSTO PLATAFORMA - JANEIRO/26 - SILICON TRADER - 122758</v>
      </c>
      <c r="B64" s="18">
        <v>46023</v>
      </c>
      <c r="C64" s="17">
        <v>817394</v>
      </c>
      <c r="D64" s="32" t="s">
        <v>20</v>
      </c>
      <c r="E64" s="53">
        <v>-720.44</v>
      </c>
      <c r="F64" s="32" t="s">
        <v>33</v>
      </c>
      <c r="G64" s="18">
        <v>46023</v>
      </c>
      <c r="H64" s="17">
        <v>1170</v>
      </c>
      <c r="J64" s="28">
        <v>122758</v>
      </c>
      <c r="K64" s="28">
        <v>106970</v>
      </c>
      <c r="L64" s="17" t="s">
        <v>20</v>
      </c>
    </row>
    <row r="65" spans="1:15" ht="15" customHeight="1" x14ac:dyDescent="0.25">
      <c r="A65" s="22" t="str">
        <f t="shared" si="0"/>
        <v>CUSTO PLATAFORMA - JANEIRO/26 - SILICON TRADER - 122758</v>
      </c>
      <c r="B65" s="18">
        <v>46023</v>
      </c>
      <c r="C65" s="17">
        <v>817394</v>
      </c>
      <c r="D65" s="32" t="s">
        <v>19</v>
      </c>
      <c r="E65" s="53">
        <v>-720.44</v>
      </c>
      <c r="F65" s="32" t="s">
        <v>33</v>
      </c>
      <c r="G65" s="18">
        <v>46023</v>
      </c>
      <c r="H65" s="17">
        <v>1170</v>
      </c>
      <c r="J65" s="28">
        <v>122758</v>
      </c>
      <c r="K65" s="28">
        <v>22361</v>
      </c>
      <c r="L65" s="17" t="s">
        <v>19</v>
      </c>
    </row>
    <row r="66" spans="1:15" ht="15" customHeight="1" x14ac:dyDescent="0.25">
      <c r="A66" s="22" t="str">
        <f t="shared" si="0"/>
        <v>CUSTO PLATAFORMA - JANEIRO/26 - SILICON TRADER - 122758</v>
      </c>
      <c r="B66" s="18">
        <v>46023</v>
      </c>
      <c r="C66" s="17">
        <v>817394</v>
      </c>
      <c r="D66" s="32" t="s">
        <v>31</v>
      </c>
      <c r="E66" s="53">
        <v>-720.44</v>
      </c>
      <c r="F66" s="32" t="s">
        <v>33</v>
      </c>
      <c r="G66" s="18">
        <v>46023</v>
      </c>
      <c r="H66" s="17">
        <v>1170</v>
      </c>
      <c r="J66" s="28">
        <v>122758</v>
      </c>
      <c r="K66" s="28">
        <v>139345</v>
      </c>
      <c r="L66" s="17" t="s">
        <v>31</v>
      </c>
    </row>
    <row r="67" spans="1:15" ht="15" customHeight="1" x14ac:dyDescent="0.25">
      <c r="A67" s="22" t="str">
        <f t="shared" si="0"/>
        <v>CUSTO PLATAFORMA - JANEIRO/26 - SILICON TRADER - 122758</v>
      </c>
      <c r="B67" s="18">
        <v>46023</v>
      </c>
      <c r="C67" s="17">
        <v>817394</v>
      </c>
      <c r="D67" s="32" t="s">
        <v>32</v>
      </c>
      <c r="E67" s="53">
        <v>-720.44</v>
      </c>
      <c r="F67" s="32" t="s">
        <v>33</v>
      </c>
      <c r="G67" s="18">
        <v>46023</v>
      </c>
      <c r="H67" s="17">
        <v>1170</v>
      </c>
      <c r="J67" s="28">
        <v>122758</v>
      </c>
      <c r="K67" s="28">
        <v>132975</v>
      </c>
      <c r="L67" s="17" t="s">
        <v>32</v>
      </c>
    </row>
    <row r="68" spans="1:15" ht="15" customHeight="1" x14ac:dyDescent="0.25">
      <c r="A68" s="24" t="str">
        <f t="shared" si="0"/>
        <v>CUSTO PLATAFORMA - JANEIRO/26 - SILICON TRADER - 122758</v>
      </c>
      <c r="B68" s="20">
        <v>46023</v>
      </c>
      <c r="C68" s="19">
        <v>817394</v>
      </c>
      <c r="D68" s="34" t="s">
        <v>18</v>
      </c>
      <c r="E68" s="52">
        <v>-720.44</v>
      </c>
      <c r="F68" s="34" t="s">
        <v>33</v>
      </c>
      <c r="G68" s="20">
        <v>46023</v>
      </c>
      <c r="H68" s="19">
        <v>1170</v>
      </c>
      <c r="J68" s="35">
        <v>122758</v>
      </c>
      <c r="K68" s="35">
        <v>122758</v>
      </c>
      <c r="L68" s="19" t="s">
        <v>18</v>
      </c>
    </row>
    <row r="69" spans="1:15" ht="15" customHeight="1" x14ac:dyDescent="0.25">
      <c r="A69" s="23" t="str">
        <f t="shared" si="0"/>
        <v>CUSTO PLATAFORMA - JANEIRO/26 - SILICON TRADER - 61086</v>
      </c>
      <c r="B69" s="12">
        <v>46023</v>
      </c>
      <c r="C69" s="11">
        <v>817394</v>
      </c>
      <c r="D69" s="33" t="s">
        <v>21</v>
      </c>
      <c r="E69" s="52">
        <v>-13333.333333333299</v>
      </c>
      <c r="F69" s="33" t="s">
        <v>33</v>
      </c>
      <c r="G69" s="12">
        <v>46023</v>
      </c>
      <c r="H69" s="11">
        <v>1170</v>
      </c>
      <c r="J69" s="39">
        <v>61086</v>
      </c>
      <c r="K69" s="39">
        <f>_xlfn.XLOOKUP(L69,[1]!Tabela33[BROKER],[1]!Tabela33[ID ORACLE],0,0,1)</f>
        <v>61086</v>
      </c>
      <c r="L69" s="46" t="s">
        <v>21</v>
      </c>
      <c r="N69" t="s">
        <v>47</v>
      </c>
      <c r="O69">
        <v>1.69</v>
      </c>
    </row>
    <row r="70" spans="1:15" ht="15" customHeight="1" x14ac:dyDescent="0.25">
      <c r="A70" s="23" t="str">
        <f t="shared" si="0"/>
        <v>CUSTO PLATAFORMA - JANEIRO/26 - SILICON TRADER - 57036</v>
      </c>
      <c r="B70" s="12">
        <v>46023</v>
      </c>
      <c r="C70" s="11">
        <v>817394</v>
      </c>
      <c r="D70" s="33" t="s">
        <v>21</v>
      </c>
      <c r="E70" s="52">
        <v>0</v>
      </c>
      <c r="F70" s="33" t="s">
        <v>33</v>
      </c>
      <c r="G70" s="12">
        <v>46023</v>
      </c>
      <c r="H70" s="11">
        <v>1170</v>
      </c>
      <c r="J70" s="39">
        <v>57036</v>
      </c>
      <c r="K70" s="39">
        <v>57036</v>
      </c>
      <c r="L70" s="46" t="s">
        <v>22</v>
      </c>
      <c r="N70" t="s">
        <v>47</v>
      </c>
      <c r="O70">
        <v>1.69</v>
      </c>
    </row>
    <row r="71" spans="1:15" ht="15" customHeight="1" x14ac:dyDescent="0.25">
      <c r="A71" s="23" t="str">
        <f t="shared" si="0"/>
        <v>CUSTO PLATAFORMA - JANEIRO/26 - SILICON TRADER - 133842</v>
      </c>
      <c r="B71" s="12">
        <v>46023</v>
      </c>
      <c r="C71" s="11">
        <v>817394</v>
      </c>
      <c r="D71" s="33" t="s">
        <v>28</v>
      </c>
      <c r="E71" s="52">
        <v>-13333.333333333299</v>
      </c>
      <c r="F71" s="33" t="s">
        <v>33</v>
      </c>
      <c r="G71" s="12">
        <v>46023</v>
      </c>
      <c r="H71" s="11">
        <v>1170</v>
      </c>
      <c r="J71" s="39">
        <v>133842</v>
      </c>
      <c r="K71" s="39">
        <f>_xlfn.XLOOKUP(L71,[1]!Tabela33[BROKER],[1]!Tabela33[ID ORACLE],0,0,1)</f>
        <v>133842</v>
      </c>
      <c r="L71" s="46" t="s">
        <v>28</v>
      </c>
      <c r="N71" t="s">
        <v>48</v>
      </c>
      <c r="O71">
        <v>256.38</v>
      </c>
    </row>
    <row r="72" spans="1:15" ht="15" customHeight="1" x14ac:dyDescent="0.25">
      <c r="A72" s="23" t="str">
        <f t="shared" si="0"/>
        <v>CUSTO PLATAFORMA - JANEIRO/26 - SILICON TRADER - 125412</v>
      </c>
      <c r="B72" s="12">
        <v>46023</v>
      </c>
      <c r="C72" s="11">
        <v>817394</v>
      </c>
      <c r="D72" s="11" t="s">
        <v>29</v>
      </c>
      <c r="E72" s="52">
        <v>-13333.333333333299</v>
      </c>
      <c r="F72" s="33" t="s">
        <v>33</v>
      </c>
      <c r="G72" s="12">
        <v>46023</v>
      </c>
      <c r="H72" s="11">
        <v>1170</v>
      </c>
      <c r="J72" s="38">
        <v>125412</v>
      </c>
      <c r="K72" s="38">
        <v>52340</v>
      </c>
      <c r="L72" s="11" t="s">
        <v>29</v>
      </c>
      <c r="N72" t="s">
        <v>49</v>
      </c>
      <c r="O72">
        <v>71.45</v>
      </c>
    </row>
    <row r="73" spans="1:15" ht="15" customHeight="1" x14ac:dyDescent="0.25">
      <c r="A73" s="11" t="str">
        <f t="shared" ref="A73:A75" si="7">_xlfn.CONCAT($L$1,$I$1,F73,$I$1,J73)</f>
        <v>CUSTO PLATAFORMA - JANEIRO/26 - PARAMITA - 135064</v>
      </c>
      <c r="B73" s="12">
        <v>46023</v>
      </c>
      <c r="C73" s="11">
        <v>817394</v>
      </c>
      <c r="D73" s="11" t="s">
        <v>34</v>
      </c>
      <c r="E73" s="49">
        <v>-3740</v>
      </c>
      <c r="F73" s="11" t="s">
        <v>62</v>
      </c>
      <c r="G73" s="12">
        <v>46023</v>
      </c>
      <c r="H73" s="11">
        <v>1170</v>
      </c>
      <c r="J73" s="39">
        <v>135064</v>
      </c>
      <c r="K73" s="39">
        <f>_xlfn.XLOOKUP(L73,[1]!Tabela33[BROKER],[1]!Tabela33[ID ORACLE],0,0,1)</f>
        <v>135064</v>
      </c>
      <c r="L73" s="40" t="s">
        <v>34</v>
      </c>
      <c r="N73" s="42"/>
    </row>
    <row r="74" spans="1:15" ht="15" customHeight="1" x14ac:dyDescent="0.25">
      <c r="A74" s="11" t="str">
        <f t="shared" si="7"/>
        <v>CUSTO PLATAFORMA - JANEIRO/26 - CETIP - 135064</v>
      </c>
      <c r="B74" s="12">
        <v>46023</v>
      </c>
      <c r="C74" s="11">
        <v>817394</v>
      </c>
      <c r="D74" s="11" t="s">
        <v>34</v>
      </c>
      <c r="E74" s="49">
        <v>-70891.19</v>
      </c>
      <c r="F74" s="33" t="s">
        <v>39</v>
      </c>
      <c r="G74" s="12">
        <v>46023</v>
      </c>
      <c r="H74" s="11">
        <v>1170</v>
      </c>
      <c r="J74" s="39">
        <v>135064</v>
      </c>
      <c r="K74" s="39">
        <f>_xlfn.XLOOKUP(L74,[1]!Tabela33[BROKER],[1]!Tabela33[ID ORACLE],0,0,1)</f>
        <v>135064</v>
      </c>
      <c r="L74" s="40" t="s">
        <v>34</v>
      </c>
      <c r="M74" t="s">
        <v>50</v>
      </c>
    </row>
    <row r="75" spans="1:15" ht="15" customHeight="1" x14ac:dyDescent="0.25">
      <c r="A75" s="11" t="str">
        <f t="shared" si="7"/>
        <v>CUSTO PLATAFORMA - JANEIRO/26 - TERMO - 24140</v>
      </c>
      <c r="B75" s="12">
        <v>46023</v>
      </c>
      <c r="C75" s="11">
        <v>817394</v>
      </c>
      <c r="D75" s="11" t="s">
        <v>14</v>
      </c>
      <c r="E75" s="49">
        <v>-2425.66</v>
      </c>
      <c r="F75" s="33" t="s">
        <v>35</v>
      </c>
      <c r="G75" s="12">
        <v>46023</v>
      </c>
      <c r="H75" s="11">
        <v>80101</v>
      </c>
      <c r="J75" s="39">
        <v>24140</v>
      </c>
      <c r="K75" s="39">
        <f>_xlfn.XLOOKUP(L75,[1]!Tabela33[BROKER],[1]!Tabela33[ID ORACLE],0,0,1)</f>
        <v>24140</v>
      </c>
      <c r="L75" s="40" t="s">
        <v>14</v>
      </c>
      <c r="M75" t="s">
        <v>41</v>
      </c>
    </row>
    <row r="76" spans="1:15" ht="15" customHeight="1" x14ac:dyDescent="0.25">
      <c r="A76" s="17" t="str">
        <f>_xlfn.CONCAT($L$1,$I$1,F76)</f>
        <v>CUSTO PLATAFORMA - JANEIRO/26 - TRADEMATE</v>
      </c>
      <c r="B76" s="18">
        <v>46023</v>
      </c>
      <c r="C76" s="17">
        <v>817394</v>
      </c>
      <c r="D76" s="17" t="s">
        <v>51</v>
      </c>
      <c r="E76" s="50">
        <v>-1281.6578640723835</v>
      </c>
      <c r="F76" s="32" t="s">
        <v>60</v>
      </c>
      <c r="G76" s="18">
        <v>46023</v>
      </c>
      <c r="H76" s="17">
        <v>1170</v>
      </c>
      <c r="J76" s="28"/>
      <c r="K76" s="28"/>
      <c r="L76" s="47"/>
    </row>
    <row r="77" spans="1:15" ht="15" customHeight="1" x14ac:dyDescent="0.25">
      <c r="A77" s="17" t="str">
        <f t="shared" ref="A77:A92" si="8">_xlfn.CONCAT($L$1,$I$1,F77)</f>
        <v>CUSTO PLATAFORMA - JANEIRO/26 - TRADEMATE</v>
      </c>
      <c r="B77" s="18">
        <v>46023</v>
      </c>
      <c r="C77" s="17">
        <v>817394</v>
      </c>
      <c r="D77" s="17" t="s">
        <v>74</v>
      </c>
      <c r="E77" s="50">
        <v>-12353.09933669535</v>
      </c>
      <c r="F77" s="32" t="s">
        <v>60</v>
      </c>
      <c r="G77" s="18">
        <v>46023</v>
      </c>
      <c r="H77" s="17">
        <v>1170</v>
      </c>
      <c r="J77" s="28"/>
      <c r="K77" s="28"/>
      <c r="L77" s="47"/>
    </row>
    <row r="78" spans="1:15" ht="15" customHeight="1" x14ac:dyDescent="0.25">
      <c r="A78" s="17" t="str">
        <f t="shared" si="8"/>
        <v>CUSTO PLATAFORMA - JANEIRO/26 - TRADEMATE</v>
      </c>
      <c r="B78" s="18">
        <v>46023</v>
      </c>
      <c r="C78" s="17">
        <v>817394</v>
      </c>
      <c r="D78" s="17" t="s">
        <v>52</v>
      </c>
      <c r="E78" s="50">
        <v>-131.55857969523109</v>
      </c>
      <c r="F78" s="32" t="s">
        <v>60</v>
      </c>
      <c r="G78" s="18">
        <v>46023</v>
      </c>
      <c r="H78" s="17">
        <v>1170</v>
      </c>
      <c r="J78" s="28"/>
      <c r="K78" s="28"/>
      <c r="L78" s="47"/>
    </row>
    <row r="79" spans="1:15" ht="15" customHeight="1" x14ac:dyDescent="0.25">
      <c r="A79" s="17" t="str">
        <f t="shared" si="8"/>
        <v>CUSTO PLATAFORMA - JANEIRO/26 - TRADEMATE</v>
      </c>
      <c r="B79" s="18">
        <v>46023</v>
      </c>
      <c r="C79" s="17">
        <v>817394</v>
      </c>
      <c r="D79" s="17" t="s">
        <v>58</v>
      </c>
      <c r="E79" s="50">
        <v>-5800.1450187316123</v>
      </c>
      <c r="F79" s="32" t="s">
        <v>60</v>
      </c>
      <c r="G79" s="18">
        <v>46023</v>
      </c>
      <c r="H79" s="17">
        <v>1170</v>
      </c>
      <c r="J79" s="28"/>
      <c r="K79" s="28"/>
      <c r="L79" s="47"/>
    </row>
    <row r="80" spans="1:15" ht="15" customHeight="1" x14ac:dyDescent="0.25">
      <c r="A80" s="17" t="str">
        <f t="shared" si="8"/>
        <v>CUSTO PLATAFORMA - JANEIRO/26 - TRADEMATE</v>
      </c>
      <c r="B80" s="18">
        <v>46023</v>
      </c>
      <c r="C80" s="17">
        <v>817394</v>
      </c>
      <c r="D80" s="17" t="s">
        <v>43</v>
      </c>
      <c r="E80" s="50">
        <v>-3275.4606313737631</v>
      </c>
      <c r="F80" s="32" t="s">
        <v>60</v>
      </c>
      <c r="G80" s="18">
        <v>46023</v>
      </c>
      <c r="H80" s="17">
        <v>1170</v>
      </c>
      <c r="J80" s="28"/>
      <c r="K80" s="28"/>
      <c r="L80" s="47"/>
    </row>
    <row r="81" spans="1:18" ht="15" customHeight="1" x14ac:dyDescent="0.25">
      <c r="A81" s="17" t="str">
        <f t="shared" si="8"/>
        <v>CUSTO PLATAFORMA - JANEIRO/26 - TRADEMATE</v>
      </c>
      <c r="B81" s="18">
        <v>46023</v>
      </c>
      <c r="C81" s="17">
        <v>817394</v>
      </c>
      <c r="D81" s="17" t="s">
        <v>53</v>
      </c>
      <c r="E81" s="50">
        <v>-4390.1950611482625</v>
      </c>
      <c r="F81" s="32" t="s">
        <v>60</v>
      </c>
      <c r="G81" s="18">
        <v>46023</v>
      </c>
      <c r="H81" s="17">
        <v>1170</v>
      </c>
      <c r="J81" s="28"/>
      <c r="K81" s="28"/>
      <c r="L81" s="47"/>
    </row>
    <row r="82" spans="1:18" ht="15" customHeight="1" x14ac:dyDescent="0.25">
      <c r="A82" s="17" t="str">
        <f t="shared" si="8"/>
        <v>CUSTO PLATAFORMA - JANEIRO/26 - TRADEMATE</v>
      </c>
      <c r="B82" s="18">
        <v>46023</v>
      </c>
      <c r="C82" s="17">
        <v>817394</v>
      </c>
      <c r="D82" s="17" t="s">
        <v>38</v>
      </c>
      <c r="E82" s="50">
        <v>-257.09276949174688</v>
      </c>
      <c r="F82" s="32" t="s">
        <v>60</v>
      </c>
      <c r="G82" s="18">
        <v>46023</v>
      </c>
      <c r="H82" s="17">
        <v>1170</v>
      </c>
      <c r="J82" s="28"/>
      <c r="K82" s="28"/>
      <c r="L82" s="47"/>
    </row>
    <row r="83" spans="1:18" ht="15" customHeight="1" x14ac:dyDescent="0.25">
      <c r="A83" s="17" t="str">
        <f t="shared" si="8"/>
        <v>CUSTO PLATAFORMA - JANEIRO/26 - TRADEMATE</v>
      </c>
      <c r="B83" s="18">
        <v>46023</v>
      </c>
      <c r="C83" s="17">
        <v>817394</v>
      </c>
      <c r="D83" s="17" t="s">
        <v>59</v>
      </c>
      <c r="E83" s="50">
        <v>-3872.9310924241604</v>
      </c>
      <c r="F83" s="32" t="s">
        <v>60</v>
      </c>
      <c r="G83" s="18">
        <v>46023</v>
      </c>
      <c r="H83" s="17">
        <v>1170</v>
      </c>
      <c r="J83" s="28"/>
      <c r="K83" s="28"/>
      <c r="L83" s="47"/>
    </row>
    <row r="84" spans="1:18" ht="15" customHeight="1" x14ac:dyDescent="0.25">
      <c r="A84" s="17" t="str">
        <f t="shared" si="8"/>
        <v>CUSTO PLATAFORMA - JANEIRO/26 - TRADEMATE</v>
      </c>
      <c r="B84" s="18">
        <v>46023</v>
      </c>
      <c r="C84" s="17">
        <v>817394</v>
      </c>
      <c r="D84" s="17" t="s">
        <v>75</v>
      </c>
      <c r="E84" s="50">
        <v>-47.88150542366099</v>
      </c>
      <c r="F84" s="32" t="s">
        <v>60</v>
      </c>
      <c r="G84" s="18">
        <v>46023</v>
      </c>
      <c r="H84" s="17">
        <v>1170</v>
      </c>
      <c r="J84" s="28"/>
      <c r="K84" s="28"/>
      <c r="L84" s="47"/>
    </row>
    <row r="85" spans="1:18" ht="15" customHeight="1" x14ac:dyDescent="0.25">
      <c r="A85" s="17" t="str">
        <f t="shared" si="8"/>
        <v>CUSTO PLATAFORMA - JANEIRO/26 - TRADEMATE</v>
      </c>
      <c r="B85" s="18">
        <v>46023</v>
      </c>
      <c r="C85" s="17">
        <v>817394</v>
      </c>
      <c r="D85" s="17" t="s">
        <v>54</v>
      </c>
      <c r="E85" s="50">
        <v>-521.51562663906213</v>
      </c>
      <c r="F85" s="32" t="s">
        <v>60</v>
      </c>
      <c r="G85" s="18">
        <v>46023</v>
      </c>
      <c r="H85" s="17">
        <v>1170</v>
      </c>
      <c r="J85" s="28"/>
      <c r="K85" s="28"/>
      <c r="L85" s="47"/>
    </row>
    <row r="86" spans="1:18" ht="15" customHeight="1" x14ac:dyDescent="0.25">
      <c r="A86" s="17" t="str">
        <f t="shared" si="8"/>
        <v>CUSTO PLATAFORMA - JANEIRO/26 - TRADEMATE</v>
      </c>
      <c r="B86" s="18">
        <v>46023</v>
      </c>
      <c r="C86" s="17">
        <v>817394</v>
      </c>
      <c r="D86" s="17" t="s">
        <v>73</v>
      </c>
      <c r="E86" s="50">
        <v>-305.21411366649778</v>
      </c>
      <c r="F86" s="32" t="s">
        <v>60</v>
      </c>
      <c r="G86" s="18">
        <v>46023</v>
      </c>
      <c r="H86" s="17">
        <v>1170</v>
      </c>
      <c r="J86" s="28"/>
      <c r="K86" s="28"/>
      <c r="L86" s="47"/>
    </row>
    <row r="87" spans="1:18" ht="15" customHeight="1" x14ac:dyDescent="0.25">
      <c r="A87" s="17" t="str">
        <f t="shared" si="8"/>
        <v>CUSTO PLATAFORMA - JANEIRO/26 - TRADEMATE</v>
      </c>
      <c r="B87" s="18">
        <v>46023</v>
      </c>
      <c r="C87" s="17">
        <v>817394</v>
      </c>
      <c r="D87" s="17" t="s">
        <v>76</v>
      </c>
      <c r="E87" s="50">
        <v>-630.1300931435926</v>
      </c>
      <c r="F87" s="32" t="s">
        <v>60</v>
      </c>
      <c r="G87" s="18">
        <v>46023</v>
      </c>
      <c r="H87" s="17">
        <v>1170</v>
      </c>
      <c r="J87" s="28"/>
      <c r="K87" s="28"/>
      <c r="L87" s="47"/>
    </row>
    <row r="88" spans="1:18" ht="15" customHeight="1" x14ac:dyDescent="0.25">
      <c r="A88" s="17" t="str">
        <f t="shared" si="8"/>
        <v>CUSTO PLATAFORMA - JANEIRO/26 - TRADEMATE</v>
      </c>
      <c r="B88" s="18">
        <v>46023</v>
      </c>
      <c r="C88" s="17">
        <v>817394</v>
      </c>
      <c r="D88" s="17" t="s">
        <v>61</v>
      </c>
      <c r="E88" s="50">
        <v>-4740.2258885434121</v>
      </c>
      <c r="F88" s="32" t="s">
        <v>60</v>
      </c>
      <c r="G88" s="18">
        <v>46023</v>
      </c>
      <c r="H88" s="17">
        <v>1170</v>
      </c>
      <c r="J88" s="28"/>
      <c r="K88" s="28"/>
      <c r="L88" s="47"/>
    </row>
    <row r="89" spans="1:18" ht="15" customHeight="1" x14ac:dyDescent="0.25">
      <c r="A89" s="17" t="str">
        <f t="shared" si="8"/>
        <v>CUSTO PLATAFORMA - JANEIRO/26 - TRADEMATE</v>
      </c>
      <c r="B89" s="18">
        <v>46023</v>
      </c>
      <c r="C89" s="17">
        <v>817394</v>
      </c>
      <c r="D89" s="17" t="s">
        <v>55</v>
      </c>
      <c r="E89" s="50">
        <v>-1417.6771302009274</v>
      </c>
      <c r="F89" s="32" t="s">
        <v>60</v>
      </c>
      <c r="G89" s="18">
        <v>46023</v>
      </c>
      <c r="H89" s="17">
        <v>1170</v>
      </c>
      <c r="J89" s="28"/>
      <c r="K89" s="28"/>
      <c r="L89" s="47"/>
    </row>
    <row r="90" spans="1:18" ht="15" customHeight="1" x14ac:dyDescent="0.25">
      <c r="A90" s="17" t="str">
        <f t="shared" si="8"/>
        <v>CUSTO PLATAFORMA - JANEIRO/26 - TRADEMATE</v>
      </c>
      <c r="B90" s="18">
        <v>46023</v>
      </c>
      <c r="C90" s="17">
        <v>817394</v>
      </c>
      <c r="D90" s="17" t="s">
        <v>77</v>
      </c>
      <c r="E90" s="50">
        <v>-140.6415994807586</v>
      </c>
      <c r="F90" s="32" t="s">
        <v>60</v>
      </c>
      <c r="G90" s="18">
        <v>46023</v>
      </c>
      <c r="H90" s="17">
        <v>1170</v>
      </c>
      <c r="J90" s="28"/>
      <c r="K90" s="28"/>
      <c r="L90" s="47"/>
    </row>
    <row r="91" spans="1:18" ht="15" customHeight="1" x14ac:dyDescent="0.25">
      <c r="A91" s="17" t="str">
        <f t="shared" si="8"/>
        <v>CUSTO PLATAFORMA - JANEIRO/26 - TRADEMATE</v>
      </c>
      <c r="B91" s="18">
        <v>46023</v>
      </c>
      <c r="C91" s="17">
        <v>817394</v>
      </c>
      <c r="D91" s="17" t="s">
        <v>78</v>
      </c>
      <c r="E91" s="50">
        <v>-2.6106306660725269</v>
      </c>
      <c r="F91" s="32" t="s">
        <v>60</v>
      </c>
      <c r="G91" s="18">
        <v>46023</v>
      </c>
      <c r="H91" s="17">
        <v>1170</v>
      </c>
      <c r="J91" s="28"/>
      <c r="K91" s="28"/>
      <c r="L91" s="47"/>
    </row>
    <row r="92" spans="1:18" ht="15" customHeight="1" x14ac:dyDescent="0.25">
      <c r="A92" s="19" t="str">
        <f t="shared" si="8"/>
        <v>CUSTO PLATAFORMA - JANEIRO/26 - TRADEMATE</v>
      </c>
      <c r="B92" s="20">
        <v>46023</v>
      </c>
      <c r="C92" s="19">
        <v>817394</v>
      </c>
      <c r="D92" s="19" t="s">
        <v>57</v>
      </c>
      <c r="E92" s="49">
        <v>-509.28305860351742</v>
      </c>
      <c r="F92" s="34" t="s">
        <v>60</v>
      </c>
      <c r="G92" s="20">
        <v>46023</v>
      </c>
      <c r="H92" s="19">
        <v>1170</v>
      </c>
      <c r="I92" s="36"/>
      <c r="J92" s="35"/>
      <c r="K92" s="35"/>
      <c r="L92" s="48"/>
    </row>
    <row r="93" spans="1:18" ht="15" customHeight="1" x14ac:dyDescent="0.25">
      <c r="A93" s="22" t="str">
        <f>_xlfn.CONCAT($L$1,$I$1,F93)</f>
        <v>CUSTO PLATAFORMA - JANEIRO/26 - BLOOMBERG SINGAPURA</v>
      </c>
      <c r="B93" s="18">
        <v>46023</v>
      </c>
      <c r="C93" s="17">
        <v>817394</v>
      </c>
      <c r="D93" s="32" t="s">
        <v>38</v>
      </c>
      <c r="E93" s="50">
        <v>-777.73766804165803</v>
      </c>
      <c r="F93" s="17" t="s">
        <v>37</v>
      </c>
      <c r="G93" s="18">
        <v>46023</v>
      </c>
      <c r="H93" s="17">
        <v>1170</v>
      </c>
      <c r="J93" s="28"/>
      <c r="K93" s="28"/>
      <c r="L93" s="17" t="s">
        <v>38</v>
      </c>
      <c r="N93" s="43"/>
      <c r="R93" s="41"/>
    </row>
    <row r="94" spans="1:18" ht="15" customHeight="1" x14ac:dyDescent="0.25">
      <c r="A94" s="22" t="str">
        <f>_xlfn.CONCAT($L$1,$I$1,F94)</f>
        <v>CUSTO PLATAFORMA - JANEIRO/26 - BLOOMBERG SINGAPURA</v>
      </c>
      <c r="B94" s="18">
        <v>46023</v>
      </c>
      <c r="C94" s="17">
        <v>817394</v>
      </c>
      <c r="D94" s="17" t="s">
        <v>55</v>
      </c>
      <c r="E94" s="50">
        <v>-6587.5459832145398</v>
      </c>
      <c r="F94" s="17" t="s">
        <v>37</v>
      </c>
      <c r="G94" s="18">
        <v>46023</v>
      </c>
      <c r="H94" s="17">
        <v>1170</v>
      </c>
      <c r="J94" s="28"/>
      <c r="K94" s="28"/>
      <c r="L94" s="17" t="s">
        <v>61</v>
      </c>
      <c r="Q94" s="30"/>
    </row>
    <row r="95" spans="1:18" ht="15" customHeight="1" x14ac:dyDescent="0.25">
      <c r="A95" s="22"/>
      <c r="B95" s="18"/>
      <c r="C95" s="17"/>
      <c r="D95" s="17"/>
      <c r="E95" s="31"/>
      <c r="F95" s="17"/>
      <c r="G95" s="18"/>
      <c r="H95" s="17"/>
      <c r="J95" s="28"/>
      <c r="K95" s="28"/>
      <c r="L95" s="17"/>
      <c r="N95" s="45">
        <v>7365.2836512561989</v>
      </c>
      <c r="O95" s="59">
        <v>1</v>
      </c>
      <c r="Q95" s="45">
        <f>Q96+Q97</f>
        <v>1214.6400000000001</v>
      </c>
      <c r="R95" s="59">
        <v>1</v>
      </c>
    </row>
    <row r="96" spans="1:18" ht="15" customHeight="1" x14ac:dyDescent="0.25">
      <c r="A96" s="22"/>
      <c r="B96" s="18"/>
      <c r="C96" s="17"/>
      <c r="D96" s="17"/>
      <c r="E96" s="31"/>
      <c r="F96" s="17"/>
      <c r="G96" s="18"/>
      <c r="H96" s="17"/>
      <c r="J96" s="28"/>
      <c r="K96" s="28"/>
      <c r="L96" s="17"/>
      <c r="M96" t="s">
        <v>42</v>
      </c>
      <c r="N96" s="58">
        <f>N95*O96</f>
        <v>777.73766804165837</v>
      </c>
      <c r="O96" s="56">
        <f>R96</f>
        <v>0.10559507343739707</v>
      </c>
      <c r="Q96" s="45">
        <v>128.26</v>
      </c>
      <c r="R96" s="56">
        <f>Q96*R95/Q95</f>
        <v>0.10559507343739707</v>
      </c>
    </row>
    <row r="97" spans="1:18" ht="15" customHeight="1" x14ac:dyDescent="0.25">
      <c r="A97" s="25"/>
      <c r="B97" s="6"/>
      <c r="C97" s="1"/>
      <c r="D97" s="1"/>
      <c r="E97" s="2"/>
      <c r="F97" s="44"/>
      <c r="G97" s="6"/>
      <c r="H97" s="1"/>
      <c r="M97" t="s">
        <v>68</v>
      </c>
      <c r="N97" s="58">
        <f>N95*O97</f>
        <v>6587.5459832145407</v>
      </c>
      <c r="O97" s="56">
        <f t="shared" ref="O97" si="9">R97</f>
        <v>0.89440492656260295</v>
      </c>
      <c r="P97" s="43"/>
      <c r="Q97" s="45">
        <v>1086.3800000000001</v>
      </c>
      <c r="R97" s="57">
        <f>Q97*R95/Q95</f>
        <v>0.89440492656260295</v>
      </c>
    </row>
    <row r="98" spans="1:18" ht="15" customHeight="1" x14ac:dyDescent="0.25">
      <c r="A98" s="25"/>
      <c r="B98" s="6"/>
      <c r="C98" s="1"/>
      <c r="D98" s="1"/>
      <c r="E98" s="2"/>
      <c r="F98" s="1"/>
      <c r="G98" s="6"/>
      <c r="H98" s="1"/>
      <c r="M98" t="s">
        <v>46</v>
      </c>
      <c r="R98" t="s">
        <v>45</v>
      </c>
    </row>
    <row r="100" spans="1:18" ht="15" customHeight="1" x14ac:dyDescent="0.25">
      <c r="A100" s="25"/>
      <c r="B100" s="6"/>
      <c r="C100" s="1"/>
      <c r="D100" s="1"/>
      <c r="E100" s="2"/>
      <c r="F100" s="1"/>
      <c r="G100" s="6"/>
      <c r="H100" s="1"/>
    </row>
    <row r="101" spans="1:18" ht="15" customHeight="1" x14ac:dyDescent="0.25">
      <c r="A101" s="25"/>
      <c r="B101" s="6"/>
      <c r="C101" s="1"/>
      <c r="D101" s="1"/>
      <c r="E101" s="2"/>
      <c r="F101" s="1"/>
      <c r="G101" s="6"/>
      <c r="H101" s="1"/>
    </row>
    <row r="102" spans="1:18" ht="15" customHeight="1" x14ac:dyDescent="0.25">
      <c r="A102" s="25"/>
      <c r="B102" s="6"/>
      <c r="C102" s="1"/>
      <c r="D102" s="1"/>
      <c r="E102" s="2"/>
      <c r="F102" s="1"/>
      <c r="G102" s="6"/>
      <c r="H102" s="1"/>
    </row>
    <row r="103" spans="1:18" ht="15" customHeight="1" x14ac:dyDescent="0.25">
      <c r="A103" s="25"/>
      <c r="B103" s="6"/>
      <c r="C103" s="1"/>
      <c r="D103" s="1"/>
      <c r="E103" s="2"/>
      <c r="F103" s="1"/>
      <c r="G103" s="6"/>
      <c r="H103" s="1"/>
    </row>
    <row r="104" spans="1:18" ht="15" customHeight="1" x14ac:dyDescent="0.25">
      <c r="A104" s="25"/>
      <c r="B104" s="6"/>
      <c r="C104" s="1"/>
      <c r="D104" s="1"/>
      <c r="E104" s="2"/>
      <c r="F104" s="1"/>
      <c r="G104" s="6"/>
      <c r="H104" s="1"/>
    </row>
    <row r="105" spans="1:18" ht="15" customHeight="1" x14ac:dyDescent="0.25">
      <c r="A105" s="25"/>
      <c r="B105" s="6"/>
      <c r="C105" s="1"/>
      <c r="D105" s="1"/>
      <c r="E105" s="2"/>
      <c r="F105" s="1"/>
      <c r="G105" s="6"/>
      <c r="H105" s="1"/>
    </row>
    <row r="106" spans="1:18" ht="15" customHeight="1" x14ac:dyDescent="0.25">
      <c r="A106" s="25"/>
      <c r="B106" s="6"/>
      <c r="C106" s="1"/>
      <c r="D106" s="1"/>
      <c r="E106" s="2"/>
      <c r="F106" s="1"/>
      <c r="G106" s="6"/>
      <c r="H106" s="1"/>
    </row>
    <row r="107" spans="1:18" ht="15" customHeight="1" x14ac:dyDescent="0.25">
      <c r="A107" s="25"/>
      <c r="B107" s="6"/>
      <c r="C107" s="1"/>
      <c r="D107" s="1"/>
      <c r="E107" s="2"/>
      <c r="F107" s="1"/>
      <c r="G107" s="6"/>
      <c r="H107" s="1"/>
    </row>
    <row r="108" spans="1:18" ht="15" customHeight="1" x14ac:dyDescent="0.25">
      <c r="A108" s="25"/>
      <c r="B108" s="6"/>
      <c r="C108" s="1"/>
      <c r="D108" s="1"/>
      <c r="E108" s="2"/>
      <c r="F108" s="1"/>
      <c r="G108" s="6"/>
      <c r="H108" s="1"/>
    </row>
    <row r="109" spans="1:18" ht="15" customHeight="1" x14ac:dyDescent="0.25">
      <c r="A109" s="25"/>
      <c r="B109" s="6"/>
      <c r="C109" s="1"/>
      <c r="D109" s="1"/>
      <c r="E109" s="2"/>
      <c r="F109" s="1"/>
      <c r="G109" s="6"/>
      <c r="H109" s="1"/>
    </row>
    <row r="110" spans="1:18" ht="15" customHeight="1" x14ac:dyDescent="0.25">
      <c r="A110" s="25"/>
      <c r="B110" s="6"/>
      <c r="C110" s="1"/>
      <c r="D110" s="1"/>
      <c r="E110" s="2"/>
      <c r="F110" s="1"/>
      <c r="G110" s="6"/>
      <c r="H110" s="1"/>
    </row>
    <row r="111" spans="1:18" ht="15" customHeight="1" x14ac:dyDescent="0.25">
      <c r="A111" s="25"/>
      <c r="B111" s="6"/>
      <c r="C111" s="1"/>
      <c r="D111" s="1"/>
      <c r="E111" s="2"/>
      <c r="F111" s="1"/>
      <c r="G111" s="6"/>
      <c r="H111" s="1"/>
    </row>
    <row r="112" spans="1:18" ht="15" customHeight="1" x14ac:dyDescent="0.25">
      <c r="A112" s="25"/>
      <c r="B112" s="6"/>
      <c r="C112" s="1"/>
      <c r="D112" s="1"/>
      <c r="E112" s="2"/>
      <c r="F112" s="1"/>
      <c r="G112" s="6"/>
      <c r="H112" s="1"/>
    </row>
    <row r="113" spans="1:8" ht="15" customHeight="1" x14ac:dyDescent="0.25">
      <c r="A113" s="25"/>
      <c r="B113" s="6"/>
      <c r="C113" s="1"/>
      <c r="D113" s="1"/>
      <c r="E113" s="2"/>
      <c r="F113" s="1"/>
      <c r="G113" s="6"/>
      <c r="H113" s="1"/>
    </row>
    <row r="114" spans="1:8" ht="15" customHeight="1" x14ac:dyDescent="0.25">
      <c r="A114" s="25"/>
      <c r="B114" s="6"/>
      <c r="C114" s="1"/>
      <c r="D114" s="1"/>
      <c r="E114" s="2"/>
      <c r="F114" s="1"/>
      <c r="G114" s="6"/>
      <c r="H114" s="1"/>
    </row>
    <row r="115" spans="1:8" ht="15" customHeight="1" x14ac:dyDescent="0.25">
      <c r="A115" s="25"/>
      <c r="B115" s="6"/>
      <c r="C115" s="1"/>
      <c r="D115" s="1"/>
      <c r="E115" s="2"/>
      <c r="F115" s="1"/>
      <c r="G115" s="6"/>
      <c r="H115" s="1"/>
    </row>
    <row r="116" spans="1:8" ht="15" customHeight="1" x14ac:dyDescent="0.25">
      <c r="A116" s="25"/>
      <c r="B116" s="6"/>
      <c r="C116" s="1"/>
      <c r="D116" s="1"/>
      <c r="E116" s="2"/>
      <c r="F116" s="1"/>
      <c r="G116" s="6"/>
      <c r="H116" s="1"/>
    </row>
    <row r="117" spans="1:8" ht="15" customHeight="1" x14ac:dyDescent="0.25">
      <c r="A117" s="25"/>
      <c r="B117" s="6"/>
      <c r="C117" s="1"/>
      <c r="D117" s="1"/>
      <c r="E117" s="2"/>
      <c r="F117" s="1"/>
      <c r="G117" s="6"/>
      <c r="H117" s="1"/>
    </row>
    <row r="118" spans="1:8" ht="15" customHeight="1" x14ac:dyDescent="0.25">
      <c r="A118" s="25"/>
      <c r="B118" s="6"/>
      <c r="C118" s="1"/>
      <c r="D118" s="1"/>
      <c r="E118" s="2"/>
      <c r="F118" s="1"/>
      <c r="G118" s="6"/>
      <c r="H118" s="1"/>
    </row>
    <row r="119" spans="1:8" ht="15" customHeight="1" x14ac:dyDescent="0.25">
      <c r="A119" s="25"/>
      <c r="B119" s="6"/>
      <c r="C119" s="1"/>
      <c r="D119" s="1"/>
      <c r="E119" s="2"/>
      <c r="F119" s="1"/>
      <c r="G119" s="6"/>
      <c r="H119" s="1"/>
    </row>
    <row r="120" spans="1:8" ht="15" customHeight="1" x14ac:dyDescent="0.25">
      <c r="A120" s="25"/>
      <c r="B120" s="6"/>
      <c r="C120" s="1"/>
      <c r="D120" s="1"/>
      <c r="E120" s="2"/>
      <c r="F120" s="1"/>
      <c r="G120" s="6"/>
      <c r="H120" s="1"/>
    </row>
    <row r="121" spans="1:8" ht="15" customHeight="1" x14ac:dyDescent="0.25">
      <c r="A121" s="25"/>
      <c r="B121" s="6"/>
      <c r="C121" s="1"/>
      <c r="D121" s="1"/>
      <c r="E121" s="2"/>
      <c r="F121" s="1"/>
      <c r="G121" s="6"/>
      <c r="H121" s="1"/>
    </row>
    <row r="122" spans="1:8" ht="15" customHeight="1" x14ac:dyDescent="0.25">
      <c r="A122" s="25"/>
      <c r="B122" s="6"/>
      <c r="C122" s="1"/>
      <c r="D122" s="1"/>
      <c r="E122" s="2"/>
      <c r="F122" s="1"/>
      <c r="G122" s="6"/>
      <c r="H122" s="1"/>
    </row>
    <row r="123" spans="1:8" ht="15" customHeight="1" x14ac:dyDescent="0.25">
      <c r="A123" s="25"/>
      <c r="B123" s="6"/>
      <c r="C123" s="1"/>
      <c r="D123" s="1"/>
      <c r="E123" s="2"/>
      <c r="F123" s="1"/>
      <c r="G123" s="6"/>
      <c r="H123" s="1"/>
    </row>
    <row r="124" spans="1:8" ht="15" customHeight="1" x14ac:dyDescent="0.25">
      <c r="A124" s="25"/>
      <c r="B124" s="6"/>
      <c r="C124" s="1"/>
      <c r="D124" s="1"/>
      <c r="E124" s="2"/>
      <c r="F124" s="1"/>
      <c r="G124" s="6"/>
      <c r="H124" s="1"/>
    </row>
    <row r="125" spans="1:8" ht="15" customHeight="1" x14ac:dyDescent="0.25">
      <c r="A125" s="25"/>
      <c r="B125" s="6"/>
      <c r="C125" s="1"/>
      <c r="D125" s="1"/>
      <c r="E125" s="2"/>
      <c r="F125" s="1"/>
      <c r="G125" s="6"/>
      <c r="H125" s="1"/>
    </row>
    <row r="126" spans="1:8" ht="15" customHeight="1" x14ac:dyDescent="0.25">
      <c r="A126" s="25"/>
      <c r="B126" s="6"/>
      <c r="C126" s="1"/>
      <c r="D126" s="1"/>
      <c r="E126" s="2"/>
      <c r="F126" s="1"/>
      <c r="G126" s="6"/>
      <c r="H126" s="1"/>
    </row>
    <row r="127" spans="1:8" ht="15" customHeight="1" x14ac:dyDescent="0.25">
      <c r="A127" s="25"/>
      <c r="B127" s="6"/>
      <c r="C127" s="1"/>
      <c r="D127" s="1"/>
      <c r="E127" s="2"/>
      <c r="F127" s="1"/>
      <c r="G127" s="6"/>
      <c r="H127" s="1"/>
    </row>
    <row r="128" spans="1:8" ht="15" customHeight="1" x14ac:dyDescent="0.25">
      <c r="A128" s="25"/>
      <c r="B128" s="6"/>
      <c r="C128" s="1"/>
      <c r="D128" s="1"/>
      <c r="E128" s="2"/>
      <c r="F128" s="1"/>
      <c r="G128" s="6"/>
      <c r="H128" s="1"/>
    </row>
    <row r="129" spans="1:8" ht="15" customHeight="1" x14ac:dyDescent="0.25">
      <c r="A129" s="25"/>
      <c r="B129" s="6"/>
      <c r="C129" s="1"/>
      <c r="D129" s="1"/>
      <c r="E129" s="2"/>
      <c r="F129" s="1"/>
      <c r="G129" s="6"/>
      <c r="H129" s="1"/>
    </row>
    <row r="130" spans="1:8" ht="15" customHeight="1" x14ac:dyDescent="0.25">
      <c r="A130" s="25"/>
      <c r="B130" s="6"/>
      <c r="C130" s="1"/>
      <c r="D130" s="1"/>
      <c r="E130" s="2"/>
      <c r="F130" s="1"/>
      <c r="G130" s="6"/>
      <c r="H130" s="1"/>
    </row>
    <row r="131" spans="1:8" ht="15" customHeight="1" x14ac:dyDescent="0.25">
      <c r="A131" s="25"/>
      <c r="B131" s="6"/>
      <c r="C131" s="1"/>
      <c r="D131" s="1"/>
      <c r="E131" s="2"/>
      <c r="F131" s="1"/>
      <c r="G131" s="6"/>
      <c r="H131" s="1"/>
    </row>
    <row r="132" spans="1:8" ht="15" customHeight="1" x14ac:dyDescent="0.25">
      <c r="A132" s="25"/>
      <c r="B132" s="6"/>
      <c r="C132" s="1"/>
      <c r="D132" s="1"/>
      <c r="E132" s="2"/>
      <c r="F132" s="1"/>
      <c r="G132" s="6"/>
      <c r="H132" s="1"/>
    </row>
    <row r="133" spans="1:8" ht="15" customHeight="1" x14ac:dyDescent="0.25">
      <c r="A133" s="25"/>
      <c r="B133" s="6"/>
      <c r="C133" s="1"/>
      <c r="D133" s="1"/>
      <c r="E133" s="2"/>
      <c r="F133" s="1"/>
      <c r="G133" s="6"/>
      <c r="H133" s="1"/>
    </row>
    <row r="134" spans="1:8" ht="15" customHeight="1" x14ac:dyDescent="0.25">
      <c r="A134" s="25"/>
      <c r="B134" s="6"/>
      <c r="C134" s="1"/>
      <c r="D134" s="1"/>
      <c r="E134" s="2"/>
      <c r="F134" s="1"/>
      <c r="G134" s="6"/>
      <c r="H134" s="1"/>
    </row>
    <row r="135" spans="1:8" ht="15" customHeight="1" x14ac:dyDescent="0.25">
      <c r="A135" s="25"/>
      <c r="B135" s="6"/>
      <c r="C135" s="1"/>
      <c r="D135" s="1"/>
      <c r="E135" s="2"/>
      <c r="F135" s="1"/>
      <c r="G135" s="6"/>
      <c r="H135" s="1"/>
    </row>
    <row r="136" spans="1:8" ht="15" customHeight="1" x14ac:dyDescent="0.25">
      <c r="A136" s="25"/>
      <c r="B136" s="6"/>
      <c r="C136" s="1"/>
      <c r="D136" s="1"/>
      <c r="E136" s="2"/>
      <c r="F136" s="1"/>
      <c r="G136" s="6"/>
      <c r="H136" s="1"/>
    </row>
    <row r="137" spans="1:8" ht="15" customHeight="1" x14ac:dyDescent="0.25">
      <c r="A137" s="25"/>
      <c r="B137" s="6"/>
      <c r="C137" s="1"/>
      <c r="D137" s="1"/>
      <c r="E137" s="2"/>
      <c r="F137" s="1"/>
      <c r="G137" s="6"/>
      <c r="H137" s="1"/>
    </row>
    <row r="138" spans="1:8" ht="15" customHeight="1" x14ac:dyDescent="0.25">
      <c r="A138" s="25"/>
      <c r="B138" s="6"/>
      <c r="C138" s="1"/>
      <c r="D138" s="1"/>
      <c r="E138" s="2"/>
      <c r="F138" s="1"/>
      <c r="G138" s="6"/>
      <c r="H138" s="1"/>
    </row>
    <row r="139" spans="1:8" ht="15" customHeight="1" x14ac:dyDescent="0.25">
      <c r="A139" s="25"/>
      <c r="B139" s="6"/>
      <c r="C139" s="1"/>
      <c r="D139" s="1"/>
      <c r="E139" s="2"/>
      <c r="F139" s="1"/>
      <c r="G139" s="6"/>
      <c r="H139" s="1"/>
    </row>
    <row r="140" spans="1:8" ht="15" customHeight="1" x14ac:dyDescent="0.25">
      <c r="A140" s="25"/>
      <c r="B140" s="6"/>
      <c r="C140" s="1"/>
      <c r="D140" s="1"/>
      <c r="E140" s="2"/>
      <c r="F140" s="1"/>
      <c r="G140" s="6"/>
      <c r="H140" s="1"/>
    </row>
    <row r="141" spans="1:8" ht="15" customHeight="1" x14ac:dyDescent="0.25">
      <c r="A141" s="25"/>
      <c r="B141" s="6"/>
      <c r="C141" s="1"/>
      <c r="D141" s="1"/>
      <c r="E141" s="2"/>
      <c r="F141" s="1"/>
      <c r="G141" s="6"/>
      <c r="H141" s="1"/>
    </row>
    <row r="142" spans="1:8" ht="15" customHeight="1" x14ac:dyDescent="0.25">
      <c r="A142" s="25"/>
      <c r="B142" s="6"/>
      <c r="C142" s="1"/>
      <c r="D142" s="1"/>
      <c r="E142" s="2"/>
      <c r="F142" s="1"/>
      <c r="G142" s="6"/>
      <c r="H142" s="1"/>
    </row>
    <row r="143" spans="1:8" ht="15" customHeight="1" x14ac:dyDescent="0.25">
      <c r="A143" s="25"/>
      <c r="B143" s="6"/>
      <c r="C143" s="1"/>
      <c r="D143" s="1"/>
      <c r="E143" s="2"/>
      <c r="F143" s="1"/>
      <c r="G143" s="6"/>
      <c r="H143" s="1"/>
    </row>
    <row r="144" spans="1:8" ht="15" customHeight="1" x14ac:dyDescent="0.25">
      <c r="A144" s="25"/>
      <c r="B144" s="6"/>
      <c r="C144" s="1"/>
      <c r="D144" s="1"/>
      <c r="E144" s="2"/>
      <c r="F144" s="1"/>
      <c r="G144" s="6"/>
      <c r="H144" s="1"/>
    </row>
    <row r="145" spans="1:8" ht="15" customHeight="1" x14ac:dyDescent="0.25">
      <c r="A145" s="25"/>
      <c r="B145" s="6"/>
      <c r="C145" s="1"/>
      <c r="D145" s="1"/>
      <c r="E145" s="2"/>
      <c r="F145" s="1"/>
      <c r="G145" s="6"/>
      <c r="H145" s="1"/>
    </row>
    <row r="146" spans="1:8" ht="15" customHeight="1" x14ac:dyDescent="0.25">
      <c r="A146" s="25"/>
      <c r="B146" s="6"/>
      <c r="C146" s="1"/>
      <c r="D146" s="1"/>
      <c r="E146" s="2"/>
      <c r="F146" s="1"/>
      <c r="G146" s="6"/>
      <c r="H146" s="1"/>
    </row>
    <row r="147" spans="1:8" ht="15" customHeight="1" x14ac:dyDescent="0.25">
      <c r="A147" s="25"/>
      <c r="B147" s="6"/>
      <c r="C147" s="1"/>
      <c r="D147" s="1"/>
      <c r="E147" s="2"/>
      <c r="F147" s="1"/>
      <c r="G147" s="6"/>
      <c r="H147" s="1"/>
    </row>
    <row r="148" spans="1:8" ht="15" customHeight="1" x14ac:dyDescent="0.25">
      <c r="A148" s="25"/>
      <c r="B148" s="6"/>
      <c r="C148" s="1"/>
      <c r="D148" s="1"/>
      <c r="E148" s="2"/>
      <c r="F148" s="1"/>
      <c r="G148" s="6"/>
      <c r="H148" s="1"/>
    </row>
    <row r="149" spans="1:8" ht="15" customHeight="1" x14ac:dyDescent="0.25">
      <c r="A149" s="25"/>
      <c r="B149" s="6"/>
      <c r="C149" s="1"/>
      <c r="D149" s="1"/>
      <c r="E149" s="2"/>
      <c r="F149" s="1"/>
      <c r="G149" s="6"/>
      <c r="H149" s="1"/>
    </row>
    <row r="150" spans="1:8" ht="15" customHeight="1" x14ac:dyDescent="0.25">
      <c r="A150" s="25"/>
      <c r="B150" s="6"/>
      <c r="C150" s="1"/>
      <c r="D150" s="1"/>
      <c r="E150" s="2"/>
      <c r="F150" s="1"/>
      <c r="G150" s="6"/>
      <c r="H150" s="1"/>
    </row>
    <row r="151" spans="1:8" ht="15" customHeight="1" x14ac:dyDescent="0.25">
      <c r="A151" s="25"/>
      <c r="B151" s="6"/>
      <c r="C151" s="1"/>
      <c r="D151" s="1"/>
      <c r="E151" s="2"/>
      <c r="F151" s="1"/>
      <c r="G151" s="6"/>
      <c r="H151" s="1"/>
    </row>
    <row r="152" spans="1:8" ht="15" customHeight="1" x14ac:dyDescent="0.25">
      <c r="A152" s="25"/>
      <c r="B152" s="6"/>
      <c r="C152" s="1"/>
      <c r="D152" s="1"/>
      <c r="E152" s="2"/>
      <c r="F152" s="1"/>
      <c r="G152" s="6"/>
      <c r="H152" s="1"/>
    </row>
    <row r="153" spans="1:8" ht="15" customHeight="1" x14ac:dyDescent="0.25">
      <c r="A153" s="25"/>
      <c r="B153" s="6"/>
      <c r="C153" s="1"/>
      <c r="D153" s="1"/>
      <c r="E153" s="2"/>
      <c r="F153" s="1"/>
      <c r="G153" s="6"/>
      <c r="H153" s="1"/>
    </row>
    <row r="154" spans="1:8" ht="15" customHeight="1" x14ac:dyDescent="0.25">
      <c r="A154" s="25"/>
      <c r="B154" s="6"/>
      <c r="C154" s="1"/>
      <c r="D154" s="1"/>
      <c r="E154" s="2"/>
      <c r="F154" s="1"/>
      <c r="G154" s="6"/>
      <c r="H154" s="1"/>
    </row>
    <row r="155" spans="1:8" ht="15" customHeight="1" x14ac:dyDescent="0.25">
      <c r="A155" s="25"/>
      <c r="B155" s="6"/>
      <c r="C155" s="1"/>
      <c r="D155" s="1"/>
      <c r="E155" s="2"/>
      <c r="F155" s="1"/>
      <c r="G155" s="6"/>
      <c r="H155" s="1"/>
    </row>
    <row r="156" spans="1:8" ht="15" customHeight="1" x14ac:dyDescent="0.25">
      <c r="A156" s="25"/>
      <c r="B156" s="6"/>
      <c r="C156" s="1"/>
      <c r="D156" s="1"/>
      <c r="E156" s="2"/>
      <c r="F156" s="1"/>
      <c r="G156" s="6"/>
      <c r="H156" s="1"/>
    </row>
    <row r="157" spans="1:8" ht="15" customHeight="1" x14ac:dyDescent="0.25">
      <c r="A157" s="25"/>
      <c r="B157" s="6"/>
      <c r="C157" s="1"/>
      <c r="D157" s="1"/>
      <c r="E157" s="2"/>
      <c r="F157" s="1"/>
      <c r="G157" s="6"/>
      <c r="H157" s="1"/>
    </row>
    <row r="158" spans="1:8" ht="15" customHeight="1" x14ac:dyDescent="0.25">
      <c r="A158" s="25"/>
      <c r="B158" s="6"/>
      <c r="C158" s="1"/>
      <c r="D158" s="1"/>
      <c r="E158" s="2"/>
      <c r="F158" s="1"/>
      <c r="G158" s="6"/>
      <c r="H158" s="1"/>
    </row>
    <row r="159" spans="1:8" ht="15" customHeight="1" x14ac:dyDescent="0.25">
      <c r="A159" s="25"/>
      <c r="B159" s="6"/>
      <c r="C159" s="1"/>
      <c r="D159" s="1"/>
      <c r="E159" s="2"/>
      <c r="F159" s="1"/>
      <c r="G159" s="6"/>
      <c r="H159" s="1"/>
    </row>
    <row r="160" spans="1:8" ht="15" customHeight="1" x14ac:dyDescent="0.25">
      <c r="A160" s="25"/>
      <c r="B160" s="6"/>
      <c r="C160" s="1"/>
      <c r="D160" s="1"/>
      <c r="E160" s="2"/>
      <c r="F160" s="1"/>
      <c r="G160" s="6"/>
      <c r="H160" s="1"/>
    </row>
    <row r="161" spans="1:8" ht="15" customHeight="1" x14ac:dyDescent="0.25">
      <c r="A161" s="25"/>
      <c r="B161" s="6"/>
      <c r="C161" s="1"/>
      <c r="D161" s="1"/>
      <c r="E161" s="2"/>
      <c r="F161" s="1"/>
      <c r="G161" s="6"/>
      <c r="H161" s="1"/>
    </row>
    <row r="162" spans="1:8" ht="15" customHeight="1" x14ac:dyDescent="0.25">
      <c r="A162" s="25"/>
      <c r="B162" s="6"/>
      <c r="C162" s="1"/>
      <c r="D162" s="1"/>
      <c r="E162" s="2"/>
      <c r="F162" s="1"/>
      <c r="G162" s="6"/>
      <c r="H162" s="1"/>
    </row>
    <row r="163" spans="1:8" ht="15" customHeight="1" x14ac:dyDescent="0.25">
      <c r="A163" s="25"/>
      <c r="B163" s="6"/>
      <c r="C163" s="1"/>
      <c r="D163" s="1"/>
      <c r="E163" s="2"/>
      <c r="F163" s="1"/>
      <c r="G163" s="6"/>
      <c r="H163" s="1"/>
    </row>
    <row r="164" spans="1:8" ht="15" customHeight="1" x14ac:dyDescent="0.25">
      <c r="A164" s="25"/>
      <c r="B164" s="6"/>
      <c r="C164" s="1"/>
      <c r="D164" s="1"/>
      <c r="E164" s="2"/>
      <c r="F164" s="1"/>
      <c r="G164" s="6"/>
      <c r="H164" s="1"/>
    </row>
    <row r="165" spans="1:8" ht="15" customHeight="1" x14ac:dyDescent="0.25">
      <c r="A165" s="25"/>
      <c r="B165" s="6"/>
      <c r="C165" s="1"/>
      <c r="D165" s="1"/>
      <c r="E165" s="2"/>
      <c r="F165" s="1"/>
      <c r="G165" s="6"/>
      <c r="H165" s="1"/>
    </row>
    <row r="166" spans="1:8" ht="15" customHeight="1" x14ac:dyDescent="0.25">
      <c r="A166" s="25"/>
      <c r="B166" s="6"/>
      <c r="C166" s="1"/>
      <c r="D166" s="1"/>
      <c r="E166" s="2"/>
      <c r="F166" s="1"/>
      <c r="G166" s="6"/>
      <c r="H166" s="1"/>
    </row>
    <row r="167" spans="1:8" ht="15" customHeight="1" x14ac:dyDescent="0.25">
      <c r="A167" s="25"/>
      <c r="B167" s="6"/>
      <c r="C167" s="1"/>
      <c r="D167" s="1"/>
      <c r="E167" s="2"/>
      <c r="F167" s="1"/>
      <c r="G167" s="6"/>
      <c r="H167" s="1"/>
    </row>
    <row r="168" spans="1:8" ht="15" customHeight="1" x14ac:dyDescent="0.25">
      <c r="A168" s="25"/>
      <c r="B168" s="6"/>
      <c r="C168" s="1"/>
      <c r="D168" s="1"/>
      <c r="E168" s="2"/>
      <c r="F168" s="1"/>
      <c r="G168" s="6"/>
      <c r="H168" s="1"/>
    </row>
    <row r="169" spans="1:8" ht="15" customHeight="1" x14ac:dyDescent="0.25">
      <c r="A169" s="25"/>
      <c r="B169" s="6"/>
      <c r="C169" s="1"/>
      <c r="D169" s="1"/>
      <c r="E169" s="2"/>
      <c r="F169" s="1"/>
      <c r="G169" s="6"/>
      <c r="H169" s="1"/>
    </row>
    <row r="170" spans="1:8" ht="15" customHeight="1" x14ac:dyDescent="0.25">
      <c r="A170" s="25"/>
      <c r="B170" s="6"/>
      <c r="C170" s="1"/>
      <c r="D170" s="1"/>
      <c r="E170" s="2"/>
      <c r="F170" s="1"/>
      <c r="G170" s="6"/>
      <c r="H170" s="1"/>
    </row>
    <row r="171" spans="1:8" ht="15" customHeight="1" x14ac:dyDescent="0.25">
      <c r="A171" s="25"/>
      <c r="B171" s="6"/>
      <c r="C171" s="1"/>
      <c r="D171" s="1"/>
      <c r="E171" s="2"/>
      <c r="F171" s="1"/>
      <c r="G171" s="6"/>
      <c r="H171" s="1"/>
    </row>
    <row r="172" spans="1:8" ht="15" customHeight="1" x14ac:dyDescent="0.25">
      <c r="A172" s="25"/>
      <c r="B172" s="6"/>
      <c r="C172" s="1"/>
      <c r="D172" s="1"/>
      <c r="E172" s="2"/>
      <c r="F172" s="1"/>
      <c r="G172" s="6"/>
      <c r="H172" s="1"/>
    </row>
    <row r="173" spans="1:8" ht="15" customHeight="1" x14ac:dyDescent="0.25">
      <c r="A173" s="25"/>
      <c r="B173" s="6"/>
      <c r="C173" s="1"/>
      <c r="D173" s="1"/>
      <c r="E173" s="2"/>
      <c r="F173" s="1"/>
      <c r="G173" s="6"/>
      <c r="H173" s="1"/>
    </row>
    <row r="174" spans="1:8" ht="15" customHeight="1" x14ac:dyDescent="0.25">
      <c r="A174" s="25"/>
      <c r="B174" s="6"/>
      <c r="C174" s="1"/>
      <c r="D174" s="1"/>
      <c r="E174" s="2"/>
      <c r="F174" s="1"/>
      <c r="G174" s="6"/>
      <c r="H174" s="1"/>
    </row>
    <row r="175" spans="1:8" ht="15" customHeight="1" x14ac:dyDescent="0.25">
      <c r="A175" s="25"/>
      <c r="B175" s="6"/>
      <c r="C175" s="1"/>
      <c r="D175" s="1"/>
      <c r="E175" s="2"/>
      <c r="F175" s="1"/>
      <c r="G175" s="6"/>
      <c r="H175" s="1"/>
    </row>
    <row r="176" spans="1:8" ht="15" customHeight="1" x14ac:dyDescent="0.25">
      <c r="A176" s="25"/>
      <c r="B176" s="6"/>
      <c r="C176" s="1"/>
      <c r="D176" s="1"/>
      <c r="E176" s="2"/>
      <c r="F176" s="1"/>
      <c r="G176" s="6"/>
      <c r="H176" s="1"/>
    </row>
    <row r="177" spans="1:8" ht="15" customHeight="1" x14ac:dyDescent="0.25">
      <c r="A177" s="25"/>
      <c r="B177" s="6"/>
      <c r="C177" s="1"/>
      <c r="D177" s="1"/>
      <c r="E177" s="2"/>
      <c r="F177" s="1"/>
      <c r="G177" s="6"/>
      <c r="H177" s="1"/>
    </row>
    <row r="178" spans="1:8" ht="15" customHeight="1" x14ac:dyDescent="0.25">
      <c r="A178" s="25"/>
      <c r="B178" s="6"/>
      <c r="C178" s="1"/>
      <c r="D178" s="1"/>
      <c r="E178" s="2"/>
      <c r="F178" s="1"/>
      <c r="G178" s="6"/>
      <c r="H178" s="1"/>
    </row>
    <row r="179" spans="1:8" ht="15" customHeight="1" x14ac:dyDescent="0.25">
      <c r="A179" s="25"/>
      <c r="B179" s="6"/>
      <c r="C179" s="1"/>
      <c r="D179" s="1"/>
      <c r="E179" s="2"/>
      <c r="F179" s="1"/>
      <c r="G179" s="6"/>
      <c r="H179" s="1"/>
    </row>
    <row r="180" spans="1:8" ht="15" customHeight="1" x14ac:dyDescent="0.25">
      <c r="A180" s="25"/>
      <c r="B180" s="6"/>
      <c r="C180" s="1"/>
      <c r="D180" s="1"/>
      <c r="E180" s="2"/>
      <c r="F180" s="1"/>
      <c r="G180" s="6"/>
      <c r="H180" s="1"/>
    </row>
    <row r="181" spans="1:8" ht="15" customHeight="1" x14ac:dyDescent="0.25">
      <c r="A181" s="25"/>
      <c r="B181" s="6"/>
      <c r="C181" s="1"/>
      <c r="D181" s="1"/>
      <c r="E181" s="2"/>
      <c r="F181" s="1"/>
      <c r="G181" s="6"/>
      <c r="H181" s="1"/>
    </row>
    <row r="182" spans="1:8" ht="15" customHeight="1" x14ac:dyDescent="0.25">
      <c r="A182" s="25"/>
      <c r="B182" s="6"/>
      <c r="C182" s="1"/>
      <c r="D182" s="1"/>
      <c r="E182" s="2"/>
      <c r="F182" s="1"/>
      <c r="G182" s="6"/>
      <c r="H182" s="1"/>
    </row>
    <row r="183" spans="1:8" ht="15" customHeight="1" x14ac:dyDescent="0.25">
      <c r="A183" s="25"/>
      <c r="B183" s="6"/>
      <c r="C183" s="1"/>
      <c r="D183" s="1"/>
      <c r="E183" s="2"/>
      <c r="F183" s="1"/>
      <c r="G183" s="6"/>
      <c r="H183" s="1"/>
    </row>
    <row r="184" spans="1:8" ht="15" customHeight="1" x14ac:dyDescent="0.25">
      <c r="A184" s="25"/>
      <c r="B184" s="6"/>
      <c r="C184" s="1"/>
      <c r="D184" s="1"/>
      <c r="E184" s="2"/>
      <c r="F184" s="1"/>
      <c r="G184" s="6"/>
      <c r="H184" s="1"/>
    </row>
    <row r="185" spans="1:8" ht="15" customHeight="1" x14ac:dyDescent="0.25">
      <c r="A185" s="25"/>
      <c r="B185" s="6"/>
      <c r="C185" s="1"/>
      <c r="D185" s="1"/>
      <c r="E185" s="2"/>
      <c r="F185" s="1"/>
      <c r="G185" s="6"/>
      <c r="H185" s="1"/>
    </row>
    <row r="186" spans="1:8" ht="15" customHeight="1" x14ac:dyDescent="0.25">
      <c r="A186" s="25"/>
      <c r="B186" s="6"/>
      <c r="C186" s="1"/>
      <c r="D186" s="1"/>
      <c r="E186" s="2"/>
      <c r="F186" s="1"/>
      <c r="G186" s="6"/>
      <c r="H186" s="1"/>
    </row>
    <row r="187" spans="1:8" ht="15" customHeight="1" x14ac:dyDescent="0.25">
      <c r="A187" s="25"/>
      <c r="B187" s="6"/>
      <c r="C187" s="1"/>
      <c r="D187" s="1"/>
      <c r="E187" s="2"/>
      <c r="F187" s="1"/>
      <c r="G187" s="6"/>
      <c r="H187" s="1"/>
    </row>
    <row r="188" spans="1:8" ht="15" customHeight="1" x14ac:dyDescent="0.25">
      <c r="A188" s="25"/>
      <c r="B188" s="6"/>
      <c r="C188" s="1"/>
      <c r="D188" s="1"/>
      <c r="E188" s="2"/>
      <c r="F188" s="1"/>
      <c r="G188" s="6"/>
      <c r="H188" s="1"/>
    </row>
    <row r="189" spans="1:8" ht="15" customHeight="1" x14ac:dyDescent="0.25">
      <c r="A189" s="25"/>
      <c r="B189" s="6"/>
      <c r="C189" s="1"/>
      <c r="D189" s="1"/>
      <c r="E189" s="2"/>
      <c r="F189" s="1"/>
      <c r="G189" s="6"/>
      <c r="H189" s="1"/>
    </row>
    <row r="190" spans="1:8" ht="15" customHeight="1" x14ac:dyDescent="0.25">
      <c r="A190" s="25"/>
      <c r="B190" s="6"/>
      <c r="C190" s="1"/>
      <c r="D190" s="1"/>
      <c r="E190" s="2"/>
      <c r="F190" s="1"/>
      <c r="G190" s="6"/>
      <c r="H190" s="1"/>
    </row>
    <row r="191" spans="1:8" ht="15" customHeight="1" x14ac:dyDescent="0.25">
      <c r="A191" s="25"/>
      <c r="B191" s="6"/>
      <c r="C191" s="1"/>
      <c r="D191" s="1"/>
      <c r="E191" s="2"/>
      <c r="F191" s="1"/>
      <c r="G191" s="6"/>
      <c r="H191" s="1"/>
    </row>
    <row r="192" spans="1:8" ht="15" customHeight="1" x14ac:dyDescent="0.25">
      <c r="A192" s="25"/>
      <c r="B192" s="6"/>
      <c r="C192" s="1"/>
      <c r="D192" s="1"/>
      <c r="E192" s="2"/>
      <c r="F192" s="1"/>
      <c r="G192" s="6"/>
      <c r="H192" s="1"/>
    </row>
    <row r="193" spans="1:8" ht="15" customHeight="1" x14ac:dyDescent="0.25">
      <c r="A193" s="25"/>
      <c r="B193" s="6"/>
      <c r="C193" s="1"/>
      <c r="D193" s="1"/>
      <c r="E193" s="2"/>
      <c r="F193" s="1"/>
      <c r="G193" s="6"/>
      <c r="H193" s="1"/>
    </row>
    <row r="194" spans="1:8" ht="15" customHeight="1" x14ac:dyDescent="0.25">
      <c r="A194" s="25"/>
      <c r="B194" s="6"/>
      <c r="C194" s="1"/>
      <c r="D194" s="1"/>
      <c r="E194" s="2"/>
      <c r="F194" s="1"/>
      <c r="G194" s="6"/>
      <c r="H194" s="1"/>
    </row>
    <row r="195" spans="1:8" ht="15" customHeight="1" x14ac:dyDescent="0.25">
      <c r="A195" s="25"/>
      <c r="B195" s="6"/>
      <c r="C195" s="1"/>
      <c r="D195" s="1"/>
      <c r="E195" s="2"/>
      <c r="F195" s="1"/>
      <c r="G195" s="6"/>
      <c r="H195" s="1"/>
    </row>
    <row r="196" spans="1:8" ht="15" customHeight="1" x14ac:dyDescent="0.25">
      <c r="A196" s="25"/>
      <c r="B196" s="6"/>
      <c r="C196" s="1"/>
      <c r="D196" s="1"/>
      <c r="E196" s="2"/>
      <c r="F196" s="1"/>
      <c r="G196" s="6"/>
      <c r="H196" s="1"/>
    </row>
    <row r="197" spans="1:8" ht="15" customHeight="1" x14ac:dyDescent="0.25">
      <c r="A197" s="25"/>
      <c r="B197" s="6"/>
      <c r="C197" s="1"/>
      <c r="D197" s="1"/>
      <c r="E197" s="2"/>
      <c r="F197" s="1"/>
      <c r="G197" s="6"/>
      <c r="H197" s="1"/>
    </row>
    <row r="198" spans="1:8" ht="15" customHeight="1" x14ac:dyDescent="0.25">
      <c r="A198" s="25"/>
      <c r="B198" s="6"/>
      <c r="C198" s="1"/>
      <c r="D198" s="1"/>
      <c r="E198" s="2"/>
      <c r="F198" s="1"/>
      <c r="G198" s="6"/>
      <c r="H198" s="1"/>
    </row>
    <row r="199" spans="1:8" ht="15" customHeight="1" x14ac:dyDescent="0.25">
      <c r="A199" s="25"/>
      <c r="B199" s="6"/>
      <c r="C199" s="1"/>
      <c r="D199" s="1"/>
      <c r="E199" s="2"/>
      <c r="F199" s="1"/>
      <c r="G199" s="6"/>
      <c r="H199" s="1"/>
    </row>
    <row r="200" spans="1:8" ht="15" customHeight="1" x14ac:dyDescent="0.25">
      <c r="A200" s="25"/>
      <c r="B200" s="6"/>
      <c r="C200" s="1"/>
      <c r="D200" s="1"/>
      <c r="E200" s="2"/>
      <c r="F200" s="1"/>
      <c r="G200" s="6"/>
      <c r="H200" s="1"/>
    </row>
    <row r="201" spans="1:8" ht="15" customHeight="1" x14ac:dyDescent="0.25">
      <c r="A201" s="25"/>
      <c r="B201" s="6"/>
      <c r="C201" s="1"/>
      <c r="D201" s="1"/>
      <c r="E201" s="2"/>
      <c r="F201" s="1"/>
      <c r="G201" s="6"/>
      <c r="H201" s="1"/>
    </row>
    <row r="202" spans="1:8" ht="15" customHeight="1" x14ac:dyDescent="0.25">
      <c r="A202" s="25"/>
      <c r="B202" s="6"/>
      <c r="C202" s="1"/>
      <c r="D202" s="1"/>
      <c r="E202" s="2"/>
      <c r="F202" s="1"/>
      <c r="G202" s="6"/>
      <c r="H202" s="1"/>
    </row>
    <row r="203" spans="1:8" ht="15" customHeight="1" x14ac:dyDescent="0.25">
      <c r="A203" s="25"/>
      <c r="B203" s="6"/>
      <c r="C203" s="1"/>
      <c r="D203" s="1"/>
      <c r="E203" s="2"/>
      <c r="F203" s="1"/>
      <c r="G203" s="6"/>
      <c r="H203" s="1"/>
    </row>
    <row r="204" spans="1:8" ht="15" customHeight="1" x14ac:dyDescent="0.25">
      <c r="A204" s="25"/>
      <c r="B204" s="6"/>
      <c r="C204" s="1"/>
      <c r="D204" s="1"/>
      <c r="E204" s="2"/>
      <c r="F204" s="1"/>
      <c r="G204" s="6"/>
      <c r="H204" s="1"/>
    </row>
    <row r="205" spans="1:8" ht="15" customHeight="1" x14ac:dyDescent="0.25">
      <c r="A205" s="25"/>
      <c r="B205" s="6"/>
      <c r="C205" s="1"/>
      <c r="D205" s="1"/>
      <c r="E205" s="2"/>
      <c r="F205" s="1"/>
      <c r="G205" s="6"/>
      <c r="H205" s="1"/>
    </row>
    <row r="206" spans="1:8" ht="15" customHeight="1" x14ac:dyDescent="0.25">
      <c r="A206" s="25"/>
      <c r="B206" s="6"/>
      <c r="C206" s="1"/>
      <c r="D206" s="1"/>
      <c r="E206" s="2"/>
      <c r="F206" s="1"/>
      <c r="G206" s="6"/>
      <c r="H206" s="1"/>
    </row>
    <row r="207" spans="1:8" ht="15" customHeight="1" x14ac:dyDescent="0.25">
      <c r="A207" s="25"/>
      <c r="B207" s="6"/>
      <c r="C207" s="1"/>
      <c r="D207" s="1"/>
      <c r="E207" s="2"/>
      <c r="F207" s="1"/>
      <c r="G207" s="6"/>
      <c r="H207" s="1"/>
    </row>
    <row r="208" spans="1:8" ht="15" customHeight="1" x14ac:dyDescent="0.25">
      <c r="A208" s="25"/>
      <c r="B208" s="6"/>
      <c r="C208" s="1"/>
      <c r="D208" s="1"/>
      <c r="E208" s="2"/>
      <c r="F208" s="1"/>
      <c r="G208" s="6"/>
      <c r="H208" s="1"/>
    </row>
    <row r="209" spans="1:8" ht="15" customHeight="1" x14ac:dyDescent="0.25">
      <c r="A209" s="25"/>
      <c r="B209" s="6"/>
      <c r="C209" s="1"/>
      <c r="D209" s="1"/>
      <c r="E209" s="2"/>
      <c r="F209" s="1"/>
      <c r="G209" s="6"/>
      <c r="H209" s="1"/>
    </row>
    <row r="210" spans="1:8" ht="15" customHeight="1" x14ac:dyDescent="0.25">
      <c r="A210" s="25"/>
      <c r="B210" s="6"/>
      <c r="C210" s="1"/>
      <c r="D210" s="1"/>
      <c r="E210" s="2"/>
      <c r="F210" s="1"/>
      <c r="G210" s="6"/>
      <c r="H210" s="1"/>
    </row>
    <row r="211" spans="1:8" ht="15" customHeight="1" x14ac:dyDescent="0.25">
      <c r="A211" s="25"/>
      <c r="B211" s="6"/>
      <c r="C211" s="1"/>
      <c r="D211" s="1"/>
      <c r="E211" s="2"/>
      <c r="F211" s="1"/>
      <c r="G211" s="6"/>
      <c r="H211" s="1"/>
    </row>
    <row r="212" spans="1:8" ht="15" customHeight="1" x14ac:dyDescent="0.25">
      <c r="A212" s="25"/>
      <c r="B212" s="6"/>
      <c r="C212" s="1"/>
      <c r="D212" s="1"/>
      <c r="E212" s="2"/>
      <c r="F212" s="1"/>
      <c r="G212" s="6"/>
      <c r="H212" s="1"/>
    </row>
    <row r="213" spans="1:8" ht="15" customHeight="1" x14ac:dyDescent="0.25">
      <c r="A213" s="25"/>
      <c r="B213" s="6"/>
      <c r="C213" s="1"/>
      <c r="D213" s="1"/>
      <c r="E213" s="2"/>
      <c r="F213" s="1"/>
      <c r="G213" s="6"/>
      <c r="H213" s="1"/>
    </row>
    <row r="214" spans="1:8" ht="15" customHeight="1" x14ac:dyDescent="0.25">
      <c r="A214" s="25"/>
      <c r="B214" s="6"/>
      <c r="C214" s="1"/>
      <c r="D214" s="1"/>
      <c r="E214" s="2"/>
      <c r="F214" s="1"/>
      <c r="G214" s="6"/>
      <c r="H214" s="1"/>
    </row>
    <row r="215" spans="1:8" ht="15" customHeight="1" x14ac:dyDescent="0.25">
      <c r="A215" s="25"/>
      <c r="B215" s="6"/>
      <c r="C215" s="1"/>
      <c r="D215" s="1"/>
      <c r="E215" s="2"/>
      <c r="F215" s="1"/>
      <c r="G215" s="6"/>
      <c r="H215" s="1"/>
    </row>
    <row r="216" spans="1:8" ht="15" customHeight="1" x14ac:dyDescent="0.25">
      <c r="A216" s="25"/>
      <c r="B216" s="6"/>
      <c r="C216" s="1"/>
      <c r="D216" s="1"/>
      <c r="E216" s="2"/>
      <c r="F216" s="1"/>
      <c r="G216" s="6"/>
      <c r="H216" s="1"/>
    </row>
    <row r="217" spans="1:8" ht="15" customHeight="1" x14ac:dyDescent="0.25">
      <c r="A217" s="25"/>
      <c r="B217" s="6"/>
      <c r="C217" s="1"/>
      <c r="D217" s="1"/>
      <c r="E217" s="2"/>
      <c r="F217" s="1"/>
      <c r="G217" s="6"/>
      <c r="H217" s="1"/>
    </row>
    <row r="218" spans="1:8" ht="15" customHeight="1" x14ac:dyDescent="0.25">
      <c r="A218" s="25"/>
      <c r="B218" s="6"/>
      <c r="C218" s="1"/>
      <c r="D218" s="1"/>
      <c r="E218" s="2"/>
      <c r="F218" s="1"/>
      <c r="G218" s="6"/>
      <c r="H218" s="1"/>
    </row>
    <row r="219" spans="1:8" ht="15" customHeight="1" x14ac:dyDescent="0.25">
      <c r="A219" s="25"/>
      <c r="B219" s="6"/>
      <c r="C219" s="1"/>
      <c r="D219" s="1"/>
      <c r="E219" s="2"/>
      <c r="F219" s="1"/>
      <c r="G219" s="6"/>
      <c r="H219" s="1"/>
    </row>
    <row r="220" spans="1:8" ht="15" customHeight="1" x14ac:dyDescent="0.25">
      <c r="A220" s="25"/>
      <c r="B220" s="6"/>
      <c r="C220" s="1"/>
      <c r="D220" s="1"/>
      <c r="E220" s="2"/>
      <c r="F220" s="1"/>
      <c r="G220" s="6"/>
      <c r="H220" s="1"/>
    </row>
    <row r="221" spans="1:8" ht="15" customHeight="1" x14ac:dyDescent="0.25">
      <c r="A221" s="25"/>
      <c r="B221" s="6"/>
      <c r="C221" s="1"/>
      <c r="D221" s="1"/>
      <c r="E221" s="2"/>
      <c r="F221" s="1"/>
      <c r="G221" s="6"/>
      <c r="H221" s="1"/>
    </row>
    <row r="222" spans="1:8" ht="15" customHeight="1" x14ac:dyDescent="0.25">
      <c r="A222" s="25"/>
      <c r="B222" s="6"/>
      <c r="C222" s="1"/>
      <c r="D222" s="1"/>
      <c r="E222" s="2"/>
      <c r="F222" s="1"/>
      <c r="G222" s="6"/>
      <c r="H222" s="1"/>
    </row>
    <row r="223" spans="1:8" ht="15" customHeight="1" x14ac:dyDescent="0.25">
      <c r="A223" s="25"/>
      <c r="B223" s="6"/>
      <c r="C223" s="1"/>
      <c r="D223" s="1"/>
      <c r="E223" s="2"/>
      <c r="F223" s="1"/>
      <c r="G223" s="6"/>
      <c r="H223" s="1"/>
    </row>
    <row r="224" spans="1:8" ht="15" customHeight="1" x14ac:dyDescent="0.25">
      <c r="A224" s="25"/>
      <c r="B224" s="6"/>
      <c r="C224" s="1"/>
      <c r="D224" s="1"/>
      <c r="E224" s="2"/>
      <c r="F224" s="1"/>
      <c r="G224" s="6"/>
      <c r="H224" s="1"/>
    </row>
    <row r="225" spans="1:8" ht="15" customHeight="1" x14ac:dyDescent="0.25">
      <c r="A225" s="25"/>
      <c r="B225" s="6"/>
      <c r="C225" s="1"/>
      <c r="D225" s="1"/>
      <c r="E225" s="2"/>
      <c r="F225" s="1"/>
      <c r="G225" s="6"/>
      <c r="H225" s="1"/>
    </row>
    <row r="226" spans="1:8" ht="15" customHeight="1" x14ac:dyDescent="0.25">
      <c r="A226" s="25"/>
      <c r="B226" s="6"/>
      <c r="C226" s="1"/>
      <c r="D226" s="1"/>
      <c r="E226" s="2"/>
      <c r="F226" s="1"/>
      <c r="G226" s="6"/>
      <c r="H226" s="1"/>
    </row>
    <row r="227" spans="1:8" ht="15" customHeight="1" x14ac:dyDescent="0.25">
      <c r="A227" s="25"/>
      <c r="B227" s="6"/>
      <c r="C227" s="1"/>
      <c r="D227" s="1"/>
      <c r="E227" s="2"/>
      <c r="F227" s="1"/>
      <c r="G227" s="6"/>
      <c r="H227" s="1"/>
    </row>
    <row r="228" spans="1:8" ht="15" customHeight="1" x14ac:dyDescent="0.25">
      <c r="A228" s="25"/>
      <c r="B228" s="6"/>
      <c r="C228" s="1"/>
      <c r="D228" s="1"/>
      <c r="E228" s="2"/>
      <c r="F228" s="1"/>
      <c r="G228" s="6"/>
      <c r="H228" s="1"/>
    </row>
    <row r="229" spans="1:8" ht="15" customHeight="1" x14ac:dyDescent="0.25">
      <c r="A229" s="25"/>
      <c r="B229" s="6"/>
      <c r="C229" s="1"/>
      <c r="D229" s="1"/>
      <c r="E229" s="2"/>
      <c r="F229" s="1"/>
      <c r="G229" s="6"/>
      <c r="H229" s="1"/>
    </row>
    <row r="230" spans="1:8" ht="15" customHeight="1" x14ac:dyDescent="0.25">
      <c r="A230" s="25"/>
      <c r="B230" s="6"/>
      <c r="C230" s="1"/>
      <c r="D230" s="1"/>
      <c r="E230" s="2"/>
      <c r="F230" s="1"/>
      <c r="G230" s="6"/>
      <c r="H230" s="1"/>
    </row>
    <row r="231" spans="1:8" ht="15" customHeight="1" x14ac:dyDescent="0.25">
      <c r="A231" s="25"/>
      <c r="B231" s="6"/>
      <c r="C231" s="1"/>
      <c r="D231" s="1"/>
      <c r="E231" s="2"/>
      <c r="F231" s="1"/>
      <c r="G231" s="6"/>
      <c r="H231" s="1"/>
    </row>
    <row r="232" spans="1:8" ht="15" customHeight="1" x14ac:dyDescent="0.25">
      <c r="A232" s="25"/>
      <c r="B232" s="6"/>
      <c r="C232" s="1"/>
      <c r="D232" s="1"/>
      <c r="E232" s="2"/>
      <c r="F232" s="1"/>
      <c r="G232" s="6"/>
      <c r="H232" s="1"/>
    </row>
    <row r="233" spans="1:8" ht="15" customHeight="1" x14ac:dyDescent="0.25">
      <c r="A233" s="25"/>
      <c r="B233" s="6"/>
      <c r="C233" s="1"/>
      <c r="D233" s="1"/>
      <c r="E233" s="2"/>
      <c r="F233" s="1"/>
      <c r="G233" s="6"/>
      <c r="H233" s="1"/>
    </row>
    <row r="234" spans="1:8" ht="15" customHeight="1" x14ac:dyDescent="0.25">
      <c r="A234" s="25"/>
      <c r="B234" s="6"/>
      <c r="C234" s="1"/>
      <c r="D234" s="1"/>
      <c r="E234" s="2"/>
      <c r="F234" s="1"/>
      <c r="G234" s="6"/>
      <c r="H234" s="1"/>
    </row>
    <row r="235" spans="1:8" ht="15" customHeight="1" x14ac:dyDescent="0.25">
      <c r="A235" s="25"/>
      <c r="B235" s="6"/>
      <c r="C235" s="1"/>
      <c r="D235" s="1"/>
      <c r="E235" s="2"/>
      <c r="F235" s="1"/>
      <c r="G235" s="6"/>
      <c r="H235" s="1"/>
    </row>
    <row r="236" spans="1:8" ht="15" customHeight="1" x14ac:dyDescent="0.25">
      <c r="A236" s="25"/>
      <c r="B236" s="6"/>
      <c r="C236" s="1"/>
      <c r="D236" s="1"/>
      <c r="E236" s="2"/>
      <c r="F236" s="1"/>
      <c r="G236" s="6"/>
      <c r="H236" s="1"/>
    </row>
    <row r="237" spans="1:8" ht="15" customHeight="1" x14ac:dyDescent="0.25">
      <c r="A237" s="25"/>
      <c r="B237" s="6"/>
      <c r="C237" s="1"/>
      <c r="D237" s="1"/>
      <c r="E237" s="2"/>
      <c r="F237" s="1"/>
      <c r="G237" s="6"/>
      <c r="H237" s="1"/>
    </row>
    <row r="238" spans="1:8" ht="15" customHeight="1" x14ac:dyDescent="0.25">
      <c r="A238" s="25"/>
      <c r="B238" s="6"/>
      <c r="C238" s="1"/>
      <c r="D238" s="1"/>
      <c r="E238" s="2"/>
      <c r="F238" s="1"/>
      <c r="G238" s="6"/>
      <c r="H238" s="1"/>
    </row>
    <row r="239" spans="1:8" ht="15" customHeight="1" x14ac:dyDescent="0.25">
      <c r="A239" s="25"/>
      <c r="B239" s="6"/>
      <c r="C239" s="1"/>
      <c r="D239" s="1"/>
      <c r="E239" s="2"/>
      <c r="F239" s="1"/>
      <c r="G239" s="6"/>
      <c r="H239" s="1"/>
    </row>
    <row r="240" spans="1:8" ht="15" customHeight="1" x14ac:dyDescent="0.25">
      <c r="A240" s="25"/>
      <c r="B240" s="6"/>
      <c r="C240" s="1"/>
      <c r="D240" s="1"/>
      <c r="E240" s="2"/>
      <c r="F240" s="1"/>
      <c r="G240" s="6"/>
      <c r="H240" s="1"/>
    </row>
    <row r="241" spans="1:8" ht="15" customHeight="1" x14ac:dyDescent="0.25">
      <c r="A241" s="25"/>
      <c r="B241" s="6"/>
      <c r="C241" s="1"/>
      <c r="D241" s="1"/>
      <c r="E241" s="2"/>
      <c r="F241" s="1"/>
      <c r="G241" s="6"/>
      <c r="H241" s="1"/>
    </row>
    <row r="242" spans="1:8" ht="15" customHeight="1" x14ac:dyDescent="0.25">
      <c r="A242" s="25"/>
      <c r="B242" s="6"/>
      <c r="C242" s="1"/>
      <c r="D242" s="1"/>
      <c r="E242" s="2"/>
      <c r="F242" s="1"/>
      <c r="G242" s="6"/>
      <c r="H242" s="1"/>
    </row>
    <row r="243" spans="1:8" ht="15" customHeight="1" x14ac:dyDescent="0.25">
      <c r="A243" s="25"/>
      <c r="B243" s="6"/>
      <c r="C243" s="1"/>
      <c r="D243" s="1"/>
      <c r="E243" s="2"/>
      <c r="F243" s="1"/>
      <c r="G243" s="6"/>
      <c r="H243" s="1"/>
    </row>
    <row r="244" spans="1:8" ht="15" customHeight="1" x14ac:dyDescent="0.25">
      <c r="A244" s="25"/>
      <c r="B244" s="6"/>
      <c r="C244" s="1"/>
      <c r="D244" s="1"/>
      <c r="E244" s="2"/>
      <c r="F244" s="1"/>
      <c r="G244" s="6"/>
      <c r="H244" s="1"/>
    </row>
    <row r="245" spans="1:8" ht="15" customHeight="1" x14ac:dyDescent="0.25">
      <c r="A245" s="25"/>
      <c r="B245" s="6"/>
      <c r="C245" s="1"/>
      <c r="D245" s="1"/>
      <c r="E245" s="2"/>
      <c r="F245" s="1"/>
      <c r="G245" s="6"/>
      <c r="H245" s="1"/>
    </row>
    <row r="246" spans="1:8" ht="15" customHeight="1" x14ac:dyDescent="0.25">
      <c r="A246" s="25"/>
      <c r="B246" s="6"/>
      <c r="C246" s="1"/>
      <c r="D246" s="1"/>
      <c r="E246" s="2"/>
      <c r="F246" s="1"/>
      <c r="G246" s="6"/>
      <c r="H246" s="1"/>
    </row>
    <row r="247" spans="1:8" ht="15" customHeight="1" x14ac:dyDescent="0.25">
      <c r="A247" s="25"/>
      <c r="B247" s="6"/>
      <c r="C247" s="1"/>
      <c r="D247" s="1"/>
      <c r="E247" s="2"/>
      <c r="F247" s="1"/>
      <c r="G247" s="6"/>
      <c r="H247" s="1"/>
    </row>
    <row r="248" spans="1:8" ht="15" customHeight="1" x14ac:dyDescent="0.25">
      <c r="A248" s="25"/>
      <c r="B248" s="6"/>
      <c r="C248" s="1"/>
      <c r="D248" s="1"/>
      <c r="E248" s="2"/>
      <c r="F248" s="1"/>
      <c r="G248" s="6"/>
      <c r="H248" s="1"/>
    </row>
    <row r="249" spans="1:8" ht="15" customHeight="1" x14ac:dyDescent="0.25">
      <c r="A249" s="25"/>
      <c r="B249" s="6"/>
      <c r="C249" s="1"/>
      <c r="D249" s="1"/>
      <c r="E249" s="2"/>
      <c r="F249" s="1"/>
      <c r="G249" s="6"/>
      <c r="H249" s="1"/>
    </row>
    <row r="250" spans="1:8" ht="15" customHeight="1" x14ac:dyDescent="0.25">
      <c r="A250" s="25"/>
      <c r="B250" s="6"/>
      <c r="C250" s="1"/>
      <c r="D250" s="1"/>
      <c r="E250" s="2"/>
      <c r="F250" s="1"/>
      <c r="G250" s="6"/>
      <c r="H250" s="1"/>
    </row>
    <row r="251" spans="1:8" ht="15" customHeight="1" x14ac:dyDescent="0.25">
      <c r="A251" s="25"/>
      <c r="B251" s="6"/>
      <c r="C251" s="1"/>
      <c r="D251" s="1"/>
      <c r="E251" s="2"/>
      <c r="F251" s="1"/>
      <c r="G251" s="6"/>
      <c r="H251" s="1"/>
    </row>
    <row r="252" spans="1:8" ht="15" customHeight="1" x14ac:dyDescent="0.25">
      <c r="A252" s="25"/>
      <c r="B252" s="6"/>
      <c r="C252" s="1"/>
      <c r="D252" s="1"/>
      <c r="E252" s="2"/>
      <c r="F252" s="1"/>
      <c r="G252" s="6"/>
      <c r="H252" s="1"/>
    </row>
    <row r="253" spans="1:8" ht="15" customHeight="1" x14ac:dyDescent="0.25">
      <c r="A253" s="25"/>
      <c r="B253" s="6"/>
      <c r="C253" s="1"/>
      <c r="D253" s="1"/>
      <c r="E253" s="2"/>
      <c r="F253" s="1"/>
      <c r="G253" s="6"/>
      <c r="H253" s="1"/>
    </row>
    <row r="254" spans="1:8" ht="15" customHeight="1" x14ac:dyDescent="0.25">
      <c r="A254" s="25"/>
      <c r="B254" s="6"/>
      <c r="C254" s="1"/>
      <c r="D254" s="1"/>
      <c r="E254" s="2"/>
      <c r="F254" s="1"/>
      <c r="G254" s="6"/>
      <c r="H254" s="1"/>
    </row>
    <row r="255" spans="1:8" ht="15" customHeight="1" x14ac:dyDescent="0.25">
      <c r="A255" s="25"/>
      <c r="B255" s="6"/>
      <c r="C255" s="1"/>
      <c r="D255" s="1"/>
      <c r="E255" s="2"/>
      <c r="F255" s="1"/>
      <c r="G255" s="6"/>
      <c r="H255" s="1"/>
    </row>
    <row r="256" spans="1:8" ht="15" customHeight="1" x14ac:dyDescent="0.25">
      <c r="A256" s="25"/>
      <c r="B256" s="6"/>
      <c r="C256" s="1"/>
      <c r="D256" s="1"/>
      <c r="E256" s="2"/>
      <c r="F256" s="1"/>
      <c r="G256" s="6"/>
      <c r="H256" s="1"/>
    </row>
    <row r="257" spans="1:8" ht="15" customHeight="1" x14ac:dyDescent="0.25">
      <c r="A257" s="25"/>
      <c r="B257" s="6"/>
      <c r="C257" s="1"/>
      <c r="D257" s="1"/>
      <c r="E257" s="2"/>
      <c r="F257" s="1"/>
      <c r="G257" s="6"/>
      <c r="H257" s="1"/>
    </row>
    <row r="258" spans="1:8" ht="15" customHeight="1" x14ac:dyDescent="0.25">
      <c r="A258" s="25"/>
      <c r="B258" s="6"/>
      <c r="C258" s="1"/>
      <c r="D258" s="1"/>
      <c r="E258" s="2"/>
      <c r="F258" s="1"/>
      <c r="G258" s="6"/>
      <c r="H258" s="1"/>
    </row>
    <row r="259" spans="1:8" ht="15" customHeight="1" x14ac:dyDescent="0.25">
      <c r="A259" s="25"/>
      <c r="B259" s="6"/>
      <c r="C259" s="1"/>
      <c r="D259" s="1"/>
      <c r="E259" s="2"/>
      <c r="F259" s="1"/>
      <c r="G259" s="6"/>
      <c r="H259" s="1"/>
    </row>
    <row r="260" spans="1:8" ht="15" customHeight="1" x14ac:dyDescent="0.25">
      <c r="A260" s="25"/>
      <c r="B260" s="6"/>
      <c r="C260" s="1"/>
      <c r="D260" s="1"/>
      <c r="E260" s="2"/>
      <c r="F260" s="1"/>
      <c r="G260" s="6"/>
      <c r="H260" s="1"/>
    </row>
    <row r="261" spans="1:8" ht="15" customHeight="1" x14ac:dyDescent="0.25">
      <c r="A261" s="25"/>
      <c r="B261" s="6"/>
      <c r="C261" s="1"/>
      <c r="D261" s="1"/>
      <c r="E261" s="2"/>
      <c r="F261" s="1"/>
      <c r="G261" s="6"/>
      <c r="H261" s="1"/>
    </row>
    <row r="262" spans="1:8" ht="15" customHeight="1" x14ac:dyDescent="0.25">
      <c r="A262" s="25"/>
      <c r="B262" s="6"/>
      <c r="C262" s="1"/>
      <c r="D262" s="1"/>
      <c r="E262" s="2"/>
      <c r="F262" s="1"/>
      <c r="G262" s="6"/>
      <c r="H262" s="1"/>
    </row>
    <row r="263" spans="1:8" ht="15" customHeight="1" x14ac:dyDescent="0.25">
      <c r="A263" s="25"/>
      <c r="B263" s="6"/>
      <c r="C263" s="1"/>
      <c r="D263" s="1"/>
      <c r="E263" s="2"/>
      <c r="F263" s="1"/>
      <c r="G263" s="6"/>
      <c r="H263" s="1"/>
    </row>
    <row r="264" spans="1:8" ht="15" customHeight="1" x14ac:dyDescent="0.25">
      <c r="A264" s="25"/>
      <c r="B264" s="6"/>
      <c r="C264" s="1"/>
      <c r="D264" s="1"/>
      <c r="E264" s="2"/>
      <c r="F264" s="1"/>
      <c r="G264" s="6"/>
      <c r="H264" s="1"/>
    </row>
    <row r="265" spans="1:8" ht="15" customHeight="1" x14ac:dyDescent="0.25">
      <c r="A265" s="25"/>
      <c r="B265" s="6"/>
      <c r="C265" s="1"/>
      <c r="D265" s="1"/>
      <c r="E265" s="2"/>
      <c r="F265" s="1"/>
      <c r="G265" s="6"/>
      <c r="H265" s="1"/>
    </row>
    <row r="266" spans="1:8" ht="15" customHeight="1" x14ac:dyDescent="0.25">
      <c r="A266" s="25"/>
      <c r="B266" s="6"/>
      <c r="C266" s="1"/>
      <c r="D266" s="1"/>
      <c r="E266" s="2"/>
      <c r="F266" s="1"/>
      <c r="G266" s="6"/>
      <c r="H266" s="1"/>
    </row>
    <row r="267" spans="1:8" ht="15" customHeight="1" x14ac:dyDescent="0.25">
      <c r="A267" s="25"/>
      <c r="B267" s="6"/>
      <c r="C267" s="1"/>
      <c r="D267" s="1"/>
      <c r="E267" s="2"/>
      <c r="F267" s="1"/>
      <c r="G267" s="6"/>
      <c r="H267" s="1"/>
    </row>
    <row r="268" spans="1:8" ht="15" customHeight="1" x14ac:dyDescent="0.25">
      <c r="A268" s="25"/>
      <c r="B268" s="6"/>
      <c r="C268" s="1"/>
      <c r="D268" s="1"/>
      <c r="E268" s="2"/>
      <c r="F268" s="1"/>
      <c r="G268" s="6"/>
      <c r="H268" s="1"/>
    </row>
    <row r="269" spans="1:8" ht="15" customHeight="1" x14ac:dyDescent="0.25">
      <c r="A269" s="25"/>
      <c r="B269" s="6"/>
      <c r="C269" s="1"/>
      <c r="D269" s="1"/>
      <c r="E269" s="2"/>
      <c r="F269" s="1"/>
      <c r="G269" s="6"/>
      <c r="H269" s="1"/>
    </row>
    <row r="270" spans="1:8" ht="15" customHeight="1" x14ac:dyDescent="0.25">
      <c r="A270" s="25"/>
      <c r="B270" s="6"/>
      <c r="C270" s="1"/>
      <c r="D270" s="1"/>
      <c r="E270" s="2"/>
      <c r="F270" s="1"/>
      <c r="G270" s="6"/>
      <c r="H270" s="1"/>
    </row>
    <row r="271" spans="1:8" ht="15" customHeight="1" x14ac:dyDescent="0.25">
      <c r="A271" s="25"/>
      <c r="B271" s="6"/>
      <c r="C271" s="1"/>
      <c r="D271" s="1"/>
      <c r="E271" s="2"/>
      <c r="F271" s="1"/>
      <c r="G271" s="6"/>
      <c r="H271" s="1"/>
    </row>
    <row r="272" spans="1:8" ht="15" customHeight="1" x14ac:dyDescent="0.25">
      <c r="A272" s="25"/>
      <c r="B272" s="6"/>
      <c r="C272" s="1"/>
      <c r="D272" s="1"/>
      <c r="E272" s="2"/>
      <c r="F272" s="1"/>
      <c r="G272" s="6"/>
      <c r="H272" s="1"/>
    </row>
    <row r="273" spans="1:8" ht="15" customHeight="1" x14ac:dyDescent="0.25">
      <c r="A273" s="25"/>
      <c r="B273" s="6"/>
      <c r="C273" s="1"/>
      <c r="D273" s="1"/>
      <c r="E273" s="2"/>
      <c r="F273" s="1"/>
      <c r="G273" s="6"/>
      <c r="H273" s="1"/>
    </row>
    <row r="274" spans="1:8" ht="15" customHeight="1" x14ac:dyDescent="0.25">
      <c r="A274" s="25"/>
      <c r="B274" s="6"/>
      <c r="C274" s="1"/>
      <c r="D274" s="1"/>
      <c r="E274" s="2"/>
      <c r="F274" s="1"/>
      <c r="G274" s="6"/>
      <c r="H274" s="1"/>
    </row>
    <row r="275" spans="1:8" ht="15" customHeight="1" x14ac:dyDescent="0.25">
      <c r="A275" s="25"/>
      <c r="B275" s="6"/>
      <c r="C275" s="1"/>
      <c r="D275" s="1"/>
      <c r="E275" s="2"/>
      <c r="F275" s="1"/>
      <c r="G275" s="6"/>
      <c r="H275" s="1"/>
    </row>
    <row r="276" spans="1:8" ht="15" customHeight="1" x14ac:dyDescent="0.25">
      <c r="A276" s="25"/>
      <c r="B276" s="6"/>
      <c r="C276" s="1"/>
      <c r="D276" s="1"/>
      <c r="E276" s="2"/>
      <c r="F276" s="1"/>
      <c r="G276" s="6"/>
      <c r="H276" s="1"/>
    </row>
    <row r="277" spans="1:8" ht="15" customHeight="1" x14ac:dyDescent="0.25">
      <c r="A277" s="25"/>
      <c r="B277" s="6"/>
      <c r="C277" s="1"/>
      <c r="D277" s="1"/>
      <c r="E277" s="2"/>
      <c r="F277" s="1"/>
      <c r="G277" s="6"/>
      <c r="H277" s="1"/>
    </row>
    <row r="278" spans="1:8" ht="15" customHeight="1" x14ac:dyDescent="0.25">
      <c r="A278" s="25"/>
      <c r="B278" s="6"/>
      <c r="C278" s="1"/>
      <c r="D278" s="1"/>
      <c r="E278" s="2"/>
      <c r="F278" s="1"/>
      <c r="G278" s="6"/>
      <c r="H278" s="1"/>
    </row>
    <row r="279" spans="1:8" ht="15" customHeight="1" x14ac:dyDescent="0.25">
      <c r="A279" s="25"/>
      <c r="B279" s="6"/>
      <c r="C279" s="1"/>
      <c r="D279" s="1"/>
      <c r="E279" s="2"/>
      <c r="F279" s="1"/>
      <c r="G279" s="6"/>
      <c r="H279" s="1"/>
    </row>
    <row r="280" spans="1:8" ht="15" customHeight="1" x14ac:dyDescent="0.25">
      <c r="A280" s="25"/>
      <c r="B280" s="6"/>
      <c r="C280" s="1"/>
      <c r="D280" s="1"/>
      <c r="E280" s="2"/>
      <c r="F280" s="1"/>
      <c r="G280" s="6"/>
      <c r="H280" s="1"/>
    </row>
    <row r="281" spans="1:8" ht="15" customHeight="1" x14ac:dyDescent="0.25">
      <c r="A281" s="25"/>
      <c r="B281" s="6"/>
      <c r="C281" s="1"/>
      <c r="D281" s="1"/>
      <c r="E281" s="2"/>
      <c r="F281" s="1"/>
      <c r="G281" s="6"/>
      <c r="H281" s="1"/>
    </row>
    <row r="282" spans="1:8" ht="15" customHeight="1" x14ac:dyDescent="0.25">
      <c r="A282" s="25"/>
      <c r="B282" s="6"/>
      <c r="C282" s="1"/>
      <c r="D282" s="1"/>
      <c r="E282" s="2"/>
      <c r="F282" s="1"/>
      <c r="G282" s="6"/>
      <c r="H282" s="1"/>
    </row>
    <row r="283" spans="1:8" ht="15" customHeight="1" x14ac:dyDescent="0.25">
      <c r="A283" s="25"/>
      <c r="B283" s="6"/>
      <c r="C283" s="1"/>
      <c r="D283" s="1"/>
      <c r="E283" s="2"/>
      <c r="F283" s="1"/>
      <c r="G283" s="6"/>
      <c r="H283" s="1"/>
    </row>
    <row r="284" spans="1:8" ht="15" customHeight="1" x14ac:dyDescent="0.25">
      <c r="A284" s="25"/>
      <c r="B284" s="6"/>
      <c r="C284" s="1"/>
      <c r="D284" s="1"/>
      <c r="E284" s="2"/>
      <c r="F284" s="1"/>
      <c r="G284" s="6"/>
      <c r="H284" s="1"/>
    </row>
    <row r="285" spans="1:8" ht="15" customHeight="1" x14ac:dyDescent="0.25">
      <c r="A285" s="25"/>
      <c r="B285" s="6"/>
      <c r="C285" s="1"/>
      <c r="D285" s="1"/>
      <c r="E285" s="2"/>
      <c r="F285" s="1"/>
      <c r="G285" s="6"/>
      <c r="H285" s="1"/>
    </row>
    <row r="286" spans="1:8" ht="15" customHeight="1" x14ac:dyDescent="0.25">
      <c r="A286" s="25"/>
      <c r="B286" s="6"/>
      <c r="C286" s="1"/>
      <c r="D286" s="1"/>
      <c r="E286" s="2"/>
      <c r="F286" s="1"/>
      <c r="G286" s="6"/>
      <c r="H286" s="1"/>
    </row>
    <row r="287" spans="1:8" ht="15" customHeight="1" x14ac:dyDescent="0.25">
      <c r="A287" s="25"/>
      <c r="B287" s="6"/>
      <c r="C287" s="1"/>
      <c r="D287" s="1"/>
      <c r="E287" s="2"/>
      <c r="F287" s="1"/>
      <c r="G287" s="6"/>
      <c r="H287" s="1"/>
    </row>
    <row r="288" spans="1:8" ht="15" customHeight="1" x14ac:dyDescent="0.25">
      <c r="A288" s="25"/>
      <c r="B288" s="6"/>
      <c r="C288" s="1"/>
      <c r="D288" s="1"/>
      <c r="E288" s="2"/>
      <c r="F288" s="1"/>
      <c r="G288" s="6"/>
      <c r="H288" s="1"/>
    </row>
    <row r="289" spans="1:8" ht="15" customHeight="1" x14ac:dyDescent="0.25">
      <c r="A289" s="25"/>
      <c r="B289" s="6"/>
      <c r="C289" s="1"/>
      <c r="D289" s="1"/>
      <c r="E289" s="2"/>
      <c r="F289" s="1"/>
      <c r="G289" s="6"/>
      <c r="H289" s="1"/>
    </row>
    <row r="290" spans="1:8" ht="15" customHeight="1" x14ac:dyDescent="0.25">
      <c r="A290" s="25"/>
      <c r="B290" s="6"/>
      <c r="C290" s="1"/>
      <c r="D290" s="1"/>
      <c r="E290" s="2"/>
      <c r="F290" s="1"/>
      <c r="G290" s="6"/>
      <c r="H290" s="1"/>
    </row>
    <row r="291" spans="1:8" ht="15" customHeight="1" x14ac:dyDescent="0.25">
      <c r="A291" s="25"/>
      <c r="B291" s="6"/>
      <c r="C291" s="1"/>
      <c r="D291" s="1"/>
      <c r="E291" s="2"/>
      <c r="F291" s="1"/>
      <c r="G291" s="6"/>
      <c r="H291" s="1"/>
    </row>
    <row r="292" spans="1:8" ht="15" customHeight="1" x14ac:dyDescent="0.25">
      <c r="A292" s="25"/>
      <c r="B292" s="6"/>
      <c r="C292" s="1"/>
      <c r="D292" s="1"/>
      <c r="E292" s="2"/>
      <c r="F292" s="1"/>
      <c r="G292" s="6"/>
      <c r="H292" s="1"/>
    </row>
    <row r="293" spans="1:8" ht="15" customHeight="1" x14ac:dyDescent="0.25">
      <c r="A293" s="25"/>
      <c r="B293" s="6"/>
      <c r="C293" s="1"/>
      <c r="D293" s="1"/>
      <c r="E293" s="2"/>
      <c r="F293" s="1"/>
      <c r="G293" s="6"/>
      <c r="H293" s="1"/>
    </row>
    <row r="294" spans="1:8" ht="15" customHeight="1" x14ac:dyDescent="0.25">
      <c r="A294" s="25"/>
      <c r="B294" s="6"/>
      <c r="C294" s="1"/>
      <c r="D294" s="1"/>
      <c r="E294" s="2"/>
      <c r="F294" s="1"/>
      <c r="G294" s="6"/>
      <c r="H294" s="1"/>
    </row>
    <row r="295" spans="1:8" ht="15" customHeight="1" x14ac:dyDescent="0.25">
      <c r="A295" s="25"/>
      <c r="B295" s="6"/>
      <c r="C295" s="1"/>
      <c r="D295" s="1"/>
      <c r="E295" s="2"/>
      <c r="F295" s="1"/>
      <c r="G295" s="6"/>
      <c r="H295" s="1"/>
    </row>
    <row r="296" spans="1:8" ht="15" customHeight="1" x14ac:dyDescent="0.25">
      <c r="A296" s="25"/>
      <c r="B296" s="6"/>
      <c r="C296" s="1"/>
      <c r="D296" s="1"/>
      <c r="E296" s="2"/>
      <c r="F296" s="1"/>
      <c r="G296" s="6"/>
      <c r="H296" s="1"/>
    </row>
    <row r="297" spans="1:8" ht="15" customHeight="1" x14ac:dyDescent="0.25">
      <c r="A297" s="25"/>
      <c r="B297" s="6"/>
      <c r="C297" s="1"/>
      <c r="D297" s="1"/>
      <c r="E297" s="2"/>
      <c r="F297" s="1"/>
      <c r="G297" s="6"/>
      <c r="H297" s="1"/>
    </row>
    <row r="298" spans="1:8" ht="15" customHeight="1" x14ac:dyDescent="0.25">
      <c r="A298" s="25"/>
      <c r="B298" s="6"/>
      <c r="C298" s="1"/>
      <c r="D298" s="1"/>
      <c r="E298" s="2"/>
      <c r="F298" s="1"/>
      <c r="G298" s="6"/>
      <c r="H298" s="1"/>
    </row>
    <row r="299" spans="1:8" ht="15" customHeight="1" x14ac:dyDescent="0.25">
      <c r="A299" s="25"/>
      <c r="B299" s="6"/>
      <c r="C299" s="1"/>
      <c r="D299" s="1"/>
      <c r="E299" s="2"/>
      <c r="F299" s="1"/>
      <c r="G299" s="6"/>
      <c r="H299" s="1"/>
    </row>
    <row r="300" spans="1:8" ht="15" customHeight="1" x14ac:dyDescent="0.25">
      <c r="A300" s="25"/>
      <c r="B300" s="6"/>
      <c r="C300" s="1"/>
      <c r="D300" s="1"/>
      <c r="E300" s="2"/>
      <c r="F300" s="1"/>
      <c r="G300" s="6"/>
      <c r="H300" s="1"/>
    </row>
    <row r="301" spans="1:8" ht="15" customHeight="1" x14ac:dyDescent="0.25">
      <c r="A301" s="25"/>
      <c r="B301" s="6"/>
      <c r="C301" s="1"/>
      <c r="D301" s="1"/>
      <c r="E301" s="2"/>
      <c r="F301" s="1"/>
      <c r="G301" s="6"/>
      <c r="H301" s="1"/>
    </row>
    <row r="302" spans="1:8" ht="15" customHeight="1" x14ac:dyDescent="0.25">
      <c r="A302" s="25"/>
      <c r="B302" s="6"/>
      <c r="C302" s="1"/>
      <c r="D302" s="1"/>
      <c r="E302" s="2"/>
      <c r="F302" s="1"/>
      <c r="G302" s="6"/>
      <c r="H302" s="1"/>
    </row>
    <row r="303" spans="1:8" ht="15" customHeight="1" x14ac:dyDescent="0.25">
      <c r="A303" s="25"/>
      <c r="B303" s="6"/>
      <c r="C303" s="1"/>
      <c r="D303" s="1"/>
      <c r="E303" s="2"/>
      <c r="F303" s="1"/>
      <c r="G303" s="6"/>
      <c r="H303" s="1"/>
    </row>
    <row r="304" spans="1:8" ht="15" customHeight="1" x14ac:dyDescent="0.25">
      <c r="A304" s="25"/>
      <c r="B304" s="6"/>
      <c r="C304" s="1"/>
      <c r="D304" s="1"/>
      <c r="E304" s="2"/>
      <c r="F304" s="1"/>
      <c r="G304" s="6"/>
      <c r="H304" s="1"/>
    </row>
    <row r="305" spans="1:8" ht="15" customHeight="1" x14ac:dyDescent="0.25">
      <c r="A305" s="25"/>
      <c r="B305" s="6"/>
      <c r="C305" s="1"/>
      <c r="D305" s="1"/>
      <c r="E305" s="2"/>
      <c r="F305" s="1"/>
      <c r="G305" s="6"/>
      <c r="H305" s="1"/>
    </row>
    <row r="306" spans="1:8" ht="15" customHeight="1" x14ac:dyDescent="0.25">
      <c r="A306" s="25"/>
      <c r="B306" s="6"/>
      <c r="C306" s="1"/>
      <c r="D306" s="1"/>
      <c r="E306" s="2"/>
      <c r="F306" s="1"/>
      <c r="G306" s="6"/>
      <c r="H306" s="1"/>
    </row>
    <row r="307" spans="1:8" ht="15" customHeight="1" x14ac:dyDescent="0.25">
      <c r="A307" s="25"/>
      <c r="B307" s="6"/>
      <c r="C307" s="1"/>
      <c r="D307" s="1"/>
      <c r="E307" s="2"/>
      <c r="F307" s="1"/>
      <c r="G307" s="6"/>
      <c r="H307" s="1"/>
    </row>
    <row r="308" spans="1:8" ht="15" customHeight="1" x14ac:dyDescent="0.25">
      <c r="A308" s="25"/>
      <c r="B308" s="6"/>
      <c r="C308" s="1"/>
      <c r="D308" s="1"/>
      <c r="E308" s="2"/>
      <c r="F308" s="1"/>
      <c r="G308" s="6"/>
      <c r="H308" s="1"/>
    </row>
    <row r="309" spans="1:8" ht="15" customHeight="1" x14ac:dyDescent="0.25">
      <c r="A309" s="25"/>
      <c r="B309" s="6"/>
      <c r="C309" s="1"/>
      <c r="D309" s="1"/>
      <c r="E309" s="2"/>
      <c r="F309" s="1"/>
      <c r="G309" s="6"/>
      <c r="H309" s="1"/>
    </row>
    <row r="310" spans="1:8" ht="15" customHeight="1" x14ac:dyDescent="0.25">
      <c r="A310" s="25"/>
      <c r="B310" s="6"/>
      <c r="C310" s="1"/>
      <c r="D310" s="1"/>
      <c r="E310" s="2"/>
      <c r="F310" s="1"/>
      <c r="G310" s="6"/>
      <c r="H310" s="1"/>
    </row>
    <row r="311" spans="1:8" ht="15" customHeight="1" x14ac:dyDescent="0.25">
      <c r="A311" s="25"/>
      <c r="B311" s="6"/>
      <c r="C311" s="1"/>
      <c r="D311" s="1"/>
      <c r="E311" s="2"/>
      <c r="F311" s="1"/>
      <c r="G311" s="6"/>
      <c r="H311" s="1"/>
    </row>
    <row r="312" spans="1:8" ht="15" customHeight="1" x14ac:dyDescent="0.25">
      <c r="A312" s="25"/>
      <c r="B312" s="6"/>
      <c r="C312" s="1"/>
      <c r="D312" s="1"/>
      <c r="E312" s="2"/>
      <c r="F312" s="1"/>
      <c r="G312" s="6"/>
      <c r="H312" s="1"/>
    </row>
  </sheetData>
  <autoFilter ref="A1:L99" xr:uid="{C07DA694-33CE-490A-BD2E-756A2F2C5AA1}"/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44E31-D198-4A1E-966D-908AD1E663F3}">
  <dimension ref="A1:R307"/>
  <sheetViews>
    <sheetView showGridLines="0" topLeftCell="A73" zoomScaleNormal="100" workbookViewId="0">
      <selection activeCell="E74" sqref="E74:E89"/>
    </sheetView>
  </sheetViews>
  <sheetFormatPr defaultRowHeight="15" customHeight="1" x14ac:dyDescent="0.25"/>
  <cols>
    <col min="1" max="1" width="49" style="26" customWidth="1"/>
    <col min="2" max="2" width="19.28515625" style="7" bestFit="1" customWidth="1"/>
    <col min="3" max="3" width="12.42578125" style="5" bestFit="1" customWidth="1"/>
    <col min="4" max="4" width="30" style="3" bestFit="1" customWidth="1"/>
    <col min="5" max="5" width="11" style="4" bestFit="1" customWidth="1"/>
    <col min="6" max="6" width="17.28515625" style="3" bestFit="1" customWidth="1"/>
    <col min="7" max="7" width="19.140625" style="7" bestFit="1" customWidth="1"/>
    <col min="8" max="8" width="16.28515625" style="3" bestFit="1" customWidth="1"/>
    <col min="9" max="9" width="2" bestFit="1" customWidth="1"/>
    <col min="10" max="10" width="17" style="5" bestFit="1" customWidth="1"/>
    <col min="11" max="11" width="18" style="27" bestFit="1" customWidth="1"/>
    <col min="12" max="12" width="30" bestFit="1" customWidth="1"/>
    <col min="13" max="13" width="11.140625" bestFit="1" customWidth="1"/>
    <col min="14" max="14" width="10.5703125" bestFit="1" customWidth="1"/>
    <col min="16" max="17" width="9.5703125" bestFit="1" customWidth="1"/>
  </cols>
  <sheetData>
    <row r="1" spans="1:14" ht="14.25" customHeight="1" x14ac:dyDescent="0.25">
      <c r="A1" s="10" t="s">
        <v>0</v>
      </c>
      <c r="B1" s="10" t="s">
        <v>7</v>
      </c>
      <c r="C1" s="13" t="s">
        <v>1</v>
      </c>
      <c r="D1" s="13" t="s">
        <v>2</v>
      </c>
      <c r="E1" s="14" t="s">
        <v>3</v>
      </c>
      <c r="F1" s="13" t="s">
        <v>4</v>
      </c>
      <c r="G1" s="10" t="s">
        <v>5</v>
      </c>
      <c r="H1" s="13" t="s">
        <v>6</v>
      </c>
      <c r="I1" s="15" t="s">
        <v>12</v>
      </c>
      <c r="J1" s="16" t="s">
        <v>26</v>
      </c>
      <c r="K1" s="16" t="s">
        <v>27</v>
      </c>
      <c r="L1" s="15" t="s">
        <v>66</v>
      </c>
    </row>
    <row r="2" spans="1:14" ht="15" customHeight="1" x14ac:dyDescent="0.25">
      <c r="A2" s="21" t="str">
        <f>_xlfn.CONCAT($L$1,$I$1,F2,$I$1,J2)</f>
        <v>CUSTO PLATAFORMA - FEVEREIRO/26 - OMS CARE ORDER - 61086</v>
      </c>
      <c r="B2" s="9">
        <v>46054</v>
      </c>
      <c r="C2" s="8">
        <v>817394</v>
      </c>
      <c r="D2" s="8" t="s">
        <v>21</v>
      </c>
      <c r="E2" s="67">
        <v>-1687.10443059096</v>
      </c>
      <c r="F2" s="8" t="s">
        <v>9</v>
      </c>
      <c r="G2" s="9">
        <v>46054</v>
      </c>
      <c r="H2" s="8">
        <v>1170</v>
      </c>
      <c r="J2" s="37">
        <v>61086</v>
      </c>
      <c r="K2" s="37">
        <f>_xlfn.XLOOKUP(L2,[1]!Tabela33[BROKER],[1]!Tabela33[ID ORACLE],0,0,1)</f>
        <v>61086</v>
      </c>
      <c r="L2" s="8" t="s">
        <v>21</v>
      </c>
    </row>
    <row r="3" spans="1:14" ht="15" customHeight="1" x14ac:dyDescent="0.25">
      <c r="A3" s="21" t="str">
        <f t="shared" ref="A3:A70" si="0">_xlfn.CONCAT($L$1,$I$1,F3,$I$1,J3)</f>
        <v>CUSTO PLATAFORMA - FEVEREIRO/26 - OMS CARE ORDER - 57036</v>
      </c>
      <c r="B3" s="9">
        <v>46054</v>
      </c>
      <c r="C3" s="8">
        <v>817394</v>
      </c>
      <c r="D3" s="8" t="s">
        <v>21</v>
      </c>
      <c r="E3" s="67">
        <v>-1687.10443059096</v>
      </c>
      <c r="F3" s="8" t="s">
        <v>9</v>
      </c>
      <c r="G3" s="9">
        <v>46054</v>
      </c>
      <c r="H3" s="8">
        <v>1170</v>
      </c>
      <c r="J3" s="37">
        <v>57036</v>
      </c>
      <c r="K3" s="37">
        <f>_xlfn.XLOOKUP(L3,[1]!Tabela33[BROKER],[1]!Tabela33[ID ORACLE],0,0,1)</f>
        <v>57036</v>
      </c>
      <c r="L3" s="8" t="s">
        <v>22</v>
      </c>
      <c r="N3" s="29"/>
    </row>
    <row r="4" spans="1:14" ht="15" customHeight="1" x14ac:dyDescent="0.25">
      <c r="A4" s="21" t="str">
        <f t="shared" si="0"/>
        <v>CUSTO PLATAFORMA - FEVEREIRO/26 - OMS CARE ORDER - 115154</v>
      </c>
      <c r="B4" s="9">
        <v>46054</v>
      </c>
      <c r="C4" s="8">
        <v>817394</v>
      </c>
      <c r="D4" s="8" t="s">
        <v>21</v>
      </c>
      <c r="E4" s="67">
        <v>-1687.10443059096</v>
      </c>
      <c r="F4" s="8" t="s">
        <v>9</v>
      </c>
      <c r="G4" s="9">
        <v>46054</v>
      </c>
      <c r="H4" s="8">
        <v>1170</v>
      </c>
      <c r="J4" s="37">
        <v>115154</v>
      </c>
      <c r="K4" s="37">
        <f>_xlfn.XLOOKUP(L4,[1]!Tabela33[BROKER],[1]!Tabela33[ID ORACLE],0,0,1)</f>
        <v>115154</v>
      </c>
      <c r="L4" s="8" t="s">
        <v>23</v>
      </c>
      <c r="M4" s="30"/>
      <c r="N4" s="29"/>
    </row>
    <row r="5" spans="1:14" ht="15" customHeight="1" x14ac:dyDescent="0.25">
      <c r="A5" s="21" t="str">
        <f t="shared" si="0"/>
        <v>CUSTO PLATAFORMA - FEVEREIRO/26 - OMS CARE ORDER - 136668</v>
      </c>
      <c r="B5" s="9">
        <v>46054</v>
      </c>
      <c r="C5" s="8">
        <v>817394</v>
      </c>
      <c r="D5" s="8" t="s">
        <v>21</v>
      </c>
      <c r="E5" s="67">
        <v>-1687.10443059096</v>
      </c>
      <c r="F5" s="8" t="s">
        <v>9</v>
      </c>
      <c r="G5" s="9">
        <v>46054</v>
      </c>
      <c r="H5" s="8">
        <v>1170</v>
      </c>
      <c r="J5" s="37">
        <v>136668</v>
      </c>
      <c r="K5" s="37">
        <f>_xlfn.XLOOKUP(L5,[1]!Tabela33[BROKER],[1]!Tabela33[ID ORACLE],0,0,1)</f>
        <v>136668</v>
      </c>
      <c r="L5" s="8" t="s">
        <v>36</v>
      </c>
      <c r="M5" s="30"/>
      <c r="N5" s="29"/>
    </row>
    <row r="6" spans="1:14" ht="15" customHeight="1" x14ac:dyDescent="0.25">
      <c r="A6" s="21" t="str">
        <f t="shared" si="0"/>
        <v>CUSTO PLATAFORMA - FEVEREIRO/26 - OMS CARE ORDER - 64098</v>
      </c>
      <c r="B6" s="9">
        <v>46054</v>
      </c>
      <c r="C6" s="8">
        <v>817394</v>
      </c>
      <c r="D6" s="8" t="s">
        <v>24</v>
      </c>
      <c r="E6" s="67">
        <v>-1687.10443059096</v>
      </c>
      <c r="F6" s="8" t="s">
        <v>9</v>
      </c>
      <c r="G6" s="9">
        <v>46054</v>
      </c>
      <c r="H6" s="8">
        <v>1170</v>
      </c>
      <c r="J6" s="37">
        <v>64098</v>
      </c>
      <c r="K6" s="37">
        <f>_xlfn.XLOOKUP(L6,[1]!Tabela33[BROKER],[1]!Tabela33[ID ORACLE],0,0,1)</f>
        <v>64098</v>
      </c>
      <c r="L6" s="8" t="s">
        <v>24</v>
      </c>
      <c r="N6" s="30"/>
    </row>
    <row r="7" spans="1:14" ht="15" customHeight="1" x14ac:dyDescent="0.25">
      <c r="A7" s="21" t="str">
        <f t="shared" si="0"/>
        <v>CUSTO PLATAFORMA - FEVEREIRO/26 - OMS CARE ORDER - 36554</v>
      </c>
      <c r="B7" s="9">
        <v>46054</v>
      </c>
      <c r="C7" s="8">
        <v>817394</v>
      </c>
      <c r="D7" s="8" t="s">
        <v>40</v>
      </c>
      <c r="E7" s="67">
        <v>-1687.10443059096</v>
      </c>
      <c r="F7" s="8" t="s">
        <v>9</v>
      </c>
      <c r="G7" s="9">
        <v>46054</v>
      </c>
      <c r="H7" s="8">
        <v>1170</v>
      </c>
      <c r="J7" s="37">
        <v>36554</v>
      </c>
      <c r="K7" s="37">
        <f>_xlfn.XLOOKUP(L7,[1]!Tabela33[BROKER],[1]!Tabela33[ID ORACLE],0,0,1)</f>
        <v>0</v>
      </c>
      <c r="L7" s="8" t="s">
        <v>16</v>
      </c>
    </row>
    <row r="8" spans="1:14" ht="15" customHeight="1" x14ac:dyDescent="0.25">
      <c r="A8" s="22" t="str">
        <f t="shared" si="0"/>
        <v>CUSTO PLATAFORMA - FEVEREIRO/26 - OMS CARE ORDER - 122758</v>
      </c>
      <c r="B8" s="18">
        <v>46054</v>
      </c>
      <c r="C8" s="17">
        <v>817394</v>
      </c>
      <c r="D8" s="17" t="s">
        <v>20</v>
      </c>
      <c r="E8" s="67">
        <v>-337.42088611819202</v>
      </c>
      <c r="F8" s="17" t="s">
        <v>9</v>
      </c>
      <c r="G8" s="18">
        <v>46054</v>
      </c>
      <c r="H8" s="17">
        <v>1170</v>
      </c>
      <c r="J8" s="28">
        <v>122758</v>
      </c>
      <c r="K8" s="28">
        <f>_xlfn.XLOOKUP(L8,[1]!Tabela33[BROKER],[1]!Tabela33[ID ORACLE],0,0,1)</f>
        <v>106970</v>
      </c>
      <c r="L8" s="17" t="s">
        <v>20</v>
      </c>
    </row>
    <row r="9" spans="1:14" ht="15" customHeight="1" x14ac:dyDescent="0.25">
      <c r="A9" s="22" t="str">
        <f t="shared" si="0"/>
        <v>CUSTO PLATAFORMA - FEVEREIRO/26 - OMS CARE ORDER - 122758</v>
      </c>
      <c r="B9" s="18">
        <v>46054</v>
      </c>
      <c r="C9" s="17">
        <v>817394</v>
      </c>
      <c r="D9" s="17" t="s">
        <v>31</v>
      </c>
      <c r="E9" s="67">
        <v>-337.42088611819202</v>
      </c>
      <c r="F9" s="17" t="s">
        <v>9</v>
      </c>
      <c r="G9" s="18">
        <v>46054</v>
      </c>
      <c r="H9" s="17">
        <v>1170</v>
      </c>
      <c r="J9" s="28">
        <v>122758</v>
      </c>
      <c r="K9" s="28">
        <f>_xlfn.XLOOKUP(L9,[1]!Tabela33[BROKER],[1]!Tabela33[ID ORACLE],0,0,1)</f>
        <v>139345</v>
      </c>
      <c r="L9" s="17" t="s">
        <v>31</v>
      </c>
    </row>
    <row r="10" spans="1:14" ht="15" customHeight="1" x14ac:dyDescent="0.25">
      <c r="A10" s="22" t="str">
        <f t="shared" si="0"/>
        <v>CUSTO PLATAFORMA - FEVEREIRO/26 - OMS CARE ORDER - 122758</v>
      </c>
      <c r="B10" s="18">
        <v>46054</v>
      </c>
      <c r="C10" s="17">
        <v>817394</v>
      </c>
      <c r="D10" s="17" t="s">
        <v>19</v>
      </c>
      <c r="E10" s="67">
        <v>-337.42088611819202</v>
      </c>
      <c r="F10" s="17" t="s">
        <v>9</v>
      </c>
      <c r="G10" s="18">
        <v>46054</v>
      </c>
      <c r="H10" s="17">
        <v>1170</v>
      </c>
      <c r="J10" s="28">
        <v>122758</v>
      </c>
      <c r="K10" s="28">
        <f>_xlfn.XLOOKUP(L10,[1]!Tabela33[BROKER],[1]!Tabela33[ID ORACLE],0,0,1)</f>
        <v>22361</v>
      </c>
      <c r="L10" s="17" t="s">
        <v>19</v>
      </c>
    </row>
    <row r="11" spans="1:14" ht="15" customHeight="1" x14ac:dyDescent="0.25">
      <c r="A11" s="22" t="str">
        <f t="shared" si="0"/>
        <v>CUSTO PLATAFORMA - FEVEREIRO/26 - OMS CARE ORDER - 122758</v>
      </c>
      <c r="B11" s="18">
        <v>46054</v>
      </c>
      <c r="C11" s="17">
        <v>817394</v>
      </c>
      <c r="D11" s="17" t="s">
        <v>32</v>
      </c>
      <c r="E11" s="67">
        <v>-337.42088611819202</v>
      </c>
      <c r="F11" s="17" t="s">
        <v>9</v>
      </c>
      <c r="G11" s="18">
        <v>46054</v>
      </c>
      <c r="H11" s="17">
        <v>1170</v>
      </c>
      <c r="J11" s="28">
        <v>122758</v>
      </c>
      <c r="K11" s="28">
        <f>_xlfn.XLOOKUP(L11,[1]!Tabela33[BROKER],[1]!Tabela33[ID ORACLE],0,0,1)</f>
        <v>132975</v>
      </c>
      <c r="L11" s="17" t="s">
        <v>32</v>
      </c>
    </row>
    <row r="12" spans="1:14" ht="15" customHeight="1" x14ac:dyDescent="0.25">
      <c r="A12" s="22" t="str">
        <f t="shared" si="0"/>
        <v>CUSTO PLATAFORMA - FEVEREIRO/26 - OMS CARE ORDER - 122758</v>
      </c>
      <c r="B12" s="18">
        <v>46054</v>
      </c>
      <c r="C12" s="17">
        <v>817394</v>
      </c>
      <c r="D12" s="17" t="s">
        <v>18</v>
      </c>
      <c r="E12" s="67">
        <v>-337.42088611819202</v>
      </c>
      <c r="F12" s="17" t="s">
        <v>9</v>
      </c>
      <c r="G12" s="18">
        <v>46054</v>
      </c>
      <c r="H12" s="17">
        <v>1170</v>
      </c>
      <c r="J12" s="28">
        <v>122758</v>
      </c>
      <c r="K12" s="28">
        <f>_xlfn.XLOOKUP(L12,[1]!Tabela33[BROKER],[1]!Tabela33[ID ORACLE],0,0,1)</f>
        <v>122758</v>
      </c>
      <c r="L12" s="17" t="s">
        <v>18</v>
      </c>
      <c r="M12" s="29"/>
    </row>
    <row r="13" spans="1:14" ht="15" customHeight="1" x14ac:dyDescent="0.25">
      <c r="A13" s="21" t="str">
        <f t="shared" si="0"/>
        <v>CUSTO PLATAFORMA - FEVEREIRO/26 - OMS CARE ORDER - 125412</v>
      </c>
      <c r="B13" s="9">
        <v>46054</v>
      </c>
      <c r="C13" s="8">
        <v>817394</v>
      </c>
      <c r="D13" s="8" t="s">
        <v>29</v>
      </c>
      <c r="E13" s="67">
        <v>-1687.10443059096</v>
      </c>
      <c r="F13" s="8" t="s">
        <v>9</v>
      </c>
      <c r="G13" s="9">
        <v>46054</v>
      </c>
      <c r="H13" s="8">
        <v>1170</v>
      </c>
      <c r="J13" s="37">
        <v>125412</v>
      </c>
      <c r="K13" s="37">
        <v>52340</v>
      </c>
      <c r="L13" s="8" t="s">
        <v>29</v>
      </c>
      <c r="M13" s="30"/>
    </row>
    <row r="14" spans="1:14" ht="15" customHeight="1" x14ac:dyDescent="0.25">
      <c r="A14" s="21" t="str">
        <f t="shared" si="0"/>
        <v>CUSTO PLATAFORMA - FEVEREIRO/26 - OMS CARE ORDER - 127165</v>
      </c>
      <c r="B14" s="9">
        <v>46054</v>
      </c>
      <c r="C14" s="8">
        <v>817394</v>
      </c>
      <c r="D14" s="8" t="s">
        <v>17</v>
      </c>
      <c r="E14" s="67">
        <v>-1687.10443059096</v>
      </c>
      <c r="F14" s="8" t="s">
        <v>9</v>
      </c>
      <c r="G14" s="9">
        <v>46054</v>
      </c>
      <c r="H14" s="8">
        <v>1170</v>
      </c>
      <c r="J14" s="37">
        <v>127165</v>
      </c>
      <c r="K14" s="37">
        <f>_xlfn.XLOOKUP(L14,[1]!Tabela33[BROKER],[1]!Tabela33[ID ORACLE],0,0,1)</f>
        <v>127165</v>
      </c>
      <c r="L14" s="8" t="s">
        <v>17</v>
      </c>
    </row>
    <row r="15" spans="1:14" ht="15" customHeight="1" x14ac:dyDescent="0.25">
      <c r="A15" s="21" t="str">
        <f>_xlfn.CONCAT($L$1,$I$1,F15,$I$1,J15)</f>
        <v>CUSTO PLATAFORMA - FEVEREIRO/26 - OMS CARE ORDER - 133842</v>
      </c>
      <c r="B15" s="9">
        <v>46054</v>
      </c>
      <c r="C15" s="8">
        <v>817394</v>
      </c>
      <c r="D15" s="8" t="s">
        <v>28</v>
      </c>
      <c r="E15" s="67">
        <v>-1687.10443059096</v>
      </c>
      <c r="F15" s="8" t="s">
        <v>9</v>
      </c>
      <c r="G15" s="9">
        <v>46054</v>
      </c>
      <c r="H15" s="8">
        <v>1170</v>
      </c>
      <c r="J15" s="37">
        <v>133842</v>
      </c>
      <c r="K15" s="37">
        <f>_xlfn.XLOOKUP(L15,[1]!Tabela33[BROKER],[1]!Tabela33[ID ORACLE],0,0,1)</f>
        <v>133842</v>
      </c>
      <c r="L15" s="8" t="s">
        <v>28</v>
      </c>
    </row>
    <row r="16" spans="1:14" ht="15" customHeight="1" x14ac:dyDescent="0.25">
      <c r="A16" s="23" t="str">
        <f t="shared" si="0"/>
        <v>CUSTO PLATAFORMA - FEVEREIRO/26 - OMS CARE ORDER - 111439</v>
      </c>
      <c r="B16" s="12">
        <v>46054</v>
      </c>
      <c r="C16" s="11">
        <v>817394</v>
      </c>
      <c r="D16" s="11" t="s">
        <v>24</v>
      </c>
      <c r="E16" s="49">
        <v>-1687.10443059096</v>
      </c>
      <c r="F16" s="11" t="s">
        <v>9</v>
      </c>
      <c r="G16" s="12">
        <v>46054</v>
      </c>
      <c r="H16" s="11">
        <v>1170</v>
      </c>
      <c r="J16" s="38">
        <v>111439</v>
      </c>
      <c r="K16" s="38">
        <f>_xlfn.XLOOKUP(L16,[1]!Tabela33[BROKER],[1]!Tabela33[ID ORACLE],0,0,1)</f>
        <v>111439</v>
      </c>
      <c r="L16" s="11" t="s">
        <v>25</v>
      </c>
    </row>
    <row r="17" spans="1:13" ht="15" customHeight="1" x14ac:dyDescent="0.25">
      <c r="A17" s="22" t="str">
        <f t="shared" si="0"/>
        <v>CUSTO PLATAFORMA - FEVEREIRO/26 - TACTICS - 106970</v>
      </c>
      <c r="B17" s="18">
        <v>46054</v>
      </c>
      <c r="C17" s="17">
        <v>817394</v>
      </c>
      <c r="D17" s="17" t="s">
        <v>20</v>
      </c>
      <c r="E17" s="67">
        <v>-156.99535300417921</v>
      </c>
      <c r="F17" s="17" t="s">
        <v>10</v>
      </c>
      <c r="G17" s="18">
        <v>46054</v>
      </c>
      <c r="H17" s="17">
        <v>1170</v>
      </c>
      <c r="J17" s="28">
        <v>106970</v>
      </c>
      <c r="K17" s="28">
        <v>106970</v>
      </c>
      <c r="L17" s="17" t="s">
        <v>20</v>
      </c>
    </row>
    <row r="18" spans="1:13" ht="15" customHeight="1" x14ac:dyDescent="0.25">
      <c r="A18" s="22" t="str">
        <f t="shared" si="0"/>
        <v>CUSTO PLATAFORMA - FEVEREIRO/26 - TACTICS - 106970</v>
      </c>
      <c r="B18" s="18">
        <v>46054</v>
      </c>
      <c r="C18" s="17">
        <v>817394</v>
      </c>
      <c r="D18" s="17" t="s">
        <v>31</v>
      </c>
      <c r="E18" s="67">
        <v>-156.99535300417921</v>
      </c>
      <c r="F18" s="17" t="s">
        <v>10</v>
      </c>
      <c r="G18" s="18">
        <v>46054</v>
      </c>
      <c r="H18" s="17">
        <v>1170</v>
      </c>
      <c r="J18" s="28">
        <v>106970</v>
      </c>
      <c r="K18" s="28">
        <v>139345</v>
      </c>
      <c r="L18" s="17" t="s">
        <v>31</v>
      </c>
    </row>
    <row r="19" spans="1:13" ht="15" customHeight="1" x14ac:dyDescent="0.25">
      <c r="A19" s="22" t="str">
        <f t="shared" si="0"/>
        <v>CUSTO PLATAFORMA - FEVEREIRO/26 - TACTICS - 106970</v>
      </c>
      <c r="B19" s="18">
        <v>46054</v>
      </c>
      <c r="C19" s="17">
        <v>817394</v>
      </c>
      <c r="D19" s="17" t="s">
        <v>19</v>
      </c>
      <c r="E19" s="67">
        <v>-156.99535300417921</v>
      </c>
      <c r="F19" s="17" t="s">
        <v>10</v>
      </c>
      <c r="G19" s="18">
        <v>46054</v>
      </c>
      <c r="H19" s="17">
        <v>1170</v>
      </c>
      <c r="J19" s="28">
        <v>106970</v>
      </c>
      <c r="K19" s="28">
        <v>22361</v>
      </c>
      <c r="L19" s="17" t="s">
        <v>19</v>
      </c>
    </row>
    <row r="20" spans="1:13" ht="15" customHeight="1" x14ac:dyDescent="0.25">
      <c r="A20" s="22" t="str">
        <f t="shared" si="0"/>
        <v>CUSTO PLATAFORMA - FEVEREIRO/26 - TACTICS - 106970</v>
      </c>
      <c r="B20" s="18">
        <v>46054</v>
      </c>
      <c r="C20" s="17">
        <v>817394</v>
      </c>
      <c r="D20" s="17" t="s">
        <v>32</v>
      </c>
      <c r="E20" s="67">
        <v>-156.99535300417921</v>
      </c>
      <c r="F20" s="17" t="s">
        <v>10</v>
      </c>
      <c r="G20" s="18">
        <v>46054</v>
      </c>
      <c r="H20" s="17">
        <v>1170</v>
      </c>
      <c r="J20" s="28">
        <v>106970</v>
      </c>
      <c r="K20" s="28">
        <v>132975</v>
      </c>
      <c r="L20" s="17" t="s">
        <v>32</v>
      </c>
    </row>
    <row r="21" spans="1:13" ht="15" customHeight="1" x14ac:dyDescent="0.25">
      <c r="A21" s="22" t="str">
        <f t="shared" si="0"/>
        <v>CUSTO PLATAFORMA - FEVEREIRO/26 - TACTICS - 106970</v>
      </c>
      <c r="B21" s="18">
        <v>46054</v>
      </c>
      <c r="C21" s="17">
        <v>817394</v>
      </c>
      <c r="D21" s="17" t="s">
        <v>18</v>
      </c>
      <c r="E21" s="67">
        <v>-156.99535300417921</v>
      </c>
      <c r="F21" s="17" t="s">
        <v>10</v>
      </c>
      <c r="G21" s="18">
        <v>46054</v>
      </c>
      <c r="H21" s="17">
        <v>1170</v>
      </c>
      <c r="J21" s="28">
        <v>106970</v>
      </c>
      <c r="K21" s="28">
        <v>122758</v>
      </c>
      <c r="L21" s="17" t="s">
        <v>18</v>
      </c>
      <c r="M21" s="29"/>
    </row>
    <row r="22" spans="1:13" ht="15" customHeight="1" x14ac:dyDescent="0.25">
      <c r="A22" s="21" t="str">
        <f t="shared" si="0"/>
        <v>CUSTO PLATAFORMA - FEVEREIRO/26 - TACTICS - 122758</v>
      </c>
      <c r="B22" s="9">
        <v>46054</v>
      </c>
      <c r="C22" s="8">
        <v>817394</v>
      </c>
      <c r="D22" s="8" t="s">
        <v>20</v>
      </c>
      <c r="E22" s="67">
        <v>-156.99535300417921</v>
      </c>
      <c r="F22" s="8" t="s">
        <v>10</v>
      </c>
      <c r="G22" s="9">
        <v>46054</v>
      </c>
      <c r="H22" s="8">
        <v>1170</v>
      </c>
      <c r="J22" s="37">
        <v>122758</v>
      </c>
      <c r="K22" s="37">
        <v>106970</v>
      </c>
      <c r="L22" s="8" t="s">
        <v>20</v>
      </c>
    </row>
    <row r="23" spans="1:13" ht="15" customHeight="1" x14ac:dyDescent="0.25">
      <c r="A23" s="21" t="str">
        <f t="shared" si="0"/>
        <v>CUSTO PLATAFORMA - FEVEREIRO/26 - TACTICS - 122758</v>
      </c>
      <c r="B23" s="9">
        <v>46054</v>
      </c>
      <c r="C23" s="8">
        <v>817394</v>
      </c>
      <c r="D23" s="8" t="s">
        <v>31</v>
      </c>
      <c r="E23" s="67">
        <v>-156.99535300417921</v>
      </c>
      <c r="F23" s="8" t="s">
        <v>10</v>
      </c>
      <c r="G23" s="9">
        <v>46054</v>
      </c>
      <c r="H23" s="8">
        <v>1170</v>
      </c>
      <c r="J23" s="37">
        <v>122758</v>
      </c>
      <c r="K23" s="37">
        <v>139345</v>
      </c>
      <c r="L23" s="8" t="s">
        <v>31</v>
      </c>
    </row>
    <row r="24" spans="1:13" ht="15" customHeight="1" x14ac:dyDescent="0.25">
      <c r="A24" s="21" t="str">
        <f t="shared" si="0"/>
        <v>CUSTO PLATAFORMA - FEVEREIRO/26 - TACTICS - 122758</v>
      </c>
      <c r="B24" s="9">
        <v>46054</v>
      </c>
      <c r="C24" s="8">
        <v>817394</v>
      </c>
      <c r="D24" s="8" t="s">
        <v>19</v>
      </c>
      <c r="E24" s="67">
        <v>-156.99535300417921</v>
      </c>
      <c r="F24" s="8" t="s">
        <v>10</v>
      </c>
      <c r="G24" s="9">
        <v>46054</v>
      </c>
      <c r="H24" s="8">
        <v>1170</v>
      </c>
      <c r="J24" s="37">
        <v>122758</v>
      </c>
      <c r="K24" s="37">
        <v>22361</v>
      </c>
      <c r="L24" s="8" t="s">
        <v>19</v>
      </c>
    </row>
    <row r="25" spans="1:13" ht="15" customHeight="1" x14ac:dyDescent="0.25">
      <c r="A25" s="21" t="str">
        <f t="shared" si="0"/>
        <v>CUSTO PLATAFORMA - FEVEREIRO/26 - TACTICS - 122758</v>
      </c>
      <c r="B25" s="9">
        <v>46054</v>
      </c>
      <c r="C25" s="8">
        <v>817394</v>
      </c>
      <c r="D25" s="8" t="s">
        <v>32</v>
      </c>
      <c r="E25" s="67">
        <v>-156.99535300417921</v>
      </c>
      <c r="F25" s="8" t="s">
        <v>10</v>
      </c>
      <c r="G25" s="9">
        <v>46054</v>
      </c>
      <c r="H25" s="8">
        <v>1170</v>
      </c>
      <c r="J25" s="37">
        <v>122758</v>
      </c>
      <c r="K25" s="37">
        <v>132975</v>
      </c>
      <c r="L25" s="8" t="s">
        <v>32</v>
      </c>
    </row>
    <row r="26" spans="1:13" ht="15" customHeight="1" x14ac:dyDescent="0.25">
      <c r="A26" s="21" t="str">
        <f t="shared" si="0"/>
        <v>CUSTO PLATAFORMA - FEVEREIRO/26 - TACTICS - 122758</v>
      </c>
      <c r="B26" s="9">
        <v>46054</v>
      </c>
      <c r="C26" s="8">
        <v>817394</v>
      </c>
      <c r="D26" s="8" t="s">
        <v>18</v>
      </c>
      <c r="E26" s="67">
        <v>-156.99535300417921</v>
      </c>
      <c r="F26" s="8" t="s">
        <v>10</v>
      </c>
      <c r="G26" s="9">
        <v>46054</v>
      </c>
      <c r="H26" s="8">
        <v>1170</v>
      </c>
      <c r="J26" s="37">
        <v>122758</v>
      </c>
      <c r="K26" s="37">
        <v>122758</v>
      </c>
      <c r="L26" s="8" t="s">
        <v>18</v>
      </c>
    </row>
    <row r="27" spans="1:13" ht="15" customHeight="1" x14ac:dyDescent="0.25">
      <c r="A27" s="22" t="str">
        <f t="shared" si="0"/>
        <v>CUSTO PLATAFORMA - FEVEREIRO/26 - TACTICS - 56258</v>
      </c>
      <c r="B27" s="18">
        <v>46054</v>
      </c>
      <c r="C27" s="17">
        <v>817394</v>
      </c>
      <c r="D27" s="17" t="s">
        <v>13</v>
      </c>
      <c r="E27" s="67">
        <v>-196.24419125522377</v>
      </c>
      <c r="F27" s="17" t="s">
        <v>10</v>
      </c>
      <c r="G27" s="18">
        <v>46054</v>
      </c>
      <c r="H27" s="17">
        <v>1170</v>
      </c>
      <c r="J27" s="28">
        <v>56258</v>
      </c>
      <c r="K27" s="28">
        <f>_xlfn.XLOOKUP(L27,[1]!Tabela33[BROKER],[1]!Tabela33[ID ORACLE],0,0,1)</f>
        <v>70461</v>
      </c>
      <c r="L27" s="17" t="s">
        <v>13</v>
      </c>
    </row>
    <row r="28" spans="1:13" ht="15" customHeight="1" x14ac:dyDescent="0.25">
      <c r="A28" s="22" t="str">
        <f t="shared" si="0"/>
        <v>CUSTO PLATAFORMA - FEVEREIRO/26 - TACTICS - 56258</v>
      </c>
      <c r="B28" s="18">
        <v>46054</v>
      </c>
      <c r="C28" s="17">
        <v>817394</v>
      </c>
      <c r="D28" s="17" t="s">
        <v>14</v>
      </c>
      <c r="E28" s="67">
        <v>-196.24419125522377</v>
      </c>
      <c r="F28" s="17" t="s">
        <v>10</v>
      </c>
      <c r="G28" s="18">
        <v>46054</v>
      </c>
      <c r="H28" s="17">
        <v>1170</v>
      </c>
      <c r="J28" s="28">
        <v>56258</v>
      </c>
      <c r="K28" s="28">
        <f>_xlfn.XLOOKUP(L28,[1]!Tabela33[BROKER],[1]!Tabela33[ID ORACLE],0,0,1)</f>
        <v>24140</v>
      </c>
      <c r="L28" s="17" t="s">
        <v>14</v>
      </c>
    </row>
    <row r="29" spans="1:13" ht="15" customHeight="1" x14ac:dyDescent="0.25">
      <c r="A29" s="22" t="str">
        <f t="shared" si="0"/>
        <v>CUSTO PLATAFORMA - FEVEREIRO/26 - TACTICS - 56258</v>
      </c>
      <c r="B29" s="18">
        <v>46054</v>
      </c>
      <c r="C29" s="17">
        <v>817394</v>
      </c>
      <c r="D29" s="17" t="s">
        <v>30</v>
      </c>
      <c r="E29" s="67">
        <v>-196.24419125522377</v>
      </c>
      <c r="F29" s="17" t="s">
        <v>10</v>
      </c>
      <c r="G29" s="18">
        <v>46054</v>
      </c>
      <c r="H29" s="17">
        <v>1170</v>
      </c>
      <c r="J29" s="28">
        <v>56258</v>
      </c>
      <c r="K29" s="28">
        <f>_xlfn.XLOOKUP(L29,[1]!Tabela33[BROKER],[1]!Tabela33[ID ORACLE],0,0,1)</f>
        <v>137478</v>
      </c>
      <c r="L29" s="17" t="s">
        <v>30</v>
      </c>
    </row>
    <row r="30" spans="1:13" ht="15" customHeight="1" x14ac:dyDescent="0.25">
      <c r="A30" s="22" t="str">
        <f t="shared" si="0"/>
        <v>CUSTO PLATAFORMA - FEVEREIRO/26 - TACTICS - 56258</v>
      </c>
      <c r="B30" s="18">
        <v>46054</v>
      </c>
      <c r="C30" s="17">
        <v>817394</v>
      </c>
      <c r="D30" s="17" t="s">
        <v>15</v>
      </c>
      <c r="E30" s="67">
        <v>-196.24419125522377</v>
      </c>
      <c r="F30" s="17" t="s">
        <v>10</v>
      </c>
      <c r="G30" s="18">
        <v>46054</v>
      </c>
      <c r="H30" s="17">
        <v>1170</v>
      </c>
      <c r="J30" s="28">
        <v>56258</v>
      </c>
      <c r="K30" s="28">
        <f>_xlfn.XLOOKUP(L30,[1]!Tabela33[BROKER],[1]!Tabela33[ID ORACLE],0,0,1)</f>
        <v>56258</v>
      </c>
      <c r="L30" s="17" t="s">
        <v>15</v>
      </c>
    </row>
    <row r="31" spans="1:13" ht="15" customHeight="1" x14ac:dyDescent="0.25">
      <c r="A31" s="21" t="str">
        <f t="shared" si="0"/>
        <v>CUSTO PLATAFORMA - FEVEREIRO/26 - TACTICS - 133842</v>
      </c>
      <c r="B31" s="9">
        <v>46054</v>
      </c>
      <c r="C31" s="8">
        <v>817394</v>
      </c>
      <c r="D31" s="8" t="s">
        <v>28</v>
      </c>
      <c r="E31" s="67">
        <v>-784.97676502089598</v>
      </c>
      <c r="F31" s="8" t="s">
        <v>10</v>
      </c>
      <c r="G31" s="9">
        <v>46054</v>
      </c>
      <c r="H31" s="8">
        <v>1170</v>
      </c>
      <c r="J31" s="37">
        <v>133842</v>
      </c>
      <c r="K31" s="37">
        <f>_xlfn.XLOOKUP(L31,[1]!Tabela33[BROKER],[1]!Tabela33[ID ORACLE],0,0,1)</f>
        <v>133842</v>
      </c>
      <c r="L31" s="8" t="s">
        <v>28</v>
      </c>
    </row>
    <row r="32" spans="1:13" ht="15" customHeight="1" x14ac:dyDescent="0.25">
      <c r="A32" s="21" t="str">
        <f t="shared" si="0"/>
        <v>CUSTO PLATAFORMA - FEVEREIRO/26 - TACTICS - 61086</v>
      </c>
      <c r="B32" s="9">
        <v>46054</v>
      </c>
      <c r="C32" s="8">
        <v>817394</v>
      </c>
      <c r="D32" s="8" t="s">
        <v>21</v>
      </c>
      <c r="E32" s="67">
        <v>-784.97676502089598</v>
      </c>
      <c r="F32" s="8" t="s">
        <v>10</v>
      </c>
      <c r="G32" s="9">
        <v>46054</v>
      </c>
      <c r="H32" s="8">
        <v>1170</v>
      </c>
      <c r="J32" s="37">
        <v>61086</v>
      </c>
      <c r="K32" s="37">
        <f>_xlfn.XLOOKUP(L32,[1]!Tabela33[BROKER],[1]!Tabela33[ID ORACLE],0,0,1)</f>
        <v>61086</v>
      </c>
      <c r="L32" s="8" t="s">
        <v>21</v>
      </c>
    </row>
    <row r="33" spans="1:12" ht="15" customHeight="1" x14ac:dyDescent="0.25">
      <c r="A33" s="21" t="str">
        <f t="shared" si="0"/>
        <v>CUSTO PLATAFORMA - FEVEREIRO/26 - TACTICS - 115154</v>
      </c>
      <c r="B33" s="9">
        <v>46054</v>
      </c>
      <c r="C33" s="8">
        <v>817394</v>
      </c>
      <c r="D33" s="8" t="s">
        <v>21</v>
      </c>
      <c r="E33" s="67">
        <v>-784.97676502089598</v>
      </c>
      <c r="F33" s="8" t="s">
        <v>10</v>
      </c>
      <c r="G33" s="9">
        <v>46054</v>
      </c>
      <c r="H33" s="8">
        <v>1170</v>
      </c>
      <c r="J33" s="37">
        <v>115154</v>
      </c>
      <c r="K33" s="37">
        <f>_xlfn.XLOOKUP(L33,[1]!Tabela33[BROKER],[1]!Tabela33[ID ORACLE],0,0,1)</f>
        <v>115154</v>
      </c>
      <c r="L33" s="8" t="s">
        <v>23</v>
      </c>
    </row>
    <row r="34" spans="1:12" ht="15" customHeight="1" x14ac:dyDescent="0.25">
      <c r="A34" s="21" t="str">
        <f t="shared" si="0"/>
        <v>CUSTO PLATAFORMA - FEVEREIRO/26 - TACTICS - 57036</v>
      </c>
      <c r="B34" s="9">
        <v>46054</v>
      </c>
      <c r="C34" s="8">
        <v>817394</v>
      </c>
      <c r="D34" s="8" t="s">
        <v>21</v>
      </c>
      <c r="E34" s="67">
        <v>-784.97676502089598</v>
      </c>
      <c r="F34" s="8" t="s">
        <v>10</v>
      </c>
      <c r="G34" s="9">
        <v>46054</v>
      </c>
      <c r="H34" s="8">
        <v>1170</v>
      </c>
      <c r="J34" s="37">
        <v>57036</v>
      </c>
      <c r="K34" s="37">
        <f>_xlfn.XLOOKUP(L34,[1]!Tabela33[BROKER],[1]!Tabela33[ID ORACLE],0,0,1)</f>
        <v>57036</v>
      </c>
      <c r="L34" s="8" t="s">
        <v>22</v>
      </c>
    </row>
    <row r="35" spans="1:12" ht="15" customHeight="1" x14ac:dyDescent="0.25">
      <c r="A35" s="21" t="str">
        <f t="shared" si="0"/>
        <v>CUSTO PLATAFORMA - FEVEREIRO/26 - TACTICS - 136668</v>
      </c>
      <c r="B35" s="9">
        <v>46054</v>
      </c>
      <c r="C35" s="8">
        <v>817394</v>
      </c>
      <c r="D35" s="8" t="s">
        <v>21</v>
      </c>
      <c r="E35" s="67">
        <v>-784.97676502089598</v>
      </c>
      <c r="F35" s="8" t="s">
        <v>10</v>
      </c>
      <c r="G35" s="9">
        <v>46054</v>
      </c>
      <c r="H35" s="8">
        <v>1170</v>
      </c>
      <c r="J35" s="37">
        <v>136668</v>
      </c>
      <c r="K35" s="37">
        <f>_xlfn.XLOOKUP(L35,[1]!Tabela33[BROKER],[1]!Tabela33[ID ORACLE],0,0,1)</f>
        <v>136668</v>
      </c>
      <c r="L35" s="8" t="s">
        <v>36</v>
      </c>
    </row>
    <row r="36" spans="1:12" ht="15" customHeight="1" x14ac:dyDescent="0.25">
      <c r="A36" s="21" t="str">
        <f t="shared" si="0"/>
        <v>CUSTO PLATAFORMA - FEVEREIRO/26 - TACTICS - 64098</v>
      </c>
      <c r="B36" s="9">
        <v>46054</v>
      </c>
      <c r="C36" s="8">
        <v>817394</v>
      </c>
      <c r="D36" s="8" t="s">
        <v>24</v>
      </c>
      <c r="E36" s="67">
        <v>-784.97676502089598</v>
      </c>
      <c r="F36" s="8" t="s">
        <v>10</v>
      </c>
      <c r="G36" s="9">
        <v>46054</v>
      </c>
      <c r="H36" s="8">
        <v>1170</v>
      </c>
      <c r="J36" s="37">
        <v>64098</v>
      </c>
      <c r="K36" s="37">
        <f>_xlfn.XLOOKUP(L36,[1]!Tabela33[BROKER],[1]!Tabela33[ID ORACLE],0,0,1)</f>
        <v>64098</v>
      </c>
      <c r="L36" s="8" t="s">
        <v>24</v>
      </c>
    </row>
    <row r="37" spans="1:12" ht="15" customHeight="1" x14ac:dyDescent="0.25">
      <c r="A37" s="21" t="str">
        <f t="shared" si="0"/>
        <v>CUSTO PLATAFORMA - FEVEREIRO/26 - TACTICS - 125412</v>
      </c>
      <c r="B37" s="9">
        <v>46054</v>
      </c>
      <c r="C37" s="8">
        <v>817394</v>
      </c>
      <c r="D37" s="8" t="s">
        <v>29</v>
      </c>
      <c r="E37" s="67">
        <v>-784.97676502089598</v>
      </c>
      <c r="F37" s="8" t="s">
        <v>10</v>
      </c>
      <c r="G37" s="9">
        <v>46054</v>
      </c>
      <c r="H37" s="8">
        <v>1170</v>
      </c>
      <c r="J37" s="37">
        <v>125412</v>
      </c>
      <c r="K37" s="37">
        <v>52340</v>
      </c>
      <c r="L37" s="8" t="s">
        <v>29</v>
      </c>
    </row>
    <row r="38" spans="1:12" ht="15" customHeight="1" x14ac:dyDescent="0.25">
      <c r="A38" s="21" t="str">
        <f t="shared" si="0"/>
        <v>CUSTO PLATAFORMA - FEVEREIRO/26 - TACTICS - 127165</v>
      </c>
      <c r="B38" s="9">
        <v>46054</v>
      </c>
      <c r="C38" s="8">
        <v>817394</v>
      </c>
      <c r="D38" s="8" t="s">
        <v>17</v>
      </c>
      <c r="E38" s="67">
        <v>-784.97676502089598</v>
      </c>
      <c r="F38" s="8" t="s">
        <v>10</v>
      </c>
      <c r="G38" s="9">
        <v>46054</v>
      </c>
      <c r="H38" s="8">
        <v>1170</v>
      </c>
      <c r="J38" s="37">
        <v>127165</v>
      </c>
      <c r="K38" s="37">
        <f>_xlfn.XLOOKUP(L38,[1]!Tabela33[BROKER],[1]!Tabela33[ID ORACLE],0,0,1)</f>
        <v>127165</v>
      </c>
      <c r="L38" s="8" t="s">
        <v>17</v>
      </c>
    </row>
    <row r="39" spans="1:12" ht="15" customHeight="1" x14ac:dyDescent="0.25">
      <c r="A39" s="23" t="str">
        <f t="shared" si="0"/>
        <v>CUSTO PLATAFORMA - FEVEREIRO/26 - TACTICS - 111439</v>
      </c>
      <c r="B39" s="12">
        <v>46054</v>
      </c>
      <c r="C39" s="11">
        <v>817394</v>
      </c>
      <c r="D39" s="11" t="s">
        <v>24</v>
      </c>
      <c r="E39" s="49">
        <v>-784.97676502089598</v>
      </c>
      <c r="F39" s="11" t="s">
        <v>10</v>
      </c>
      <c r="G39" s="12">
        <v>46054</v>
      </c>
      <c r="H39" s="11">
        <v>1170</v>
      </c>
      <c r="J39" s="38">
        <v>111439</v>
      </c>
      <c r="K39" s="38">
        <f>_xlfn.XLOOKUP(L39,[1]!Tabela33[BROKER],[1]!Tabela33[ID ORACLE],0,0,1)</f>
        <v>111439</v>
      </c>
      <c r="L39" s="11" t="s">
        <v>25</v>
      </c>
    </row>
    <row r="40" spans="1:12" ht="15" customHeight="1" x14ac:dyDescent="0.25">
      <c r="A40" s="21" t="str">
        <f t="shared" si="0"/>
        <v>CUSTO PLATAFORMA - FEVEREIRO/26 - ATG - 115154</v>
      </c>
      <c r="B40" s="9">
        <v>46054</v>
      </c>
      <c r="C40" s="8">
        <v>817394</v>
      </c>
      <c r="D40" s="8" t="s">
        <v>21</v>
      </c>
      <c r="E40" s="50">
        <f>-7752.37992665867-70</f>
        <v>-7822.3799266586702</v>
      </c>
      <c r="F40" s="8" t="s">
        <v>8</v>
      </c>
      <c r="G40" s="9">
        <v>46054</v>
      </c>
      <c r="H40" s="8">
        <v>1170</v>
      </c>
      <c r="J40" s="37">
        <v>115154</v>
      </c>
      <c r="K40" s="37">
        <f>_xlfn.XLOOKUP(L40,[1]!Tabela33[BROKER],[1]!Tabela33[ID ORACLE],0,0,1)</f>
        <v>115154</v>
      </c>
      <c r="L40" s="8" t="s">
        <v>23</v>
      </c>
    </row>
    <row r="41" spans="1:12" ht="15" customHeight="1" x14ac:dyDescent="0.25">
      <c r="A41" s="21" t="str">
        <f t="shared" si="0"/>
        <v>CUSTO PLATAFORMA - FEVEREIRO/26 - ATG - 57038</v>
      </c>
      <c r="B41" s="9">
        <v>46054</v>
      </c>
      <c r="C41" s="8">
        <v>817394</v>
      </c>
      <c r="D41" s="8" t="s">
        <v>21</v>
      </c>
      <c r="E41" s="50">
        <f>-1550.4779559952-70</f>
        <v>-1620.4779559952001</v>
      </c>
      <c r="F41" s="8" t="s">
        <v>8</v>
      </c>
      <c r="G41" s="9">
        <v>46054</v>
      </c>
      <c r="H41" s="8">
        <v>1170</v>
      </c>
      <c r="J41" s="37">
        <v>57038</v>
      </c>
      <c r="K41" s="37">
        <v>57036</v>
      </c>
      <c r="L41" s="8" t="s">
        <v>22</v>
      </c>
    </row>
    <row r="42" spans="1:12" ht="15" customHeight="1" x14ac:dyDescent="0.25">
      <c r="A42" s="21" t="str">
        <f t="shared" si="0"/>
        <v>CUSTO PLATAFORMA - FEVEREIRO/26 - ATG - 111439</v>
      </c>
      <c r="B42" s="9">
        <v>46054</v>
      </c>
      <c r="C42" s="8">
        <v>817394</v>
      </c>
      <c r="D42" s="8" t="s">
        <v>24</v>
      </c>
      <c r="E42" s="50">
        <f>-4651.4279559952-70</f>
        <v>-4721.4279559952001</v>
      </c>
      <c r="F42" s="8" t="s">
        <v>8</v>
      </c>
      <c r="G42" s="9">
        <v>46054</v>
      </c>
      <c r="H42" s="8">
        <v>1170</v>
      </c>
      <c r="J42" s="37">
        <v>111439</v>
      </c>
      <c r="K42" s="37">
        <v>111439</v>
      </c>
      <c r="L42" s="8" t="s">
        <v>25</v>
      </c>
    </row>
    <row r="43" spans="1:12" ht="15" customHeight="1" x14ac:dyDescent="0.25">
      <c r="A43" s="22" t="str">
        <f t="shared" si="0"/>
        <v>CUSTO PLATAFORMA - FEVEREIRO/26 - ATG - 132975</v>
      </c>
      <c r="B43" s="18">
        <v>46054</v>
      </c>
      <c r="C43" s="17">
        <v>817394</v>
      </c>
      <c r="D43" s="17" t="str">
        <f>IF(K43=57038,"ALEXANDRE DA COSTA SOARES",IF(K43=115154,"ALEXANDRE DA COSTA SOARES",IF(K43=57036,"ALEXANDRE DA COSTA SOARES",IF(K43=24157,"JOSE MAURICIO GOMES TEIXEIRA",IF(K43=24203,"JOSE MAURICIO GOMES TEIXEIRA",IF(K43=24149,"CHRISTIANO MARCONDES DE BARROS LIMA",IF(K43=24137,"CHRISTIANO MARCONDES DE BARROS LIMA",_xlfn.XLOOKUP(K43,[1]!Tabela33[ID ORACLE],[1]!Tabela33[BROKER],0,0,1))))))))</f>
        <v>CESAR MARIANO SCARAMBONE MENEZES</v>
      </c>
      <c r="E43" s="50">
        <v>-782.23799266586798</v>
      </c>
      <c r="F43" s="17" t="s">
        <v>8</v>
      </c>
      <c r="G43" s="18">
        <v>46054</v>
      </c>
      <c r="H43" s="17">
        <v>1170</v>
      </c>
      <c r="J43" s="28">
        <v>132975</v>
      </c>
      <c r="K43" s="28">
        <f>_xlfn.XLOOKUP(L43,[1]!Tabela33[BROKER],[1]!Tabela33[ID ORACLE],0,0,1)</f>
        <v>106970</v>
      </c>
      <c r="L43" s="17" t="s">
        <v>20</v>
      </c>
    </row>
    <row r="44" spans="1:12" ht="15" customHeight="1" x14ac:dyDescent="0.25">
      <c r="A44" s="22" t="str">
        <f t="shared" si="0"/>
        <v>CUSTO PLATAFORMA - FEVEREIRO/26 - ATG - 132975</v>
      </c>
      <c r="B44" s="18">
        <v>46054</v>
      </c>
      <c r="C44" s="17">
        <v>817394</v>
      </c>
      <c r="D44" s="17" t="str">
        <f>IF(K44=57038,"ALEXANDRE DA COSTA SOARES",IF(K44=115154,"ALEXANDRE DA COSTA SOARES",IF(K44=57036,"ALEXANDRE DA COSTA SOARES",IF(K44=24157,"JOSE MAURICIO GOMES TEIXEIRA",IF(K44=24203,"JOSE MAURICIO GOMES TEIXEIRA",IF(K44=24149,"CHRISTIANO MARCONDES DE BARROS LIMA",IF(K44=24137,"CHRISTIANO MARCONDES DE BARROS LIMA",_xlfn.XLOOKUP(K44,[1]!Tabela33[ID ORACLE],[1]!Tabela33[BROKER],0,0,1))))))))</f>
        <v>DANIEL TEIXEIRA SIQUEIRA GONÇALVES</v>
      </c>
      <c r="E44" s="50">
        <v>-782.23799266586798</v>
      </c>
      <c r="F44" s="17" t="s">
        <v>8</v>
      </c>
      <c r="G44" s="18">
        <v>46054</v>
      </c>
      <c r="H44" s="17">
        <v>1170</v>
      </c>
      <c r="J44" s="28">
        <v>132975</v>
      </c>
      <c r="K44" s="28">
        <f>_xlfn.XLOOKUP(L44,[1]!Tabela33[BROKER],[1]!Tabela33[ID ORACLE],0,0,1)</f>
        <v>22361</v>
      </c>
      <c r="L44" s="17" t="s">
        <v>19</v>
      </c>
    </row>
    <row r="45" spans="1:12" ht="15" customHeight="1" x14ac:dyDescent="0.25">
      <c r="A45" s="22" t="str">
        <f t="shared" si="0"/>
        <v>CUSTO PLATAFORMA - FEVEREIRO/26 - ATG - 132975</v>
      </c>
      <c r="B45" s="18">
        <v>46054</v>
      </c>
      <c r="C45" s="17">
        <v>817394</v>
      </c>
      <c r="D45" s="17" t="str">
        <f>IF(K45=57038,"ALEXANDRE DA COSTA SOARES",IF(K45=115154,"ALEXANDRE DA COSTA SOARES",IF(K45=57036,"ALEXANDRE DA COSTA SOARES",IF(K45=24157,"JOSE MAURICIO GOMES TEIXEIRA",IF(K45=24203,"JOSE MAURICIO GOMES TEIXEIRA",IF(K45=24149,"CHRISTIANO MARCONDES DE BARROS LIMA",IF(K45=24137,"CHRISTIANO MARCONDES DE BARROS LIMA",_xlfn.XLOOKUP(K45,[1]!Tabela33[ID ORACLE],[1]!Tabela33[BROKER],0,0,1))))))))</f>
        <v>FELIPE MEIRELLES RACCAH</v>
      </c>
      <c r="E45" s="50">
        <v>-782.23799266586798</v>
      </c>
      <c r="F45" s="17" t="s">
        <v>8</v>
      </c>
      <c r="G45" s="18">
        <v>46054</v>
      </c>
      <c r="H45" s="17">
        <v>1170</v>
      </c>
      <c r="J45" s="28">
        <v>132975</v>
      </c>
      <c r="K45" s="28">
        <f>_xlfn.XLOOKUP(L45,[1]!Tabela33[BROKER],[1]!Tabela33[ID ORACLE],0,0,1)</f>
        <v>139345</v>
      </c>
      <c r="L45" s="17" t="s">
        <v>31</v>
      </c>
    </row>
    <row r="46" spans="1:12" ht="15" customHeight="1" x14ac:dyDescent="0.25">
      <c r="A46" s="22" t="str">
        <f t="shared" si="0"/>
        <v>CUSTO PLATAFORMA - FEVEREIRO/26 - ATG - 132975</v>
      </c>
      <c r="B46" s="18">
        <v>46054</v>
      </c>
      <c r="C46" s="17">
        <v>817394</v>
      </c>
      <c r="D46" s="17" t="str">
        <f>IF(K46=57038,"ALEXANDRE DA COSTA SOARES",IF(K46=115154,"ALEXANDRE DA COSTA SOARES",IF(K46=57036,"ALEXANDRE DA COSTA SOARES",IF(K46=24157,"JOSE MAURICIO GOMES TEIXEIRA",IF(K46=24203,"JOSE MAURICIO GOMES TEIXEIRA",IF(K46=24149,"CHRISTIANO MARCONDES DE BARROS LIMA",IF(K46=24137,"CHRISTIANO MARCONDES DE BARROS LIMA",_xlfn.XLOOKUP(K46,[1]!Tabela33[ID ORACLE],[1]!Tabela33[BROKER],0,0,1))))))))</f>
        <v>MATHEUS NACIF NESRALLAH</v>
      </c>
      <c r="E46" s="50">
        <v>-782.23799266586798</v>
      </c>
      <c r="F46" s="17" t="s">
        <v>8</v>
      </c>
      <c r="G46" s="18">
        <v>46054</v>
      </c>
      <c r="H46" s="17">
        <v>1170</v>
      </c>
      <c r="J46" s="28">
        <v>132975</v>
      </c>
      <c r="K46" s="28">
        <f>_xlfn.XLOOKUP(L46,[1]!Tabela33[BROKER],[1]!Tabela33[ID ORACLE],0,0,1)</f>
        <v>132975</v>
      </c>
      <c r="L46" s="17" t="s">
        <v>32</v>
      </c>
    </row>
    <row r="47" spans="1:12" ht="15" customHeight="1" x14ac:dyDescent="0.25">
      <c r="A47" s="22" t="str">
        <f t="shared" si="0"/>
        <v>CUSTO PLATAFORMA - FEVEREIRO/26 - ATG - 132975</v>
      </c>
      <c r="B47" s="18">
        <v>46054</v>
      </c>
      <c r="C47" s="17">
        <v>817394</v>
      </c>
      <c r="D47" s="17" t="str">
        <f>IF(K47=57038,"ALEXANDRE DA COSTA SOARES",IF(K47=115154,"ALEXANDRE DA COSTA SOARES",IF(K47=57036,"ALEXANDRE DA COSTA SOARES",IF(K47=24157,"JOSE MAURICIO GOMES TEIXEIRA",IF(K47=24203,"JOSE MAURICIO GOMES TEIXEIRA",IF(K47=24149,"CHRISTIANO MARCONDES DE BARROS LIMA",IF(K47=24137,"CHRISTIANO MARCONDES DE BARROS LIMA",_xlfn.XLOOKUP(K47,[1]!Tabela33[ID ORACLE],[1]!Tabela33[BROKER],0,0,1))))))))</f>
        <v>ANDRE FERREIRA DOS SANTOS</v>
      </c>
      <c r="E47" s="50">
        <v>-782.23799266586798</v>
      </c>
      <c r="F47" s="17" t="s">
        <v>8</v>
      </c>
      <c r="G47" s="18">
        <v>46054</v>
      </c>
      <c r="H47" s="17">
        <v>1170</v>
      </c>
      <c r="J47" s="28">
        <v>132975</v>
      </c>
      <c r="K47" s="28">
        <f>_xlfn.XLOOKUP(L47,[1]!Tabela33[BROKER],[1]!Tabela33[ID ORACLE],0,0,1)</f>
        <v>122758</v>
      </c>
      <c r="L47" s="17" t="s">
        <v>18</v>
      </c>
    </row>
    <row r="48" spans="1:12" ht="15" customHeight="1" x14ac:dyDescent="0.25">
      <c r="A48" s="21" t="str">
        <f t="shared" si="0"/>
        <v>CUSTO PLATAFORMA - FEVEREIRO/26 - ATG - 158778</v>
      </c>
      <c r="B48" s="9">
        <v>46054</v>
      </c>
      <c r="C48" s="8">
        <v>817394</v>
      </c>
      <c r="D48" s="8" t="s">
        <v>64</v>
      </c>
      <c r="E48" s="50">
        <f>-4651.4279559952-35</f>
        <v>-4686.4279559952001</v>
      </c>
      <c r="F48" s="8" t="s">
        <v>8</v>
      </c>
      <c r="G48" s="9">
        <v>46054</v>
      </c>
      <c r="H48" s="8">
        <v>1170</v>
      </c>
      <c r="J48" s="37">
        <v>158778</v>
      </c>
      <c r="K48" s="37">
        <f>_xlfn.XLOOKUP(L48,[1]!Tabela33[BROKER],[1]!Tabela33[ID ORACLE],0,0,1)</f>
        <v>158778</v>
      </c>
      <c r="L48" s="8" t="s">
        <v>65</v>
      </c>
    </row>
    <row r="49" spans="1:12" ht="15" customHeight="1" x14ac:dyDescent="0.25">
      <c r="A49" s="21" t="str">
        <f t="shared" si="0"/>
        <v>CUSTO PLATAFORMA - FEVEREIRO/26 - ATG - 125412</v>
      </c>
      <c r="B49" s="9">
        <v>46054</v>
      </c>
      <c r="C49" s="8">
        <v>817394</v>
      </c>
      <c r="D49" s="8" t="s">
        <v>29</v>
      </c>
      <c r="E49" s="50">
        <f>-4651.4279559952-35</f>
        <v>-4686.4279559952001</v>
      </c>
      <c r="F49" s="8" t="s">
        <v>8</v>
      </c>
      <c r="G49" s="9">
        <v>46054</v>
      </c>
      <c r="H49" s="8">
        <v>1170</v>
      </c>
      <c r="J49" s="37">
        <v>125412</v>
      </c>
      <c r="K49" s="37">
        <v>52340</v>
      </c>
      <c r="L49" s="8" t="s">
        <v>29</v>
      </c>
    </row>
    <row r="50" spans="1:12" ht="15" customHeight="1" x14ac:dyDescent="0.25">
      <c r="A50" s="21" t="str">
        <f>_xlfn.CONCAT($L$1,$I$1,F50,$I$1,J50)</f>
        <v>CUSTO PLATAFORMA - FEVEREIRO/26 - ATG - 127165</v>
      </c>
      <c r="B50" s="9">
        <v>46054</v>
      </c>
      <c r="C50" s="8">
        <v>817394</v>
      </c>
      <c r="D50" s="8" t="s">
        <v>17</v>
      </c>
      <c r="E50" s="50">
        <f>-6151.4279559952-35</f>
        <v>-6186.4279559952001</v>
      </c>
      <c r="F50" s="8" t="s">
        <v>8</v>
      </c>
      <c r="G50" s="9">
        <v>46054</v>
      </c>
      <c r="H50" s="8">
        <v>1170</v>
      </c>
      <c r="J50" s="37">
        <v>127165</v>
      </c>
      <c r="K50" s="37">
        <f>_xlfn.XLOOKUP(L50,[1]!Tabela33[BROKER],[1]!Tabela33[ID ORACLE],0,0,1)</f>
        <v>127165</v>
      </c>
      <c r="L50" s="8" t="s">
        <v>17</v>
      </c>
    </row>
    <row r="51" spans="1:12" ht="15" customHeight="1" x14ac:dyDescent="0.25">
      <c r="A51" s="23" t="str">
        <f>_xlfn.CONCAT($L$1,$I$1,F51,$I$1,J51)</f>
        <v>CUSTO PLATAFORMA - FEVEREIRO/26 - ATG - 151327</v>
      </c>
      <c r="B51" s="12">
        <v>46054</v>
      </c>
      <c r="C51" s="11">
        <v>817394</v>
      </c>
      <c r="D51" s="11" t="s">
        <v>44</v>
      </c>
      <c r="E51" s="49">
        <f>-7752.37992665867-70</f>
        <v>-7822.3799266586702</v>
      </c>
      <c r="F51" s="11" t="s">
        <v>8</v>
      </c>
      <c r="G51" s="12">
        <v>46054</v>
      </c>
      <c r="H51" s="11">
        <v>1170</v>
      </c>
      <c r="I51" s="36"/>
      <c r="J51" s="38">
        <v>151327</v>
      </c>
      <c r="K51" s="38">
        <f>_xlfn.XLOOKUP(L51,[1]!Tabela33[BROKER],[1]!Tabela33[ID ORACLE],0,0,1)</f>
        <v>151327</v>
      </c>
      <c r="L51" s="11" t="s">
        <v>44</v>
      </c>
    </row>
    <row r="52" spans="1:12" ht="15" customHeight="1" x14ac:dyDescent="0.25">
      <c r="A52" s="22" t="str">
        <f t="shared" si="0"/>
        <v>CUSTO PLATAFORMA - FEVEREIRO/26 - TRADING TECHNOLOGIES - 22361</v>
      </c>
      <c r="B52" s="18">
        <v>46054</v>
      </c>
      <c r="C52" s="17">
        <v>817394</v>
      </c>
      <c r="D52" s="17" t="str">
        <f>IF(K52=57038,"ALEXANDRE DA COSTA SOARES",IF(K52=115154,"ALEXANDRE DA COSTA SOARES",IF(K52=57036,"ALEXANDRE DA COSTA SOARES",IF(K52=24157,"JOSE MAURICIO GOMES TEIXEIRA",IF(K52=24203,"JOSE MAURICIO GOMES TEIXEIRA",IF(K52=24149,"CHRISTIANO MARCONDES DE BARROS LIMA",IF(K52=24137,"CHRISTIANO MARCONDES DE BARROS LIMA",_xlfn.XLOOKUP(K52,[1]!Tabela33[ID ORACLE],[1]!Tabela33[BROKER],0,0,1))))))))</f>
        <v>CESAR MARIANO SCARAMBONE MENEZES</v>
      </c>
      <c r="E52" s="50">
        <v>-176.21931999999998</v>
      </c>
      <c r="F52" s="32" t="s">
        <v>11</v>
      </c>
      <c r="G52" s="18">
        <v>46054</v>
      </c>
      <c r="H52" s="17">
        <v>1170</v>
      </c>
      <c r="J52" s="28">
        <v>22361</v>
      </c>
      <c r="K52" s="28">
        <f>_xlfn.XLOOKUP(L52,[1]!Tabela33[BROKER],[1]!Tabela33[ID ORACLE],0,0,1)</f>
        <v>106970</v>
      </c>
      <c r="L52" s="17" t="s">
        <v>20</v>
      </c>
    </row>
    <row r="53" spans="1:12" ht="15" customHeight="1" x14ac:dyDescent="0.25">
      <c r="A53" s="22" t="str">
        <f t="shared" si="0"/>
        <v>CUSTO PLATAFORMA - FEVEREIRO/26 - TRADING TECHNOLOGIES - 22361</v>
      </c>
      <c r="B53" s="18">
        <v>46054</v>
      </c>
      <c r="C53" s="17">
        <v>817394</v>
      </c>
      <c r="D53" s="17" t="str">
        <f>IF(K53=57038,"ALEXANDRE DA COSTA SOARES",IF(K53=115154,"ALEXANDRE DA COSTA SOARES",IF(K53=57036,"ALEXANDRE DA COSTA SOARES",IF(K53=24157,"JOSE MAURICIO GOMES TEIXEIRA",IF(K53=24203,"JOSE MAURICIO GOMES TEIXEIRA",IF(K53=24149,"CHRISTIANO MARCONDES DE BARROS LIMA",IF(K53=24137,"CHRISTIANO MARCONDES DE BARROS LIMA",_xlfn.XLOOKUP(K53,[1]!Tabela33[ID ORACLE],[1]!Tabela33[BROKER],0,0,1))))))))</f>
        <v>FELIPE MEIRELLES RACCAH</v>
      </c>
      <c r="E53" s="50">
        <v>-176.21931999999998</v>
      </c>
      <c r="F53" s="32" t="s">
        <v>11</v>
      </c>
      <c r="G53" s="18">
        <v>46054</v>
      </c>
      <c r="H53" s="17">
        <v>1170</v>
      </c>
      <c r="J53" s="28">
        <v>22361</v>
      </c>
      <c r="K53" s="28">
        <f>_xlfn.XLOOKUP(L53,[1]!Tabela33[BROKER],[1]!Tabela33[ID ORACLE],0,0,1)</f>
        <v>139345</v>
      </c>
      <c r="L53" s="17" t="s">
        <v>31</v>
      </c>
    </row>
    <row r="54" spans="1:12" ht="15" customHeight="1" x14ac:dyDescent="0.25">
      <c r="A54" s="22" t="str">
        <f t="shared" si="0"/>
        <v>CUSTO PLATAFORMA - FEVEREIRO/26 - TRADING TECHNOLOGIES - 22361</v>
      </c>
      <c r="B54" s="18">
        <v>46054</v>
      </c>
      <c r="C54" s="17">
        <v>817394</v>
      </c>
      <c r="D54" s="17" t="str">
        <f>IF(K54=57038,"ALEXANDRE DA COSTA SOARES",IF(K54=115154,"ALEXANDRE DA COSTA SOARES",IF(K54=57036,"ALEXANDRE DA COSTA SOARES",IF(K54=24157,"JOSE MAURICIO GOMES TEIXEIRA",IF(K54=24203,"JOSE MAURICIO GOMES TEIXEIRA",IF(K54=24149,"CHRISTIANO MARCONDES DE BARROS LIMA",IF(K54=24137,"CHRISTIANO MARCONDES DE BARROS LIMA",_xlfn.XLOOKUP(K54,[1]!Tabela33[ID ORACLE],[1]!Tabela33[BROKER],0,0,1))))))))</f>
        <v>DANIEL TEIXEIRA SIQUEIRA GONÇALVES</v>
      </c>
      <c r="E54" s="50">
        <v>-176.21931999999998</v>
      </c>
      <c r="F54" s="32" t="s">
        <v>11</v>
      </c>
      <c r="G54" s="18">
        <v>46054</v>
      </c>
      <c r="H54" s="17">
        <v>1170</v>
      </c>
      <c r="J54" s="28">
        <v>22361</v>
      </c>
      <c r="K54" s="28">
        <f>_xlfn.XLOOKUP(L54,[1]!Tabela33[BROKER],[1]!Tabela33[ID ORACLE],0,0,1)</f>
        <v>22361</v>
      </c>
      <c r="L54" s="17" t="s">
        <v>19</v>
      </c>
    </row>
    <row r="55" spans="1:12" ht="15" customHeight="1" x14ac:dyDescent="0.25">
      <c r="A55" s="22" t="str">
        <f t="shared" si="0"/>
        <v>CUSTO PLATAFORMA - FEVEREIRO/26 - TRADING TECHNOLOGIES - 22361</v>
      </c>
      <c r="B55" s="18">
        <v>46054</v>
      </c>
      <c r="C55" s="17">
        <v>817394</v>
      </c>
      <c r="D55" s="17" t="str">
        <f>IF(K55=57038,"ALEXANDRE DA COSTA SOARES",IF(K55=115154,"ALEXANDRE DA COSTA SOARES",IF(K55=57036,"ALEXANDRE DA COSTA SOARES",IF(K55=24157,"JOSE MAURICIO GOMES TEIXEIRA",IF(K55=24203,"JOSE MAURICIO GOMES TEIXEIRA",IF(K55=24149,"CHRISTIANO MARCONDES DE BARROS LIMA",IF(K55=24137,"CHRISTIANO MARCONDES DE BARROS LIMA",_xlfn.XLOOKUP(K55,[1]!Tabela33[ID ORACLE],[1]!Tabela33[BROKER],0,0,1))))))))</f>
        <v>MATHEUS NACIF NESRALLAH</v>
      </c>
      <c r="E55" s="50">
        <v>-176.21931999999998</v>
      </c>
      <c r="F55" s="32" t="s">
        <v>11</v>
      </c>
      <c r="G55" s="18">
        <v>46054</v>
      </c>
      <c r="H55" s="17">
        <v>1170</v>
      </c>
      <c r="J55" s="28">
        <v>22361</v>
      </c>
      <c r="K55" s="28">
        <f>_xlfn.XLOOKUP(L55,[1]!Tabela33[BROKER],[1]!Tabela33[ID ORACLE],0,0,1)</f>
        <v>132975</v>
      </c>
      <c r="L55" s="17" t="s">
        <v>32</v>
      </c>
    </row>
    <row r="56" spans="1:12" ht="15" customHeight="1" x14ac:dyDescent="0.25">
      <c r="A56" s="24" t="str">
        <f t="shared" si="0"/>
        <v>CUSTO PLATAFORMA - FEVEREIRO/26 - TRADING TECHNOLOGIES - 22361</v>
      </c>
      <c r="B56" s="20">
        <v>46054</v>
      </c>
      <c r="C56" s="19">
        <v>817394</v>
      </c>
      <c r="D56" s="19" t="str">
        <f>IF(K56=57038,"ALEXANDRE DA COSTA SOARES",IF(K56=115154,"ALEXANDRE DA COSTA SOARES",IF(K56=57036,"ALEXANDRE DA COSTA SOARES",IF(K56=24157,"JOSE MAURICIO GOMES TEIXEIRA",IF(K56=24203,"JOSE MAURICIO GOMES TEIXEIRA",IF(K56=24149,"CHRISTIANO MARCONDES DE BARROS LIMA",IF(K56=24137,"CHRISTIANO MARCONDES DE BARROS LIMA",_xlfn.XLOOKUP(K56,[1]!Tabela33[ID ORACLE],[1]!Tabela33[BROKER],0,0,1))))))))</f>
        <v>ANDRE FERREIRA DOS SANTOS</v>
      </c>
      <c r="E56" s="49">
        <v>-176.21931999999998</v>
      </c>
      <c r="F56" s="34" t="s">
        <v>11</v>
      </c>
      <c r="G56" s="20">
        <v>46054</v>
      </c>
      <c r="H56" s="19">
        <v>1170</v>
      </c>
      <c r="I56" s="36"/>
      <c r="J56" s="35">
        <v>22361</v>
      </c>
      <c r="K56" s="35">
        <f>_xlfn.XLOOKUP(L56,[1]!Tabela33[BROKER],[1]!Tabela33[ID ORACLE],0,0,1)</f>
        <v>122758</v>
      </c>
      <c r="L56" s="19" t="s">
        <v>18</v>
      </c>
    </row>
    <row r="57" spans="1:12" ht="15" customHeight="1" x14ac:dyDescent="0.25">
      <c r="A57" s="22" t="str">
        <f t="shared" si="0"/>
        <v>CUSTO PLATAFORMA - FEVEREIRO/26 - SILICON TRADER - 22361</v>
      </c>
      <c r="B57" s="18">
        <v>46054</v>
      </c>
      <c r="C57" s="17">
        <v>817394</v>
      </c>
      <c r="D57" s="32" t="str">
        <f>IF(K57=57038,"ALEXANDRE DA COSTA SOARES",IF(K57=115154,"ALEXANDRE DA COSTA SOARES",IF(K57=57036,"ALEXANDRE DA COSTA SOARES",IF(K57=24157,"JOSE MAURICIO GOMES TEIXEIRA",IF(K57=24203,"JOSE MAURICIO GOMES TEIXEIRA",IF(K57=24149,"CHRISTIANO MARCONDES DE BARROS LIMA",IF(K57=24137,"CHRISTIANO MARCONDES DE BARROS LIMA",_xlfn.XLOOKUP(K57,[1]!Tabela33[ID ORACLE],[1]!Tabela33[BROKER],0,0,1))))))))</f>
        <v>CESAR MARIANO SCARAMBONE MENEZES</v>
      </c>
      <c r="E57" s="50">
        <v>-769.23199999999997</v>
      </c>
      <c r="F57" s="32" t="s">
        <v>33</v>
      </c>
      <c r="G57" s="18">
        <v>46054</v>
      </c>
      <c r="H57" s="17">
        <v>1170</v>
      </c>
      <c r="J57" s="28">
        <v>22361</v>
      </c>
      <c r="K57" s="28">
        <f>_xlfn.XLOOKUP(L57,[1]!Tabela33[BROKER],[1]!Tabela33[ID ORACLE],0,0,1)</f>
        <v>106970</v>
      </c>
      <c r="L57" s="17" t="s">
        <v>20</v>
      </c>
    </row>
    <row r="58" spans="1:12" ht="15" customHeight="1" x14ac:dyDescent="0.25">
      <c r="A58" s="22" t="str">
        <f t="shared" si="0"/>
        <v>CUSTO PLATAFORMA - FEVEREIRO/26 - SILICON TRADER - 22361</v>
      </c>
      <c r="B58" s="18">
        <v>46054</v>
      </c>
      <c r="C58" s="17">
        <v>817394</v>
      </c>
      <c r="D58" s="32" t="str">
        <f>IF(K58=57038,"ALEXANDRE DA COSTA SOARES",IF(K58=115154,"ALEXANDRE DA COSTA SOARES",IF(K58=57036,"ALEXANDRE DA COSTA SOARES",IF(K58=24157,"JOSE MAURICIO GOMES TEIXEIRA",IF(K58=24203,"JOSE MAURICIO GOMES TEIXEIRA",IF(K58=24149,"CHRISTIANO MARCONDES DE BARROS LIMA",IF(K58=24137,"CHRISTIANO MARCONDES DE BARROS LIMA",_xlfn.XLOOKUP(K58,[1]!Tabela33[ID ORACLE],[1]!Tabela33[BROKER],0,0,1))))))))</f>
        <v>DANIEL TEIXEIRA SIQUEIRA GONÇALVES</v>
      </c>
      <c r="E58" s="50">
        <v>-769.23199999999997</v>
      </c>
      <c r="F58" s="32" t="s">
        <v>33</v>
      </c>
      <c r="G58" s="18">
        <v>46054</v>
      </c>
      <c r="H58" s="17">
        <v>1170</v>
      </c>
      <c r="J58" s="28">
        <v>22361</v>
      </c>
      <c r="K58" s="28">
        <f>_xlfn.XLOOKUP(L58,[1]!Tabela33[BROKER],[1]!Tabela33[ID ORACLE],0,0,1)</f>
        <v>22361</v>
      </c>
      <c r="L58" s="17" t="s">
        <v>19</v>
      </c>
    </row>
    <row r="59" spans="1:12" ht="15" customHeight="1" x14ac:dyDescent="0.25">
      <c r="A59" s="22" t="str">
        <f t="shared" si="0"/>
        <v>CUSTO PLATAFORMA - FEVEREIRO/26 - SILICON TRADER - 22361</v>
      </c>
      <c r="B59" s="18">
        <v>46054</v>
      </c>
      <c r="C59" s="17">
        <v>817394</v>
      </c>
      <c r="D59" s="32" t="str">
        <f>IF(K59=57038,"ALEXANDRE DA COSTA SOARES",IF(K59=115154,"ALEXANDRE DA COSTA SOARES",IF(K59=57036,"ALEXANDRE DA COSTA SOARES",IF(K59=24157,"JOSE MAURICIO GOMES TEIXEIRA",IF(K59=24203,"JOSE MAURICIO GOMES TEIXEIRA",IF(K59=24149,"CHRISTIANO MARCONDES DE BARROS LIMA",IF(K59=24137,"CHRISTIANO MARCONDES DE BARROS LIMA",_xlfn.XLOOKUP(K59,[1]!Tabela33[ID ORACLE],[1]!Tabela33[BROKER],0,0,1))))))))</f>
        <v>FELIPE MEIRELLES RACCAH</v>
      </c>
      <c r="E59" s="50">
        <v>-769.23199999999997</v>
      </c>
      <c r="F59" s="32" t="s">
        <v>33</v>
      </c>
      <c r="G59" s="18">
        <v>46054</v>
      </c>
      <c r="H59" s="17">
        <v>1170</v>
      </c>
      <c r="J59" s="28">
        <v>22361</v>
      </c>
      <c r="K59" s="28">
        <f>_xlfn.XLOOKUP(L59,[1]!Tabela33[BROKER],[1]!Tabela33[ID ORACLE],0,0,1)</f>
        <v>139345</v>
      </c>
      <c r="L59" s="17" t="s">
        <v>31</v>
      </c>
    </row>
    <row r="60" spans="1:12" ht="15" customHeight="1" x14ac:dyDescent="0.25">
      <c r="A60" s="22" t="str">
        <f t="shared" si="0"/>
        <v>CUSTO PLATAFORMA - FEVEREIRO/26 - SILICON TRADER - 22361</v>
      </c>
      <c r="B60" s="18">
        <v>46054</v>
      </c>
      <c r="C60" s="17">
        <v>817394</v>
      </c>
      <c r="D60" s="32" t="str">
        <f>IF(K60=57038,"ALEXANDRE DA COSTA SOARES",IF(K60=115154,"ALEXANDRE DA COSTA SOARES",IF(K60=57036,"ALEXANDRE DA COSTA SOARES",IF(K60=24157,"JOSE MAURICIO GOMES TEIXEIRA",IF(K60=24203,"JOSE MAURICIO GOMES TEIXEIRA",IF(K60=24149,"CHRISTIANO MARCONDES DE BARROS LIMA",IF(K60=24137,"CHRISTIANO MARCONDES DE BARROS LIMA",_xlfn.XLOOKUP(K60,[1]!Tabela33[ID ORACLE],[1]!Tabela33[BROKER],0,0,1))))))))</f>
        <v>MATHEUS NACIF NESRALLAH</v>
      </c>
      <c r="E60" s="50">
        <v>-769.23199999999997</v>
      </c>
      <c r="F60" s="32" t="s">
        <v>33</v>
      </c>
      <c r="G60" s="18">
        <v>46054</v>
      </c>
      <c r="H60" s="17">
        <v>1170</v>
      </c>
      <c r="J60" s="28">
        <v>22361</v>
      </c>
      <c r="K60" s="28">
        <f>_xlfn.XLOOKUP(L60,[1]!Tabela33[BROKER],[1]!Tabela33[ID ORACLE],0,0,1)</f>
        <v>132975</v>
      </c>
      <c r="L60" s="17" t="s">
        <v>32</v>
      </c>
    </row>
    <row r="61" spans="1:12" ht="15" customHeight="1" x14ac:dyDescent="0.25">
      <c r="A61" s="24" t="str">
        <f t="shared" si="0"/>
        <v>CUSTO PLATAFORMA - FEVEREIRO/26 - SILICON TRADER - 22361</v>
      </c>
      <c r="B61" s="20">
        <v>46054</v>
      </c>
      <c r="C61" s="19">
        <v>817394</v>
      </c>
      <c r="D61" s="34" t="str">
        <f>IF(K61=57038,"ALEXANDRE DA COSTA SOARES",IF(K61=115154,"ALEXANDRE DA COSTA SOARES",IF(K61=57036,"ALEXANDRE DA COSTA SOARES",IF(K61=24157,"JOSE MAURICIO GOMES TEIXEIRA",IF(K61=24203,"JOSE MAURICIO GOMES TEIXEIRA",IF(K61=24149,"CHRISTIANO MARCONDES DE BARROS LIMA",IF(K61=24137,"CHRISTIANO MARCONDES DE BARROS LIMA",_xlfn.XLOOKUP(K61,[1]!Tabela33[ID ORACLE],[1]!Tabela33[BROKER],0,0,1))))))))</f>
        <v>ANDRE FERREIRA DOS SANTOS</v>
      </c>
      <c r="E61" s="49">
        <v>-769.23199999999997</v>
      </c>
      <c r="F61" s="34" t="s">
        <v>33</v>
      </c>
      <c r="G61" s="20">
        <v>46054</v>
      </c>
      <c r="H61" s="19">
        <v>1170</v>
      </c>
      <c r="J61" s="35">
        <v>22361</v>
      </c>
      <c r="K61" s="35">
        <f>_xlfn.XLOOKUP(L61,[1]!Tabela33[BROKER],[1]!Tabela33[ID ORACLE],0,0,1)</f>
        <v>122758</v>
      </c>
      <c r="L61" s="19" t="s">
        <v>18</v>
      </c>
    </row>
    <row r="62" spans="1:12" ht="15" customHeight="1" x14ac:dyDescent="0.25">
      <c r="A62" s="22" t="str">
        <f t="shared" si="0"/>
        <v>CUSTO PLATAFORMA - FEVEREIRO/26 - SILICON TRADER - 122758</v>
      </c>
      <c r="B62" s="18">
        <v>46054</v>
      </c>
      <c r="C62" s="17">
        <v>817394</v>
      </c>
      <c r="D62" s="32" t="s">
        <v>20</v>
      </c>
      <c r="E62" s="50">
        <v>-769.23199999999997</v>
      </c>
      <c r="F62" s="32" t="s">
        <v>33</v>
      </c>
      <c r="G62" s="18">
        <v>46054</v>
      </c>
      <c r="H62" s="17">
        <v>1170</v>
      </c>
      <c r="J62" s="28">
        <v>122758</v>
      </c>
      <c r="K62" s="28">
        <v>106970</v>
      </c>
      <c r="L62" s="17" t="s">
        <v>20</v>
      </c>
    </row>
    <row r="63" spans="1:12" ht="15" customHeight="1" x14ac:dyDescent="0.25">
      <c r="A63" s="22" t="str">
        <f t="shared" si="0"/>
        <v>CUSTO PLATAFORMA - FEVEREIRO/26 - SILICON TRADER - 122758</v>
      </c>
      <c r="B63" s="18">
        <v>46054</v>
      </c>
      <c r="C63" s="17">
        <v>817394</v>
      </c>
      <c r="D63" s="32" t="s">
        <v>19</v>
      </c>
      <c r="E63" s="50">
        <v>-769.23199999999997</v>
      </c>
      <c r="F63" s="32" t="s">
        <v>33</v>
      </c>
      <c r="G63" s="18">
        <v>46054</v>
      </c>
      <c r="H63" s="17">
        <v>1170</v>
      </c>
      <c r="J63" s="28">
        <v>122758</v>
      </c>
      <c r="K63" s="28">
        <v>22361</v>
      </c>
      <c r="L63" s="17" t="s">
        <v>19</v>
      </c>
    </row>
    <row r="64" spans="1:12" ht="15" customHeight="1" x14ac:dyDescent="0.25">
      <c r="A64" s="22" t="str">
        <f t="shared" si="0"/>
        <v>CUSTO PLATAFORMA - FEVEREIRO/26 - SILICON TRADER - 122758</v>
      </c>
      <c r="B64" s="18">
        <v>46054</v>
      </c>
      <c r="C64" s="17">
        <v>817394</v>
      </c>
      <c r="D64" s="32" t="s">
        <v>31</v>
      </c>
      <c r="E64" s="50">
        <v>-769.23199999999997</v>
      </c>
      <c r="F64" s="32" t="s">
        <v>33</v>
      </c>
      <c r="G64" s="18">
        <v>46054</v>
      </c>
      <c r="H64" s="17">
        <v>1170</v>
      </c>
      <c r="J64" s="28">
        <v>122758</v>
      </c>
      <c r="K64" s="28">
        <v>139345</v>
      </c>
      <c r="L64" s="17" t="s">
        <v>31</v>
      </c>
    </row>
    <row r="65" spans="1:15" ht="15" customHeight="1" x14ac:dyDescent="0.25">
      <c r="A65" s="22" t="str">
        <f t="shared" si="0"/>
        <v>CUSTO PLATAFORMA - FEVEREIRO/26 - SILICON TRADER - 122758</v>
      </c>
      <c r="B65" s="18">
        <v>46054</v>
      </c>
      <c r="C65" s="17">
        <v>817394</v>
      </c>
      <c r="D65" s="32" t="s">
        <v>32</v>
      </c>
      <c r="E65" s="50">
        <v>-769.23199999999997</v>
      </c>
      <c r="F65" s="32" t="s">
        <v>33</v>
      </c>
      <c r="G65" s="18">
        <v>46054</v>
      </c>
      <c r="H65" s="17">
        <v>1170</v>
      </c>
      <c r="J65" s="28">
        <v>122758</v>
      </c>
      <c r="K65" s="28">
        <v>132975</v>
      </c>
      <c r="L65" s="17" t="s">
        <v>32</v>
      </c>
    </row>
    <row r="66" spans="1:15" ht="15" customHeight="1" x14ac:dyDescent="0.25">
      <c r="A66" s="24" t="str">
        <f t="shared" si="0"/>
        <v>CUSTO PLATAFORMA - FEVEREIRO/26 - SILICON TRADER - 122758</v>
      </c>
      <c r="B66" s="20">
        <v>46054</v>
      </c>
      <c r="C66" s="19">
        <v>817394</v>
      </c>
      <c r="D66" s="34" t="s">
        <v>18</v>
      </c>
      <c r="E66" s="49">
        <v>-769.23199999999997</v>
      </c>
      <c r="F66" s="34" t="s">
        <v>33</v>
      </c>
      <c r="G66" s="20">
        <v>46054</v>
      </c>
      <c r="H66" s="19">
        <v>1170</v>
      </c>
      <c r="J66" s="35">
        <v>122758</v>
      </c>
      <c r="K66" s="35">
        <v>122758</v>
      </c>
      <c r="L66" s="19" t="s">
        <v>18</v>
      </c>
    </row>
    <row r="67" spans="1:15" ht="15" customHeight="1" x14ac:dyDescent="0.25">
      <c r="A67" s="23" t="str">
        <f t="shared" si="0"/>
        <v>CUSTO PLATAFORMA - FEVEREIRO/26 - SILICON TRADER - 61086</v>
      </c>
      <c r="B67" s="12">
        <v>46054</v>
      </c>
      <c r="C67" s="11">
        <v>817394</v>
      </c>
      <c r="D67" s="33" t="s">
        <v>21</v>
      </c>
      <c r="E67" s="49">
        <f>-487.92</f>
        <v>-487.92</v>
      </c>
      <c r="F67" s="33" t="s">
        <v>33</v>
      </c>
      <c r="G67" s="12">
        <v>46054</v>
      </c>
      <c r="H67" s="11">
        <v>1170</v>
      </c>
      <c r="J67" s="39">
        <v>61086</v>
      </c>
      <c r="K67" s="39">
        <f>_xlfn.XLOOKUP(L67,[1]!Tabela33[BROKER],[1]!Tabela33[ID ORACLE],0,0,1)</f>
        <v>61086</v>
      </c>
      <c r="L67" s="46" t="s">
        <v>21</v>
      </c>
      <c r="N67" t="s">
        <v>47</v>
      </c>
      <c r="O67">
        <v>1.69</v>
      </c>
    </row>
    <row r="68" spans="1:15" ht="15" customHeight="1" x14ac:dyDescent="0.25">
      <c r="A68" s="23" t="str">
        <f t="shared" si="0"/>
        <v>CUSTO PLATAFORMA - FEVEREIRO/26 - SILICON TRADER - 57036</v>
      </c>
      <c r="B68" s="12">
        <v>46054</v>
      </c>
      <c r="C68" s="11">
        <v>817394</v>
      </c>
      <c r="D68" s="33" t="s">
        <v>21</v>
      </c>
      <c r="E68" s="49">
        <f>-13821.2533333333</f>
        <v>-13821.253333333299</v>
      </c>
      <c r="F68" s="33" t="s">
        <v>33</v>
      </c>
      <c r="G68" s="12">
        <v>46054</v>
      </c>
      <c r="H68" s="11">
        <v>1170</v>
      </c>
      <c r="J68" s="39">
        <v>57036</v>
      </c>
      <c r="K68" s="39">
        <v>57036</v>
      </c>
      <c r="L68" s="46" t="s">
        <v>22</v>
      </c>
      <c r="N68" t="s">
        <v>47</v>
      </c>
      <c r="O68">
        <v>1.69</v>
      </c>
    </row>
    <row r="69" spans="1:15" ht="15" customHeight="1" x14ac:dyDescent="0.25">
      <c r="A69" s="23" t="str">
        <f t="shared" si="0"/>
        <v>CUSTO PLATAFORMA - FEVEREIRO/26 - SILICON TRADER - 133842</v>
      </c>
      <c r="B69" s="12">
        <v>46054</v>
      </c>
      <c r="C69" s="11">
        <v>817394</v>
      </c>
      <c r="D69" s="33" t="s">
        <v>28</v>
      </c>
      <c r="E69" s="49">
        <f>-13821.2533333333</f>
        <v>-13821.253333333299</v>
      </c>
      <c r="F69" s="33" t="s">
        <v>33</v>
      </c>
      <c r="G69" s="12">
        <v>46054</v>
      </c>
      <c r="H69" s="11">
        <v>1170</v>
      </c>
      <c r="J69" s="39">
        <v>133842</v>
      </c>
      <c r="K69" s="39">
        <f>_xlfn.XLOOKUP(L69,[1]!Tabela33[BROKER],[1]!Tabela33[ID ORACLE],0,0,1)</f>
        <v>133842</v>
      </c>
      <c r="L69" s="46" t="s">
        <v>28</v>
      </c>
      <c r="N69" t="s">
        <v>48</v>
      </c>
      <c r="O69">
        <v>256.38</v>
      </c>
    </row>
    <row r="70" spans="1:15" ht="15" customHeight="1" x14ac:dyDescent="0.25">
      <c r="A70" s="23" t="str">
        <f t="shared" si="0"/>
        <v>CUSTO PLATAFORMA - FEVEREIRO/26 - SILICON TRADER - 125412</v>
      </c>
      <c r="B70" s="12">
        <v>46054</v>
      </c>
      <c r="C70" s="11">
        <v>817394</v>
      </c>
      <c r="D70" s="11" t="s">
        <v>29</v>
      </c>
      <c r="E70" s="49">
        <f>-13821.2533333333</f>
        <v>-13821.253333333299</v>
      </c>
      <c r="F70" s="33" t="s">
        <v>33</v>
      </c>
      <c r="G70" s="12">
        <v>46054</v>
      </c>
      <c r="H70" s="11">
        <v>1170</v>
      </c>
      <c r="J70" s="38">
        <v>125412</v>
      </c>
      <c r="K70" s="38">
        <v>52340</v>
      </c>
      <c r="L70" s="11" t="s">
        <v>29</v>
      </c>
      <c r="N70" t="s">
        <v>49</v>
      </c>
      <c r="O70">
        <v>71.45</v>
      </c>
    </row>
    <row r="71" spans="1:15" ht="15" customHeight="1" x14ac:dyDescent="0.25">
      <c r="A71" s="11" t="str">
        <f t="shared" ref="A71:A73" si="1">_xlfn.CONCAT($L$1,$I$1,F71,$I$1,J71)</f>
        <v>CUSTO PLATAFORMA - FEVEREIRO/26 - PARAMITA - 135064</v>
      </c>
      <c r="B71" s="12">
        <v>46054</v>
      </c>
      <c r="C71" s="11">
        <v>817394</v>
      </c>
      <c r="D71" s="11" t="s">
        <v>34</v>
      </c>
      <c r="E71" s="49">
        <v>-3740</v>
      </c>
      <c r="F71" s="11" t="s">
        <v>62</v>
      </c>
      <c r="G71" s="12">
        <v>46054</v>
      </c>
      <c r="H71" s="11">
        <v>1170</v>
      </c>
      <c r="J71" s="39">
        <v>135064</v>
      </c>
      <c r="K71" s="39">
        <f>_xlfn.XLOOKUP(L71,[1]!Tabela33[BROKER],[1]!Tabela33[ID ORACLE],0,0,1)</f>
        <v>135064</v>
      </c>
      <c r="L71" s="40" t="s">
        <v>34</v>
      </c>
      <c r="N71" s="42"/>
    </row>
    <row r="72" spans="1:15" ht="15" customHeight="1" x14ac:dyDescent="0.25">
      <c r="A72" s="11" t="str">
        <f t="shared" si="1"/>
        <v>CUSTO PLATAFORMA - FEVEREIRO/26 - CETIP - 135064</v>
      </c>
      <c r="B72" s="12">
        <v>46054</v>
      </c>
      <c r="C72" s="11">
        <v>817394</v>
      </c>
      <c r="D72" s="11" t="s">
        <v>34</v>
      </c>
      <c r="E72" s="49">
        <v>-66994.539999999994</v>
      </c>
      <c r="F72" s="33" t="s">
        <v>39</v>
      </c>
      <c r="G72" s="12">
        <v>46054</v>
      </c>
      <c r="H72" s="11">
        <v>1170</v>
      </c>
      <c r="J72" s="39">
        <v>135064</v>
      </c>
      <c r="K72" s="39">
        <f>_xlfn.XLOOKUP(L72,[1]!Tabela33[BROKER],[1]!Tabela33[ID ORACLE],0,0,1)</f>
        <v>135064</v>
      </c>
      <c r="L72" s="40" t="s">
        <v>34</v>
      </c>
      <c r="M72" t="s">
        <v>50</v>
      </c>
    </row>
    <row r="73" spans="1:15" ht="15" customHeight="1" x14ac:dyDescent="0.25">
      <c r="A73" s="11" t="str">
        <f t="shared" si="1"/>
        <v>CUSTO PLATAFORMA - FEVEREIRO/26 - TERMO - 24140</v>
      </c>
      <c r="B73" s="12">
        <v>46054</v>
      </c>
      <c r="C73" s="11">
        <v>817394</v>
      </c>
      <c r="D73" s="11" t="s">
        <v>14</v>
      </c>
      <c r="E73" s="49">
        <v>-2186.86</v>
      </c>
      <c r="F73" s="33" t="s">
        <v>35</v>
      </c>
      <c r="G73" s="12">
        <v>46054</v>
      </c>
      <c r="H73" s="11">
        <v>80101</v>
      </c>
      <c r="J73" s="39">
        <v>24140</v>
      </c>
      <c r="K73" s="39">
        <f>_xlfn.XLOOKUP(L73,[1]!Tabela33[BROKER],[1]!Tabela33[ID ORACLE],0,0,1)</f>
        <v>24140</v>
      </c>
      <c r="L73" s="40" t="s">
        <v>14</v>
      </c>
      <c r="M73" t="s">
        <v>41</v>
      </c>
    </row>
    <row r="74" spans="1:15" ht="15" customHeight="1" x14ac:dyDescent="0.25">
      <c r="A74" s="17" t="str">
        <f>_xlfn.CONCAT($L$1,$I$1,F74)</f>
        <v>CUSTO PLATAFORMA - FEVEREIRO/26 - TRADEMATE</v>
      </c>
      <c r="B74" s="18">
        <v>46054</v>
      </c>
      <c r="C74" s="17">
        <v>817394</v>
      </c>
      <c r="D74" s="17" t="s">
        <v>51</v>
      </c>
      <c r="E74" s="50">
        <v>-822.25632688493397</v>
      </c>
      <c r="F74" s="32" t="s">
        <v>60</v>
      </c>
      <c r="G74" s="18">
        <v>46054</v>
      </c>
      <c r="H74" s="17">
        <v>1170</v>
      </c>
      <c r="J74" s="28"/>
      <c r="K74" s="28"/>
      <c r="L74" s="47"/>
    </row>
    <row r="75" spans="1:15" ht="15" customHeight="1" x14ac:dyDescent="0.25">
      <c r="A75" s="17" t="str">
        <f t="shared" ref="A75:A89" si="2">_xlfn.CONCAT($L$1,$I$1,F75)</f>
        <v>CUSTO PLATAFORMA - FEVEREIRO/26 - TRADEMATE</v>
      </c>
      <c r="B75" s="18">
        <v>46054</v>
      </c>
      <c r="C75" s="17">
        <v>817394</v>
      </c>
      <c r="D75" s="17" t="s">
        <v>74</v>
      </c>
      <c r="E75" s="50">
        <v>-1905.2585444473984</v>
      </c>
      <c r="F75" s="32" t="s">
        <v>60</v>
      </c>
      <c r="G75" s="18">
        <v>46054</v>
      </c>
      <c r="H75" s="17">
        <v>1170</v>
      </c>
      <c r="J75" s="28"/>
      <c r="K75" s="28"/>
      <c r="L75" s="47"/>
    </row>
    <row r="76" spans="1:15" ht="15" customHeight="1" x14ac:dyDescent="0.25">
      <c r="A76" s="17" t="str">
        <f t="shared" si="2"/>
        <v>CUSTO PLATAFORMA - FEVEREIRO/26 - TRADEMATE</v>
      </c>
      <c r="B76" s="18">
        <v>46054</v>
      </c>
      <c r="C76" s="17">
        <v>817394</v>
      </c>
      <c r="D76" s="17" t="s">
        <v>52</v>
      </c>
      <c r="E76" s="50">
        <v>-38.670329714042495</v>
      </c>
      <c r="F76" s="32" t="s">
        <v>60</v>
      </c>
      <c r="G76" s="18">
        <v>46054</v>
      </c>
      <c r="H76" s="17">
        <v>1170</v>
      </c>
      <c r="J76" s="28"/>
      <c r="K76" s="28"/>
      <c r="L76" s="47"/>
    </row>
    <row r="77" spans="1:15" ht="15" customHeight="1" x14ac:dyDescent="0.25">
      <c r="A77" s="17" t="str">
        <f t="shared" si="2"/>
        <v>CUSTO PLATAFORMA - FEVEREIRO/26 - TRADEMATE</v>
      </c>
      <c r="B77" s="18">
        <v>46054</v>
      </c>
      <c r="C77" s="17">
        <v>817394</v>
      </c>
      <c r="D77" s="17" t="s">
        <v>58</v>
      </c>
      <c r="E77" s="50">
        <v>-1487.390441030974</v>
      </c>
      <c r="F77" s="32" t="s">
        <v>60</v>
      </c>
      <c r="G77" s="18">
        <v>46054</v>
      </c>
      <c r="H77" s="17">
        <v>1170</v>
      </c>
      <c r="J77" s="28"/>
      <c r="K77" s="28"/>
      <c r="L77" s="47"/>
    </row>
    <row r="78" spans="1:15" ht="15" customHeight="1" x14ac:dyDescent="0.25">
      <c r="A78" s="17" t="str">
        <f t="shared" ref="A78:A79" si="3">_xlfn.CONCAT($L$1,$I$1,F78)</f>
        <v>CUSTO PLATAFORMA - FEVEREIRO/26 - TRADEMATE</v>
      </c>
      <c r="B78" s="18">
        <v>46054</v>
      </c>
      <c r="C78" s="17">
        <v>817394</v>
      </c>
      <c r="D78" s="17" t="s">
        <v>43</v>
      </c>
      <c r="E78" s="50">
        <v>-2760.1514362765074</v>
      </c>
      <c r="F78" s="32" t="s">
        <v>60</v>
      </c>
      <c r="G78" s="18">
        <v>46054</v>
      </c>
      <c r="H78" s="17">
        <v>1170</v>
      </c>
      <c r="J78" s="28"/>
      <c r="K78" s="28"/>
      <c r="L78" s="47"/>
    </row>
    <row r="79" spans="1:15" ht="15" customHeight="1" x14ac:dyDescent="0.25">
      <c r="A79" s="17" t="str">
        <f t="shared" si="3"/>
        <v>CUSTO PLATAFORMA - FEVEREIRO/26 - TRADEMATE</v>
      </c>
      <c r="B79" s="18">
        <v>46054</v>
      </c>
      <c r="C79" s="17">
        <v>817394</v>
      </c>
      <c r="D79" s="17" t="s">
        <v>53</v>
      </c>
      <c r="E79" s="50">
        <v>-3635.5505829207732</v>
      </c>
      <c r="F79" s="32" t="s">
        <v>60</v>
      </c>
      <c r="G79" s="18">
        <v>46054</v>
      </c>
      <c r="H79" s="17">
        <v>1170</v>
      </c>
      <c r="J79" s="28"/>
      <c r="K79" s="28"/>
      <c r="L79" s="47"/>
    </row>
    <row r="80" spans="1:15" ht="15" customHeight="1" x14ac:dyDescent="0.25">
      <c r="A80" s="17" t="str">
        <f t="shared" si="2"/>
        <v>CUSTO PLATAFORMA - FEVEREIRO/26 - TRADEMATE</v>
      </c>
      <c r="B80" s="18">
        <v>46054</v>
      </c>
      <c r="C80" s="17">
        <v>817394</v>
      </c>
      <c r="D80" s="17" t="s">
        <v>38</v>
      </c>
      <c r="E80" s="50">
        <v>-865.65732323197074</v>
      </c>
      <c r="F80" s="32" t="s">
        <v>60</v>
      </c>
      <c r="G80" s="18">
        <v>46054</v>
      </c>
      <c r="H80" s="17">
        <v>1170</v>
      </c>
      <c r="J80" s="28"/>
      <c r="K80" s="28"/>
      <c r="L80" s="47"/>
    </row>
    <row r="81" spans="1:18" ht="15" customHeight="1" x14ac:dyDescent="0.25">
      <c r="A81" s="17" t="str">
        <f t="shared" ref="A81" si="4">_xlfn.CONCAT($L$1,$I$1,F81)</f>
        <v>CUSTO PLATAFORMA - FEVEREIRO/26 - TRADEMATE</v>
      </c>
      <c r="B81" s="18">
        <v>46054</v>
      </c>
      <c r="C81" s="17">
        <v>817394</v>
      </c>
      <c r="D81" s="17" t="s">
        <v>59</v>
      </c>
      <c r="E81" s="50">
        <v>-3527.3793161315543</v>
      </c>
      <c r="F81" s="32" t="s">
        <v>60</v>
      </c>
      <c r="G81" s="18">
        <v>46054</v>
      </c>
      <c r="H81" s="17">
        <v>1170</v>
      </c>
      <c r="J81" s="28"/>
      <c r="K81" s="28"/>
      <c r="L81" s="47"/>
    </row>
    <row r="82" spans="1:18" ht="15" customHeight="1" x14ac:dyDescent="0.25">
      <c r="A82" s="17" t="str">
        <f t="shared" si="2"/>
        <v>CUSTO PLATAFORMA - FEVEREIRO/26 - TRADEMATE</v>
      </c>
      <c r="B82" s="18">
        <v>46054</v>
      </c>
      <c r="C82" s="17">
        <v>817394</v>
      </c>
      <c r="D82" s="17" t="s">
        <v>75</v>
      </c>
      <c r="E82" s="50">
        <v>-27.54344613450338</v>
      </c>
      <c r="F82" s="32" t="s">
        <v>60</v>
      </c>
      <c r="G82" s="18">
        <v>46054</v>
      </c>
      <c r="H82" s="17">
        <v>1170</v>
      </c>
      <c r="J82" s="28"/>
      <c r="K82" s="28"/>
      <c r="L82" s="47"/>
    </row>
    <row r="83" spans="1:18" ht="15" customHeight="1" x14ac:dyDescent="0.25">
      <c r="A83" s="17" t="str">
        <f t="shared" si="2"/>
        <v>CUSTO PLATAFORMA - FEVEREIRO/26 - TRADEMATE</v>
      </c>
      <c r="B83" s="18">
        <v>46054</v>
      </c>
      <c r="C83" s="17">
        <v>817394</v>
      </c>
      <c r="D83" s="17" t="s">
        <v>54</v>
      </c>
      <c r="E83" s="50">
        <v>-271.0268914083133</v>
      </c>
      <c r="F83" s="32" t="s">
        <v>60</v>
      </c>
      <c r="G83" s="18">
        <v>46054</v>
      </c>
      <c r="H83" s="17">
        <v>1170</v>
      </c>
      <c r="J83" s="28"/>
      <c r="K83" s="28"/>
      <c r="L83" s="47"/>
    </row>
    <row r="84" spans="1:18" ht="15" customHeight="1" x14ac:dyDescent="0.25">
      <c r="A84" s="17" t="str">
        <f t="shared" si="2"/>
        <v>CUSTO PLATAFORMA - FEVEREIRO/26 - TRADEMATE</v>
      </c>
      <c r="B84" s="18">
        <v>46054</v>
      </c>
      <c r="C84" s="17">
        <v>817394</v>
      </c>
      <c r="D84" s="17" t="s">
        <v>73</v>
      </c>
      <c r="E84" s="50">
        <v>-238.74601094784023</v>
      </c>
      <c r="F84" s="32" t="s">
        <v>60</v>
      </c>
      <c r="G84" s="18">
        <v>46054</v>
      </c>
      <c r="H84" s="17">
        <v>1170</v>
      </c>
      <c r="J84" s="28"/>
      <c r="K84" s="28"/>
      <c r="L84" s="47"/>
    </row>
    <row r="85" spans="1:18" ht="15" customHeight="1" x14ac:dyDescent="0.25">
      <c r="A85" s="17" t="str">
        <f t="shared" si="2"/>
        <v>CUSTO PLATAFORMA - FEVEREIRO/26 - TRADEMATE</v>
      </c>
      <c r="B85" s="18">
        <v>46054</v>
      </c>
      <c r="C85" s="17">
        <v>817394</v>
      </c>
      <c r="D85" s="17" t="s">
        <v>76</v>
      </c>
      <c r="E85" s="50">
        <v>-620.90251320063146</v>
      </c>
      <c r="F85" s="32" t="s">
        <v>60</v>
      </c>
      <c r="G85" s="18">
        <v>46054</v>
      </c>
      <c r="H85" s="17">
        <v>1170</v>
      </c>
      <c r="J85" s="28"/>
      <c r="K85" s="28"/>
      <c r="L85" s="47"/>
    </row>
    <row r="86" spans="1:18" ht="15" customHeight="1" x14ac:dyDescent="0.25">
      <c r="A86" s="17" t="str">
        <f t="shared" si="2"/>
        <v>CUSTO PLATAFORMA - FEVEREIRO/26 - TRADEMATE</v>
      </c>
      <c r="B86" s="18">
        <v>46054</v>
      </c>
      <c r="C86" s="17">
        <v>817394</v>
      </c>
      <c r="D86" s="17" t="s">
        <v>61</v>
      </c>
      <c r="E86" s="50">
        <v>-1153.5909419296872</v>
      </c>
      <c r="F86" s="32" t="s">
        <v>60</v>
      </c>
      <c r="G86" s="18">
        <v>46054</v>
      </c>
      <c r="H86" s="17">
        <v>1170</v>
      </c>
      <c r="J86" s="28"/>
      <c r="K86" s="28"/>
      <c r="L86" s="47"/>
    </row>
    <row r="87" spans="1:18" ht="15" customHeight="1" x14ac:dyDescent="0.25">
      <c r="A87" s="17" t="str">
        <f t="shared" si="2"/>
        <v>CUSTO PLATAFORMA - FEVEREIRO/26 - TRADEMATE</v>
      </c>
      <c r="B87" s="18">
        <v>46054</v>
      </c>
      <c r="C87" s="17">
        <v>817394</v>
      </c>
      <c r="D87" s="17" t="s">
        <v>55</v>
      </c>
      <c r="E87" s="50">
        <v>-535.71366627774194</v>
      </c>
      <c r="F87" s="32" t="s">
        <v>60</v>
      </c>
      <c r="G87" s="18">
        <v>46054</v>
      </c>
      <c r="H87" s="17">
        <v>1170</v>
      </c>
      <c r="J87" s="28"/>
      <c r="K87" s="28"/>
      <c r="L87" s="47"/>
    </row>
    <row r="88" spans="1:18" ht="15" customHeight="1" x14ac:dyDescent="0.25">
      <c r="A88" s="17" t="str">
        <f t="shared" si="2"/>
        <v>CUSTO PLATAFORMA - FEVEREIRO/26 - TRADEMATE</v>
      </c>
      <c r="B88" s="18">
        <v>46054</v>
      </c>
      <c r="C88" s="17">
        <v>817394</v>
      </c>
      <c r="D88" s="17" t="s">
        <v>77</v>
      </c>
      <c r="E88" s="50">
        <v>-114.69904511624671</v>
      </c>
      <c r="F88" s="32" t="s">
        <v>60</v>
      </c>
      <c r="G88" s="18">
        <v>46054</v>
      </c>
      <c r="H88" s="17">
        <v>1170</v>
      </c>
      <c r="J88" s="28"/>
      <c r="K88" s="28"/>
      <c r="L88" s="47"/>
    </row>
    <row r="89" spans="1:18" ht="15" customHeight="1" x14ac:dyDescent="0.25">
      <c r="A89" s="19" t="str">
        <f t="shared" si="2"/>
        <v>CUSTO PLATAFORMA - FEVEREIRO/26 - TRADEMATE</v>
      </c>
      <c r="B89" s="20">
        <v>46054</v>
      </c>
      <c r="C89" s="19">
        <v>817394</v>
      </c>
      <c r="D89" s="19" t="s">
        <v>57</v>
      </c>
      <c r="E89" s="49">
        <v>-625.97318434688441</v>
      </c>
      <c r="F89" s="34" t="s">
        <v>60</v>
      </c>
      <c r="G89" s="20">
        <v>46054</v>
      </c>
      <c r="H89" s="19">
        <v>1170</v>
      </c>
      <c r="I89" s="36"/>
      <c r="J89" s="35"/>
      <c r="K89" s="35"/>
      <c r="L89" s="48"/>
    </row>
    <row r="90" spans="1:18" ht="15" customHeight="1" x14ac:dyDescent="0.25">
      <c r="A90" s="22" t="str">
        <f>_xlfn.CONCAT($L$1,$I$1,F90)</f>
        <v>CUSTO PLATAFORMA - FEVEREIRO/26 - BLOOMBERG SINGAPURA</v>
      </c>
      <c r="B90" s="18">
        <v>46054</v>
      </c>
      <c r="C90" s="17">
        <v>817394</v>
      </c>
      <c r="D90" s="17" t="s">
        <v>61</v>
      </c>
      <c r="E90" s="50">
        <v>-40.586994043388401</v>
      </c>
      <c r="F90" s="17" t="s">
        <v>37</v>
      </c>
      <c r="G90" s="18">
        <v>46054</v>
      </c>
      <c r="H90" s="17">
        <v>1170</v>
      </c>
      <c r="J90" s="28"/>
      <c r="K90" s="28"/>
      <c r="L90" s="17" t="s">
        <v>61</v>
      </c>
      <c r="Q90" s="30"/>
    </row>
    <row r="91" spans="1:18" ht="15" customHeight="1" x14ac:dyDescent="0.25">
      <c r="A91" s="22" t="str">
        <f>_xlfn.CONCAT($L$1,$I$1,F91)</f>
        <v>CUSTO PLATAFORMA - FEVEREIRO/26 - BLOOMBERG SINGAPURA</v>
      </c>
      <c r="B91" s="18">
        <v>46054</v>
      </c>
      <c r="C91" s="17">
        <v>817394</v>
      </c>
      <c r="D91" s="17" t="s">
        <v>72</v>
      </c>
      <c r="E91" s="50">
        <v>-785.00400383918702</v>
      </c>
      <c r="F91" s="17" t="s">
        <v>37</v>
      </c>
      <c r="G91" s="18">
        <v>46054</v>
      </c>
      <c r="H91" s="17">
        <v>1170</v>
      </c>
      <c r="J91" s="28"/>
      <c r="K91" s="28"/>
      <c r="L91" s="17" t="s">
        <v>54</v>
      </c>
      <c r="N91" s="45">
        <v>1610.5950017217631</v>
      </c>
      <c r="O91" s="59">
        <v>1</v>
      </c>
      <c r="Q91" s="45">
        <f>Q92+Q93+Q94</f>
        <v>250</v>
      </c>
      <c r="R91" s="59">
        <v>1</v>
      </c>
    </row>
    <row r="92" spans="1:18" ht="15" customHeight="1" x14ac:dyDescent="0.25">
      <c r="A92" s="22" t="str">
        <f>_xlfn.CONCAT($L$1,$I$1,F92)</f>
        <v>CUSTO PLATAFORMA - FEVEREIRO/26 - BLOOMBERG SINGAPURA</v>
      </c>
      <c r="B92" s="18">
        <v>46054</v>
      </c>
      <c r="C92" s="17">
        <v>817394</v>
      </c>
      <c r="D92" s="17" t="s">
        <v>73</v>
      </c>
      <c r="E92" s="50">
        <v>-785.00400383918702</v>
      </c>
      <c r="F92" s="17" t="s">
        <v>37</v>
      </c>
      <c r="G92" s="18">
        <v>46054</v>
      </c>
      <c r="H92" s="17">
        <v>1170</v>
      </c>
      <c r="J92" s="28"/>
      <c r="K92" s="28"/>
      <c r="L92" s="17" t="s">
        <v>52</v>
      </c>
      <c r="M92" t="s">
        <v>69</v>
      </c>
      <c r="N92" s="58">
        <f>N91*O92</f>
        <v>40.58699404338843</v>
      </c>
      <c r="O92" s="55">
        <f>R92</f>
        <v>2.52E-2</v>
      </c>
      <c r="Q92" s="45">
        <v>6.3</v>
      </c>
      <c r="R92" s="56">
        <f>Q92*R91/Q91</f>
        <v>2.52E-2</v>
      </c>
    </row>
    <row r="93" spans="1:18" ht="15" customHeight="1" x14ac:dyDescent="0.25">
      <c r="A93" s="25"/>
      <c r="B93" s="6"/>
      <c r="C93" s="1"/>
      <c r="D93" s="1"/>
      <c r="E93" s="2"/>
      <c r="F93" s="44"/>
      <c r="G93" s="6"/>
      <c r="H93" s="1"/>
      <c r="N93" s="58">
        <f>N91*O93</f>
        <v>785.00400383918736</v>
      </c>
      <c r="O93" s="55">
        <f t="shared" ref="O93" si="5">R93</f>
        <v>0.4874</v>
      </c>
      <c r="P93" s="43"/>
      <c r="Q93" s="45">
        <f>(250-Q92)/2</f>
        <v>121.85</v>
      </c>
      <c r="R93" s="57">
        <f>Q93*R91/Q91</f>
        <v>0.4874</v>
      </c>
    </row>
    <row r="94" spans="1:18" ht="15" customHeight="1" x14ac:dyDescent="0.25">
      <c r="A94" s="25"/>
      <c r="B94" s="6"/>
      <c r="C94" s="1"/>
      <c r="D94" s="1"/>
      <c r="E94" s="2"/>
      <c r="F94" s="1"/>
      <c r="G94" s="6"/>
      <c r="H94" s="1"/>
      <c r="N94" s="58">
        <f>N91*O94</f>
        <v>785.00400383918736</v>
      </c>
      <c r="O94" s="55">
        <f t="shared" ref="O94" si="6">R94</f>
        <v>0.4874</v>
      </c>
      <c r="Q94" s="45">
        <f>(250-Q92)/2</f>
        <v>121.85</v>
      </c>
      <c r="R94" s="57">
        <f>Q94*R92/Q92</f>
        <v>0.4874</v>
      </c>
    </row>
    <row r="95" spans="1:18" ht="15" customHeight="1" x14ac:dyDescent="0.25">
      <c r="A95" s="25"/>
      <c r="B95" s="6"/>
      <c r="C95" s="1"/>
      <c r="D95" s="1"/>
      <c r="E95" s="2"/>
      <c r="F95" s="1"/>
      <c r="G95" s="6"/>
      <c r="H95" s="1"/>
      <c r="M95" t="s">
        <v>46</v>
      </c>
      <c r="R95" t="s">
        <v>45</v>
      </c>
    </row>
    <row r="96" spans="1:18" ht="15" customHeight="1" x14ac:dyDescent="0.25">
      <c r="A96" s="25"/>
      <c r="B96" s="6"/>
      <c r="C96" s="1"/>
      <c r="D96" s="1"/>
      <c r="E96" s="2"/>
      <c r="F96" s="1"/>
      <c r="G96" s="6"/>
      <c r="H96" s="1"/>
    </row>
    <row r="97" spans="1:8" ht="15" customHeight="1" x14ac:dyDescent="0.25">
      <c r="A97" s="25"/>
      <c r="B97" s="6"/>
      <c r="C97" s="1"/>
      <c r="D97" s="1"/>
      <c r="E97" s="2"/>
      <c r="F97" s="1"/>
      <c r="G97" s="6"/>
      <c r="H97" s="1"/>
    </row>
    <row r="98" spans="1:8" ht="15" customHeight="1" x14ac:dyDescent="0.25">
      <c r="A98" s="25"/>
      <c r="B98" s="6"/>
      <c r="C98" s="1"/>
      <c r="D98" s="1"/>
      <c r="E98" s="2"/>
      <c r="F98" s="1"/>
      <c r="G98" s="6"/>
      <c r="H98" s="1"/>
    </row>
    <row r="99" spans="1:8" ht="15" customHeight="1" x14ac:dyDescent="0.25">
      <c r="A99" s="25"/>
      <c r="B99" s="6"/>
      <c r="C99" s="1"/>
      <c r="D99" s="1"/>
      <c r="E99" s="2"/>
      <c r="F99" s="1"/>
      <c r="G99" s="6"/>
      <c r="H99" s="1"/>
    </row>
    <row r="100" spans="1:8" ht="15" customHeight="1" x14ac:dyDescent="0.25">
      <c r="A100" s="25"/>
      <c r="B100" s="6"/>
      <c r="C100" s="1"/>
      <c r="D100" s="1"/>
      <c r="E100" s="2"/>
      <c r="F100" s="1"/>
      <c r="G100" s="6"/>
      <c r="H100" s="1"/>
    </row>
    <row r="101" spans="1:8" ht="15" customHeight="1" x14ac:dyDescent="0.25">
      <c r="A101" s="25"/>
      <c r="B101" s="6"/>
      <c r="C101" s="1"/>
      <c r="D101" s="1"/>
      <c r="E101" s="2"/>
      <c r="F101" s="1"/>
      <c r="G101" s="6"/>
      <c r="H101" s="1"/>
    </row>
    <row r="102" spans="1:8" ht="15" customHeight="1" x14ac:dyDescent="0.25">
      <c r="A102" s="25"/>
      <c r="B102" s="6"/>
      <c r="C102" s="1"/>
      <c r="D102" s="1"/>
      <c r="E102" s="2"/>
      <c r="F102" s="1"/>
      <c r="G102" s="6"/>
      <c r="H102" s="1"/>
    </row>
    <row r="103" spans="1:8" ht="15" customHeight="1" x14ac:dyDescent="0.25">
      <c r="A103" s="25"/>
      <c r="B103" s="6"/>
      <c r="C103" s="1"/>
      <c r="D103" s="1"/>
      <c r="E103" s="2"/>
      <c r="F103" s="1"/>
      <c r="G103" s="6"/>
      <c r="H103" s="1"/>
    </row>
    <row r="104" spans="1:8" ht="15" customHeight="1" x14ac:dyDescent="0.25">
      <c r="A104" s="25"/>
      <c r="B104" s="6"/>
      <c r="C104" s="1"/>
      <c r="D104" s="1"/>
      <c r="E104" s="2"/>
      <c r="F104" s="1"/>
      <c r="G104" s="6"/>
      <c r="H104" s="1"/>
    </row>
    <row r="105" spans="1:8" ht="15" customHeight="1" x14ac:dyDescent="0.25">
      <c r="A105" s="25"/>
      <c r="B105" s="6"/>
      <c r="C105" s="1"/>
      <c r="D105" s="1"/>
      <c r="E105" s="2"/>
      <c r="F105" s="1"/>
      <c r="G105" s="6"/>
      <c r="H105" s="1"/>
    </row>
    <row r="106" spans="1:8" ht="15" customHeight="1" x14ac:dyDescent="0.25">
      <c r="A106" s="25"/>
      <c r="B106" s="6"/>
      <c r="C106" s="1"/>
      <c r="D106" s="1"/>
      <c r="E106" s="2"/>
      <c r="F106" s="1"/>
      <c r="G106" s="6"/>
      <c r="H106" s="1"/>
    </row>
    <row r="107" spans="1:8" ht="15" customHeight="1" x14ac:dyDescent="0.25">
      <c r="A107" s="25"/>
      <c r="B107" s="6"/>
      <c r="C107" s="1"/>
      <c r="D107" s="1"/>
      <c r="E107" s="2"/>
      <c r="F107" s="1"/>
      <c r="G107" s="6"/>
      <c r="H107" s="1"/>
    </row>
    <row r="108" spans="1:8" ht="15" customHeight="1" x14ac:dyDescent="0.25">
      <c r="A108" s="25"/>
      <c r="B108" s="6"/>
      <c r="C108" s="1"/>
      <c r="D108" s="1"/>
      <c r="E108" s="2"/>
      <c r="F108" s="1"/>
      <c r="G108" s="6"/>
      <c r="H108" s="1"/>
    </row>
    <row r="109" spans="1:8" ht="15" customHeight="1" x14ac:dyDescent="0.25">
      <c r="A109" s="25"/>
      <c r="B109" s="6"/>
      <c r="C109" s="1"/>
      <c r="D109" s="1"/>
      <c r="E109" s="2"/>
      <c r="F109" s="1"/>
      <c r="G109" s="6"/>
      <c r="H109" s="1"/>
    </row>
    <row r="110" spans="1:8" ht="15" customHeight="1" x14ac:dyDescent="0.25">
      <c r="A110" s="25"/>
      <c r="B110" s="6"/>
      <c r="C110" s="1"/>
      <c r="D110" s="1"/>
      <c r="E110" s="2"/>
      <c r="F110" s="1"/>
      <c r="G110" s="6"/>
      <c r="H110" s="1"/>
    </row>
    <row r="111" spans="1:8" ht="15" customHeight="1" x14ac:dyDescent="0.25">
      <c r="A111" s="25"/>
      <c r="B111" s="6"/>
      <c r="C111" s="1"/>
      <c r="D111" s="1"/>
      <c r="E111" s="2"/>
      <c r="F111" s="1"/>
      <c r="G111" s="6"/>
      <c r="H111" s="1"/>
    </row>
    <row r="112" spans="1:8" ht="15" customHeight="1" x14ac:dyDescent="0.25">
      <c r="A112" s="25"/>
      <c r="B112" s="6"/>
      <c r="C112" s="1"/>
      <c r="D112" s="1"/>
      <c r="E112" s="2"/>
      <c r="F112" s="1"/>
      <c r="G112" s="6"/>
      <c r="H112" s="1"/>
    </row>
    <row r="113" spans="1:8" ht="15" customHeight="1" x14ac:dyDescent="0.25">
      <c r="A113" s="25"/>
      <c r="B113" s="6"/>
      <c r="C113" s="1"/>
      <c r="D113" s="1"/>
      <c r="E113" s="2"/>
      <c r="F113" s="1"/>
      <c r="G113" s="6"/>
      <c r="H113" s="1"/>
    </row>
    <row r="114" spans="1:8" ht="15" customHeight="1" x14ac:dyDescent="0.25">
      <c r="A114" s="25"/>
      <c r="B114" s="6"/>
      <c r="C114" s="1"/>
      <c r="D114" s="1"/>
      <c r="E114" s="2"/>
      <c r="F114" s="1"/>
      <c r="G114" s="6"/>
      <c r="H114" s="1"/>
    </row>
    <row r="115" spans="1:8" ht="15" customHeight="1" x14ac:dyDescent="0.25">
      <c r="A115" s="25"/>
      <c r="B115" s="6"/>
      <c r="C115" s="1"/>
      <c r="D115" s="1"/>
      <c r="E115" s="2"/>
      <c r="F115" s="1"/>
      <c r="G115" s="6"/>
      <c r="H115" s="1"/>
    </row>
    <row r="116" spans="1:8" ht="15" customHeight="1" x14ac:dyDescent="0.25">
      <c r="A116" s="25"/>
      <c r="B116" s="6"/>
      <c r="C116" s="1"/>
      <c r="D116" s="1"/>
      <c r="E116" s="2"/>
      <c r="F116" s="1"/>
      <c r="G116" s="6"/>
      <c r="H116" s="1"/>
    </row>
    <row r="117" spans="1:8" ht="15" customHeight="1" x14ac:dyDescent="0.25">
      <c r="A117" s="25"/>
      <c r="B117" s="6"/>
      <c r="C117" s="1"/>
      <c r="D117" s="1"/>
      <c r="E117" s="2"/>
      <c r="F117" s="1"/>
      <c r="G117" s="6"/>
      <c r="H117" s="1"/>
    </row>
    <row r="118" spans="1:8" ht="15" customHeight="1" x14ac:dyDescent="0.25">
      <c r="A118" s="25"/>
      <c r="B118" s="6"/>
      <c r="C118" s="1"/>
      <c r="D118" s="1"/>
      <c r="E118" s="2"/>
      <c r="F118" s="1"/>
      <c r="G118" s="6"/>
      <c r="H118" s="1"/>
    </row>
    <row r="119" spans="1:8" ht="15" customHeight="1" x14ac:dyDescent="0.25">
      <c r="A119" s="25"/>
      <c r="B119" s="6"/>
      <c r="C119" s="1"/>
      <c r="D119" s="1"/>
      <c r="E119" s="2"/>
      <c r="F119" s="1"/>
      <c r="G119" s="6"/>
      <c r="H119" s="1"/>
    </row>
    <row r="120" spans="1:8" ht="15" customHeight="1" x14ac:dyDescent="0.25">
      <c r="A120" s="25"/>
      <c r="B120" s="6"/>
      <c r="C120" s="1"/>
      <c r="D120" s="1"/>
      <c r="E120" s="2"/>
      <c r="F120" s="1"/>
      <c r="G120" s="6"/>
      <c r="H120" s="1"/>
    </row>
    <row r="121" spans="1:8" ht="15" customHeight="1" x14ac:dyDescent="0.25">
      <c r="A121" s="25"/>
      <c r="B121" s="6"/>
      <c r="C121" s="1"/>
      <c r="D121" s="1"/>
      <c r="E121" s="2"/>
      <c r="F121" s="1"/>
      <c r="G121" s="6"/>
      <c r="H121" s="1"/>
    </row>
    <row r="122" spans="1:8" ht="15" customHeight="1" x14ac:dyDescent="0.25">
      <c r="A122" s="25"/>
      <c r="B122" s="6"/>
      <c r="C122" s="1"/>
      <c r="D122" s="1"/>
      <c r="E122" s="2"/>
      <c r="F122" s="1"/>
      <c r="G122" s="6"/>
      <c r="H122" s="1"/>
    </row>
    <row r="123" spans="1:8" ht="15" customHeight="1" x14ac:dyDescent="0.25">
      <c r="A123" s="25"/>
      <c r="B123" s="6"/>
      <c r="C123" s="1"/>
      <c r="D123" s="1"/>
      <c r="E123" s="2"/>
      <c r="F123" s="1"/>
      <c r="G123" s="6"/>
      <c r="H123" s="1"/>
    </row>
    <row r="124" spans="1:8" ht="15" customHeight="1" x14ac:dyDescent="0.25">
      <c r="A124" s="25"/>
      <c r="B124" s="6"/>
      <c r="C124" s="1"/>
      <c r="D124" s="1"/>
      <c r="E124" s="2"/>
      <c r="F124" s="1"/>
      <c r="G124" s="6"/>
      <c r="H124" s="1"/>
    </row>
    <row r="125" spans="1:8" ht="15" customHeight="1" x14ac:dyDescent="0.25">
      <c r="A125" s="25"/>
      <c r="B125" s="6"/>
      <c r="C125" s="1"/>
      <c r="D125" s="1"/>
      <c r="E125" s="2"/>
      <c r="F125" s="1"/>
      <c r="G125" s="6"/>
      <c r="H125" s="1"/>
    </row>
    <row r="126" spans="1:8" ht="15" customHeight="1" x14ac:dyDescent="0.25">
      <c r="A126" s="25"/>
      <c r="B126" s="6"/>
      <c r="C126" s="1"/>
      <c r="D126" s="1"/>
      <c r="E126" s="2"/>
      <c r="F126" s="1"/>
      <c r="G126" s="6"/>
      <c r="H126" s="1"/>
    </row>
    <row r="127" spans="1:8" ht="15" customHeight="1" x14ac:dyDescent="0.25">
      <c r="A127" s="25"/>
      <c r="B127" s="6"/>
      <c r="C127" s="1"/>
      <c r="D127" s="1"/>
      <c r="E127" s="2"/>
      <c r="F127" s="1"/>
      <c r="G127" s="6"/>
      <c r="H127" s="1"/>
    </row>
    <row r="128" spans="1:8" ht="15" customHeight="1" x14ac:dyDescent="0.25">
      <c r="A128" s="25"/>
      <c r="B128" s="6"/>
      <c r="C128" s="1"/>
      <c r="D128" s="1"/>
      <c r="E128" s="2"/>
      <c r="F128" s="1"/>
      <c r="G128" s="6"/>
      <c r="H128" s="1"/>
    </row>
    <row r="129" spans="1:8" ht="15" customHeight="1" x14ac:dyDescent="0.25">
      <c r="A129" s="25"/>
      <c r="B129" s="6"/>
      <c r="C129" s="1"/>
      <c r="D129" s="1"/>
      <c r="E129" s="2"/>
      <c r="F129" s="1"/>
      <c r="G129" s="6"/>
      <c r="H129" s="1"/>
    </row>
    <row r="130" spans="1:8" ht="15" customHeight="1" x14ac:dyDescent="0.25">
      <c r="A130" s="25"/>
      <c r="B130" s="6"/>
      <c r="C130" s="1"/>
      <c r="D130" s="1"/>
      <c r="E130" s="2"/>
      <c r="F130" s="1"/>
      <c r="G130" s="6"/>
      <c r="H130" s="1"/>
    </row>
    <row r="131" spans="1:8" ht="15" customHeight="1" x14ac:dyDescent="0.25">
      <c r="A131" s="25"/>
      <c r="B131" s="6"/>
      <c r="C131" s="1"/>
      <c r="D131" s="1"/>
      <c r="E131" s="2"/>
      <c r="F131" s="1"/>
      <c r="G131" s="6"/>
      <c r="H131" s="1"/>
    </row>
    <row r="132" spans="1:8" ht="15" customHeight="1" x14ac:dyDescent="0.25">
      <c r="A132" s="25"/>
      <c r="B132" s="6"/>
      <c r="C132" s="1"/>
      <c r="D132" s="1"/>
      <c r="E132" s="2"/>
      <c r="F132" s="1"/>
      <c r="G132" s="6"/>
      <c r="H132" s="1"/>
    </row>
    <row r="133" spans="1:8" ht="15" customHeight="1" x14ac:dyDescent="0.25">
      <c r="A133" s="25"/>
      <c r="B133" s="6"/>
      <c r="C133" s="1"/>
      <c r="D133" s="1"/>
      <c r="E133" s="2"/>
      <c r="F133" s="1"/>
      <c r="G133" s="6"/>
      <c r="H133" s="1"/>
    </row>
    <row r="134" spans="1:8" ht="15" customHeight="1" x14ac:dyDescent="0.25">
      <c r="A134" s="25"/>
      <c r="B134" s="6"/>
      <c r="C134" s="1"/>
      <c r="D134" s="1"/>
      <c r="E134" s="2"/>
      <c r="F134" s="1"/>
      <c r="G134" s="6"/>
      <c r="H134" s="1"/>
    </row>
    <row r="135" spans="1:8" ht="15" customHeight="1" x14ac:dyDescent="0.25">
      <c r="A135" s="25"/>
      <c r="B135" s="6"/>
      <c r="C135" s="1"/>
      <c r="D135" s="1"/>
      <c r="E135" s="2"/>
      <c r="F135" s="1"/>
      <c r="G135" s="6"/>
      <c r="H135" s="1"/>
    </row>
    <row r="136" spans="1:8" ht="15" customHeight="1" x14ac:dyDescent="0.25">
      <c r="A136" s="25"/>
      <c r="B136" s="6"/>
      <c r="C136" s="1"/>
      <c r="D136" s="1"/>
      <c r="E136" s="2"/>
      <c r="F136" s="1"/>
      <c r="G136" s="6"/>
      <c r="H136" s="1"/>
    </row>
    <row r="137" spans="1:8" ht="15" customHeight="1" x14ac:dyDescent="0.25">
      <c r="A137" s="25"/>
      <c r="B137" s="6"/>
      <c r="C137" s="1"/>
      <c r="D137" s="1"/>
      <c r="E137" s="2"/>
      <c r="F137" s="1"/>
      <c r="G137" s="6"/>
      <c r="H137" s="1"/>
    </row>
    <row r="138" spans="1:8" ht="15" customHeight="1" x14ac:dyDescent="0.25">
      <c r="A138" s="25"/>
      <c r="B138" s="6"/>
      <c r="C138" s="1"/>
      <c r="D138" s="1"/>
      <c r="E138" s="2"/>
      <c r="F138" s="1"/>
      <c r="G138" s="6"/>
      <c r="H138" s="1"/>
    </row>
    <row r="139" spans="1:8" ht="15" customHeight="1" x14ac:dyDescent="0.25">
      <c r="A139" s="25"/>
      <c r="B139" s="6"/>
      <c r="C139" s="1"/>
      <c r="D139" s="1"/>
      <c r="E139" s="2"/>
      <c r="F139" s="1"/>
      <c r="G139" s="6"/>
      <c r="H139" s="1"/>
    </row>
    <row r="140" spans="1:8" ht="15" customHeight="1" x14ac:dyDescent="0.25">
      <c r="A140" s="25"/>
      <c r="B140" s="6"/>
      <c r="C140" s="1"/>
      <c r="D140" s="1"/>
      <c r="E140" s="2"/>
      <c r="F140" s="1"/>
      <c r="G140" s="6"/>
      <c r="H140" s="1"/>
    </row>
    <row r="141" spans="1:8" ht="15" customHeight="1" x14ac:dyDescent="0.25">
      <c r="A141" s="25"/>
      <c r="B141" s="6"/>
      <c r="C141" s="1"/>
      <c r="D141" s="1"/>
      <c r="E141" s="2"/>
      <c r="F141" s="1"/>
      <c r="G141" s="6"/>
      <c r="H141" s="1"/>
    </row>
    <row r="142" spans="1:8" ht="15" customHeight="1" x14ac:dyDescent="0.25">
      <c r="A142" s="25"/>
      <c r="B142" s="6"/>
      <c r="C142" s="1"/>
      <c r="D142" s="1"/>
      <c r="E142" s="2"/>
      <c r="F142" s="1"/>
      <c r="G142" s="6"/>
      <c r="H142" s="1"/>
    </row>
    <row r="143" spans="1:8" ht="15" customHeight="1" x14ac:dyDescent="0.25">
      <c r="A143" s="25"/>
      <c r="B143" s="6"/>
      <c r="C143" s="1"/>
      <c r="D143" s="1"/>
      <c r="E143" s="2"/>
      <c r="F143" s="1"/>
      <c r="G143" s="6"/>
      <c r="H143" s="1"/>
    </row>
    <row r="144" spans="1:8" ht="15" customHeight="1" x14ac:dyDescent="0.25">
      <c r="A144" s="25"/>
      <c r="B144" s="6"/>
      <c r="C144" s="1"/>
      <c r="D144" s="1"/>
      <c r="E144" s="2"/>
      <c r="F144" s="1"/>
      <c r="G144" s="6"/>
      <c r="H144" s="1"/>
    </row>
    <row r="145" spans="1:8" ht="15" customHeight="1" x14ac:dyDescent="0.25">
      <c r="A145" s="25"/>
      <c r="B145" s="6"/>
      <c r="C145" s="1"/>
      <c r="D145" s="1"/>
      <c r="E145" s="2"/>
      <c r="F145" s="1"/>
      <c r="G145" s="6"/>
      <c r="H145" s="1"/>
    </row>
    <row r="146" spans="1:8" ht="15" customHeight="1" x14ac:dyDescent="0.25">
      <c r="A146" s="25"/>
      <c r="B146" s="6"/>
      <c r="C146" s="1"/>
      <c r="D146" s="1"/>
      <c r="E146" s="2"/>
      <c r="F146" s="1"/>
      <c r="G146" s="6"/>
      <c r="H146" s="1"/>
    </row>
    <row r="147" spans="1:8" ht="15" customHeight="1" x14ac:dyDescent="0.25">
      <c r="A147" s="25"/>
      <c r="B147" s="6"/>
      <c r="C147" s="1"/>
      <c r="D147" s="1"/>
      <c r="E147" s="2"/>
      <c r="F147" s="1"/>
      <c r="G147" s="6"/>
      <c r="H147" s="1"/>
    </row>
    <row r="148" spans="1:8" ht="15" customHeight="1" x14ac:dyDescent="0.25">
      <c r="A148" s="25"/>
      <c r="B148" s="6"/>
      <c r="C148" s="1"/>
      <c r="D148" s="1"/>
      <c r="E148" s="2"/>
      <c r="F148" s="1"/>
      <c r="G148" s="6"/>
      <c r="H148" s="1"/>
    </row>
    <row r="149" spans="1:8" ht="15" customHeight="1" x14ac:dyDescent="0.25">
      <c r="A149" s="25"/>
      <c r="B149" s="6"/>
      <c r="C149" s="1"/>
      <c r="D149" s="1"/>
      <c r="E149" s="2"/>
      <c r="F149" s="1"/>
      <c r="G149" s="6"/>
      <c r="H149" s="1"/>
    </row>
    <row r="150" spans="1:8" ht="15" customHeight="1" x14ac:dyDescent="0.25">
      <c r="A150" s="25"/>
      <c r="B150" s="6"/>
      <c r="C150" s="1"/>
      <c r="D150" s="1"/>
      <c r="E150" s="2"/>
      <c r="F150" s="1"/>
      <c r="G150" s="6"/>
      <c r="H150" s="1"/>
    </row>
    <row r="151" spans="1:8" ht="15" customHeight="1" x14ac:dyDescent="0.25">
      <c r="A151" s="25"/>
      <c r="B151" s="6"/>
      <c r="C151" s="1"/>
      <c r="D151" s="1"/>
      <c r="E151" s="2"/>
      <c r="F151" s="1"/>
      <c r="G151" s="6"/>
      <c r="H151" s="1"/>
    </row>
    <row r="152" spans="1:8" ht="15" customHeight="1" x14ac:dyDescent="0.25">
      <c r="A152" s="25"/>
      <c r="B152" s="6"/>
      <c r="C152" s="1"/>
      <c r="D152" s="1"/>
      <c r="E152" s="2"/>
      <c r="F152" s="1"/>
      <c r="G152" s="6"/>
      <c r="H152" s="1"/>
    </row>
    <row r="153" spans="1:8" ht="15" customHeight="1" x14ac:dyDescent="0.25">
      <c r="A153" s="25"/>
      <c r="B153" s="6"/>
      <c r="C153" s="1"/>
      <c r="D153" s="1"/>
      <c r="E153" s="2"/>
      <c r="F153" s="1"/>
      <c r="G153" s="6"/>
      <c r="H153" s="1"/>
    </row>
    <row r="154" spans="1:8" ht="15" customHeight="1" x14ac:dyDescent="0.25">
      <c r="A154" s="25"/>
      <c r="B154" s="6"/>
      <c r="C154" s="1"/>
      <c r="D154" s="1"/>
      <c r="E154" s="2"/>
      <c r="F154" s="1"/>
      <c r="G154" s="6"/>
      <c r="H154" s="1"/>
    </row>
    <row r="155" spans="1:8" ht="15" customHeight="1" x14ac:dyDescent="0.25">
      <c r="A155" s="25"/>
      <c r="B155" s="6"/>
      <c r="C155" s="1"/>
      <c r="D155" s="1"/>
      <c r="E155" s="2"/>
      <c r="F155" s="1"/>
      <c r="G155" s="6"/>
      <c r="H155" s="1"/>
    </row>
    <row r="156" spans="1:8" ht="15" customHeight="1" x14ac:dyDescent="0.25">
      <c r="A156" s="25"/>
      <c r="B156" s="6"/>
      <c r="C156" s="1"/>
      <c r="D156" s="1"/>
      <c r="E156" s="2"/>
      <c r="F156" s="1"/>
      <c r="G156" s="6"/>
      <c r="H156" s="1"/>
    </row>
    <row r="157" spans="1:8" ht="15" customHeight="1" x14ac:dyDescent="0.25">
      <c r="A157" s="25"/>
      <c r="B157" s="6"/>
      <c r="C157" s="1"/>
      <c r="D157" s="1"/>
      <c r="E157" s="2"/>
      <c r="F157" s="1"/>
      <c r="G157" s="6"/>
      <c r="H157" s="1"/>
    </row>
    <row r="158" spans="1:8" ht="15" customHeight="1" x14ac:dyDescent="0.25">
      <c r="A158" s="25"/>
      <c r="B158" s="6"/>
      <c r="C158" s="1"/>
      <c r="D158" s="1"/>
      <c r="E158" s="2"/>
      <c r="F158" s="1"/>
      <c r="G158" s="6"/>
      <c r="H158" s="1"/>
    </row>
    <row r="159" spans="1:8" ht="15" customHeight="1" x14ac:dyDescent="0.25">
      <c r="A159" s="25"/>
      <c r="B159" s="6"/>
      <c r="C159" s="1"/>
      <c r="D159" s="1"/>
      <c r="E159" s="2"/>
      <c r="F159" s="1"/>
      <c r="G159" s="6"/>
      <c r="H159" s="1"/>
    </row>
    <row r="160" spans="1:8" ht="15" customHeight="1" x14ac:dyDescent="0.25">
      <c r="A160" s="25"/>
      <c r="B160" s="6"/>
      <c r="C160" s="1"/>
      <c r="D160" s="1"/>
      <c r="E160" s="2"/>
      <c r="F160" s="1"/>
      <c r="G160" s="6"/>
      <c r="H160" s="1"/>
    </row>
    <row r="161" spans="1:8" ht="15" customHeight="1" x14ac:dyDescent="0.25">
      <c r="A161" s="25"/>
      <c r="B161" s="6"/>
      <c r="C161" s="1"/>
      <c r="D161" s="1"/>
      <c r="E161" s="2"/>
      <c r="F161" s="1"/>
      <c r="G161" s="6"/>
      <c r="H161" s="1"/>
    </row>
    <row r="162" spans="1:8" ht="15" customHeight="1" x14ac:dyDescent="0.25">
      <c r="A162" s="25"/>
      <c r="B162" s="6"/>
      <c r="C162" s="1"/>
      <c r="D162" s="1"/>
      <c r="E162" s="2"/>
      <c r="F162" s="1"/>
      <c r="G162" s="6"/>
      <c r="H162" s="1"/>
    </row>
    <row r="163" spans="1:8" ht="15" customHeight="1" x14ac:dyDescent="0.25">
      <c r="A163" s="25"/>
      <c r="B163" s="6"/>
      <c r="C163" s="1"/>
      <c r="D163" s="1"/>
      <c r="E163" s="2"/>
      <c r="F163" s="1"/>
      <c r="G163" s="6"/>
      <c r="H163" s="1"/>
    </row>
    <row r="164" spans="1:8" ht="15" customHeight="1" x14ac:dyDescent="0.25">
      <c r="A164" s="25"/>
      <c r="B164" s="6"/>
      <c r="C164" s="1"/>
      <c r="D164" s="1"/>
      <c r="E164" s="2"/>
      <c r="F164" s="1"/>
      <c r="G164" s="6"/>
      <c r="H164" s="1"/>
    </row>
    <row r="165" spans="1:8" ht="15" customHeight="1" x14ac:dyDescent="0.25">
      <c r="A165" s="25"/>
      <c r="B165" s="6"/>
      <c r="C165" s="1"/>
      <c r="D165" s="1"/>
      <c r="E165" s="2"/>
      <c r="F165" s="1"/>
      <c r="G165" s="6"/>
      <c r="H165" s="1"/>
    </row>
    <row r="166" spans="1:8" ht="15" customHeight="1" x14ac:dyDescent="0.25">
      <c r="A166" s="25"/>
      <c r="B166" s="6"/>
      <c r="C166" s="1"/>
      <c r="D166" s="1"/>
      <c r="E166" s="2"/>
      <c r="F166" s="1"/>
      <c r="G166" s="6"/>
      <c r="H166" s="1"/>
    </row>
    <row r="167" spans="1:8" ht="15" customHeight="1" x14ac:dyDescent="0.25">
      <c r="A167" s="25"/>
      <c r="B167" s="6"/>
      <c r="C167" s="1"/>
      <c r="D167" s="1"/>
      <c r="E167" s="2"/>
      <c r="F167" s="1"/>
      <c r="G167" s="6"/>
      <c r="H167" s="1"/>
    </row>
    <row r="168" spans="1:8" ht="15" customHeight="1" x14ac:dyDescent="0.25">
      <c r="A168" s="25"/>
      <c r="B168" s="6"/>
      <c r="C168" s="1"/>
      <c r="D168" s="1"/>
      <c r="E168" s="2"/>
      <c r="F168" s="1"/>
      <c r="G168" s="6"/>
      <c r="H168" s="1"/>
    </row>
    <row r="169" spans="1:8" ht="15" customHeight="1" x14ac:dyDescent="0.25">
      <c r="A169" s="25"/>
      <c r="B169" s="6"/>
      <c r="C169" s="1"/>
      <c r="D169" s="1"/>
      <c r="E169" s="2"/>
      <c r="F169" s="1"/>
      <c r="G169" s="6"/>
      <c r="H169" s="1"/>
    </row>
    <row r="170" spans="1:8" ht="15" customHeight="1" x14ac:dyDescent="0.25">
      <c r="A170" s="25"/>
      <c r="B170" s="6"/>
      <c r="C170" s="1"/>
      <c r="D170" s="1"/>
      <c r="E170" s="2"/>
      <c r="F170" s="1"/>
      <c r="G170" s="6"/>
      <c r="H170" s="1"/>
    </row>
    <row r="171" spans="1:8" ht="15" customHeight="1" x14ac:dyDescent="0.25">
      <c r="A171" s="25"/>
      <c r="B171" s="6"/>
      <c r="C171" s="1"/>
      <c r="D171" s="1"/>
      <c r="E171" s="2"/>
      <c r="F171" s="1"/>
      <c r="G171" s="6"/>
      <c r="H171" s="1"/>
    </row>
    <row r="172" spans="1:8" ht="15" customHeight="1" x14ac:dyDescent="0.25">
      <c r="A172" s="25"/>
      <c r="B172" s="6"/>
      <c r="C172" s="1"/>
      <c r="D172" s="1"/>
      <c r="E172" s="2"/>
      <c r="F172" s="1"/>
      <c r="G172" s="6"/>
      <c r="H172" s="1"/>
    </row>
    <row r="173" spans="1:8" ht="15" customHeight="1" x14ac:dyDescent="0.25">
      <c r="A173" s="25"/>
      <c r="B173" s="6"/>
      <c r="C173" s="1"/>
      <c r="D173" s="1"/>
      <c r="E173" s="2"/>
      <c r="F173" s="1"/>
      <c r="G173" s="6"/>
      <c r="H173" s="1"/>
    </row>
    <row r="174" spans="1:8" ht="15" customHeight="1" x14ac:dyDescent="0.25">
      <c r="A174" s="25"/>
      <c r="B174" s="6"/>
      <c r="C174" s="1"/>
      <c r="D174" s="1"/>
      <c r="E174" s="2"/>
      <c r="F174" s="1"/>
      <c r="G174" s="6"/>
      <c r="H174" s="1"/>
    </row>
    <row r="175" spans="1:8" ht="15" customHeight="1" x14ac:dyDescent="0.25">
      <c r="A175" s="25"/>
      <c r="B175" s="6"/>
      <c r="C175" s="1"/>
      <c r="D175" s="1"/>
      <c r="E175" s="2"/>
      <c r="F175" s="1"/>
      <c r="G175" s="6"/>
      <c r="H175" s="1"/>
    </row>
    <row r="176" spans="1:8" ht="15" customHeight="1" x14ac:dyDescent="0.25">
      <c r="A176" s="25"/>
      <c r="B176" s="6"/>
      <c r="C176" s="1"/>
      <c r="D176" s="1"/>
      <c r="E176" s="2"/>
      <c r="F176" s="1"/>
      <c r="G176" s="6"/>
      <c r="H176" s="1"/>
    </row>
    <row r="177" spans="1:8" ht="15" customHeight="1" x14ac:dyDescent="0.25">
      <c r="A177" s="25"/>
      <c r="B177" s="6"/>
      <c r="C177" s="1"/>
      <c r="D177" s="1"/>
      <c r="E177" s="2"/>
      <c r="F177" s="1"/>
      <c r="G177" s="6"/>
      <c r="H177" s="1"/>
    </row>
    <row r="178" spans="1:8" ht="15" customHeight="1" x14ac:dyDescent="0.25">
      <c r="A178" s="25"/>
      <c r="B178" s="6"/>
      <c r="C178" s="1"/>
      <c r="D178" s="1"/>
      <c r="E178" s="2"/>
      <c r="F178" s="1"/>
      <c r="G178" s="6"/>
      <c r="H178" s="1"/>
    </row>
    <row r="179" spans="1:8" ht="15" customHeight="1" x14ac:dyDescent="0.25">
      <c r="A179" s="25"/>
      <c r="B179" s="6"/>
      <c r="C179" s="1"/>
      <c r="D179" s="1"/>
      <c r="E179" s="2"/>
      <c r="F179" s="1"/>
      <c r="G179" s="6"/>
      <c r="H179" s="1"/>
    </row>
    <row r="180" spans="1:8" ht="15" customHeight="1" x14ac:dyDescent="0.25">
      <c r="A180" s="25"/>
      <c r="B180" s="6"/>
      <c r="C180" s="1"/>
      <c r="D180" s="1"/>
      <c r="E180" s="2"/>
      <c r="F180" s="1"/>
      <c r="G180" s="6"/>
      <c r="H180" s="1"/>
    </row>
    <row r="181" spans="1:8" ht="15" customHeight="1" x14ac:dyDescent="0.25">
      <c r="A181" s="25"/>
      <c r="B181" s="6"/>
      <c r="C181" s="1"/>
      <c r="D181" s="1"/>
      <c r="E181" s="2"/>
      <c r="F181" s="1"/>
      <c r="G181" s="6"/>
      <c r="H181" s="1"/>
    </row>
    <row r="182" spans="1:8" ht="15" customHeight="1" x14ac:dyDescent="0.25">
      <c r="A182" s="25"/>
      <c r="B182" s="6"/>
      <c r="C182" s="1"/>
      <c r="D182" s="1"/>
      <c r="E182" s="2"/>
      <c r="F182" s="1"/>
      <c r="G182" s="6"/>
      <c r="H182" s="1"/>
    </row>
    <row r="183" spans="1:8" ht="15" customHeight="1" x14ac:dyDescent="0.25">
      <c r="A183" s="25"/>
      <c r="B183" s="6"/>
      <c r="C183" s="1"/>
      <c r="D183" s="1"/>
      <c r="E183" s="2"/>
      <c r="F183" s="1"/>
      <c r="G183" s="6"/>
      <c r="H183" s="1"/>
    </row>
    <row r="184" spans="1:8" ht="15" customHeight="1" x14ac:dyDescent="0.25">
      <c r="A184" s="25"/>
      <c r="B184" s="6"/>
      <c r="C184" s="1"/>
      <c r="D184" s="1"/>
      <c r="E184" s="2"/>
      <c r="F184" s="1"/>
      <c r="G184" s="6"/>
      <c r="H184" s="1"/>
    </row>
    <row r="185" spans="1:8" ht="15" customHeight="1" x14ac:dyDescent="0.25">
      <c r="A185" s="25"/>
      <c r="B185" s="6"/>
      <c r="C185" s="1"/>
      <c r="D185" s="1"/>
      <c r="E185" s="2"/>
      <c r="F185" s="1"/>
      <c r="G185" s="6"/>
      <c r="H185" s="1"/>
    </row>
    <row r="186" spans="1:8" ht="15" customHeight="1" x14ac:dyDescent="0.25">
      <c r="A186" s="25"/>
      <c r="B186" s="6"/>
      <c r="C186" s="1"/>
      <c r="D186" s="1"/>
      <c r="E186" s="2"/>
      <c r="F186" s="1"/>
      <c r="G186" s="6"/>
      <c r="H186" s="1"/>
    </row>
    <row r="187" spans="1:8" ht="15" customHeight="1" x14ac:dyDescent="0.25">
      <c r="A187" s="25"/>
      <c r="B187" s="6"/>
      <c r="C187" s="1"/>
      <c r="D187" s="1"/>
      <c r="E187" s="2"/>
      <c r="F187" s="1"/>
      <c r="G187" s="6"/>
      <c r="H187" s="1"/>
    </row>
    <row r="188" spans="1:8" ht="15" customHeight="1" x14ac:dyDescent="0.25">
      <c r="A188" s="25"/>
      <c r="B188" s="6"/>
      <c r="C188" s="1"/>
      <c r="D188" s="1"/>
      <c r="E188" s="2"/>
      <c r="F188" s="1"/>
      <c r="G188" s="6"/>
      <c r="H188" s="1"/>
    </row>
    <row r="189" spans="1:8" ht="15" customHeight="1" x14ac:dyDescent="0.25">
      <c r="A189" s="25"/>
      <c r="B189" s="6"/>
      <c r="C189" s="1"/>
      <c r="D189" s="1"/>
      <c r="E189" s="2"/>
      <c r="F189" s="1"/>
      <c r="G189" s="6"/>
      <c r="H189" s="1"/>
    </row>
    <row r="190" spans="1:8" ht="15" customHeight="1" x14ac:dyDescent="0.25">
      <c r="A190" s="25"/>
      <c r="B190" s="6"/>
      <c r="C190" s="1"/>
      <c r="D190" s="1"/>
      <c r="E190" s="2"/>
      <c r="F190" s="1"/>
      <c r="G190" s="6"/>
      <c r="H190" s="1"/>
    </row>
    <row r="191" spans="1:8" ht="15" customHeight="1" x14ac:dyDescent="0.25">
      <c r="A191" s="25"/>
      <c r="B191" s="6"/>
      <c r="C191" s="1"/>
      <c r="D191" s="1"/>
      <c r="E191" s="2"/>
      <c r="F191" s="1"/>
      <c r="G191" s="6"/>
      <c r="H191" s="1"/>
    </row>
    <row r="192" spans="1:8" ht="15" customHeight="1" x14ac:dyDescent="0.25">
      <c r="A192" s="25"/>
      <c r="B192" s="6"/>
      <c r="C192" s="1"/>
      <c r="D192" s="1"/>
      <c r="E192" s="2"/>
      <c r="F192" s="1"/>
      <c r="G192" s="6"/>
      <c r="H192" s="1"/>
    </row>
    <row r="193" spans="1:8" ht="15" customHeight="1" x14ac:dyDescent="0.25">
      <c r="A193" s="25"/>
      <c r="B193" s="6"/>
      <c r="C193" s="1"/>
      <c r="D193" s="1"/>
      <c r="E193" s="2"/>
      <c r="F193" s="1"/>
      <c r="G193" s="6"/>
      <c r="H193" s="1"/>
    </row>
    <row r="194" spans="1:8" ht="15" customHeight="1" x14ac:dyDescent="0.25">
      <c r="A194" s="25"/>
      <c r="B194" s="6"/>
      <c r="C194" s="1"/>
      <c r="D194" s="1"/>
      <c r="E194" s="2"/>
      <c r="F194" s="1"/>
      <c r="G194" s="6"/>
      <c r="H194" s="1"/>
    </row>
    <row r="195" spans="1:8" ht="15" customHeight="1" x14ac:dyDescent="0.25">
      <c r="A195" s="25"/>
      <c r="B195" s="6"/>
      <c r="C195" s="1"/>
      <c r="D195" s="1"/>
      <c r="E195" s="2"/>
      <c r="F195" s="1"/>
      <c r="G195" s="6"/>
      <c r="H195" s="1"/>
    </row>
    <row r="196" spans="1:8" ht="15" customHeight="1" x14ac:dyDescent="0.25">
      <c r="A196" s="25"/>
      <c r="B196" s="6"/>
      <c r="C196" s="1"/>
      <c r="D196" s="1"/>
      <c r="E196" s="2"/>
      <c r="F196" s="1"/>
      <c r="G196" s="6"/>
      <c r="H196" s="1"/>
    </row>
    <row r="197" spans="1:8" ht="15" customHeight="1" x14ac:dyDescent="0.25">
      <c r="A197" s="25"/>
      <c r="B197" s="6"/>
      <c r="C197" s="1"/>
      <c r="D197" s="1"/>
      <c r="E197" s="2"/>
      <c r="F197" s="1"/>
      <c r="G197" s="6"/>
      <c r="H197" s="1"/>
    </row>
    <row r="198" spans="1:8" ht="15" customHeight="1" x14ac:dyDescent="0.25">
      <c r="A198" s="25"/>
      <c r="B198" s="6"/>
      <c r="C198" s="1"/>
      <c r="D198" s="1"/>
      <c r="E198" s="2"/>
      <c r="F198" s="1"/>
      <c r="G198" s="6"/>
      <c r="H198" s="1"/>
    </row>
    <row r="199" spans="1:8" ht="15" customHeight="1" x14ac:dyDescent="0.25">
      <c r="A199" s="25"/>
      <c r="B199" s="6"/>
      <c r="C199" s="1"/>
      <c r="D199" s="1"/>
      <c r="E199" s="2"/>
      <c r="F199" s="1"/>
      <c r="G199" s="6"/>
      <c r="H199" s="1"/>
    </row>
    <row r="200" spans="1:8" ht="15" customHeight="1" x14ac:dyDescent="0.25">
      <c r="A200" s="25"/>
      <c r="B200" s="6"/>
      <c r="C200" s="1"/>
      <c r="D200" s="1"/>
      <c r="E200" s="2"/>
      <c r="F200" s="1"/>
      <c r="G200" s="6"/>
      <c r="H200" s="1"/>
    </row>
    <row r="201" spans="1:8" ht="15" customHeight="1" x14ac:dyDescent="0.25">
      <c r="A201" s="25"/>
      <c r="B201" s="6"/>
      <c r="C201" s="1"/>
      <c r="D201" s="1"/>
      <c r="E201" s="2"/>
      <c r="F201" s="1"/>
      <c r="G201" s="6"/>
      <c r="H201" s="1"/>
    </row>
    <row r="202" spans="1:8" ht="15" customHeight="1" x14ac:dyDescent="0.25">
      <c r="A202" s="25"/>
      <c r="B202" s="6"/>
      <c r="C202" s="1"/>
      <c r="D202" s="1"/>
      <c r="E202" s="2"/>
      <c r="F202" s="1"/>
      <c r="G202" s="6"/>
      <c r="H202" s="1"/>
    </row>
    <row r="203" spans="1:8" ht="15" customHeight="1" x14ac:dyDescent="0.25">
      <c r="A203" s="25"/>
      <c r="B203" s="6"/>
      <c r="C203" s="1"/>
      <c r="D203" s="1"/>
      <c r="E203" s="2"/>
      <c r="F203" s="1"/>
      <c r="G203" s="6"/>
      <c r="H203" s="1"/>
    </row>
    <row r="204" spans="1:8" ht="15" customHeight="1" x14ac:dyDescent="0.25">
      <c r="A204" s="25"/>
      <c r="B204" s="6"/>
      <c r="C204" s="1"/>
      <c r="D204" s="1"/>
      <c r="E204" s="2"/>
      <c r="F204" s="1"/>
      <c r="G204" s="6"/>
      <c r="H204" s="1"/>
    </row>
    <row r="205" spans="1:8" ht="15" customHeight="1" x14ac:dyDescent="0.25">
      <c r="A205" s="25"/>
      <c r="B205" s="6"/>
      <c r="C205" s="1"/>
      <c r="D205" s="1"/>
      <c r="E205" s="2"/>
      <c r="F205" s="1"/>
      <c r="G205" s="6"/>
      <c r="H205" s="1"/>
    </row>
    <row r="206" spans="1:8" ht="15" customHeight="1" x14ac:dyDescent="0.25">
      <c r="A206" s="25"/>
      <c r="B206" s="6"/>
      <c r="C206" s="1"/>
      <c r="D206" s="1"/>
      <c r="E206" s="2"/>
      <c r="F206" s="1"/>
      <c r="G206" s="6"/>
      <c r="H206" s="1"/>
    </row>
    <row r="207" spans="1:8" ht="15" customHeight="1" x14ac:dyDescent="0.25">
      <c r="A207" s="25"/>
      <c r="B207" s="6"/>
      <c r="C207" s="1"/>
      <c r="D207" s="1"/>
      <c r="E207" s="2"/>
      <c r="F207" s="1"/>
      <c r="G207" s="6"/>
      <c r="H207" s="1"/>
    </row>
    <row r="208" spans="1:8" ht="15" customHeight="1" x14ac:dyDescent="0.25">
      <c r="A208" s="25"/>
      <c r="B208" s="6"/>
      <c r="C208" s="1"/>
      <c r="D208" s="1"/>
      <c r="E208" s="2"/>
      <c r="F208" s="1"/>
      <c r="G208" s="6"/>
      <c r="H208" s="1"/>
    </row>
    <row r="209" spans="1:8" ht="15" customHeight="1" x14ac:dyDescent="0.25">
      <c r="A209" s="25"/>
      <c r="B209" s="6"/>
      <c r="C209" s="1"/>
      <c r="D209" s="1"/>
      <c r="E209" s="2"/>
      <c r="F209" s="1"/>
      <c r="G209" s="6"/>
      <c r="H209" s="1"/>
    </row>
    <row r="210" spans="1:8" ht="15" customHeight="1" x14ac:dyDescent="0.25">
      <c r="A210" s="25"/>
      <c r="B210" s="6"/>
      <c r="C210" s="1"/>
      <c r="D210" s="1"/>
      <c r="E210" s="2"/>
      <c r="F210" s="1"/>
      <c r="G210" s="6"/>
      <c r="H210" s="1"/>
    </row>
    <row r="211" spans="1:8" ht="15" customHeight="1" x14ac:dyDescent="0.25">
      <c r="A211" s="25"/>
      <c r="B211" s="6"/>
      <c r="C211" s="1"/>
      <c r="D211" s="1"/>
      <c r="E211" s="2"/>
      <c r="F211" s="1"/>
      <c r="G211" s="6"/>
      <c r="H211" s="1"/>
    </row>
    <row r="212" spans="1:8" ht="15" customHeight="1" x14ac:dyDescent="0.25">
      <c r="A212" s="25"/>
      <c r="B212" s="6"/>
      <c r="C212" s="1"/>
      <c r="D212" s="1"/>
      <c r="E212" s="2"/>
      <c r="F212" s="1"/>
      <c r="G212" s="6"/>
      <c r="H212" s="1"/>
    </row>
    <row r="213" spans="1:8" ht="15" customHeight="1" x14ac:dyDescent="0.25">
      <c r="A213" s="25"/>
      <c r="B213" s="6"/>
      <c r="C213" s="1"/>
      <c r="D213" s="1"/>
      <c r="E213" s="2"/>
      <c r="F213" s="1"/>
      <c r="G213" s="6"/>
      <c r="H213" s="1"/>
    </row>
    <row r="214" spans="1:8" ht="15" customHeight="1" x14ac:dyDescent="0.25">
      <c r="A214" s="25"/>
      <c r="B214" s="6"/>
      <c r="C214" s="1"/>
      <c r="D214" s="1"/>
      <c r="E214" s="2"/>
      <c r="F214" s="1"/>
      <c r="G214" s="6"/>
      <c r="H214" s="1"/>
    </row>
    <row r="215" spans="1:8" ht="15" customHeight="1" x14ac:dyDescent="0.25">
      <c r="A215" s="25"/>
      <c r="B215" s="6"/>
      <c r="C215" s="1"/>
      <c r="D215" s="1"/>
      <c r="E215" s="2"/>
      <c r="F215" s="1"/>
      <c r="G215" s="6"/>
      <c r="H215" s="1"/>
    </row>
    <row r="216" spans="1:8" ht="15" customHeight="1" x14ac:dyDescent="0.25">
      <c r="A216" s="25"/>
      <c r="B216" s="6"/>
      <c r="C216" s="1"/>
      <c r="D216" s="1"/>
      <c r="E216" s="2"/>
      <c r="F216" s="1"/>
      <c r="G216" s="6"/>
      <c r="H216" s="1"/>
    </row>
    <row r="217" spans="1:8" ht="15" customHeight="1" x14ac:dyDescent="0.25">
      <c r="A217" s="25"/>
      <c r="B217" s="6"/>
      <c r="C217" s="1"/>
      <c r="D217" s="1"/>
      <c r="E217" s="2"/>
      <c r="F217" s="1"/>
      <c r="G217" s="6"/>
      <c r="H217" s="1"/>
    </row>
    <row r="218" spans="1:8" ht="15" customHeight="1" x14ac:dyDescent="0.25">
      <c r="A218" s="25"/>
      <c r="B218" s="6"/>
      <c r="C218" s="1"/>
      <c r="D218" s="1"/>
      <c r="E218" s="2"/>
      <c r="F218" s="1"/>
      <c r="G218" s="6"/>
      <c r="H218" s="1"/>
    </row>
    <row r="219" spans="1:8" ht="15" customHeight="1" x14ac:dyDescent="0.25">
      <c r="A219" s="25"/>
      <c r="B219" s="6"/>
      <c r="C219" s="1"/>
      <c r="D219" s="1"/>
      <c r="E219" s="2"/>
      <c r="F219" s="1"/>
      <c r="G219" s="6"/>
      <c r="H219" s="1"/>
    </row>
    <row r="220" spans="1:8" ht="15" customHeight="1" x14ac:dyDescent="0.25">
      <c r="A220" s="25"/>
      <c r="B220" s="6"/>
      <c r="C220" s="1"/>
      <c r="D220" s="1"/>
      <c r="E220" s="2"/>
      <c r="F220" s="1"/>
      <c r="G220" s="6"/>
      <c r="H220" s="1"/>
    </row>
    <row r="221" spans="1:8" ht="15" customHeight="1" x14ac:dyDescent="0.25">
      <c r="A221" s="25"/>
      <c r="B221" s="6"/>
      <c r="C221" s="1"/>
      <c r="D221" s="1"/>
      <c r="E221" s="2"/>
      <c r="F221" s="1"/>
      <c r="G221" s="6"/>
      <c r="H221" s="1"/>
    </row>
    <row r="222" spans="1:8" ht="15" customHeight="1" x14ac:dyDescent="0.25">
      <c r="A222" s="25"/>
      <c r="B222" s="6"/>
      <c r="C222" s="1"/>
      <c r="D222" s="1"/>
      <c r="E222" s="2"/>
      <c r="F222" s="1"/>
      <c r="G222" s="6"/>
      <c r="H222" s="1"/>
    </row>
    <row r="223" spans="1:8" ht="15" customHeight="1" x14ac:dyDescent="0.25">
      <c r="A223" s="25"/>
      <c r="B223" s="6"/>
      <c r="C223" s="1"/>
      <c r="D223" s="1"/>
      <c r="E223" s="2"/>
      <c r="F223" s="1"/>
      <c r="G223" s="6"/>
      <c r="H223" s="1"/>
    </row>
    <row r="224" spans="1:8" ht="15" customHeight="1" x14ac:dyDescent="0.25">
      <c r="A224" s="25"/>
      <c r="B224" s="6"/>
      <c r="C224" s="1"/>
      <c r="D224" s="1"/>
      <c r="E224" s="2"/>
      <c r="F224" s="1"/>
      <c r="G224" s="6"/>
      <c r="H224" s="1"/>
    </row>
    <row r="225" spans="1:8" ht="15" customHeight="1" x14ac:dyDescent="0.25">
      <c r="A225" s="25"/>
      <c r="B225" s="6"/>
      <c r="C225" s="1"/>
      <c r="D225" s="1"/>
      <c r="E225" s="2"/>
      <c r="F225" s="1"/>
      <c r="G225" s="6"/>
      <c r="H225" s="1"/>
    </row>
    <row r="226" spans="1:8" ht="15" customHeight="1" x14ac:dyDescent="0.25">
      <c r="A226" s="25"/>
      <c r="B226" s="6"/>
      <c r="C226" s="1"/>
      <c r="D226" s="1"/>
      <c r="E226" s="2"/>
      <c r="F226" s="1"/>
      <c r="G226" s="6"/>
      <c r="H226" s="1"/>
    </row>
    <row r="227" spans="1:8" ht="15" customHeight="1" x14ac:dyDescent="0.25">
      <c r="A227" s="25"/>
      <c r="B227" s="6"/>
      <c r="C227" s="1"/>
      <c r="D227" s="1"/>
      <c r="E227" s="2"/>
      <c r="F227" s="1"/>
      <c r="G227" s="6"/>
      <c r="H227" s="1"/>
    </row>
    <row r="228" spans="1:8" ht="15" customHeight="1" x14ac:dyDescent="0.25">
      <c r="A228" s="25"/>
      <c r="B228" s="6"/>
      <c r="C228" s="1"/>
      <c r="D228" s="1"/>
      <c r="E228" s="2"/>
      <c r="F228" s="1"/>
      <c r="G228" s="6"/>
      <c r="H228" s="1"/>
    </row>
    <row r="229" spans="1:8" ht="15" customHeight="1" x14ac:dyDescent="0.25">
      <c r="A229" s="25"/>
      <c r="B229" s="6"/>
      <c r="C229" s="1"/>
      <c r="D229" s="1"/>
      <c r="E229" s="2"/>
      <c r="F229" s="1"/>
      <c r="G229" s="6"/>
      <c r="H229" s="1"/>
    </row>
    <row r="230" spans="1:8" ht="15" customHeight="1" x14ac:dyDescent="0.25">
      <c r="A230" s="25"/>
      <c r="B230" s="6"/>
      <c r="C230" s="1"/>
      <c r="D230" s="1"/>
      <c r="E230" s="2"/>
      <c r="F230" s="1"/>
      <c r="G230" s="6"/>
      <c r="H230" s="1"/>
    </row>
    <row r="231" spans="1:8" ht="15" customHeight="1" x14ac:dyDescent="0.25">
      <c r="A231" s="25"/>
      <c r="B231" s="6"/>
      <c r="C231" s="1"/>
      <c r="D231" s="1"/>
      <c r="E231" s="2"/>
      <c r="F231" s="1"/>
      <c r="G231" s="6"/>
      <c r="H231" s="1"/>
    </row>
    <row r="232" spans="1:8" ht="15" customHeight="1" x14ac:dyDescent="0.25">
      <c r="A232" s="25"/>
      <c r="B232" s="6"/>
      <c r="C232" s="1"/>
      <c r="D232" s="1"/>
      <c r="E232" s="2"/>
      <c r="F232" s="1"/>
      <c r="G232" s="6"/>
      <c r="H232" s="1"/>
    </row>
    <row r="233" spans="1:8" ht="15" customHeight="1" x14ac:dyDescent="0.25">
      <c r="A233" s="25"/>
      <c r="B233" s="6"/>
      <c r="C233" s="1"/>
      <c r="D233" s="1"/>
      <c r="E233" s="2"/>
      <c r="F233" s="1"/>
      <c r="G233" s="6"/>
      <c r="H233" s="1"/>
    </row>
    <row r="234" spans="1:8" ht="15" customHeight="1" x14ac:dyDescent="0.25">
      <c r="A234" s="25"/>
      <c r="B234" s="6"/>
      <c r="C234" s="1"/>
      <c r="D234" s="1"/>
      <c r="E234" s="2"/>
      <c r="F234" s="1"/>
      <c r="G234" s="6"/>
      <c r="H234" s="1"/>
    </row>
    <row r="235" spans="1:8" ht="15" customHeight="1" x14ac:dyDescent="0.25">
      <c r="A235" s="25"/>
      <c r="B235" s="6"/>
      <c r="C235" s="1"/>
      <c r="D235" s="1"/>
      <c r="E235" s="2"/>
      <c r="F235" s="1"/>
      <c r="G235" s="6"/>
      <c r="H235" s="1"/>
    </row>
    <row r="236" spans="1:8" ht="15" customHeight="1" x14ac:dyDescent="0.25">
      <c r="A236" s="25"/>
      <c r="B236" s="6"/>
      <c r="C236" s="1"/>
      <c r="D236" s="1"/>
      <c r="E236" s="2"/>
      <c r="F236" s="1"/>
      <c r="G236" s="6"/>
      <c r="H236" s="1"/>
    </row>
    <row r="237" spans="1:8" ht="15" customHeight="1" x14ac:dyDescent="0.25">
      <c r="A237" s="25"/>
      <c r="B237" s="6"/>
      <c r="C237" s="1"/>
      <c r="D237" s="1"/>
      <c r="E237" s="2"/>
      <c r="F237" s="1"/>
      <c r="G237" s="6"/>
      <c r="H237" s="1"/>
    </row>
    <row r="238" spans="1:8" ht="15" customHeight="1" x14ac:dyDescent="0.25">
      <c r="A238" s="25"/>
      <c r="B238" s="6"/>
      <c r="C238" s="1"/>
      <c r="D238" s="1"/>
      <c r="E238" s="2"/>
      <c r="F238" s="1"/>
      <c r="G238" s="6"/>
      <c r="H238" s="1"/>
    </row>
    <row r="239" spans="1:8" ht="15" customHeight="1" x14ac:dyDescent="0.25">
      <c r="A239" s="25"/>
      <c r="B239" s="6"/>
      <c r="C239" s="1"/>
      <c r="D239" s="1"/>
      <c r="E239" s="2"/>
      <c r="F239" s="1"/>
      <c r="G239" s="6"/>
      <c r="H239" s="1"/>
    </row>
    <row r="240" spans="1:8" ht="15" customHeight="1" x14ac:dyDescent="0.25">
      <c r="A240" s="25"/>
      <c r="B240" s="6"/>
      <c r="C240" s="1"/>
      <c r="D240" s="1"/>
      <c r="E240" s="2"/>
      <c r="F240" s="1"/>
      <c r="G240" s="6"/>
      <c r="H240" s="1"/>
    </row>
    <row r="241" spans="1:8" ht="15" customHeight="1" x14ac:dyDescent="0.25">
      <c r="A241" s="25"/>
      <c r="B241" s="6"/>
      <c r="C241" s="1"/>
      <c r="D241" s="1"/>
      <c r="E241" s="2"/>
      <c r="F241" s="1"/>
      <c r="G241" s="6"/>
      <c r="H241" s="1"/>
    </row>
    <row r="242" spans="1:8" ht="15" customHeight="1" x14ac:dyDescent="0.25">
      <c r="A242" s="25"/>
      <c r="B242" s="6"/>
      <c r="C242" s="1"/>
      <c r="D242" s="1"/>
      <c r="E242" s="2"/>
      <c r="F242" s="1"/>
      <c r="G242" s="6"/>
      <c r="H242" s="1"/>
    </row>
    <row r="243" spans="1:8" ht="15" customHeight="1" x14ac:dyDescent="0.25">
      <c r="A243" s="25"/>
      <c r="B243" s="6"/>
      <c r="C243" s="1"/>
      <c r="D243" s="1"/>
      <c r="E243" s="2"/>
      <c r="F243" s="1"/>
      <c r="G243" s="6"/>
      <c r="H243" s="1"/>
    </row>
    <row r="244" spans="1:8" ht="15" customHeight="1" x14ac:dyDescent="0.25">
      <c r="A244" s="25"/>
      <c r="B244" s="6"/>
      <c r="C244" s="1"/>
      <c r="D244" s="1"/>
      <c r="E244" s="2"/>
      <c r="F244" s="1"/>
      <c r="G244" s="6"/>
      <c r="H244" s="1"/>
    </row>
    <row r="245" spans="1:8" ht="15" customHeight="1" x14ac:dyDescent="0.25">
      <c r="A245" s="25"/>
      <c r="B245" s="6"/>
      <c r="C245" s="1"/>
      <c r="D245" s="1"/>
      <c r="E245" s="2"/>
      <c r="F245" s="1"/>
      <c r="G245" s="6"/>
      <c r="H245" s="1"/>
    </row>
    <row r="246" spans="1:8" ht="15" customHeight="1" x14ac:dyDescent="0.25">
      <c r="A246" s="25"/>
      <c r="B246" s="6"/>
      <c r="C246" s="1"/>
      <c r="D246" s="1"/>
      <c r="E246" s="2"/>
      <c r="F246" s="1"/>
      <c r="G246" s="6"/>
      <c r="H246" s="1"/>
    </row>
    <row r="247" spans="1:8" ht="15" customHeight="1" x14ac:dyDescent="0.25">
      <c r="A247" s="25"/>
      <c r="B247" s="6"/>
      <c r="C247" s="1"/>
      <c r="D247" s="1"/>
      <c r="E247" s="2"/>
      <c r="F247" s="1"/>
      <c r="G247" s="6"/>
      <c r="H247" s="1"/>
    </row>
    <row r="248" spans="1:8" ht="15" customHeight="1" x14ac:dyDescent="0.25">
      <c r="A248" s="25"/>
      <c r="B248" s="6"/>
      <c r="C248" s="1"/>
      <c r="D248" s="1"/>
      <c r="E248" s="2"/>
      <c r="F248" s="1"/>
      <c r="G248" s="6"/>
      <c r="H248" s="1"/>
    </row>
    <row r="249" spans="1:8" ht="15" customHeight="1" x14ac:dyDescent="0.25">
      <c r="A249" s="25"/>
      <c r="B249" s="6"/>
      <c r="C249" s="1"/>
      <c r="D249" s="1"/>
      <c r="E249" s="2"/>
      <c r="F249" s="1"/>
      <c r="G249" s="6"/>
      <c r="H249" s="1"/>
    </row>
    <row r="250" spans="1:8" ht="15" customHeight="1" x14ac:dyDescent="0.25">
      <c r="A250" s="25"/>
      <c r="B250" s="6"/>
      <c r="C250" s="1"/>
      <c r="D250" s="1"/>
      <c r="E250" s="2"/>
      <c r="F250" s="1"/>
      <c r="G250" s="6"/>
      <c r="H250" s="1"/>
    </row>
    <row r="251" spans="1:8" ht="15" customHeight="1" x14ac:dyDescent="0.25">
      <c r="A251" s="25"/>
      <c r="B251" s="6"/>
      <c r="C251" s="1"/>
      <c r="D251" s="1"/>
      <c r="E251" s="2"/>
      <c r="F251" s="1"/>
      <c r="G251" s="6"/>
      <c r="H251" s="1"/>
    </row>
    <row r="252" spans="1:8" ht="15" customHeight="1" x14ac:dyDescent="0.25">
      <c r="A252" s="25"/>
      <c r="B252" s="6"/>
      <c r="C252" s="1"/>
      <c r="D252" s="1"/>
      <c r="E252" s="2"/>
      <c r="F252" s="1"/>
      <c r="G252" s="6"/>
      <c r="H252" s="1"/>
    </row>
    <row r="253" spans="1:8" ht="15" customHeight="1" x14ac:dyDescent="0.25">
      <c r="A253" s="25"/>
      <c r="B253" s="6"/>
      <c r="C253" s="1"/>
      <c r="D253" s="1"/>
      <c r="E253" s="2"/>
      <c r="F253" s="1"/>
      <c r="G253" s="6"/>
      <c r="H253" s="1"/>
    </row>
    <row r="254" spans="1:8" ht="15" customHeight="1" x14ac:dyDescent="0.25">
      <c r="A254" s="25"/>
      <c r="B254" s="6"/>
      <c r="C254" s="1"/>
      <c r="D254" s="1"/>
      <c r="E254" s="2"/>
      <c r="F254" s="1"/>
      <c r="G254" s="6"/>
      <c r="H254" s="1"/>
    </row>
    <row r="255" spans="1:8" ht="15" customHeight="1" x14ac:dyDescent="0.25">
      <c r="A255" s="25"/>
      <c r="B255" s="6"/>
      <c r="C255" s="1"/>
      <c r="D255" s="1"/>
      <c r="E255" s="2"/>
      <c r="F255" s="1"/>
      <c r="G255" s="6"/>
      <c r="H255" s="1"/>
    </row>
    <row r="256" spans="1:8" ht="15" customHeight="1" x14ac:dyDescent="0.25">
      <c r="A256" s="25"/>
      <c r="B256" s="6"/>
      <c r="C256" s="1"/>
      <c r="D256" s="1"/>
      <c r="E256" s="2"/>
      <c r="F256" s="1"/>
      <c r="G256" s="6"/>
      <c r="H256" s="1"/>
    </row>
    <row r="257" spans="1:8" ht="15" customHeight="1" x14ac:dyDescent="0.25">
      <c r="A257" s="25"/>
      <c r="B257" s="6"/>
      <c r="C257" s="1"/>
      <c r="D257" s="1"/>
      <c r="E257" s="2"/>
      <c r="F257" s="1"/>
      <c r="G257" s="6"/>
      <c r="H257" s="1"/>
    </row>
    <row r="258" spans="1:8" ht="15" customHeight="1" x14ac:dyDescent="0.25">
      <c r="A258" s="25"/>
      <c r="B258" s="6"/>
      <c r="C258" s="1"/>
      <c r="D258" s="1"/>
      <c r="E258" s="2"/>
      <c r="F258" s="1"/>
      <c r="G258" s="6"/>
      <c r="H258" s="1"/>
    </row>
    <row r="259" spans="1:8" ht="15" customHeight="1" x14ac:dyDescent="0.25">
      <c r="A259" s="25"/>
      <c r="B259" s="6"/>
      <c r="C259" s="1"/>
      <c r="D259" s="1"/>
      <c r="E259" s="2"/>
      <c r="F259" s="1"/>
      <c r="G259" s="6"/>
      <c r="H259" s="1"/>
    </row>
    <row r="260" spans="1:8" ht="15" customHeight="1" x14ac:dyDescent="0.25">
      <c r="A260" s="25"/>
      <c r="B260" s="6"/>
      <c r="C260" s="1"/>
      <c r="D260" s="1"/>
      <c r="E260" s="2"/>
      <c r="F260" s="1"/>
      <c r="G260" s="6"/>
      <c r="H260" s="1"/>
    </row>
    <row r="261" spans="1:8" ht="15" customHeight="1" x14ac:dyDescent="0.25">
      <c r="A261" s="25"/>
      <c r="B261" s="6"/>
      <c r="C261" s="1"/>
      <c r="D261" s="1"/>
      <c r="E261" s="2"/>
      <c r="F261" s="1"/>
      <c r="G261" s="6"/>
      <c r="H261" s="1"/>
    </row>
    <row r="262" spans="1:8" ht="15" customHeight="1" x14ac:dyDescent="0.25">
      <c r="A262" s="25"/>
      <c r="B262" s="6"/>
      <c r="C262" s="1"/>
      <c r="D262" s="1"/>
      <c r="E262" s="2"/>
      <c r="F262" s="1"/>
      <c r="G262" s="6"/>
      <c r="H262" s="1"/>
    </row>
    <row r="263" spans="1:8" ht="15" customHeight="1" x14ac:dyDescent="0.25">
      <c r="A263" s="25"/>
      <c r="B263" s="6"/>
      <c r="C263" s="1"/>
      <c r="D263" s="1"/>
      <c r="E263" s="2"/>
      <c r="F263" s="1"/>
      <c r="G263" s="6"/>
      <c r="H263" s="1"/>
    </row>
    <row r="264" spans="1:8" ht="15" customHeight="1" x14ac:dyDescent="0.25">
      <c r="A264" s="25"/>
      <c r="B264" s="6"/>
      <c r="C264" s="1"/>
      <c r="D264" s="1"/>
      <c r="E264" s="2"/>
      <c r="F264" s="1"/>
      <c r="G264" s="6"/>
      <c r="H264" s="1"/>
    </row>
    <row r="265" spans="1:8" ht="15" customHeight="1" x14ac:dyDescent="0.25">
      <c r="A265" s="25"/>
      <c r="B265" s="6"/>
      <c r="C265" s="1"/>
      <c r="D265" s="1"/>
      <c r="E265" s="2"/>
      <c r="F265" s="1"/>
      <c r="G265" s="6"/>
      <c r="H265" s="1"/>
    </row>
    <row r="266" spans="1:8" ht="15" customHeight="1" x14ac:dyDescent="0.25">
      <c r="A266" s="25"/>
      <c r="B266" s="6"/>
      <c r="C266" s="1"/>
      <c r="D266" s="1"/>
      <c r="E266" s="2"/>
      <c r="F266" s="1"/>
      <c r="G266" s="6"/>
      <c r="H266" s="1"/>
    </row>
    <row r="267" spans="1:8" ht="15" customHeight="1" x14ac:dyDescent="0.25">
      <c r="A267" s="25"/>
      <c r="B267" s="6"/>
      <c r="C267" s="1"/>
      <c r="D267" s="1"/>
      <c r="E267" s="2"/>
      <c r="F267" s="1"/>
      <c r="G267" s="6"/>
      <c r="H267" s="1"/>
    </row>
    <row r="268" spans="1:8" ht="15" customHeight="1" x14ac:dyDescent="0.25">
      <c r="A268" s="25"/>
      <c r="B268" s="6"/>
      <c r="C268" s="1"/>
      <c r="D268" s="1"/>
      <c r="E268" s="2"/>
      <c r="F268" s="1"/>
      <c r="G268" s="6"/>
      <c r="H268" s="1"/>
    </row>
    <row r="269" spans="1:8" ht="15" customHeight="1" x14ac:dyDescent="0.25">
      <c r="A269" s="25"/>
      <c r="B269" s="6"/>
      <c r="C269" s="1"/>
      <c r="D269" s="1"/>
      <c r="E269" s="2"/>
      <c r="F269" s="1"/>
      <c r="G269" s="6"/>
      <c r="H269" s="1"/>
    </row>
    <row r="270" spans="1:8" ht="15" customHeight="1" x14ac:dyDescent="0.25">
      <c r="A270" s="25"/>
      <c r="B270" s="6"/>
      <c r="C270" s="1"/>
      <c r="D270" s="1"/>
      <c r="E270" s="2"/>
      <c r="F270" s="1"/>
      <c r="G270" s="6"/>
      <c r="H270" s="1"/>
    </row>
    <row r="271" spans="1:8" ht="15" customHeight="1" x14ac:dyDescent="0.25">
      <c r="A271" s="25"/>
      <c r="B271" s="6"/>
      <c r="C271" s="1"/>
      <c r="D271" s="1"/>
      <c r="E271" s="2"/>
      <c r="F271" s="1"/>
      <c r="G271" s="6"/>
      <c r="H271" s="1"/>
    </row>
    <row r="272" spans="1:8" ht="15" customHeight="1" x14ac:dyDescent="0.25">
      <c r="A272" s="25"/>
      <c r="B272" s="6"/>
      <c r="C272" s="1"/>
      <c r="D272" s="1"/>
      <c r="E272" s="2"/>
      <c r="F272" s="1"/>
      <c r="G272" s="6"/>
      <c r="H272" s="1"/>
    </row>
    <row r="273" spans="1:8" ht="15" customHeight="1" x14ac:dyDescent="0.25">
      <c r="A273" s="25"/>
      <c r="B273" s="6"/>
      <c r="C273" s="1"/>
      <c r="D273" s="1"/>
      <c r="E273" s="2"/>
      <c r="F273" s="1"/>
      <c r="G273" s="6"/>
      <c r="H273" s="1"/>
    </row>
    <row r="274" spans="1:8" ht="15" customHeight="1" x14ac:dyDescent="0.25">
      <c r="A274" s="25"/>
      <c r="B274" s="6"/>
      <c r="C274" s="1"/>
      <c r="D274" s="1"/>
      <c r="E274" s="2"/>
      <c r="F274" s="1"/>
      <c r="G274" s="6"/>
      <c r="H274" s="1"/>
    </row>
    <row r="275" spans="1:8" ht="15" customHeight="1" x14ac:dyDescent="0.25">
      <c r="A275" s="25"/>
      <c r="B275" s="6"/>
      <c r="C275" s="1"/>
      <c r="D275" s="1"/>
      <c r="E275" s="2"/>
      <c r="F275" s="1"/>
      <c r="G275" s="6"/>
      <c r="H275" s="1"/>
    </row>
    <row r="276" spans="1:8" ht="15" customHeight="1" x14ac:dyDescent="0.25">
      <c r="A276" s="25"/>
      <c r="B276" s="6"/>
      <c r="C276" s="1"/>
      <c r="D276" s="1"/>
      <c r="E276" s="2"/>
      <c r="F276" s="1"/>
      <c r="G276" s="6"/>
      <c r="H276" s="1"/>
    </row>
    <row r="277" spans="1:8" ht="15" customHeight="1" x14ac:dyDescent="0.25">
      <c r="A277" s="25"/>
      <c r="B277" s="6"/>
      <c r="C277" s="1"/>
      <c r="D277" s="1"/>
      <c r="E277" s="2"/>
      <c r="F277" s="1"/>
      <c r="G277" s="6"/>
      <c r="H277" s="1"/>
    </row>
    <row r="278" spans="1:8" ht="15" customHeight="1" x14ac:dyDescent="0.25">
      <c r="A278" s="25"/>
      <c r="B278" s="6"/>
      <c r="C278" s="1"/>
      <c r="D278" s="1"/>
      <c r="E278" s="2"/>
      <c r="F278" s="1"/>
      <c r="G278" s="6"/>
      <c r="H278" s="1"/>
    </row>
    <row r="279" spans="1:8" ht="15" customHeight="1" x14ac:dyDescent="0.25">
      <c r="A279" s="25"/>
      <c r="B279" s="6"/>
      <c r="C279" s="1"/>
      <c r="D279" s="1"/>
      <c r="E279" s="2"/>
      <c r="F279" s="1"/>
      <c r="G279" s="6"/>
      <c r="H279" s="1"/>
    </row>
    <row r="280" spans="1:8" ht="15" customHeight="1" x14ac:dyDescent="0.25">
      <c r="A280" s="25"/>
      <c r="B280" s="6"/>
      <c r="C280" s="1"/>
      <c r="D280" s="1"/>
      <c r="E280" s="2"/>
      <c r="F280" s="1"/>
      <c r="G280" s="6"/>
      <c r="H280" s="1"/>
    </row>
    <row r="281" spans="1:8" ht="15" customHeight="1" x14ac:dyDescent="0.25">
      <c r="A281" s="25"/>
      <c r="B281" s="6"/>
      <c r="C281" s="1"/>
      <c r="D281" s="1"/>
      <c r="E281" s="2"/>
      <c r="F281" s="1"/>
      <c r="G281" s="6"/>
      <c r="H281" s="1"/>
    </row>
    <row r="282" spans="1:8" ht="15" customHeight="1" x14ac:dyDescent="0.25">
      <c r="A282" s="25"/>
      <c r="B282" s="6"/>
      <c r="C282" s="1"/>
      <c r="D282" s="1"/>
      <c r="E282" s="2"/>
      <c r="F282" s="1"/>
      <c r="G282" s="6"/>
      <c r="H282" s="1"/>
    </row>
    <row r="283" spans="1:8" ht="15" customHeight="1" x14ac:dyDescent="0.25">
      <c r="A283" s="25"/>
      <c r="B283" s="6"/>
      <c r="C283" s="1"/>
      <c r="D283" s="1"/>
      <c r="E283" s="2"/>
      <c r="F283" s="1"/>
      <c r="G283" s="6"/>
      <c r="H283" s="1"/>
    </row>
    <row r="284" spans="1:8" ht="15" customHeight="1" x14ac:dyDescent="0.25">
      <c r="A284" s="25"/>
      <c r="B284" s="6"/>
      <c r="C284" s="1"/>
      <c r="D284" s="1"/>
      <c r="E284" s="2"/>
      <c r="F284" s="1"/>
      <c r="G284" s="6"/>
      <c r="H284" s="1"/>
    </row>
    <row r="285" spans="1:8" ht="15" customHeight="1" x14ac:dyDescent="0.25">
      <c r="A285" s="25"/>
      <c r="B285" s="6"/>
      <c r="C285" s="1"/>
      <c r="D285" s="1"/>
      <c r="E285" s="2"/>
      <c r="F285" s="1"/>
      <c r="G285" s="6"/>
      <c r="H285" s="1"/>
    </row>
    <row r="286" spans="1:8" ht="15" customHeight="1" x14ac:dyDescent="0.25">
      <c r="A286" s="25"/>
      <c r="B286" s="6"/>
      <c r="C286" s="1"/>
      <c r="D286" s="1"/>
      <c r="E286" s="2"/>
      <c r="F286" s="1"/>
      <c r="G286" s="6"/>
      <c r="H286" s="1"/>
    </row>
    <row r="287" spans="1:8" ht="15" customHeight="1" x14ac:dyDescent="0.25">
      <c r="A287" s="25"/>
      <c r="B287" s="6"/>
      <c r="C287" s="1"/>
      <c r="D287" s="1"/>
      <c r="E287" s="2"/>
      <c r="F287" s="1"/>
      <c r="G287" s="6"/>
      <c r="H287" s="1"/>
    </row>
    <row r="288" spans="1:8" ht="15" customHeight="1" x14ac:dyDescent="0.25">
      <c r="A288" s="25"/>
      <c r="B288" s="6"/>
      <c r="C288" s="1"/>
      <c r="D288" s="1"/>
      <c r="E288" s="2"/>
      <c r="F288" s="1"/>
      <c r="G288" s="6"/>
      <c r="H288" s="1"/>
    </row>
    <row r="289" spans="1:8" ht="15" customHeight="1" x14ac:dyDescent="0.25">
      <c r="A289" s="25"/>
      <c r="B289" s="6"/>
      <c r="C289" s="1"/>
      <c r="D289" s="1"/>
      <c r="E289" s="2"/>
      <c r="F289" s="1"/>
      <c r="G289" s="6"/>
      <c r="H289" s="1"/>
    </row>
    <row r="290" spans="1:8" ht="15" customHeight="1" x14ac:dyDescent="0.25">
      <c r="A290" s="25"/>
      <c r="B290" s="6"/>
      <c r="C290" s="1"/>
      <c r="D290" s="1"/>
      <c r="E290" s="2"/>
      <c r="F290" s="1"/>
      <c r="G290" s="6"/>
      <c r="H290" s="1"/>
    </row>
    <row r="291" spans="1:8" ht="15" customHeight="1" x14ac:dyDescent="0.25">
      <c r="A291" s="25"/>
      <c r="B291" s="6"/>
      <c r="C291" s="1"/>
      <c r="D291" s="1"/>
      <c r="E291" s="2"/>
      <c r="F291" s="1"/>
      <c r="G291" s="6"/>
      <c r="H291" s="1"/>
    </row>
    <row r="292" spans="1:8" ht="15" customHeight="1" x14ac:dyDescent="0.25">
      <c r="A292" s="25"/>
      <c r="B292" s="6"/>
      <c r="C292" s="1"/>
      <c r="D292" s="1"/>
      <c r="E292" s="2"/>
      <c r="F292" s="1"/>
      <c r="G292" s="6"/>
      <c r="H292" s="1"/>
    </row>
    <row r="293" spans="1:8" ht="15" customHeight="1" x14ac:dyDescent="0.25">
      <c r="A293" s="25"/>
      <c r="B293" s="6"/>
      <c r="C293" s="1"/>
      <c r="D293" s="1"/>
      <c r="E293" s="2"/>
      <c r="F293" s="1"/>
      <c r="G293" s="6"/>
      <c r="H293" s="1"/>
    </row>
    <row r="294" spans="1:8" ht="15" customHeight="1" x14ac:dyDescent="0.25">
      <c r="A294" s="25"/>
      <c r="B294" s="6"/>
      <c r="C294" s="1"/>
      <c r="D294" s="1"/>
      <c r="E294" s="2"/>
      <c r="F294" s="1"/>
      <c r="G294" s="6"/>
      <c r="H294" s="1"/>
    </row>
    <row r="295" spans="1:8" ht="15" customHeight="1" x14ac:dyDescent="0.25">
      <c r="A295" s="25"/>
      <c r="B295" s="6"/>
      <c r="C295" s="1"/>
      <c r="D295" s="1"/>
      <c r="E295" s="2"/>
      <c r="F295" s="1"/>
      <c r="G295" s="6"/>
      <c r="H295" s="1"/>
    </row>
    <row r="296" spans="1:8" ht="15" customHeight="1" x14ac:dyDescent="0.25">
      <c r="A296" s="25"/>
      <c r="B296" s="6"/>
      <c r="C296" s="1"/>
      <c r="D296" s="1"/>
      <c r="E296" s="2"/>
      <c r="F296" s="1"/>
      <c r="G296" s="6"/>
      <c r="H296" s="1"/>
    </row>
    <row r="297" spans="1:8" ht="15" customHeight="1" x14ac:dyDescent="0.25">
      <c r="A297" s="25"/>
      <c r="B297" s="6"/>
      <c r="C297" s="1"/>
      <c r="D297" s="1"/>
      <c r="E297" s="2"/>
      <c r="F297" s="1"/>
      <c r="G297" s="6"/>
      <c r="H297" s="1"/>
    </row>
    <row r="298" spans="1:8" ht="15" customHeight="1" x14ac:dyDescent="0.25">
      <c r="A298" s="25"/>
      <c r="B298" s="6"/>
      <c r="C298" s="1"/>
      <c r="D298" s="1"/>
      <c r="E298" s="2"/>
      <c r="F298" s="1"/>
      <c r="G298" s="6"/>
      <c r="H298" s="1"/>
    </row>
    <row r="299" spans="1:8" ht="15" customHeight="1" x14ac:dyDescent="0.25">
      <c r="A299" s="25"/>
      <c r="B299" s="6"/>
      <c r="C299" s="1"/>
      <c r="D299" s="1"/>
      <c r="E299" s="2"/>
      <c r="F299" s="1"/>
      <c r="G299" s="6"/>
      <c r="H299" s="1"/>
    </row>
    <row r="300" spans="1:8" ht="15" customHeight="1" x14ac:dyDescent="0.25">
      <c r="A300" s="25"/>
      <c r="B300" s="6"/>
      <c r="C300" s="1"/>
      <c r="D300" s="1"/>
      <c r="E300" s="2"/>
      <c r="F300" s="1"/>
      <c r="G300" s="6"/>
      <c r="H300" s="1"/>
    </row>
    <row r="301" spans="1:8" ht="15" customHeight="1" x14ac:dyDescent="0.25">
      <c r="A301" s="25"/>
      <c r="B301" s="6"/>
      <c r="C301" s="1"/>
      <c r="D301" s="1"/>
      <c r="E301" s="2"/>
      <c r="F301" s="1"/>
      <c r="G301" s="6"/>
      <c r="H301" s="1"/>
    </row>
    <row r="302" spans="1:8" ht="15" customHeight="1" x14ac:dyDescent="0.25">
      <c r="A302" s="25"/>
      <c r="B302" s="6"/>
      <c r="C302" s="1"/>
      <c r="D302" s="1"/>
      <c r="E302" s="2"/>
      <c r="F302" s="1"/>
      <c r="G302" s="6"/>
      <c r="H302" s="1"/>
    </row>
    <row r="303" spans="1:8" ht="15" customHeight="1" x14ac:dyDescent="0.25">
      <c r="A303" s="25"/>
      <c r="B303" s="6"/>
      <c r="C303" s="1"/>
      <c r="D303" s="1"/>
      <c r="E303" s="2"/>
      <c r="F303" s="1"/>
      <c r="G303" s="6"/>
      <c r="H303" s="1"/>
    </row>
    <row r="304" spans="1:8" ht="15" customHeight="1" x14ac:dyDescent="0.25">
      <c r="A304" s="25"/>
      <c r="B304" s="6"/>
      <c r="C304" s="1"/>
      <c r="D304" s="1"/>
      <c r="E304" s="2"/>
      <c r="F304" s="1"/>
      <c r="G304" s="6"/>
      <c r="H304" s="1"/>
    </row>
    <row r="305" spans="1:8" ht="15" customHeight="1" x14ac:dyDescent="0.25">
      <c r="A305" s="25"/>
      <c r="B305" s="6"/>
      <c r="C305" s="1"/>
      <c r="D305" s="1"/>
      <c r="E305" s="2"/>
      <c r="F305" s="1"/>
      <c r="G305" s="6"/>
      <c r="H305" s="1"/>
    </row>
    <row r="306" spans="1:8" ht="15" customHeight="1" x14ac:dyDescent="0.25">
      <c r="A306" s="25"/>
      <c r="B306" s="6"/>
      <c r="C306" s="1"/>
      <c r="D306" s="1"/>
      <c r="E306" s="2"/>
      <c r="F306" s="1"/>
      <c r="G306" s="6"/>
      <c r="H306" s="1"/>
    </row>
    <row r="307" spans="1:8" ht="15" customHeight="1" x14ac:dyDescent="0.25">
      <c r="A307" s="25"/>
      <c r="B307" s="6"/>
      <c r="C307" s="1"/>
      <c r="D307" s="1"/>
      <c r="E307" s="2"/>
      <c r="F307" s="1"/>
      <c r="G307" s="6"/>
      <c r="H307" s="1"/>
    </row>
  </sheetData>
  <autoFilter ref="A1:L94" xr:uid="{C07DA694-33CE-490A-BD2E-756A2F2C5AA1}"/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28A86-718F-49FB-BD09-6F44184D5AC2}">
  <dimension ref="A1:R309"/>
  <sheetViews>
    <sheetView showGridLines="0" topLeftCell="A70" zoomScaleNormal="100" workbookViewId="0">
      <selection activeCell="E74" sqref="E74:E90"/>
    </sheetView>
  </sheetViews>
  <sheetFormatPr defaultRowHeight="15" customHeight="1" x14ac:dyDescent="0.25"/>
  <cols>
    <col min="1" max="1" width="49" style="26" customWidth="1"/>
    <col min="2" max="2" width="19.28515625" style="7" bestFit="1" customWidth="1"/>
    <col min="3" max="3" width="12.42578125" style="5" bestFit="1" customWidth="1"/>
    <col min="4" max="4" width="30" style="3" bestFit="1" customWidth="1"/>
    <col min="5" max="5" width="11" style="4" bestFit="1" customWidth="1"/>
    <col min="6" max="6" width="17.28515625" style="3" bestFit="1" customWidth="1"/>
    <col min="7" max="7" width="19.140625" style="7" bestFit="1" customWidth="1"/>
    <col min="8" max="8" width="16.28515625" style="3" bestFit="1" customWidth="1"/>
    <col min="9" max="9" width="2" bestFit="1" customWidth="1"/>
    <col min="10" max="10" width="17" style="5" bestFit="1" customWidth="1"/>
    <col min="11" max="11" width="18" style="27" bestFit="1" customWidth="1"/>
    <col min="12" max="12" width="30" bestFit="1" customWidth="1"/>
    <col min="13" max="13" width="11.140625" bestFit="1" customWidth="1"/>
    <col min="14" max="14" width="10.5703125" bestFit="1" customWidth="1"/>
    <col min="16" max="17" width="9.5703125" bestFit="1" customWidth="1"/>
  </cols>
  <sheetData>
    <row r="1" spans="1:14" ht="14.25" customHeight="1" x14ac:dyDescent="0.25">
      <c r="A1" s="10" t="s">
        <v>0</v>
      </c>
      <c r="B1" s="10" t="s">
        <v>7</v>
      </c>
      <c r="C1" s="13" t="s">
        <v>1</v>
      </c>
      <c r="D1" s="13" t="s">
        <v>2</v>
      </c>
      <c r="E1" s="14" t="s">
        <v>3</v>
      </c>
      <c r="F1" s="13" t="s">
        <v>4</v>
      </c>
      <c r="G1" s="10" t="s">
        <v>5</v>
      </c>
      <c r="H1" s="13" t="s">
        <v>6</v>
      </c>
      <c r="I1" s="15" t="s">
        <v>12</v>
      </c>
      <c r="J1" s="16" t="s">
        <v>26</v>
      </c>
      <c r="K1" s="16" t="s">
        <v>27</v>
      </c>
      <c r="L1" s="15" t="s">
        <v>67</v>
      </c>
    </row>
    <row r="2" spans="1:14" ht="15" customHeight="1" x14ac:dyDescent="0.25">
      <c r="A2" s="21" t="str">
        <f>_xlfn.CONCAT($L$1,$I$1,F2,$I$1,J2)</f>
        <v>CUSTO PLATAFORMA - MARÇO/26 - OMS CARE ORDER - 61086</v>
      </c>
      <c r="B2" s="9">
        <v>46082</v>
      </c>
      <c r="C2" s="8">
        <v>817394</v>
      </c>
      <c r="D2" s="8" t="s">
        <v>21</v>
      </c>
      <c r="E2" s="67">
        <v>-1687.10443059096</v>
      </c>
      <c r="F2" s="8" t="s">
        <v>9</v>
      </c>
      <c r="G2" s="9">
        <v>46082</v>
      </c>
      <c r="H2" s="8">
        <v>1170</v>
      </c>
      <c r="J2" s="37">
        <v>61086</v>
      </c>
      <c r="K2" s="37">
        <f>_xlfn.XLOOKUP(L2,[1]!Tabela33[BROKER],[1]!Tabela33[ID ORACLE],0,0,1)</f>
        <v>61086</v>
      </c>
      <c r="L2" s="8" t="s">
        <v>21</v>
      </c>
    </row>
    <row r="3" spans="1:14" ht="15" customHeight="1" x14ac:dyDescent="0.25">
      <c r="A3" s="21" t="str">
        <f t="shared" ref="A3:A70" si="0">_xlfn.CONCAT($L$1,$I$1,F3,$I$1,J3)</f>
        <v>CUSTO PLATAFORMA - MARÇO/26 - OMS CARE ORDER - 57036</v>
      </c>
      <c r="B3" s="9">
        <v>46082</v>
      </c>
      <c r="C3" s="8">
        <v>817394</v>
      </c>
      <c r="D3" s="8" t="s">
        <v>21</v>
      </c>
      <c r="E3" s="67">
        <v>-1687.10443059096</v>
      </c>
      <c r="F3" s="8" t="s">
        <v>9</v>
      </c>
      <c r="G3" s="9">
        <v>46082</v>
      </c>
      <c r="H3" s="8">
        <v>1170</v>
      </c>
      <c r="J3" s="37">
        <v>57036</v>
      </c>
      <c r="K3" s="37">
        <f>_xlfn.XLOOKUP(L3,[1]!Tabela33[BROKER],[1]!Tabela33[ID ORACLE],0,0,1)</f>
        <v>57036</v>
      </c>
      <c r="L3" s="8" t="s">
        <v>22</v>
      </c>
      <c r="N3" s="29"/>
    </row>
    <row r="4" spans="1:14" ht="15" customHeight="1" x14ac:dyDescent="0.25">
      <c r="A4" s="21" t="str">
        <f t="shared" si="0"/>
        <v>CUSTO PLATAFORMA - MARÇO/26 - OMS CARE ORDER - 115154</v>
      </c>
      <c r="B4" s="9">
        <v>46082</v>
      </c>
      <c r="C4" s="8">
        <v>817394</v>
      </c>
      <c r="D4" s="8" t="s">
        <v>21</v>
      </c>
      <c r="E4" s="67">
        <v>-1687.10443059096</v>
      </c>
      <c r="F4" s="8" t="s">
        <v>9</v>
      </c>
      <c r="G4" s="9">
        <v>46082</v>
      </c>
      <c r="H4" s="8">
        <v>1170</v>
      </c>
      <c r="J4" s="37">
        <v>115154</v>
      </c>
      <c r="K4" s="37">
        <f>_xlfn.XLOOKUP(L4,[1]!Tabela33[BROKER],[1]!Tabela33[ID ORACLE],0,0,1)</f>
        <v>115154</v>
      </c>
      <c r="L4" s="8" t="s">
        <v>23</v>
      </c>
      <c r="M4" s="30"/>
      <c r="N4" s="29"/>
    </row>
    <row r="5" spans="1:14" ht="15" customHeight="1" x14ac:dyDescent="0.25">
      <c r="A5" s="21" t="str">
        <f t="shared" si="0"/>
        <v>CUSTO PLATAFORMA - MARÇO/26 - OMS CARE ORDER - 136668</v>
      </c>
      <c r="B5" s="9">
        <v>46082</v>
      </c>
      <c r="C5" s="8">
        <v>817394</v>
      </c>
      <c r="D5" s="8" t="s">
        <v>21</v>
      </c>
      <c r="E5" s="67">
        <v>-1687.10443059096</v>
      </c>
      <c r="F5" s="8" t="s">
        <v>9</v>
      </c>
      <c r="G5" s="9">
        <v>46082</v>
      </c>
      <c r="H5" s="8">
        <v>1170</v>
      </c>
      <c r="J5" s="37">
        <v>136668</v>
      </c>
      <c r="K5" s="37">
        <f>_xlfn.XLOOKUP(L5,[1]!Tabela33[BROKER],[1]!Tabela33[ID ORACLE],0,0,1)</f>
        <v>136668</v>
      </c>
      <c r="L5" s="8" t="s">
        <v>36</v>
      </c>
      <c r="M5" s="30"/>
      <c r="N5" s="29"/>
    </row>
    <row r="6" spans="1:14" ht="15" customHeight="1" x14ac:dyDescent="0.25">
      <c r="A6" s="21" t="str">
        <f t="shared" si="0"/>
        <v>CUSTO PLATAFORMA - MARÇO/26 - OMS CARE ORDER - 64098</v>
      </c>
      <c r="B6" s="9">
        <v>46082</v>
      </c>
      <c r="C6" s="8">
        <v>817394</v>
      </c>
      <c r="D6" s="8" t="s">
        <v>24</v>
      </c>
      <c r="E6" s="67">
        <v>-1687.10443059096</v>
      </c>
      <c r="F6" s="8" t="s">
        <v>9</v>
      </c>
      <c r="G6" s="9">
        <v>46082</v>
      </c>
      <c r="H6" s="8">
        <v>1170</v>
      </c>
      <c r="J6" s="37">
        <v>64098</v>
      </c>
      <c r="K6" s="37">
        <f>_xlfn.XLOOKUP(L6,[1]!Tabela33[BROKER],[1]!Tabela33[ID ORACLE],0,0,1)</f>
        <v>64098</v>
      </c>
      <c r="L6" s="8" t="s">
        <v>24</v>
      </c>
      <c r="N6" s="30"/>
    </row>
    <row r="7" spans="1:14" ht="15" customHeight="1" x14ac:dyDescent="0.25">
      <c r="A7" s="21" t="str">
        <f t="shared" si="0"/>
        <v>CUSTO PLATAFORMA - MARÇO/26 - OMS CARE ORDER - 36554</v>
      </c>
      <c r="B7" s="9">
        <v>46082</v>
      </c>
      <c r="C7" s="8">
        <v>817394</v>
      </c>
      <c r="D7" s="8" t="s">
        <v>40</v>
      </c>
      <c r="E7" s="67">
        <v>-1687.10443059096</v>
      </c>
      <c r="F7" s="8" t="s">
        <v>9</v>
      </c>
      <c r="G7" s="9">
        <v>46082</v>
      </c>
      <c r="H7" s="8">
        <v>1170</v>
      </c>
      <c r="J7" s="37">
        <v>36554</v>
      </c>
      <c r="K7" s="37">
        <f>_xlfn.XLOOKUP(L7,[1]!Tabela33[BROKER],[1]!Tabela33[ID ORACLE],0,0,1)</f>
        <v>0</v>
      </c>
      <c r="L7" s="8" t="s">
        <v>16</v>
      </c>
    </row>
    <row r="8" spans="1:14" ht="15" customHeight="1" x14ac:dyDescent="0.25">
      <c r="A8" s="22" t="str">
        <f t="shared" si="0"/>
        <v>CUSTO PLATAFORMA - MARÇO/26 - OMS CARE ORDER - 122758</v>
      </c>
      <c r="B8" s="18">
        <v>46082</v>
      </c>
      <c r="C8" s="17">
        <v>817394</v>
      </c>
      <c r="D8" s="17" t="s">
        <v>20</v>
      </c>
      <c r="E8" s="67">
        <v>-337.42088611819202</v>
      </c>
      <c r="F8" s="17" t="s">
        <v>9</v>
      </c>
      <c r="G8" s="18">
        <v>46082</v>
      </c>
      <c r="H8" s="17">
        <v>1170</v>
      </c>
      <c r="J8" s="28">
        <v>122758</v>
      </c>
      <c r="K8" s="28">
        <f>_xlfn.XLOOKUP(L8,[1]!Tabela33[BROKER],[1]!Tabela33[ID ORACLE],0,0,1)</f>
        <v>106970</v>
      </c>
      <c r="L8" s="17" t="s">
        <v>20</v>
      </c>
    </row>
    <row r="9" spans="1:14" ht="15" customHeight="1" x14ac:dyDescent="0.25">
      <c r="A9" s="22" t="str">
        <f t="shared" si="0"/>
        <v>CUSTO PLATAFORMA - MARÇO/26 - OMS CARE ORDER - 122758</v>
      </c>
      <c r="B9" s="18">
        <v>46082</v>
      </c>
      <c r="C9" s="17">
        <v>817394</v>
      </c>
      <c r="D9" s="17" t="s">
        <v>31</v>
      </c>
      <c r="E9" s="67">
        <v>-337.42088611819202</v>
      </c>
      <c r="F9" s="17" t="s">
        <v>9</v>
      </c>
      <c r="G9" s="18">
        <v>46082</v>
      </c>
      <c r="H9" s="17">
        <v>1170</v>
      </c>
      <c r="J9" s="28">
        <v>122758</v>
      </c>
      <c r="K9" s="28">
        <f>_xlfn.XLOOKUP(L9,[1]!Tabela33[BROKER],[1]!Tabela33[ID ORACLE],0,0,1)</f>
        <v>139345</v>
      </c>
      <c r="L9" s="17" t="s">
        <v>31</v>
      </c>
    </row>
    <row r="10" spans="1:14" ht="15" customHeight="1" x14ac:dyDescent="0.25">
      <c r="A10" s="22" t="str">
        <f t="shared" si="0"/>
        <v>CUSTO PLATAFORMA - MARÇO/26 - OMS CARE ORDER - 122758</v>
      </c>
      <c r="B10" s="18">
        <v>46082</v>
      </c>
      <c r="C10" s="17">
        <v>817394</v>
      </c>
      <c r="D10" s="17" t="s">
        <v>19</v>
      </c>
      <c r="E10" s="67">
        <v>-337.42088611819202</v>
      </c>
      <c r="F10" s="17" t="s">
        <v>9</v>
      </c>
      <c r="G10" s="18">
        <v>46082</v>
      </c>
      <c r="H10" s="17">
        <v>1170</v>
      </c>
      <c r="J10" s="28">
        <v>122758</v>
      </c>
      <c r="K10" s="28">
        <f>_xlfn.XLOOKUP(L10,[1]!Tabela33[BROKER],[1]!Tabela33[ID ORACLE],0,0,1)</f>
        <v>22361</v>
      </c>
      <c r="L10" s="17" t="s">
        <v>19</v>
      </c>
    </row>
    <row r="11" spans="1:14" ht="15" customHeight="1" x14ac:dyDescent="0.25">
      <c r="A11" s="22" t="str">
        <f t="shared" si="0"/>
        <v>CUSTO PLATAFORMA - MARÇO/26 - OMS CARE ORDER - 122758</v>
      </c>
      <c r="B11" s="18">
        <v>46082</v>
      </c>
      <c r="C11" s="17">
        <v>817394</v>
      </c>
      <c r="D11" s="17" t="s">
        <v>32</v>
      </c>
      <c r="E11" s="67">
        <v>-337.42088611819202</v>
      </c>
      <c r="F11" s="17" t="s">
        <v>9</v>
      </c>
      <c r="G11" s="18">
        <v>46082</v>
      </c>
      <c r="H11" s="17">
        <v>1170</v>
      </c>
      <c r="J11" s="28">
        <v>122758</v>
      </c>
      <c r="K11" s="28">
        <f>_xlfn.XLOOKUP(L11,[1]!Tabela33[BROKER],[1]!Tabela33[ID ORACLE],0,0,1)</f>
        <v>132975</v>
      </c>
      <c r="L11" s="17" t="s">
        <v>32</v>
      </c>
    </row>
    <row r="12" spans="1:14" ht="15" customHeight="1" x14ac:dyDescent="0.25">
      <c r="A12" s="22" t="str">
        <f t="shared" si="0"/>
        <v>CUSTO PLATAFORMA - MARÇO/26 - OMS CARE ORDER - 122758</v>
      </c>
      <c r="B12" s="18">
        <v>46082</v>
      </c>
      <c r="C12" s="17">
        <v>817394</v>
      </c>
      <c r="D12" s="17" t="s">
        <v>18</v>
      </c>
      <c r="E12" s="67">
        <v>-337.42088611819202</v>
      </c>
      <c r="F12" s="17" t="s">
        <v>9</v>
      </c>
      <c r="G12" s="18">
        <v>46082</v>
      </c>
      <c r="H12" s="17">
        <v>1170</v>
      </c>
      <c r="J12" s="28">
        <v>122758</v>
      </c>
      <c r="K12" s="28">
        <f>_xlfn.XLOOKUP(L12,[1]!Tabela33[BROKER],[1]!Tabela33[ID ORACLE],0,0,1)</f>
        <v>122758</v>
      </c>
      <c r="L12" s="17" t="s">
        <v>18</v>
      </c>
      <c r="M12" s="29"/>
    </row>
    <row r="13" spans="1:14" ht="15" customHeight="1" x14ac:dyDescent="0.25">
      <c r="A13" s="21" t="str">
        <f t="shared" si="0"/>
        <v>CUSTO PLATAFORMA - MARÇO/26 - OMS CARE ORDER - 125412</v>
      </c>
      <c r="B13" s="9">
        <v>46082</v>
      </c>
      <c r="C13" s="8">
        <v>817394</v>
      </c>
      <c r="D13" s="8" t="s">
        <v>29</v>
      </c>
      <c r="E13" s="67">
        <v>-1687.10443059096</v>
      </c>
      <c r="F13" s="8" t="s">
        <v>9</v>
      </c>
      <c r="G13" s="9">
        <v>46082</v>
      </c>
      <c r="H13" s="8">
        <v>1170</v>
      </c>
      <c r="J13" s="37">
        <v>125412</v>
      </c>
      <c r="K13" s="37">
        <v>52340</v>
      </c>
      <c r="L13" s="8" t="s">
        <v>29</v>
      </c>
      <c r="M13" s="30"/>
    </row>
    <row r="14" spans="1:14" ht="15" customHeight="1" x14ac:dyDescent="0.25">
      <c r="A14" s="21" t="str">
        <f t="shared" si="0"/>
        <v>CUSTO PLATAFORMA - MARÇO/26 - OMS CARE ORDER - 127165</v>
      </c>
      <c r="B14" s="9">
        <v>46082</v>
      </c>
      <c r="C14" s="8">
        <v>817394</v>
      </c>
      <c r="D14" s="8" t="s">
        <v>17</v>
      </c>
      <c r="E14" s="67">
        <v>-1687.10443059096</v>
      </c>
      <c r="F14" s="8" t="s">
        <v>9</v>
      </c>
      <c r="G14" s="9">
        <v>46082</v>
      </c>
      <c r="H14" s="8">
        <v>1170</v>
      </c>
      <c r="J14" s="37">
        <v>127165</v>
      </c>
      <c r="K14" s="37">
        <f>_xlfn.XLOOKUP(L14,[1]!Tabela33[BROKER],[1]!Tabela33[ID ORACLE],0,0,1)</f>
        <v>127165</v>
      </c>
      <c r="L14" s="8" t="s">
        <v>17</v>
      </c>
    </row>
    <row r="15" spans="1:14" ht="15" customHeight="1" x14ac:dyDescent="0.25">
      <c r="A15" s="21" t="str">
        <f>_xlfn.CONCAT($L$1,$I$1,F15,$I$1,J15)</f>
        <v>CUSTO PLATAFORMA - MARÇO/26 - OMS CARE ORDER - 133842</v>
      </c>
      <c r="B15" s="9">
        <v>46082</v>
      </c>
      <c r="C15" s="8">
        <v>817394</v>
      </c>
      <c r="D15" s="8" t="s">
        <v>28</v>
      </c>
      <c r="E15" s="67">
        <v>-1687.10443059096</v>
      </c>
      <c r="F15" s="8" t="s">
        <v>9</v>
      </c>
      <c r="G15" s="9">
        <v>46082</v>
      </c>
      <c r="H15" s="8">
        <v>1170</v>
      </c>
      <c r="J15" s="37">
        <v>133842</v>
      </c>
      <c r="K15" s="37">
        <f>_xlfn.XLOOKUP(L15,[1]!Tabela33[BROKER],[1]!Tabela33[ID ORACLE],0,0,1)</f>
        <v>133842</v>
      </c>
      <c r="L15" s="8" t="s">
        <v>28</v>
      </c>
    </row>
    <row r="16" spans="1:14" ht="15" customHeight="1" x14ac:dyDescent="0.25">
      <c r="A16" s="23" t="str">
        <f t="shared" si="0"/>
        <v>CUSTO PLATAFORMA - MARÇO/26 - OMS CARE ORDER - 111439</v>
      </c>
      <c r="B16" s="12">
        <v>46082</v>
      </c>
      <c r="C16" s="11">
        <v>817394</v>
      </c>
      <c r="D16" s="11" t="s">
        <v>24</v>
      </c>
      <c r="E16" s="49">
        <v>-1687.10443059096</v>
      </c>
      <c r="F16" s="11" t="s">
        <v>9</v>
      </c>
      <c r="G16" s="12">
        <v>46082</v>
      </c>
      <c r="H16" s="11">
        <v>1170</v>
      </c>
      <c r="J16" s="38">
        <v>111439</v>
      </c>
      <c r="K16" s="38">
        <f>_xlfn.XLOOKUP(L16,[1]!Tabela33[BROKER],[1]!Tabela33[ID ORACLE],0,0,1)</f>
        <v>111439</v>
      </c>
      <c r="L16" s="11" t="s">
        <v>25</v>
      </c>
    </row>
    <row r="17" spans="1:13" ht="15" customHeight="1" x14ac:dyDescent="0.25">
      <c r="A17" s="22" t="str">
        <f t="shared" si="0"/>
        <v>CUSTO PLATAFORMA - MARÇO/26 - TACTICS - 106970</v>
      </c>
      <c r="B17" s="18">
        <v>46082</v>
      </c>
      <c r="C17" s="17">
        <v>817394</v>
      </c>
      <c r="D17" s="17" t="s">
        <v>20</v>
      </c>
      <c r="E17" s="67">
        <v>-156.99535300417921</v>
      </c>
      <c r="F17" s="17" t="s">
        <v>10</v>
      </c>
      <c r="G17" s="18">
        <v>46082</v>
      </c>
      <c r="H17" s="17">
        <v>1170</v>
      </c>
      <c r="J17" s="28">
        <v>106970</v>
      </c>
      <c r="K17" s="28">
        <v>106970</v>
      </c>
      <c r="L17" s="17" t="s">
        <v>20</v>
      </c>
    </row>
    <row r="18" spans="1:13" ht="15" customHeight="1" x14ac:dyDescent="0.25">
      <c r="A18" s="22" t="str">
        <f t="shared" si="0"/>
        <v>CUSTO PLATAFORMA - MARÇO/26 - TACTICS - 106970</v>
      </c>
      <c r="B18" s="18">
        <v>46082</v>
      </c>
      <c r="C18" s="17">
        <v>817394</v>
      </c>
      <c r="D18" s="17" t="s">
        <v>31</v>
      </c>
      <c r="E18" s="67">
        <v>-156.99535300417921</v>
      </c>
      <c r="F18" s="17" t="s">
        <v>10</v>
      </c>
      <c r="G18" s="18">
        <v>46082</v>
      </c>
      <c r="H18" s="17">
        <v>1170</v>
      </c>
      <c r="J18" s="28">
        <v>106970</v>
      </c>
      <c r="K18" s="28">
        <v>139345</v>
      </c>
      <c r="L18" s="17" t="s">
        <v>31</v>
      </c>
    </row>
    <row r="19" spans="1:13" ht="15" customHeight="1" x14ac:dyDescent="0.25">
      <c r="A19" s="22" t="str">
        <f t="shared" si="0"/>
        <v>CUSTO PLATAFORMA - MARÇO/26 - TACTICS - 106970</v>
      </c>
      <c r="B19" s="18">
        <v>46082</v>
      </c>
      <c r="C19" s="17">
        <v>817394</v>
      </c>
      <c r="D19" s="17" t="s">
        <v>19</v>
      </c>
      <c r="E19" s="67">
        <v>-156.99535300417921</v>
      </c>
      <c r="F19" s="17" t="s">
        <v>10</v>
      </c>
      <c r="G19" s="18">
        <v>46082</v>
      </c>
      <c r="H19" s="17">
        <v>1170</v>
      </c>
      <c r="J19" s="28">
        <v>106970</v>
      </c>
      <c r="K19" s="28">
        <v>22361</v>
      </c>
      <c r="L19" s="17" t="s">
        <v>19</v>
      </c>
    </row>
    <row r="20" spans="1:13" ht="15" customHeight="1" x14ac:dyDescent="0.25">
      <c r="A20" s="22" t="str">
        <f t="shared" si="0"/>
        <v>CUSTO PLATAFORMA - MARÇO/26 - TACTICS - 106970</v>
      </c>
      <c r="B20" s="18">
        <v>46082</v>
      </c>
      <c r="C20" s="17">
        <v>817394</v>
      </c>
      <c r="D20" s="17" t="s">
        <v>32</v>
      </c>
      <c r="E20" s="67">
        <v>-156.99535300417921</v>
      </c>
      <c r="F20" s="17" t="s">
        <v>10</v>
      </c>
      <c r="G20" s="18">
        <v>46082</v>
      </c>
      <c r="H20" s="17">
        <v>1170</v>
      </c>
      <c r="J20" s="28">
        <v>106970</v>
      </c>
      <c r="K20" s="28">
        <v>132975</v>
      </c>
      <c r="L20" s="17" t="s">
        <v>32</v>
      </c>
    </row>
    <row r="21" spans="1:13" ht="15" customHeight="1" x14ac:dyDescent="0.25">
      <c r="A21" s="22" t="str">
        <f t="shared" si="0"/>
        <v>CUSTO PLATAFORMA - MARÇO/26 - TACTICS - 106970</v>
      </c>
      <c r="B21" s="18">
        <v>46082</v>
      </c>
      <c r="C21" s="17">
        <v>817394</v>
      </c>
      <c r="D21" s="17" t="s">
        <v>18</v>
      </c>
      <c r="E21" s="67">
        <v>-156.99535300417921</v>
      </c>
      <c r="F21" s="17" t="s">
        <v>10</v>
      </c>
      <c r="G21" s="18">
        <v>46082</v>
      </c>
      <c r="H21" s="17">
        <v>1170</v>
      </c>
      <c r="J21" s="28">
        <v>106970</v>
      </c>
      <c r="K21" s="28">
        <v>122758</v>
      </c>
      <c r="L21" s="17" t="s">
        <v>18</v>
      </c>
      <c r="M21" s="29"/>
    </row>
    <row r="22" spans="1:13" ht="15" customHeight="1" x14ac:dyDescent="0.25">
      <c r="A22" s="21" t="str">
        <f t="shared" si="0"/>
        <v>CUSTO PLATAFORMA - MARÇO/26 - TACTICS - 122758</v>
      </c>
      <c r="B22" s="9">
        <v>46082</v>
      </c>
      <c r="C22" s="8">
        <v>817394</v>
      </c>
      <c r="D22" s="8" t="s">
        <v>20</v>
      </c>
      <c r="E22" s="67">
        <v>-156.99535300417921</v>
      </c>
      <c r="F22" s="8" t="s">
        <v>10</v>
      </c>
      <c r="G22" s="9">
        <v>46082</v>
      </c>
      <c r="H22" s="8">
        <v>1170</v>
      </c>
      <c r="J22" s="37">
        <v>122758</v>
      </c>
      <c r="K22" s="37">
        <v>106970</v>
      </c>
      <c r="L22" s="8" t="s">
        <v>20</v>
      </c>
    </row>
    <row r="23" spans="1:13" ht="15" customHeight="1" x14ac:dyDescent="0.25">
      <c r="A23" s="21" t="str">
        <f t="shared" si="0"/>
        <v>CUSTO PLATAFORMA - MARÇO/26 - TACTICS - 122758</v>
      </c>
      <c r="B23" s="9">
        <v>46082</v>
      </c>
      <c r="C23" s="8">
        <v>817394</v>
      </c>
      <c r="D23" s="8" t="s">
        <v>31</v>
      </c>
      <c r="E23" s="67">
        <v>-156.99535300417921</v>
      </c>
      <c r="F23" s="8" t="s">
        <v>10</v>
      </c>
      <c r="G23" s="9">
        <v>46082</v>
      </c>
      <c r="H23" s="8">
        <v>1170</v>
      </c>
      <c r="J23" s="37">
        <v>122758</v>
      </c>
      <c r="K23" s="37">
        <v>139345</v>
      </c>
      <c r="L23" s="8" t="s">
        <v>31</v>
      </c>
    </row>
    <row r="24" spans="1:13" ht="15" customHeight="1" x14ac:dyDescent="0.25">
      <c r="A24" s="21" t="str">
        <f t="shared" si="0"/>
        <v>CUSTO PLATAFORMA - MARÇO/26 - TACTICS - 122758</v>
      </c>
      <c r="B24" s="9">
        <v>46082</v>
      </c>
      <c r="C24" s="8">
        <v>817394</v>
      </c>
      <c r="D24" s="8" t="s">
        <v>19</v>
      </c>
      <c r="E24" s="67">
        <v>-156.99535300417921</v>
      </c>
      <c r="F24" s="8" t="s">
        <v>10</v>
      </c>
      <c r="G24" s="9">
        <v>46082</v>
      </c>
      <c r="H24" s="8">
        <v>1170</v>
      </c>
      <c r="J24" s="37">
        <v>122758</v>
      </c>
      <c r="K24" s="37">
        <v>22361</v>
      </c>
      <c r="L24" s="8" t="s">
        <v>19</v>
      </c>
    </row>
    <row r="25" spans="1:13" ht="15" customHeight="1" x14ac:dyDescent="0.25">
      <c r="A25" s="21" t="str">
        <f t="shared" si="0"/>
        <v>CUSTO PLATAFORMA - MARÇO/26 - TACTICS - 122758</v>
      </c>
      <c r="B25" s="9">
        <v>46082</v>
      </c>
      <c r="C25" s="8">
        <v>817394</v>
      </c>
      <c r="D25" s="8" t="s">
        <v>32</v>
      </c>
      <c r="E25" s="67">
        <v>-156.99535300417921</v>
      </c>
      <c r="F25" s="8" t="s">
        <v>10</v>
      </c>
      <c r="G25" s="9">
        <v>46082</v>
      </c>
      <c r="H25" s="8">
        <v>1170</v>
      </c>
      <c r="J25" s="37">
        <v>122758</v>
      </c>
      <c r="K25" s="37">
        <v>132975</v>
      </c>
      <c r="L25" s="8" t="s">
        <v>32</v>
      </c>
    </row>
    <row r="26" spans="1:13" ht="15" customHeight="1" x14ac:dyDescent="0.25">
      <c r="A26" s="21" t="str">
        <f t="shared" si="0"/>
        <v>CUSTO PLATAFORMA - MARÇO/26 - TACTICS - 122758</v>
      </c>
      <c r="B26" s="9">
        <v>46082</v>
      </c>
      <c r="C26" s="8">
        <v>817394</v>
      </c>
      <c r="D26" s="8" t="s">
        <v>18</v>
      </c>
      <c r="E26" s="67">
        <v>-156.99535300417921</v>
      </c>
      <c r="F26" s="8" t="s">
        <v>10</v>
      </c>
      <c r="G26" s="9">
        <v>46082</v>
      </c>
      <c r="H26" s="8">
        <v>1170</v>
      </c>
      <c r="J26" s="37">
        <v>122758</v>
      </c>
      <c r="K26" s="37">
        <v>122758</v>
      </c>
      <c r="L26" s="8" t="s">
        <v>18</v>
      </c>
    </row>
    <row r="27" spans="1:13" ht="15" customHeight="1" x14ac:dyDescent="0.25">
      <c r="A27" s="22" t="str">
        <f t="shared" si="0"/>
        <v>CUSTO PLATAFORMA - MARÇO/26 - TACTICS - 56258</v>
      </c>
      <c r="B27" s="18">
        <v>46082</v>
      </c>
      <c r="C27" s="17">
        <v>817394</v>
      </c>
      <c r="D27" s="17" t="s">
        <v>13</v>
      </c>
      <c r="E27" s="67">
        <v>-196.24419125522377</v>
      </c>
      <c r="F27" s="17" t="s">
        <v>10</v>
      </c>
      <c r="G27" s="18">
        <v>46082</v>
      </c>
      <c r="H27" s="17">
        <v>1170</v>
      </c>
      <c r="J27" s="28">
        <v>56258</v>
      </c>
      <c r="K27" s="28">
        <f>_xlfn.XLOOKUP(L27,[1]!Tabela33[BROKER],[1]!Tabela33[ID ORACLE],0,0,1)</f>
        <v>70461</v>
      </c>
      <c r="L27" s="17" t="s">
        <v>13</v>
      </c>
    </row>
    <row r="28" spans="1:13" ht="15" customHeight="1" x14ac:dyDescent="0.25">
      <c r="A28" s="22" t="str">
        <f t="shared" si="0"/>
        <v>CUSTO PLATAFORMA - MARÇO/26 - TACTICS - 56258</v>
      </c>
      <c r="B28" s="18">
        <v>46082</v>
      </c>
      <c r="C28" s="17">
        <v>817394</v>
      </c>
      <c r="D28" s="17" t="s">
        <v>14</v>
      </c>
      <c r="E28" s="67">
        <v>-196.24419125522377</v>
      </c>
      <c r="F28" s="17" t="s">
        <v>10</v>
      </c>
      <c r="G28" s="18">
        <v>46082</v>
      </c>
      <c r="H28" s="17">
        <v>1170</v>
      </c>
      <c r="J28" s="28">
        <v>56258</v>
      </c>
      <c r="K28" s="28">
        <f>_xlfn.XLOOKUP(L28,[1]!Tabela33[BROKER],[1]!Tabela33[ID ORACLE],0,0,1)</f>
        <v>24140</v>
      </c>
      <c r="L28" s="17" t="s">
        <v>14</v>
      </c>
    </row>
    <row r="29" spans="1:13" ht="15" customHeight="1" x14ac:dyDescent="0.25">
      <c r="A29" s="22" t="str">
        <f t="shared" si="0"/>
        <v>CUSTO PLATAFORMA - MARÇO/26 - TACTICS - 56258</v>
      </c>
      <c r="B29" s="18">
        <v>46082</v>
      </c>
      <c r="C29" s="17">
        <v>817394</v>
      </c>
      <c r="D29" s="17" t="s">
        <v>30</v>
      </c>
      <c r="E29" s="67">
        <v>-196.24419125522377</v>
      </c>
      <c r="F29" s="17" t="s">
        <v>10</v>
      </c>
      <c r="G29" s="18">
        <v>46082</v>
      </c>
      <c r="H29" s="17">
        <v>1170</v>
      </c>
      <c r="J29" s="28">
        <v>56258</v>
      </c>
      <c r="K29" s="28">
        <f>_xlfn.XLOOKUP(L29,[1]!Tabela33[BROKER],[1]!Tabela33[ID ORACLE],0,0,1)</f>
        <v>137478</v>
      </c>
      <c r="L29" s="17" t="s">
        <v>30</v>
      </c>
    </row>
    <row r="30" spans="1:13" ht="15" customHeight="1" x14ac:dyDescent="0.25">
      <c r="A30" s="22" t="str">
        <f t="shared" si="0"/>
        <v>CUSTO PLATAFORMA - MARÇO/26 - TACTICS - 56258</v>
      </c>
      <c r="B30" s="18">
        <v>46082</v>
      </c>
      <c r="C30" s="17">
        <v>817394</v>
      </c>
      <c r="D30" s="17" t="s">
        <v>15</v>
      </c>
      <c r="E30" s="67">
        <v>-196.24419125522377</v>
      </c>
      <c r="F30" s="17" t="s">
        <v>10</v>
      </c>
      <c r="G30" s="18">
        <v>46082</v>
      </c>
      <c r="H30" s="17">
        <v>1170</v>
      </c>
      <c r="J30" s="28">
        <v>56258</v>
      </c>
      <c r="K30" s="28">
        <f>_xlfn.XLOOKUP(L30,[1]!Tabela33[BROKER],[1]!Tabela33[ID ORACLE],0,0,1)</f>
        <v>56258</v>
      </c>
      <c r="L30" s="17" t="s">
        <v>15</v>
      </c>
    </row>
    <row r="31" spans="1:13" ht="15" customHeight="1" x14ac:dyDescent="0.25">
      <c r="A31" s="21" t="str">
        <f t="shared" si="0"/>
        <v>CUSTO PLATAFORMA - MARÇO/26 - TACTICS - 133842</v>
      </c>
      <c r="B31" s="9">
        <v>46082</v>
      </c>
      <c r="C31" s="8">
        <v>817394</v>
      </c>
      <c r="D31" s="8" t="s">
        <v>28</v>
      </c>
      <c r="E31" s="67">
        <v>-784.97676502089598</v>
      </c>
      <c r="F31" s="8" t="s">
        <v>10</v>
      </c>
      <c r="G31" s="9">
        <v>46082</v>
      </c>
      <c r="H31" s="8">
        <v>1170</v>
      </c>
      <c r="J31" s="37">
        <v>133842</v>
      </c>
      <c r="K31" s="37">
        <f>_xlfn.XLOOKUP(L31,[1]!Tabela33[BROKER],[1]!Tabela33[ID ORACLE],0,0,1)</f>
        <v>133842</v>
      </c>
      <c r="L31" s="8" t="s">
        <v>28</v>
      </c>
    </row>
    <row r="32" spans="1:13" ht="15" customHeight="1" x14ac:dyDescent="0.25">
      <c r="A32" s="21" t="str">
        <f t="shared" si="0"/>
        <v>CUSTO PLATAFORMA - MARÇO/26 - TACTICS - 61086</v>
      </c>
      <c r="B32" s="9">
        <v>46082</v>
      </c>
      <c r="C32" s="8">
        <v>817394</v>
      </c>
      <c r="D32" s="8" t="s">
        <v>21</v>
      </c>
      <c r="E32" s="67">
        <v>-784.97676502089598</v>
      </c>
      <c r="F32" s="8" t="s">
        <v>10</v>
      </c>
      <c r="G32" s="9">
        <v>46082</v>
      </c>
      <c r="H32" s="8">
        <v>1170</v>
      </c>
      <c r="J32" s="37">
        <v>61086</v>
      </c>
      <c r="K32" s="37">
        <f>_xlfn.XLOOKUP(L32,[1]!Tabela33[BROKER],[1]!Tabela33[ID ORACLE],0,0,1)</f>
        <v>61086</v>
      </c>
      <c r="L32" s="8" t="s">
        <v>21</v>
      </c>
    </row>
    <row r="33" spans="1:12" ht="15" customHeight="1" x14ac:dyDescent="0.25">
      <c r="A33" s="21" t="str">
        <f t="shared" si="0"/>
        <v>CUSTO PLATAFORMA - MARÇO/26 - TACTICS - 115154</v>
      </c>
      <c r="B33" s="9">
        <v>46082</v>
      </c>
      <c r="C33" s="8">
        <v>817394</v>
      </c>
      <c r="D33" s="8" t="s">
        <v>21</v>
      </c>
      <c r="E33" s="67">
        <v>-784.97676502089598</v>
      </c>
      <c r="F33" s="8" t="s">
        <v>10</v>
      </c>
      <c r="G33" s="9">
        <v>46082</v>
      </c>
      <c r="H33" s="8">
        <v>1170</v>
      </c>
      <c r="J33" s="37">
        <v>115154</v>
      </c>
      <c r="K33" s="37">
        <f>_xlfn.XLOOKUP(L33,[1]!Tabela33[BROKER],[1]!Tabela33[ID ORACLE],0,0,1)</f>
        <v>115154</v>
      </c>
      <c r="L33" s="8" t="s">
        <v>23</v>
      </c>
    </row>
    <row r="34" spans="1:12" ht="15" customHeight="1" x14ac:dyDescent="0.25">
      <c r="A34" s="21" t="str">
        <f t="shared" si="0"/>
        <v>CUSTO PLATAFORMA - MARÇO/26 - TACTICS - 57036</v>
      </c>
      <c r="B34" s="9">
        <v>46082</v>
      </c>
      <c r="C34" s="8">
        <v>817394</v>
      </c>
      <c r="D34" s="8" t="s">
        <v>21</v>
      </c>
      <c r="E34" s="67">
        <v>-784.97676502089598</v>
      </c>
      <c r="F34" s="8" t="s">
        <v>10</v>
      </c>
      <c r="G34" s="9">
        <v>46082</v>
      </c>
      <c r="H34" s="8">
        <v>1170</v>
      </c>
      <c r="J34" s="37">
        <v>57036</v>
      </c>
      <c r="K34" s="37">
        <f>_xlfn.XLOOKUP(L34,[1]!Tabela33[BROKER],[1]!Tabela33[ID ORACLE],0,0,1)</f>
        <v>57036</v>
      </c>
      <c r="L34" s="8" t="s">
        <v>22</v>
      </c>
    </row>
    <row r="35" spans="1:12" ht="15" customHeight="1" x14ac:dyDescent="0.25">
      <c r="A35" s="21" t="str">
        <f t="shared" si="0"/>
        <v>CUSTO PLATAFORMA - MARÇO/26 - TACTICS - 136668</v>
      </c>
      <c r="B35" s="9">
        <v>46082</v>
      </c>
      <c r="C35" s="8">
        <v>817394</v>
      </c>
      <c r="D35" s="8" t="s">
        <v>21</v>
      </c>
      <c r="E35" s="67">
        <v>-784.97676502089598</v>
      </c>
      <c r="F35" s="8" t="s">
        <v>10</v>
      </c>
      <c r="G35" s="9">
        <v>46082</v>
      </c>
      <c r="H35" s="8">
        <v>1170</v>
      </c>
      <c r="J35" s="37">
        <v>136668</v>
      </c>
      <c r="K35" s="37">
        <f>_xlfn.XLOOKUP(L35,[1]!Tabela33[BROKER],[1]!Tabela33[ID ORACLE],0,0,1)</f>
        <v>136668</v>
      </c>
      <c r="L35" s="8" t="s">
        <v>36</v>
      </c>
    </row>
    <row r="36" spans="1:12" ht="15" customHeight="1" x14ac:dyDescent="0.25">
      <c r="A36" s="21" t="str">
        <f t="shared" si="0"/>
        <v>CUSTO PLATAFORMA - MARÇO/26 - TACTICS - 64098</v>
      </c>
      <c r="B36" s="9">
        <v>46082</v>
      </c>
      <c r="C36" s="8">
        <v>817394</v>
      </c>
      <c r="D36" s="8" t="s">
        <v>24</v>
      </c>
      <c r="E36" s="67">
        <v>-784.97676502089598</v>
      </c>
      <c r="F36" s="8" t="s">
        <v>10</v>
      </c>
      <c r="G36" s="9">
        <v>46082</v>
      </c>
      <c r="H36" s="8">
        <v>1170</v>
      </c>
      <c r="J36" s="37">
        <v>64098</v>
      </c>
      <c r="K36" s="37">
        <f>_xlfn.XLOOKUP(L36,[1]!Tabela33[BROKER],[1]!Tabela33[ID ORACLE],0,0,1)</f>
        <v>64098</v>
      </c>
      <c r="L36" s="8" t="s">
        <v>24</v>
      </c>
    </row>
    <row r="37" spans="1:12" ht="15" customHeight="1" x14ac:dyDescent="0.25">
      <c r="A37" s="21" t="str">
        <f t="shared" si="0"/>
        <v>CUSTO PLATAFORMA - MARÇO/26 - TACTICS - 125412</v>
      </c>
      <c r="B37" s="9">
        <v>46082</v>
      </c>
      <c r="C37" s="8">
        <v>817394</v>
      </c>
      <c r="D37" s="8" t="s">
        <v>29</v>
      </c>
      <c r="E37" s="67">
        <v>-784.97676502089598</v>
      </c>
      <c r="F37" s="8" t="s">
        <v>10</v>
      </c>
      <c r="G37" s="9">
        <v>46082</v>
      </c>
      <c r="H37" s="8">
        <v>1170</v>
      </c>
      <c r="J37" s="37">
        <v>125412</v>
      </c>
      <c r="K37" s="37">
        <v>52340</v>
      </c>
      <c r="L37" s="8" t="s">
        <v>29</v>
      </c>
    </row>
    <row r="38" spans="1:12" ht="15" customHeight="1" x14ac:dyDescent="0.25">
      <c r="A38" s="21" t="str">
        <f t="shared" si="0"/>
        <v>CUSTO PLATAFORMA - MARÇO/26 - TACTICS - 127165</v>
      </c>
      <c r="B38" s="9">
        <v>46082</v>
      </c>
      <c r="C38" s="8">
        <v>817394</v>
      </c>
      <c r="D38" s="8" t="s">
        <v>17</v>
      </c>
      <c r="E38" s="67">
        <v>-784.97676502089598</v>
      </c>
      <c r="F38" s="8" t="s">
        <v>10</v>
      </c>
      <c r="G38" s="9">
        <v>46082</v>
      </c>
      <c r="H38" s="8">
        <v>1170</v>
      </c>
      <c r="J38" s="37">
        <v>127165</v>
      </c>
      <c r="K38" s="37">
        <f>_xlfn.XLOOKUP(L38,[1]!Tabela33[BROKER],[1]!Tabela33[ID ORACLE],0,0,1)</f>
        <v>127165</v>
      </c>
      <c r="L38" s="8" t="s">
        <v>17</v>
      </c>
    </row>
    <row r="39" spans="1:12" ht="15" customHeight="1" x14ac:dyDescent="0.25">
      <c r="A39" s="23" t="str">
        <f t="shared" si="0"/>
        <v>CUSTO PLATAFORMA - MARÇO/26 - TACTICS - 111439</v>
      </c>
      <c r="B39" s="12">
        <v>46082</v>
      </c>
      <c r="C39" s="11">
        <v>817394</v>
      </c>
      <c r="D39" s="11" t="s">
        <v>24</v>
      </c>
      <c r="E39" s="49">
        <v>-784.97676502089598</v>
      </c>
      <c r="F39" s="11" t="s">
        <v>10</v>
      </c>
      <c r="G39" s="12">
        <v>46082</v>
      </c>
      <c r="H39" s="11">
        <v>1170</v>
      </c>
      <c r="J39" s="38">
        <v>111439</v>
      </c>
      <c r="K39" s="38">
        <f>_xlfn.XLOOKUP(L39,[1]!Tabela33[BROKER],[1]!Tabela33[ID ORACLE],0,0,1)</f>
        <v>111439</v>
      </c>
      <c r="L39" s="11" t="s">
        <v>25</v>
      </c>
    </row>
    <row r="40" spans="1:12" ht="15" customHeight="1" x14ac:dyDescent="0.25">
      <c r="A40" s="21" t="str">
        <f t="shared" si="0"/>
        <v>CUSTO PLATAFORMA - MARÇO/26 - ATG - 115154</v>
      </c>
      <c r="B40" s="9">
        <v>46082</v>
      </c>
      <c r="C40" s="8">
        <v>817394</v>
      </c>
      <c r="D40" s="8" t="s">
        <v>21</v>
      </c>
      <c r="E40" s="50">
        <f>-7752.37992665867-70</f>
        <v>-7822.3799266586702</v>
      </c>
      <c r="F40" s="8" t="s">
        <v>8</v>
      </c>
      <c r="G40" s="9">
        <v>46082</v>
      </c>
      <c r="H40" s="8">
        <v>1170</v>
      </c>
      <c r="J40" s="37">
        <v>115154</v>
      </c>
      <c r="K40" s="37">
        <f>_xlfn.XLOOKUP(L40,[1]!Tabela33[BROKER],[1]!Tabela33[ID ORACLE],0,0,1)</f>
        <v>115154</v>
      </c>
      <c r="L40" s="8" t="s">
        <v>23</v>
      </c>
    </row>
    <row r="41" spans="1:12" ht="15" customHeight="1" x14ac:dyDescent="0.25">
      <c r="A41" s="21" t="str">
        <f t="shared" si="0"/>
        <v>CUSTO PLATAFORMA - MARÇO/26 - ATG - 57038</v>
      </c>
      <c r="B41" s="9">
        <v>46082</v>
      </c>
      <c r="C41" s="8">
        <v>817394</v>
      </c>
      <c r="D41" s="8" t="s">
        <v>21</v>
      </c>
      <c r="E41" s="50">
        <f>-1550.4779559952-70</f>
        <v>-1620.4779559952001</v>
      </c>
      <c r="F41" s="8" t="s">
        <v>8</v>
      </c>
      <c r="G41" s="9">
        <v>46082</v>
      </c>
      <c r="H41" s="8">
        <v>1170</v>
      </c>
      <c r="J41" s="37">
        <v>57038</v>
      </c>
      <c r="K41" s="37">
        <v>57036</v>
      </c>
      <c r="L41" s="8" t="s">
        <v>22</v>
      </c>
    </row>
    <row r="42" spans="1:12" ht="15" customHeight="1" x14ac:dyDescent="0.25">
      <c r="A42" s="21" t="str">
        <f t="shared" si="0"/>
        <v>CUSTO PLATAFORMA - MARÇO/26 - ATG - 111439</v>
      </c>
      <c r="B42" s="9">
        <v>46082</v>
      </c>
      <c r="C42" s="8">
        <v>817394</v>
      </c>
      <c r="D42" s="8" t="s">
        <v>24</v>
      </c>
      <c r="E42" s="50">
        <f>-4651.4279559952-70</f>
        <v>-4721.4279559952001</v>
      </c>
      <c r="F42" s="8" t="s">
        <v>8</v>
      </c>
      <c r="G42" s="9">
        <v>46082</v>
      </c>
      <c r="H42" s="8">
        <v>1170</v>
      </c>
      <c r="J42" s="37">
        <v>111439</v>
      </c>
      <c r="K42" s="37">
        <v>111439</v>
      </c>
      <c r="L42" s="8" t="s">
        <v>25</v>
      </c>
    </row>
    <row r="43" spans="1:12" ht="15" customHeight="1" x14ac:dyDescent="0.25">
      <c r="A43" s="22" t="str">
        <f t="shared" si="0"/>
        <v>CUSTO PLATAFORMA - MARÇO/26 - ATG - 132975</v>
      </c>
      <c r="B43" s="18">
        <v>46082</v>
      </c>
      <c r="C43" s="17">
        <v>817394</v>
      </c>
      <c r="D43" s="17" t="str">
        <f>IF(K43=57038,"ALEXANDRE DA COSTA SOARES",IF(K43=115154,"ALEXANDRE DA COSTA SOARES",IF(K43=57036,"ALEXANDRE DA COSTA SOARES",IF(K43=24157,"JOSE MAURICIO GOMES TEIXEIRA",IF(K43=24203,"JOSE MAURICIO GOMES TEIXEIRA",IF(K43=24149,"CHRISTIANO MARCONDES DE BARROS LIMA",IF(K43=24137,"CHRISTIANO MARCONDES DE BARROS LIMA",_xlfn.XLOOKUP(K43,[1]!Tabela33[ID ORACLE],[1]!Tabela33[BROKER],0,0,1))))))))</f>
        <v>CESAR MARIANO SCARAMBONE MENEZES</v>
      </c>
      <c r="E43" s="50">
        <v>-782.23799266586798</v>
      </c>
      <c r="F43" s="17" t="s">
        <v>8</v>
      </c>
      <c r="G43" s="18">
        <v>46082</v>
      </c>
      <c r="H43" s="17">
        <v>1170</v>
      </c>
      <c r="J43" s="28">
        <v>132975</v>
      </c>
      <c r="K43" s="28">
        <f>_xlfn.XLOOKUP(L43,[1]!Tabela33[BROKER],[1]!Tabela33[ID ORACLE],0,0,1)</f>
        <v>106970</v>
      </c>
      <c r="L43" s="17" t="s">
        <v>20</v>
      </c>
    </row>
    <row r="44" spans="1:12" ht="15" customHeight="1" x14ac:dyDescent="0.25">
      <c r="A44" s="22" t="str">
        <f t="shared" si="0"/>
        <v>CUSTO PLATAFORMA - MARÇO/26 - ATG - 132975</v>
      </c>
      <c r="B44" s="18">
        <v>46082</v>
      </c>
      <c r="C44" s="17">
        <v>817394</v>
      </c>
      <c r="D44" s="17" t="str">
        <f>IF(K44=57038,"ALEXANDRE DA COSTA SOARES",IF(K44=115154,"ALEXANDRE DA COSTA SOARES",IF(K44=57036,"ALEXANDRE DA COSTA SOARES",IF(K44=24157,"JOSE MAURICIO GOMES TEIXEIRA",IF(K44=24203,"JOSE MAURICIO GOMES TEIXEIRA",IF(K44=24149,"CHRISTIANO MARCONDES DE BARROS LIMA",IF(K44=24137,"CHRISTIANO MARCONDES DE BARROS LIMA",_xlfn.XLOOKUP(K44,[1]!Tabela33[ID ORACLE],[1]!Tabela33[BROKER],0,0,1))))))))</f>
        <v>DANIEL TEIXEIRA SIQUEIRA GONÇALVES</v>
      </c>
      <c r="E44" s="50">
        <v>-782.23799266586798</v>
      </c>
      <c r="F44" s="17" t="s">
        <v>8</v>
      </c>
      <c r="G44" s="18">
        <v>46082</v>
      </c>
      <c r="H44" s="17">
        <v>1170</v>
      </c>
      <c r="J44" s="28">
        <v>132975</v>
      </c>
      <c r="K44" s="28">
        <f>_xlfn.XLOOKUP(L44,[1]!Tabela33[BROKER],[1]!Tabela33[ID ORACLE],0,0,1)</f>
        <v>22361</v>
      </c>
      <c r="L44" s="17" t="s">
        <v>19</v>
      </c>
    </row>
    <row r="45" spans="1:12" ht="15" customHeight="1" x14ac:dyDescent="0.25">
      <c r="A45" s="22" t="str">
        <f t="shared" si="0"/>
        <v>CUSTO PLATAFORMA - MARÇO/26 - ATG - 132975</v>
      </c>
      <c r="B45" s="18">
        <v>46082</v>
      </c>
      <c r="C45" s="17">
        <v>817394</v>
      </c>
      <c r="D45" s="17" t="str">
        <f>IF(K45=57038,"ALEXANDRE DA COSTA SOARES",IF(K45=115154,"ALEXANDRE DA COSTA SOARES",IF(K45=57036,"ALEXANDRE DA COSTA SOARES",IF(K45=24157,"JOSE MAURICIO GOMES TEIXEIRA",IF(K45=24203,"JOSE MAURICIO GOMES TEIXEIRA",IF(K45=24149,"CHRISTIANO MARCONDES DE BARROS LIMA",IF(K45=24137,"CHRISTIANO MARCONDES DE BARROS LIMA",_xlfn.XLOOKUP(K45,[1]!Tabela33[ID ORACLE],[1]!Tabela33[BROKER],0,0,1))))))))</f>
        <v>FELIPE MEIRELLES RACCAH</v>
      </c>
      <c r="E45" s="50">
        <v>-782.23799266586798</v>
      </c>
      <c r="F45" s="17" t="s">
        <v>8</v>
      </c>
      <c r="G45" s="18">
        <v>46082</v>
      </c>
      <c r="H45" s="17">
        <v>1170</v>
      </c>
      <c r="J45" s="28">
        <v>132975</v>
      </c>
      <c r="K45" s="28">
        <f>_xlfn.XLOOKUP(L45,[1]!Tabela33[BROKER],[1]!Tabela33[ID ORACLE],0,0,1)</f>
        <v>139345</v>
      </c>
      <c r="L45" s="17" t="s">
        <v>31</v>
      </c>
    </row>
    <row r="46" spans="1:12" ht="15" customHeight="1" x14ac:dyDescent="0.25">
      <c r="A46" s="22" t="str">
        <f t="shared" si="0"/>
        <v>CUSTO PLATAFORMA - MARÇO/26 - ATG - 132975</v>
      </c>
      <c r="B46" s="18">
        <v>46082</v>
      </c>
      <c r="C46" s="17">
        <v>817394</v>
      </c>
      <c r="D46" s="17" t="str">
        <f>IF(K46=57038,"ALEXANDRE DA COSTA SOARES",IF(K46=115154,"ALEXANDRE DA COSTA SOARES",IF(K46=57036,"ALEXANDRE DA COSTA SOARES",IF(K46=24157,"JOSE MAURICIO GOMES TEIXEIRA",IF(K46=24203,"JOSE MAURICIO GOMES TEIXEIRA",IF(K46=24149,"CHRISTIANO MARCONDES DE BARROS LIMA",IF(K46=24137,"CHRISTIANO MARCONDES DE BARROS LIMA",_xlfn.XLOOKUP(K46,[1]!Tabela33[ID ORACLE],[1]!Tabela33[BROKER],0,0,1))))))))</f>
        <v>MATHEUS NACIF NESRALLAH</v>
      </c>
      <c r="E46" s="50">
        <v>-782.23799266586798</v>
      </c>
      <c r="F46" s="17" t="s">
        <v>8</v>
      </c>
      <c r="G46" s="18">
        <v>46082</v>
      </c>
      <c r="H46" s="17">
        <v>1170</v>
      </c>
      <c r="J46" s="28">
        <v>132975</v>
      </c>
      <c r="K46" s="28">
        <f>_xlfn.XLOOKUP(L46,[1]!Tabela33[BROKER],[1]!Tabela33[ID ORACLE],0,0,1)</f>
        <v>132975</v>
      </c>
      <c r="L46" s="17" t="s">
        <v>32</v>
      </c>
    </row>
    <row r="47" spans="1:12" ht="15" customHeight="1" x14ac:dyDescent="0.25">
      <c r="A47" s="22" t="str">
        <f t="shared" si="0"/>
        <v>CUSTO PLATAFORMA - MARÇO/26 - ATG - 132975</v>
      </c>
      <c r="B47" s="18">
        <v>46082</v>
      </c>
      <c r="C47" s="17">
        <v>817394</v>
      </c>
      <c r="D47" s="17" t="str">
        <f>IF(K47=57038,"ALEXANDRE DA COSTA SOARES",IF(K47=115154,"ALEXANDRE DA COSTA SOARES",IF(K47=57036,"ALEXANDRE DA COSTA SOARES",IF(K47=24157,"JOSE MAURICIO GOMES TEIXEIRA",IF(K47=24203,"JOSE MAURICIO GOMES TEIXEIRA",IF(K47=24149,"CHRISTIANO MARCONDES DE BARROS LIMA",IF(K47=24137,"CHRISTIANO MARCONDES DE BARROS LIMA",_xlfn.XLOOKUP(K47,[1]!Tabela33[ID ORACLE],[1]!Tabela33[BROKER],0,0,1))))))))</f>
        <v>ANDRE FERREIRA DOS SANTOS</v>
      </c>
      <c r="E47" s="50">
        <v>-782.23799266586798</v>
      </c>
      <c r="F47" s="17" t="s">
        <v>8</v>
      </c>
      <c r="G47" s="18">
        <v>46082</v>
      </c>
      <c r="H47" s="17">
        <v>1170</v>
      </c>
      <c r="J47" s="28">
        <v>132975</v>
      </c>
      <c r="K47" s="28">
        <f>_xlfn.XLOOKUP(L47,[1]!Tabela33[BROKER],[1]!Tabela33[ID ORACLE],0,0,1)</f>
        <v>122758</v>
      </c>
      <c r="L47" s="17" t="s">
        <v>18</v>
      </c>
    </row>
    <row r="48" spans="1:12" ht="15" customHeight="1" x14ac:dyDescent="0.25">
      <c r="A48" s="21" t="str">
        <f t="shared" si="0"/>
        <v>CUSTO PLATAFORMA - MARÇO/26 - ATG - 158778</v>
      </c>
      <c r="B48" s="9">
        <v>46082</v>
      </c>
      <c r="C48" s="8">
        <v>817394</v>
      </c>
      <c r="D48" s="8" t="s">
        <v>64</v>
      </c>
      <c r="E48" s="50">
        <f>-4651.4279559952-70</f>
        <v>-4721.4279559952001</v>
      </c>
      <c r="F48" s="8" t="s">
        <v>8</v>
      </c>
      <c r="G48" s="9">
        <v>46082</v>
      </c>
      <c r="H48" s="8">
        <v>1170</v>
      </c>
      <c r="J48" s="37">
        <v>158778</v>
      </c>
      <c r="K48" s="37">
        <f>_xlfn.XLOOKUP(L48,[1]!Tabela33[BROKER],[1]!Tabela33[ID ORACLE],0,0,1)</f>
        <v>158778</v>
      </c>
      <c r="L48" s="8" t="s">
        <v>65</v>
      </c>
    </row>
    <row r="49" spans="1:12" ht="15" customHeight="1" x14ac:dyDescent="0.25">
      <c r="A49" s="21" t="str">
        <f t="shared" si="0"/>
        <v>CUSTO PLATAFORMA - MARÇO/26 - ATG - 125412</v>
      </c>
      <c r="B49" s="9">
        <v>46082</v>
      </c>
      <c r="C49" s="8">
        <v>817394</v>
      </c>
      <c r="D49" s="8" t="s">
        <v>29</v>
      </c>
      <c r="E49" s="50">
        <f>-4651.4279559952-35</f>
        <v>-4686.4279559952001</v>
      </c>
      <c r="F49" s="8" t="s">
        <v>8</v>
      </c>
      <c r="G49" s="9">
        <v>46082</v>
      </c>
      <c r="H49" s="8">
        <v>1170</v>
      </c>
      <c r="J49" s="37">
        <v>125412</v>
      </c>
      <c r="K49" s="37">
        <v>52340</v>
      </c>
      <c r="L49" s="8" t="s">
        <v>29</v>
      </c>
    </row>
    <row r="50" spans="1:12" ht="15" customHeight="1" x14ac:dyDescent="0.25">
      <c r="A50" s="21" t="str">
        <f>_xlfn.CONCAT($L$1,$I$1,F50,$I$1,J50)</f>
        <v>CUSTO PLATAFORMA - MARÇO/26 - ATG - 127165</v>
      </c>
      <c r="B50" s="9">
        <v>46082</v>
      </c>
      <c r="C50" s="8">
        <v>817394</v>
      </c>
      <c r="D50" s="8" t="s">
        <v>17</v>
      </c>
      <c r="E50" s="50">
        <f>-6151.4279559952-70</f>
        <v>-6221.4279559952001</v>
      </c>
      <c r="F50" s="8" t="s">
        <v>8</v>
      </c>
      <c r="G50" s="9">
        <v>46082</v>
      </c>
      <c r="H50" s="8">
        <v>1170</v>
      </c>
      <c r="J50" s="37">
        <v>127165</v>
      </c>
      <c r="K50" s="37">
        <f>_xlfn.XLOOKUP(L50,[1]!Tabela33[BROKER],[1]!Tabela33[ID ORACLE],0,0,1)</f>
        <v>127165</v>
      </c>
      <c r="L50" s="8" t="s">
        <v>17</v>
      </c>
    </row>
    <row r="51" spans="1:12" ht="15" customHeight="1" x14ac:dyDescent="0.25">
      <c r="A51" s="23" t="str">
        <f>_xlfn.CONCAT($L$1,$I$1,F51,$I$1,J51)</f>
        <v>CUSTO PLATAFORMA - MARÇO/26 - ATG - 151327</v>
      </c>
      <c r="B51" s="12">
        <v>46082</v>
      </c>
      <c r="C51" s="11">
        <v>817394</v>
      </c>
      <c r="D51" s="11" t="s">
        <v>44</v>
      </c>
      <c r="E51" s="49">
        <f>-7752.37992665867-70</f>
        <v>-7822.3799266586702</v>
      </c>
      <c r="F51" s="11" t="s">
        <v>8</v>
      </c>
      <c r="G51" s="12">
        <v>46082</v>
      </c>
      <c r="H51" s="11">
        <v>1170</v>
      </c>
      <c r="I51" s="36"/>
      <c r="J51" s="38">
        <v>151327</v>
      </c>
      <c r="K51" s="38">
        <f>_xlfn.XLOOKUP(L51,[1]!Tabela33[BROKER],[1]!Tabela33[ID ORACLE],0,0,1)</f>
        <v>151327</v>
      </c>
      <c r="L51" s="11" t="s">
        <v>44</v>
      </c>
    </row>
    <row r="52" spans="1:12" ht="15" customHeight="1" x14ac:dyDescent="0.25">
      <c r="A52" s="22" t="str">
        <f t="shared" si="0"/>
        <v>CUSTO PLATAFORMA - MARÇO/26 - TRADING TECHNOLOGIES - 22361</v>
      </c>
      <c r="B52" s="18">
        <v>46082</v>
      </c>
      <c r="C52" s="17">
        <v>817394</v>
      </c>
      <c r="D52" s="17" t="str">
        <f>IF(K52=57038,"ALEXANDRE DA COSTA SOARES",IF(K52=115154,"ALEXANDRE DA COSTA SOARES",IF(K52=57036,"ALEXANDRE DA COSTA SOARES",IF(K52=24157,"JOSE MAURICIO GOMES TEIXEIRA",IF(K52=24203,"JOSE MAURICIO GOMES TEIXEIRA",IF(K52=24149,"CHRISTIANO MARCONDES DE BARROS LIMA",IF(K52=24137,"CHRISTIANO MARCONDES DE BARROS LIMA",_xlfn.XLOOKUP(K52,[1]!Tabela33[ID ORACLE],[1]!Tabela33[BROKER],0,0,1))))))))</f>
        <v>CESAR MARIANO SCARAMBONE MENEZES</v>
      </c>
      <c r="E52" s="50">
        <v>-171.38344000000001</v>
      </c>
      <c r="F52" s="32" t="s">
        <v>11</v>
      </c>
      <c r="G52" s="18">
        <v>46082</v>
      </c>
      <c r="H52" s="17">
        <v>1170</v>
      </c>
      <c r="J52" s="28">
        <v>22361</v>
      </c>
      <c r="K52" s="28">
        <f>_xlfn.XLOOKUP(L52,[1]!Tabela33[BROKER],[1]!Tabela33[ID ORACLE],0,0,1)</f>
        <v>106970</v>
      </c>
      <c r="L52" s="17" t="s">
        <v>20</v>
      </c>
    </row>
    <row r="53" spans="1:12" ht="15" customHeight="1" x14ac:dyDescent="0.25">
      <c r="A53" s="22" t="str">
        <f t="shared" si="0"/>
        <v>CUSTO PLATAFORMA - MARÇO/26 - TRADING TECHNOLOGIES - 22361</v>
      </c>
      <c r="B53" s="18">
        <v>46082</v>
      </c>
      <c r="C53" s="17">
        <v>817394</v>
      </c>
      <c r="D53" s="17" t="str">
        <f>IF(K53=57038,"ALEXANDRE DA COSTA SOARES",IF(K53=115154,"ALEXANDRE DA COSTA SOARES",IF(K53=57036,"ALEXANDRE DA COSTA SOARES",IF(K53=24157,"JOSE MAURICIO GOMES TEIXEIRA",IF(K53=24203,"JOSE MAURICIO GOMES TEIXEIRA",IF(K53=24149,"CHRISTIANO MARCONDES DE BARROS LIMA",IF(K53=24137,"CHRISTIANO MARCONDES DE BARROS LIMA",_xlfn.XLOOKUP(K53,[1]!Tabela33[ID ORACLE],[1]!Tabela33[BROKER],0,0,1))))))))</f>
        <v>FELIPE MEIRELLES RACCAH</v>
      </c>
      <c r="E53" s="50">
        <v>-171.38344000000001</v>
      </c>
      <c r="F53" s="32" t="s">
        <v>11</v>
      </c>
      <c r="G53" s="18">
        <v>46082</v>
      </c>
      <c r="H53" s="17">
        <v>1170</v>
      </c>
      <c r="J53" s="28">
        <v>22361</v>
      </c>
      <c r="K53" s="28">
        <f>_xlfn.XLOOKUP(L53,[1]!Tabela33[BROKER],[1]!Tabela33[ID ORACLE],0,0,1)</f>
        <v>139345</v>
      </c>
      <c r="L53" s="17" t="s">
        <v>31</v>
      </c>
    </row>
    <row r="54" spans="1:12" ht="15" customHeight="1" x14ac:dyDescent="0.25">
      <c r="A54" s="22" t="str">
        <f t="shared" si="0"/>
        <v>CUSTO PLATAFORMA - MARÇO/26 - TRADING TECHNOLOGIES - 22361</v>
      </c>
      <c r="B54" s="18">
        <v>46082</v>
      </c>
      <c r="C54" s="17">
        <v>817394</v>
      </c>
      <c r="D54" s="17" t="str">
        <f>IF(K54=57038,"ALEXANDRE DA COSTA SOARES",IF(K54=115154,"ALEXANDRE DA COSTA SOARES",IF(K54=57036,"ALEXANDRE DA COSTA SOARES",IF(K54=24157,"JOSE MAURICIO GOMES TEIXEIRA",IF(K54=24203,"JOSE MAURICIO GOMES TEIXEIRA",IF(K54=24149,"CHRISTIANO MARCONDES DE BARROS LIMA",IF(K54=24137,"CHRISTIANO MARCONDES DE BARROS LIMA",_xlfn.XLOOKUP(K54,[1]!Tabela33[ID ORACLE],[1]!Tabela33[BROKER],0,0,1))))))))</f>
        <v>DANIEL TEIXEIRA SIQUEIRA GONÇALVES</v>
      </c>
      <c r="E54" s="50">
        <v>-171.38344000000001</v>
      </c>
      <c r="F54" s="32" t="s">
        <v>11</v>
      </c>
      <c r="G54" s="18">
        <v>46082</v>
      </c>
      <c r="H54" s="17">
        <v>1170</v>
      </c>
      <c r="J54" s="28">
        <v>22361</v>
      </c>
      <c r="K54" s="28">
        <f>_xlfn.XLOOKUP(L54,[1]!Tabela33[BROKER],[1]!Tabela33[ID ORACLE],0,0,1)</f>
        <v>22361</v>
      </c>
      <c r="L54" s="17" t="s">
        <v>19</v>
      </c>
    </row>
    <row r="55" spans="1:12" ht="15" customHeight="1" x14ac:dyDescent="0.25">
      <c r="A55" s="22" t="str">
        <f t="shared" si="0"/>
        <v>CUSTO PLATAFORMA - MARÇO/26 - TRADING TECHNOLOGIES - 22361</v>
      </c>
      <c r="B55" s="18">
        <v>46082</v>
      </c>
      <c r="C55" s="17">
        <v>817394</v>
      </c>
      <c r="D55" s="17" t="str">
        <f>IF(K55=57038,"ALEXANDRE DA COSTA SOARES",IF(K55=115154,"ALEXANDRE DA COSTA SOARES",IF(K55=57036,"ALEXANDRE DA COSTA SOARES",IF(K55=24157,"JOSE MAURICIO GOMES TEIXEIRA",IF(K55=24203,"JOSE MAURICIO GOMES TEIXEIRA",IF(K55=24149,"CHRISTIANO MARCONDES DE BARROS LIMA",IF(K55=24137,"CHRISTIANO MARCONDES DE BARROS LIMA",_xlfn.XLOOKUP(K55,[1]!Tabela33[ID ORACLE],[1]!Tabela33[BROKER],0,0,1))))))))</f>
        <v>MATHEUS NACIF NESRALLAH</v>
      </c>
      <c r="E55" s="50">
        <v>-171.38344000000001</v>
      </c>
      <c r="F55" s="32" t="s">
        <v>11</v>
      </c>
      <c r="G55" s="18">
        <v>46082</v>
      </c>
      <c r="H55" s="17">
        <v>1170</v>
      </c>
      <c r="J55" s="28">
        <v>22361</v>
      </c>
      <c r="K55" s="28">
        <f>_xlfn.XLOOKUP(L55,[1]!Tabela33[BROKER],[1]!Tabela33[ID ORACLE],0,0,1)</f>
        <v>132975</v>
      </c>
      <c r="L55" s="17" t="s">
        <v>32</v>
      </c>
    </row>
    <row r="56" spans="1:12" ht="15" customHeight="1" x14ac:dyDescent="0.25">
      <c r="A56" s="24" t="str">
        <f t="shared" si="0"/>
        <v>CUSTO PLATAFORMA - MARÇO/26 - TRADING TECHNOLOGIES - 22361</v>
      </c>
      <c r="B56" s="20">
        <v>46082</v>
      </c>
      <c r="C56" s="19">
        <v>817394</v>
      </c>
      <c r="D56" s="19" t="str">
        <f>IF(K56=57038,"ALEXANDRE DA COSTA SOARES",IF(K56=115154,"ALEXANDRE DA COSTA SOARES",IF(K56=57036,"ALEXANDRE DA COSTA SOARES",IF(K56=24157,"JOSE MAURICIO GOMES TEIXEIRA",IF(K56=24203,"JOSE MAURICIO GOMES TEIXEIRA",IF(K56=24149,"CHRISTIANO MARCONDES DE BARROS LIMA",IF(K56=24137,"CHRISTIANO MARCONDES DE BARROS LIMA",_xlfn.XLOOKUP(K56,[1]!Tabela33[ID ORACLE],[1]!Tabela33[BROKER],0,0,1))))))))</f>
        <v>ANDRE FERREIRA DOS SANTOS</v>
      </c>
      <c r="E56" s="49">
        <v>-171.38344000000001</v>
      </c>
      <c r="F56" s="34" t="s">
        <v>11</v>
      </c>
      <c r="G56" s="20">
        <v>46082</v>
      </c>
      <c r="H56" s="19">
        <v>1170</v>
      </c>
      <c r="I56" s="36"/>
      <c r="J56" s="35">
        <v>22361</v>
      </c>
      <c r="K56" s="35">
        <f>_xlfn.XLOOKUP(L56,[1]!Tabela33[BROKER],[1]!Tabela33[ID ORACLE],0,0,1)</f>
        <v>122758</v>
      </c>
      <c r="L56" s="19" t="s">
        <v>18</v>
      </c>
    </row>
    <row r="57" spans="1:12" ht="15" customHeight="1" x14ac:dyDescent="0.25">
      <c r="A57" s="22" t="str">
        <f t="shared" si="0"/>
        <v>CUSTO PLATAFORMA - MARÇO/26 - SILICON TRADER - 22361</v>
      </c>
      <c r="B57" s="18">
        <v>46082</v>
      </c>
      <c r="C57" s="17">
        <v>817394</v>
      </c>
      <c r="D57" s="32" t="str">
        <f>IF(K57=57038,"ALEXANDRE DA COSTA SOARES",IF(K57=115154,"ALEXANDRE DA COSTA SOARES",IF(K57=57036,"ALEXANDRE DA COSTA SOARES",IF(K57=24157,"JOSE MAURICIO GOMES TEIXEIRA",IF(K57=24203,"JOSE MAURICIO GOMES TEIXEIRA",IF(K57=24149,"CHRISTIANO MARCONDES DE BARROS LIMA",IF(K57=24137,"CHRISTIANO MARCONDES DE BARROS LIMA",_xlfn.XLOOKUP(K57,[1]!Tabela33[ID ORACLE],[1]!Tabela33[BROKER],0,0,1))))))))</f>
        <v>CESAR MARIANO SCARAMBONE MENEZES</v>
      </c>
      <c r="E57" s="50">
        <v>-769.23199999999997</v>
      </c>
      <c r="F57" s="32" t="s">
        <v>33</v>
      </c>
      <c r="G57" s="18">
        <v>46082</v>
      </c>
      <c r="H57" s="17">
        <v>1170</v>
      </c>
      <c r="J57" s="28">
        <v>22361</v>
      </c>
      <c r="K57" s="28">
        <f>_xlfn.XLOOKUP(L57,[1]!Tabela33[BROKER],[1]!Tabela33[ID ORACLE],0,0,1)</f>
        <v>106970</v>
      </c>
      <c r="L57" s="17" t="s">
        <v>20</v>
      </c>
    </row>
    <row r="58" spans="1:12" ht="15" customHeight="1" x14ac:dyDescent="0.25">
      <c r="A58" s="22" t="str">
        <f t="shared" si="0"/>
        <v>CUSTO PLATAFORMA - MARÇO/26 - SILICON TRADER - 22361</v>
      </c>
      <c r="B58" s="18">
        <v>46082</v>
      </c>
      <c r="C58" s="17">
        <v>817394</v>
      </c>
      <c r="D58" s="32" t="str">
        <f>IF(K58=57038,"ALEXANDRE DA COSTA SOARES",IF(K58=115154,"ALEXANDRE DA COSTA SOARES",IF(K58=57036,"ALEXANDRE DA COSTA SOARES",IF(K58=24157,"JOSE MAURICIO GOMES TEIXEIRA",IF(K58=24203,"JOSE MAURICIO GOMES TEIXEIRA",IF(K58=24149,"CHRISTIANO MARCONDES DE BARROS LIMA",IF(K58=24137,"CHRISTIANO MARCONDES DE BARROS LIMA",_xlfn.XLOOKUP(K58,[1]!Tabela33[ID ORACLE],[1]!Tabela33[BROKER],0,0,1))))))))</f>
        <v>DANIEL TEIXEIRA SIQUEIRA GONÇALVES</v>
      </c>
      <c r="E58" s="50">
        <v>-769.23199999999997</v>
      </c>
      <c r="F58" s="32" t="s">
        <v>33</v>
      </c>
      <c r="G58" s="18">
        <v>46082</v>
      </c>
      <c r="H58" s="17">
        <v>1170</v>
      </c>
      <c r="J58" s="28">
        <v>22361</v>
      </c>
      <c r="K58" s="28">
        <f>_xlfn.XLOOKUP(L58,[1]!Tabela33[BROKER],[1]!Tabela33[ID ORACLE],0,0,1)</f>
        <v>22361</v>
      </c>
      <c r="L58" s="17" t="s">
        <v>19</v>
      </c>
    </row>
    <row r="59" spans="1:12" ht="15" customHeight="1" x14ac:dyDescent="0.25">
      <c r="A59" s="22" t="str">
        <f t="shared" si="0"/>
        <v>CUSTO PLATAFORMA - MARÇO/26 - SILICON TRADER - 22361</v>
      </c>
      <c r="B59" s="18">
        <v>46082</v>
      </c>
      <c r="C59" s="17">
        <v>817394</v>
      </c>
      <c r="D59" s="32" t="str">
        <f>IF(K59=57038,"ALEXANDRE DA COSTA SOARES",IF(K59=115154,"ALEXANDRE DA COSTA SOARES",IF(K59=57036,"ALEXANDRE DA COSTA SOARES",IF(K59=24157,"JOSE MAURICIO GOMES TEIXEIRA",IF(K59=24203,"JOSE MAURICIO GOMES TEIXEIRA",IF(K59=24149,"CHRISTIANO MARCONDES DE BARROS LIMA",IF(K59=24137,"CHRISTIANO MARCONDES DE BARROS LIMA",_xlfn.XLOOKUP(K59,[1]!Tabela33[ID ORACLE],[1]!Tabela33[BROKER],0,0,1))))))))</f>
        <v>FELIPE MEIRELLES RACCAH</v>
      </c>
      <c r="E59" s="50">
        <v>-769.23199999999997</v>
      </c>
      <c r="F59" s="32" t="s">
        <v>33</v>
      </c>
      <c r="G59" s="18">
        <v>46082</v>
      </c>
      <c r="H59" s="17">
        <v>1170</v>
      </c>
      <c r="J59" s="28">
        <v>22361</v>
      </c>
      <c r="K59" s="28">
        <f>_xlfn.XLOOKUP(L59,[1]!Tabela33[BROKER],[1]!Tabela33[ID ORACLE],0,0,1)</f>
        <v>139345</v>
      </c>
      <c r="L59" s="17" t="s">
        <v>31</v>
      </c>
    </row>
    <row r="60" spans="1:12" ht="15" customHeight="1" x14ac:dyDescent="0.25">
      <c r="A60" s="22" t="str">
        <f t="shared" si="0"/>
        <v>CUSTO PLATAFORMA - MARÇO/26 - SILICON TRADER - 22361</v>
      </c>
      <c r="B60" s="18">
        <v>46082</v>
      </c>
      <c r="C60" s="17">
        <v>817394</v>
      </c>
      <c r="D60" s="32" t="str">
        <f>IF(K60=57038,"ALEXANDRE DA COSTA SOARES",IF(K60=115154,"ALEXANDRE DA COSTA SOARES",IF(K60=57036,"ALEXANDRE DA COSTA SOARES",IF(K60=24157,"JOSE MAURICIO GOMES TEIXEIRA",IF(K60=24203,"JOSE MAURICIO GOMES TEIXEIRA",IF(K60=24149,"CHRISTIANO MARCONDES DE BARROS LIMA",IF(K60=24137,"CHRISTIANO MARCONDES DE BARROS LIMA",_xlfn.XLOOKUP(K60,[1]!Tabela33[ID ORACLE],[1]!Tabela33[BROKER],0,0,1))))))))</f>
        <v>MATHEUS NACIF NESRALLAH</v>
      </c>
      <c r="E60" s="50">
        <v>-769.23199999999997</v>
      </c>
      <c r="F60" s="32" t="s">
        <v>33</v>
      </c>
      <c r="G60" s="18">
        <v>46082</v>
      </c>
      <c r="H60" s="17">
        <v>1170</v>
      </c>
      <c r="J60" s="28">
        <v>22361</v>
      </c>
      <c r="K60" s="28">
        <f>_xlfn.XLOOKUP(L60,[1]!Tabela33[BROKER],[1]!Tabela33[ID ORACLE],0,0,1)</f>
        <v>132975</v>
      </c>
      <c r="L60" s="17" t="s">
        <v>32</v>
      </c>
    </row>
    <row r="61" spans="1:12" ht="15" customHeight="1" x14ac:dyDescent="0.25">
      <c r="A61" s="24" t="str">
        <f t="shared" si="0"/>
        <v>CUSTO PLATAFORMA - MARÇO/26 - SILICON TRADER - 22361</v>
      </c>
      <c r="B61" s="20">
        <v>46082</v>
      </c>
      <c r="C61" s="19">
        <v>817394</v>
      </c>
      <c r="D61" s="34" t="str">
        <f>IF(K61=57038,"ALEXANDRE DA COSTA SOARES",IF(K61=115154,"ALEXANDRE DA COSTA SOARES",IF(K61=57036,"ALEXANDRE DA COSTA SOARES",IF(K61=24157,"JOSE MAURICIO GOMES TEIXEIRA",IF(K61=24203,"JOSE MAURICIO GOMES TEIXEIRA",IF(K61=24149,"CHRISTIANO MARCONDES DE BARROS LIMA",IF(K61=24137,"CHRISTIANO MARCONDES DE BARROS LIMA",_xlfn.XLOOKUP(K61,[1]!Tabela33[ID ORACLE],[1]!Tabela33[BROKER],0,0,1))))))))</f>
        <v>ANDRE FERREIRA DOS SANTOS</v>
      </c>
      <c r="E61" s="49">
        <v>-769.23199999999997</v>
      </c>
      <c r="F61" s="34" t="s">
        <v>33</v>
      </c>
      <c r="G61" s="20">
        <v>46082</v>
      </c>
      <c r="H61" s="19">
        <v>1170</v>
      </c>
      <c r="J61" s="35">
        <v>22361</v>
      </c>
      <c r="K61" s="35">
        <f>_xlfn.XLOOKUP(L61,[1]!Tabela33[BROKER],[1]!Tabela33[ID ORACLE],0,0,1)</f>
        <v>122758</v>
      </c>
      <c r="L61" s="19" t="s">
        <v>18</v>
      </c>
    </row>
    <row r="62" spans="1:12" ht="15" customHeight="1" x14ac:dyDescent="0.25">
      <c r="A62" s="22" t="str">
        <f t="shared" si="0"/>
        <v>CUSTO PLATAFORMA - MARÇO/26 - SILICON TRADER - 122758</v>
      </c>
      <c r="B62" s="18">
        <v>46082</v>
      </c>
      <c r="C62" s="17">
        <v>817394</v>
      </c>
      <c r="D62" s="32" t="s">
        <v>20</v>
      </c>
      <c r="E62" s="50">
        <v>-769.23199999999997</v>
      </c>
      <c r="F62" s="32" t="s">
        <v>33</v>
      </c>
      <c r="G62" s="18">
        <v>46082</v>
      </c>
      <c r="H62" s="17">
        <v>1170</v>
      </c>
      <c r="J62" s="28">
        <v>122758</v>
      </c>
      <c r="K62" s="28">
        <v>106970</v>
      </c>
      <c r="L62" s="17" t="s">
        <v>20</v>
      </c>
    </row>
    <row r="63" spans="1:12" ht="15" customHeight="1" x14ac:dyDescent="0.25">
      <c r="A63" s="22" t="str">
        <f t="shared" si="0"/>
        <v>CUSTO PLATAFORMA - MARÇO/26 - SILICON TRADER - 122758</v>
      </c>
      <c r="B63" s="18">
        <v>46082</v>
      </c>
      <c r="C63" s="17">
        <v>817394</v>
      </c>
      <c r="D63" s="32" t="s">
        <v>19</v>
      </c>
      <c r="E63" s="50">
        <v>-769.23199999999997</v>
      </c>
      <c r="F63" s="32" t="s">
        <v>33</v>
      </c>
      <c r="G63" s="18">
        <v>46082</v>
      </c>
      <c r="H63" s="17">
        <v>1170</v>
      </c>
      <c r="J63" s="28">
        <v>122758</v>
      </c>
      <c r="K63" s="28">
        <v>22361</v>
      </c>
      <c r="L63" s="17" t="s">
        <v>19</v>
      </c>
    </row>
    <row r="64" spans="1:12" ht="15" customHeight="1" x14ac:dyDescent="0.25">
      <c r="A64" s="22" t="str">
        <f t="shared" si="0"/>
        <v>CUSTO PLATAFORMA - MARÇO/26 - SILICON TRADER - 122758</v>
      </c>
      <c r="B64" s="18">
        <v>46082</v>
      </c>
      <c r="C64" s="17">
        <v>817394</v>
      </c>
      <c r="D64" s="32" t="s">
        <v>31</v>
      </c>
      <c r="E64" s="50">
        <v>-769.23199999999997</v>
      </c>
      <c r="F64" s="32" t="s">
        <v>33</v>
      </c>
      <c r="G64" s="18">
        <v>46082</v>
      </c>
      <c r="H64" s="17">
        <v>1170</v>
      </c>
      <c r="J64" s="28">
        <v>122758</v>
      </c>
      <c r="K64" s="28">
        <v>139345</v>
      </c>
      <c r="L64" s="17" t="s">
        <v>31</v>
      </c>
    </row>
    <row r="65" spans="1:15" ht="15" customHeight="1" x14ac:dyDescent="0.25">
      <c r="A65" s="22" t="str">
        <f t="shared" si="0"/>
        <v>CUSTO PLATAFORMA - MARÇO/26 - SILICON TRADER - 122758</v>
      </c>
      <c r="B65" s="18">
        <v>46082</v>
      </c>
      <c r="C65" s="17">
        <v>817394</v>
      </c>
      <c r="D65" s="32" t="s">
        <v>32</v>
      </c>
      <c r="E65" s="50">
        <v>-769.23199999999997</v>
      </c>
      <c r="F65" s="32" t="s">
        <v>33</v>
      </c>
      <c r="G65" s="18">
        <v>46082</v>
      </c>
      <c r="H65" s="17">
        <v>1170</v>
      </c>
      <c r="J65" s="28">
        <v>122758</v>
      </c>
      <c r="K65" s="28">
        <v>132975</v>
      </c>
      <c r="L65" s="17" t="s">
        <v>32</v>
      </c>
    </row>
    <row r="66" spans="1:15" ht="15" customHeight="1" x14ac:dyDescent="0.25">
      <c r="A66" s="24" t="str">
        <f t="shared" si="0"/>
        <v>CUSTO PLATAFORMA - MARÇO/26 - SILICON TRADER - 122758</v>
      </c>
      <c r="B66" s="20">
        <v>46082</v>
      </c>
      <c r="C66" s="19">
        <v>817394</v>
      </c>
      <c r="D66" s="34" t="s">
        <v>18</v>
      </c>
      <c r="E66" s="49">
        <v>-769.23199999999997</v>
      </c>
      <c r="F66" s="34" t="s">
        <v>33</v>
      </c>
      <c r="G66" s="20">
        <v>46082</v>
      </c>
      <c r="H66" s="19">
        <v>1170</v>
      </c>
      <c r="J66" s="35">
        <v>122758</v>
      </c>
      <c r="K66" s="35">
        <v>122758</v>
      </c>
      <c r="L66" s="19" t="s">
        <v>18</v>
      </c>
    </row>
    <row r="67" spans="1:15" ht="15" customHeight="1" x14ac:dyDescent="0.25">
      <c r="A67" s="23" t="str">
        <f t="shared" si="0"/>
        <v>CUSTO PLATAFORMA - MARÇO/26 - SILICON TRADER - 61086</v>
      </c>
      <c r="B67" s="12">
        <v>46082</v>
      </c>
      <c r="C67" s="11">
        <v>817394</v>
      </c>
      <c r="D67" s="33" t="s">
        <v>21</v>
      </c>
      <c r="E67" s="49">
        <f>-487.92</f>
        <v>-487.92</v>
      </c>
      <c r="F67" s="33" t="s">
        <v>33</v>
      </c>
      <c r="G67" s="12">
        <v>46082</v>
      </c>
      <c r="H67" s="11">
        <v>1170</v>
      </c>
      <c r="J67" s="39">
        <v>61086</v>
      </c>
      <c r="K67" s="39">
        <f>_xlfn.XLOOKUP(L67,[1]!Tabela33[BROKER],[1]!Tabela33[ID ORACLE],0,0,1)</f>
        <v>61086</v>
      </c>
      <c r="L67" s="46" t="s">
        <v>21</v>
      </c>
      <c r="N67" t="s">
        <v>47</v>
      </c>
      <c r="O67">
        <v>1.69</v>
      </c>
    </row>
    <row r="68" spans="1:15" ht="15" customHeight="1" x14ac:dyDescent="0.25">
      <c r="A68" s="23" t="str">
        <f t="shared" si="0"/>
        <v>CUSTO PLATAFORMA - MARÇO/26 - SILICON TRADER - 57036</v>
      </c>
      <c r="B68" s="12">
        <v>46082</v>
      </c>
      <c r="C68" s="11">
        <v>817394</v>
      </c>
      <c r="D68" s="33" t="s">
        <v>21</v>
      </c>
      <c r="E68" s="49">
        <f>-13821.2533333333</f>
        <v>-13821.253333333299</v>
      </c>
      <c r="F68" s="33" t="s">
        <v>33</v>
      </c>
      <c r="G68" s="12">
        <v>46082</v>
      </c>
      <c r="H68" s="11">
        <v>1170</v>
      </c>
      <c r="J68" s="39">
        <v>57036</v>
      </c>
      <c r="K68" s="39">
        <v>57036</v>
      </c>
      <c r="L68" s="46" t="s">
        <v>22</v>
      </c>
      <c r="N68" t="s">
        <v>47</v>
      </c>
      <c r="O68">
        <v>1.69</v>
      </c>
    </row>
    <row r="69" spans="1:15" ht="15" customHeight="1" x14ac:dyDescent="0.25">
      <c r="A69" s="23" t="str">
        <f t="shared" si="0"/>
        <v>CUSTO PLATAFORMA - MARÇO/26 - SILICON TRADER - 133842</v>
      </c>
      <c r="B69" s="12">
        <v>46082</v>
      </c>
      <c r="C69" s="11">
        <v>817394</v>
      </c>
      <c r="D69" s="33" t="s">
        <v>28</v>
      </c>
      <c r="E69" s="49">
        <f>-13821.2533333333</f>
        <v>-13821.253333333299</v>
      </c>
      <c r="F69" s="33" t="s">
        <v>33</v>
      </c>
      <c r="G69" s="12">
        <v>46082</v>
      </c>
      <c r="H69" s="11">
        <v>1170</v>
      </c>
      <c r="J69" s="39">
        <v>133842</v>
      </c>
      <c r="K69" s="39">
        <f>_xlfn.XLOOKUP(L69,[1]!Tabela33[BROKER],[1]!Tabela33[ID ORACLE],0,0,1)</f>
        <v>133842</v>
      </c>
      <c r="L69" s="46" t="s">
        <v>28</v>
      </c>
      <c r="N69" t="s">
        <v>48</v>
      </c>
      <c r="O69">
        <v>256.38</v>
      </c>
    </row>
    <row r="70" spans="1:15" ht="15" customHeight="1" x14ac:dyDescent="0.25">
      <c r="A70" s="23" t="str">
        <f t="shared" si="0"/>
        <v>CUSTO PLATAFORMA - MARÇO/26 - SILICON TRADER - 125412</v>
      </c>
      <c r="B70" s="12">
        <v>46082</v>
      </c>
      <c r="C70" s="11">
        <v>817394</v>
      </c>
      <c r="D70" s="11" t="s">
        <v>29</v>
      </c>
      <c r="E70" s="49">
        <f>-13821.2533333333</f>
        <v>-13821.253333333299</v>
      </c>
      <c r="F70" s="33" t="s">
        <v>33</v>
      </c>
      <c r="G70" s="12">
        <v>46082</v>
      </c>
      <c r="H70" s="11">
        <v>1170</v>
      </c>
      <c r="J70" s="38">
        <v>125412</v>
      </c>
      <c r="K70" s="38">
        <v>52340</v>
      </c>
      <c r="L70" s="11" t="s">
        <v>29</v>
      </c>
      <c r="N70" t="s">
        <v>49</v>
      </c>
      <c r="O70">
        <v>71.45</v>
      </c>
    </row>
    <row r="71" spans="1:15" ht="15" customHeight="1" x14ac:dyDescent="0.25">
      <c r="A71" s="11" t="str">
        <f t="shared" ref="A71:A73" si="1">_xlfn.CONCAT($L$1,$I$1,F71,$I$1,J71)</f>
        <v>CUSTO PLATAFORMA - MARÇO/26 - PARAMITA - 135064</v>
      </c>
      <c r="B71" s="12">
        <v>46082</v>
      </c>
      <c r="C71" s="11">
        <v>817394</v>
      </c>
      <c r="D71" s="11" t="s">
        <v>34</v>
      </c>
      <c r="E71" s="49">
        <v>-3740</v>
      </c>
      <c r="F71" s="11" t="s">
        <v>62</v>
      </c>
      <c r="G71" s="12">
        <v>46082</v>
      </c>
      <c r="H71" s="11">
        <v>1170</v>
      </c>
      <c r="J71" s="39">
        <v>135064</v>
      </c>
      <c r="K71" s="39">
        <f>_xlfn.XLOOKUP(L71,[1]!Tabela33[BROKER],[1]!Tabela33[ID ORACLE],0,0,1)</f>
        <v>135064</v>
      </c>
      <c r="L71" s="40" t="s">
        <v>34</v>
      </c>
      <c r="N71" s="42"/>
    </row>
    <row r="72" spans="1:15" ht="15" customHeight="1" x14ac:dyDescent="0.25">
      <c r="A72" s="11" t="str">
        <f t="shared" si="1"/>
        <v>CUSTO PLATAFORMA - MARÇO/26 - CETIP - 135064</v>
      </c>
      <c r="B72" s="12">
        <v>46082</v>
      </c>
      <c r="C72" s="11">
        <v>817394</v>
      </c>
      <c r="D72" s="11" t="s">
        <v>34</v>
      </c>
      <c r="E72" s="49">
        <v>-90806.79</v>
      </c>
      <c r="F72" s="33" t="s">
        <v>39</v>
      </c>
      <c r="G72" s="12">
        <v>46082</v>
      </c>
      <c r="H72" s="11">
        <v>1170</v>
      </c>
      <c r="J72" s="39">
        <v>135064</v>
      </c>
      <c r="K72" s="39">
        <f>_xlfn.XLOOKUP(L72,[1]!Tabela33[BROKER],[1]!Tabela33[ID ORACLE],0,0,1)</f>
        <v>135064</v>
      </c>
      <c r="L72" s="40" t="s">
        <v>34</v>
      </c>
      <c r="M72" t="s">
        <v>50</v>
      </c>
    </row>
    <row r="73" spans="1:15" ht="15" customHeight="1" x14ac:dyDescent="0.25">
      <c r="A73" s="11" t="str">
        <f t="shared" si="1"/>
        <v>CUSTO PLATAFORMA - MARÇO/26 - TERMO - 24140</v>
      </c>
      <c r="B73" s="12">
        <v>46082</v>
      </c>
      <c r="C73" s="11">
        <v>817394</v>
      </c>
      <c r="D73" s="11" t="s">
        <v>14</v>
      </c>
      <c r="E73" s="49">
        <v>-11997.48</v>
      </c>
      <c r="F73" s="33" t="s">
        <v>35</v>
      </c>
      <c r="G73" s="12">
        <v>46082</v>
      </c>
      <c r="H73" s="11">
        <v>80101</v>
      </c>
      <c r="J73" s="39">
        <v>24140</v>
      </c>
      <c r="K73" s="39">
        <f>_xlfn.XLOOKUP(L73,[1]!Tabela33[BROKER],[1]!Tabela33[ID ORACLE],0,0,1)</f>
        <v>24140</v>
      </c>
      <c r="L73" s="40" t="s">
        <v>14</v>
      </c>
      <c r="M73" t="s">
        <v>41</v>
      </c>
    </row>
    <row r="74" spans="1:15" ht="15" customHeight="1" x14ac:dyDescent="0.25">
      <c r="A74" s="17" t="str">
        <f>_xlfn.CONCAT($L$1,$I$1,F74)</f>
        <v>CUSTO PLATAFORMA - MARÇO/26 - TRADEMATE</v>
      </c>
      <c r="B74" s="18">
        <v>46082</v>
      </c>
      <c r="C74" s="17">
        <v>817394</v>
      </c>
      <c r="D74" s="17" t="s">
        <v>51</v>
      </c>
      <c r="E74" s="50">
        <v>-420.48410547139503</v>
      </c>
      <c r="F74" s="32" t="s">
        <v>60</v>
      </c>
      <c r="G74" s="18">
        <v>46082</v>
      </c>
      <c r="H74" s="17">
        <v>1170</v>
      </c>
      <c r="J74" s="28"/>
      <c r="K74" s="28"/>
      <c r="L74" s="47"/>
    </row>
    <row r="75" spans="1:15" ht="15" customHeight="1" x14ac:dyDescent="0.25">
      <c r="A75" s="17" t="str">
        <f t="shared" ref="A75:A90" si="2">_xlfn.CONCAT($L$1,$I$1,F75)</f>
        <v>CUSTO PLATAFORMA - MARÇO/26 - TRADEMATE</v>
      </c>
      <c r="B75" s="18">
        <v>46082</v>
      </c>
      <c r="C75" s="17">
        <v>817394</v>
      </c>
      <c r="D75" s="17" t="s">
        <v>74</v>
      </c>
      <c r="E75" s="50">
        <v>-4507.6666756853401</v>
      </c>
      <c r="F75" s="32" t="s">
        <v>60</v>
      </c>
      <c r="G75" s="18">
        <v>46082</v>
      </c>
      <c r="H75" s="17">
        <v>1170</v>
      </c>
      <c r="J75" s="28"/>
      <c r="K75" s="28"/>
      <c r="L75" s="47"/>
    </row>
    <row r="76" spans="1:15" ht="15" customHeight="1" x14ac:dyDescent="0.25">
      <c r="A76" s="17" t="str">
        <f t="shared" si="2"/>
        <v>CUSTO PLATAFORMA - MARÇO/26 - TRADEMATE</v>
      </c>
      <c r="B76" s="18">
        <v>46082</v>
      </c>
      <c r="C76" s="17">
        <v>817394</v>
      </c>
      <c r="D76" s="17" t="s">
        <v>52</v>
      </c>
      <c r="E76" s="50">
        <v>-77.972383664787486</v>
      </c>
      <c r="F76" s="32" t="s">
        <v>60</v>
      </c>
      <c r="G76" s="18">
        <v>46082</v>
      </c>
      <c r="H76" s="17">
        <v>1170</v>
      </c>
      <c r="J76" s="28"/>
      <c r="K76" s="28"/>
      <c r="L76" s="47"/>
    </row>
    <row r="77" spans="1:15" ht="15" customHeight="1" x14ac:dyDescent="0.25">
      <c r="A77" s="17" t="str">
        <f t="shared" si="2"/>
        <v>CUSTO PLATAFORMA - MARÇO/26 - TRADEMATE</v>
      </c>
      <c r="B77" s="18">
        <v>46082</v>
      </c>
      <c r="C77" s="17">
        <v>817394</v>
      </c>
      <c r="D77" s="17" t="s">
        <v>43</v>
      </c>
      <c r="E77" s="50">
        <v>-4366.20712165648</v>
      </c>
      <c r="F77" s="32" t="s">
        <v>60</v>
      </c>
      <c r="G77" s="18">
        <v>46082</v>
      </c>
      <c r="H77" s="17">
        <v>1170</v>
      </c>
      <c r="J77" s="28"/>
      <c r="K77" s="28"/>
      <c r="L77" s="47"/>
    </row>
    <row r="78" spans="1:15" ht="15" customHeight="1" x14ac:dyDescent="0.25">
      <c r="A78" s="17" t="str">
        <f t="shared" si="2"/>
        <v>CUSTO PLATAFORMA - MARÇO/26 - TRADEMATE</v>
      </c>
      <c r="B78" s="18">
        <v>46082</v>
      </c>
      <c r="C78" s="17">
        <v>817394</v>
      </c>
      <c r="D78" s="17" t="s">
        <v>53</v>
      </c>
      <c r="E78" s="50">
        <v>-6477.9544850311322</v>
      </c>
      <c r="F78" s="32" t="s">
        <v>60</v>
      </c>
      <c r="G78" s="18">
        <v>46082</v>
      </c>
      <c r="H78" s="17">
        <v>1170</v>
      </c>
      <c r="J78" s="28"/>
      <c r="K78" s="28"/>
      <c r="L78" s="47"/>
    </row>
    <row r="79" spans="1:15" ht="15" customHeight="1" x14ac:dyDescent="0.25">
      <c r="A79" s="17" t="str">
        <f t="shared" si="2"/>
        <v>CUSTO PLATAFORMA - MARÇO/26 - TRADEMATE</v>
      </c>
      <c r="B79" s="18">
        <v>46082</v>
      </c>
      <c r="C79" s="17">
        <v>817394</v>
      </c>
      <c r="D79" s="17" t="s">
        <v>38</v>
      </c>
      <c r="E79" s="50">
        <v>-1212.1268775755259</v>
      </c>
      <c r="F79" s="32" t="s">
        <v>60</v>
      </c>
      <c r="G79" s="18">
        <v>46082</v>
      </c>
      <c r="H79" s="17">
        <v>1170</v>
      </c>
      <c r="J79" s="28"/>
      <c r="K79" s="28"/>
      <c r="L79" s="47"/>
    </row>
    <row r="80" spans="1:15" ht="15" customHeight="1" x14ac:dyDescent="0.25">
      <c r="A80" s="17" t="str">
        <f t="shared" si="2"/>
        <v>CUSTO PLATAFORMA - MARÇO/26 - TRADEMATE</v>
      </c>
      <c r="B80" s="18">
        <v>46082</v>
      </c>
      <c r="C80" s="17">
        <v>817394</v>
      </c>
      <c r="D80" s="17" t="s">
        <v>59</v>
      </c>
      <c r="E80" s="50">
        <v>-4858.6497322046807</v>
      </c>
      <c r="F80" s="32" t="s">
        <v>60</v>
      </c>
      <c r="G80" s="18">
        <v>46082</v>
      </c>
      <c r="H80" s="17">
        <v>1170</v>
      </c>
      <c r="J80" s="28"/>
      <c r="K80" s="28"/>
      <c r="L80" s="47"/>
    </row>
    <row r="81" spans="1:18" ht="15" customHeight="1" x14ac:dyDescent="0.25">
      <c r="A81" s="17" t="str">
        <f t="shared" si="2"/>
        <v>CUSTO PLATAFORMA - MARÇO/26 - TRADEMATE</v>
      </c>
      <c r="B81" s="18">
        <v>46082</v>
      </c>
      <c r="C81" s="17">
        <v>817394</v>
      </c>
      <c r="D81" s="17" t="s">
        <v>75</v>
      </c>
      <c r="E81" s="50">
        <v>-33.855550906228963</v>
      </c>
      <c r="F81" s="32" t="s">
        <v>60</v>
      </c>
      <c r="G81" s="18">
        <v>46082</v>
      </c>
      <c r="H81" s="17">
        <v>1170</v>
      </c>
      <c r="J81" s="28"/>
      <c r="K81" s="28"/>
      <c r="L81" s="47"/>
    </row>
    <row r="82" spans="1:18" ht="15" customHeight="1" x14ac:dyDescent="0.25">
      <c r="A82" s="17" t="str">
        <f t="shared" si="2"/>
        <v>CUSTO PLATAFORMA - MARÇO/26 - TRADEMATE</v>
      </c>
      <c r="B82" s="18">
        <v>46082</v>
      </c>
      <c r="C82" s="17">
        <v>817394</v>
      </c>
      <c r="D82" s="17" t="s">
        <v>54</v>
      </c>
      <c r="E82" s="50">
        <v>-691.35108540892259</v>
      </c>
      <c r="F82" s="32" t="s">
        <v>60</v>
      </c>
      <c r="G82" s="18">
        <v>46082</v>
      </c>
      <c r="H82" s="17">
        <v>1170</v>
      </c>
      <c r="J82" s="28"/>
      <c r="K82" s="28"/>
      <c r="L82" s="47"/>
    </row>
    <row r="83" spans="1:18" ht="15" customHeight="1" x14ac:dyDescent="0.25">
      <c r="A83" s="17" t="str">
        <f t="shared" si="2"/>
        <v>CUSTO PLATAFORMA - MARÇO/26 - TRADEMATE</v>
      </c>
      <c r="B83" s="18">
        <v>46082</v>
      </c>
      <c r="C83" s="17">
        <v>817394</v>
      </c>
      <c r="D83" s="17" t="s">
        <v>56</v>
      </c>
      <c r="E83" s="50">
        <v>-32.357580163845157</v>
      </c>
      <c r="F83" s="32" t="s">
        <v>60</v>
      </c>
      <c r="G83" s="18">
        <v>46082</v>
      </c>
      <c r="H83" s="17">
        <v>1170</v>
      </c>
      <c r="J83" s="28"/>
      <c r="K83" s="28"/>
      <c r="L83" s="47"/>
    </row>
    <row r="84" spans="1:18" ht="15" customHeight="1" x14ac:dyDescent="0.25">
      <c r="A84" s="17" t="str">
        <f t="shared" si="2"/>
        <v>CUSTO PLATAFORMA - MARÇO/26 - TRADEMATE</v>
      </c>
      <c r="B84" s="18">
        <v>46082</v>
      </c>
      <c r="C84" s="17">
        <v>817394</v>
      </c>
      <c r="D84" s="17" t="s">
        <v>73</v>
      </c>
      <c r="E84" s="50">
        <v>-197.6917824625902</v>
      </c>
      <c r="F84" s="32" t="s">
        <v>60</v>
      </c>
      <c r="G84" s="18">
        <v>46082</v>
      </c>
      <c r="H84" s="17">
        <v>1170</v>
      </c>
      <c r="J84" s="28"/>
      <c r="K84" s="28"/>
      <c r="L84" s="47"/>
    </row>
    <row r="85" spans="1:18" ht="15" customHeight="1" x14ac:dyDescent="0.25">
      <c r="A85" s="17" t="str">
        <f t="shared" si="2"/>
        <v>CUSTO PLATAFORMA - MARÇO/26 - TRADEMATE</v>
      </c>
      <c r="B85" s="18">
        <v>46082</v>
      </c>
      <c r="C85" s="17">
        <v>817394</v>
      </c>
      <c r="D85" s="17" t="s">
        <v>72</v>
      </c>
      <c r="E85" s="50">
        <v>-970.21361722540894</v>
      </c>
      <c r="F85" s="32" t="s">
        <v>60</v>
      </c>
      <c r="G85" s="18">
        <v>46082</v>
      </c>
      <c r="H85" s="17">
        <v>1170</v>
      </c>
      <c r="J85" s="28"/>
      <c r="K85" s="28"/>
      <c r="L85" s="47"/>
    </row>
    <row r="86" spans="1:18" ht="15" customHeight="1" x14ac:dyDescent="0.25">
      <c r="A86" s="17" t="str">
        <f t="shared" si="2"/>
        <v>CUSTO PLATAFORMA - MARÇO/26 - TRADEMATE</v>
      </c>
      <c r="B86" s="18">
        <v>46082</v>
      </c>
      <c r="C86" s="17">
        <v>817394</v>
      </c>
      <c r="D86" s="17" t="s">
        <v>76</v>
      </c>
      <c r="E86" s="50">
        <v>-1231.0011770029594</v>
      </c>
      <c r="F86" s="32" t="s">
        <v>60</v>
      </c>
      <c r="G86" s="18">
        <v>46082</v>
      </c>
      <c r="H86" s="17">
        <v>1170</v>
      </c>
      <c r="J86" s="28"/>
      <c r="K86" s="28"/>
      <c r="L86" s="47"/>
    </row>
    <row r="87" spans="1:18" ht="15" customHeight="1" x14ac:dyDescent="0.25">
      <c r="A87" s="17" t="str">
        <f t="shared" si="2"/>
        <v>CUSTO PLATAFORMA - MARÇO/26 - TRADEMATE</v>
      </c>
      <c r="B87" s="18">
        <v>46082</v>
      </c>
      <c r="C87" s="17">
        <v>817394</v>
      </c>
      <c r="D87" s="17" t="s">
        <v>61</v>
      </c>
      <c r="E87" s="50">
        <v>-2158.0739741008229</v>
      </c>
      <c r="F87" s="32" t="s">
        <v>60</v>
      </c>
      <c r="G87" s="18">
        <v>46082</v>
      </c>
      <c r="H87" s="17">
        <v>1170</v>
      </c>
      <c r="J87" s="28"/>
      <c r="K87" s="28"/>
      <c r="L87" s="47"/>
    </row>
    <row r="88" spans="1:18" ht="15" customHeight="1" x14ac:dyDescent="0.25">
      <c r="A88" s="17" t="str">
        <f t="shared" si="2"/>
        <v>CUSTO PLATAFORMA - MARÇO/26 - TRADEMATE</v>
      </c>
      <c r="B88" s="18">
        <v>46082</v>
      </c>
      <c r="C88" s="17">
        <v>817394</v>
      </c>
      <c r="D88" s="17" t="s">
        <v>55</v>
      </c>
      <c r="E88" s="50">
        <v>-716.12071256303079</v>
      </c>
      <c r="F88" s="32" t="s">
        <v>60</v>
      </c>
      <c r="G88" s="18">
        <v>46082</v>
      </c>
      <c r="H88" s="17">
        <v>1170</v>
      </c>
      <c r="J88" s="28"/>
      <c r="K88" s="28"/>
      <c r="L88" s="47"/>
    </row>
    <row r="89" spans="1:18" ht="15" customHeight="1" x14ac:dyDescent="0.25">
      <c r="A89" s="17" t="str">
        <f t="shared" si="2"/>
        <v>CUSTO PLATAFORMA - MARÇO/26 - TRADEMATE</v>
      </c>
      <c r="B89" s="18">
        <v>46082</v>
      </c>
      <c r="C89" s="17">
        <v>817394</v>
      </c>
      <c r="D89" s="17" t="s">
        <v>77</v>
      </c>
      <c r="E89" s="50">
        <v>-728.21499665106978</v>
      </c>
      <c r="F89" s="32" t="s">
        <v>60</v>
      </c>
      <c r="G89" s="18">
        <v>46082</v>
      </c>
      <c r="H89" s="17">
        <v>1170</v>
      </c>
      <c r="J89" s="28"/>
      <c r="K89" s="28"/>
      <c r="L89" s="47"/>
    </row>
    <row r="90" spans="1:18" ht="15" customHeight="1" x14ac:dyDescent="0.25">
      <c r="A90" s="19" t="str">
        <f t="shared" si="2"/>
        <v>CUSTO PLATAFORMA - MARÇO/26 - TRADEMATE</v>
      </c>
      <c r="B90" s="20">
        <v>46082</v>
      </c>
      <c r="C90" s="19">
        <v>817394</v>
      </c>
      <c r="D90" s="19" t="s">
        <v>57</v>
      </c>
      <c r="E90" s="49">
        <v>-294.84814222578308</v>
      </c>
      <c r="F90" s="34" t="s">
        <v>60</v>
      </c>
      <c r="G90" s="20">
        <v>46082</v>
      </c>
      <c r="H90" s="19">
        <v>1170</v>
      </c>
      <c r="I90" s="36"/>
      <c r="J90" s="35"/>
      <c r="K90" s="35"/>
      <c r="L90" s="48"/>
    </row>
    <row r="91" spans="1:18" ht="15" customHeight="1" x14ac:dyDescent="0.25">
      <c r="A91" s="22" t="str">
        <f>_xlfn.CONCAT($L$1,$I$1,F91)</f>
        <v>CUSTO PLATAFORMA - MARÇO/26 - BLOOMBERG SINGAPURA</v>
      </c>
      <c r="B91" s="18">
        <v>46082</v>
      </c>
      <c r="C91" s="17">
        <v>817394</v>
      </c>
      <c r="D91" s="32" t="s">
        <v>43</v>
      </c>
      <c r="E91" s="50">
        <v>-1199.5882639249601</v>
      </c>
      <c r="F91" s="17" t="s">
        <v>37</v>
      </c>
      <c r="G91" s="18">
        <v>46082</v>
      </c>
      <c r="H91" s="17">
        <v>1170</v>
      </c>
      <c r="J91" s="28"/>
      <c r="K91" s="28"/>
      <c r="L91" s="17" t="s">
        <v>38</v>
      </c>
      <c r="N91" s="43"/>
      <c r="R91" s="41"/>
    </row>
    <row r="92" spans="1:18" ht="15" customHeight="1" x14ac:dyDescent="0.25">
      <c r="A92" s="22" t="str">
        <f>_xlfn.CONCAT($L$1,$I$1,F92)</f>
        <v>CUSTO PLATAFORMA - MARÇO/26 - BLOOMBERG SINGAPURA</v>
      </c>
      <c r="B92" s="18">
        <v>46082</v>
      </c>
      <c r="C92" s="17">
        <v>817394</v>
      </c>
      <c r="D92" s="17" t="s">
        <v>38</v>
      </c>
      <c r="E92" s="50">
        <v>-1238.49285112486</v>
      </c>
      <c r="F92" s="17" t="s">
        <v>37</v>
      </c>
      <c r="G92" s="18">
        <v>46082</v>
      </c>
      <c r="H92" s="17">
        <v>1170</v>
      </c>
      <c r="J92" s="28"/>
      <c r="K92" s="28"/>
      <c r="L92" s="17" t="s">
        <v>61</v>
      </c>
    </row>
    <row r="93" spans="1:18" ht="15" customHeight="1" x14ac:dyDescent="0.25">
      <c r="A93" s="22"/>
      <c r="B93" s="18"/>
      <c r="C93" s="17"/>
      <c r="D93" s="17"/>
      <c r="E93" s="54"/>
      <c r="F93" s="17"/>
      <c r="G93" s="18"/>
      <c r="H93" s="17"/>
      <c r="J93" s="28"/>
      <c r="K93" s="28"/>
      <c r="L93" s="17"/>
      <c r="N93" s="45">
        <v>2438.0811150498275</v>
      </c>
      <c r="O93" s="59">
        <v>1</v>
      </c>
      <c r="Q93" s="45">
        <f>Q94+Q95</f>
        <v>404.21000000000004</v>
      </c>
      <c r="R93" s="59">
        <v>1</v>
      </c>
    </row>
    <row r="94" spans="1:18" ht="15" customHeight="1" x14ac:dyDescent="0.25">
      <c r="A94" s="22"/>
      <c r="B94" s="18"/>
      <c r="C94" s="17"/>
      <c r="D94" s="17"/>
      <c r="E94" s="54"/>
      <c r="F94" s="17"/>
      <c r="G94" s="18"/>
      <c r="H94" s="17"/>
      <c r="J94" s="28"/>
      <c r="K94" s="28"/>
      <c r="L94" s="17"/>
      <c r="M94" t="s">
        <v>70</v>
      </c>
      <c r="N94" s="58">
        <f>N93*O94</f>
        <v>1199.5882639249639</v>
      </c>
      <c r="O94" s="55">
        <f>R94</f>
        <v>0.4920214739862942</v>
      </c>
      <c r="Q94" s="45">
        <v>198.88</v>
      </c>
      <c r="R94" s="56">
        <f>Q94*R93/Q93</f>
        <v>0.4920214739862942</v>
      </c>
    </row>
    <row r="95" spans="1:18" ht="15" customHeight="1" x14ac:dyDescent="0.25">
      <c r="A95" s="25"/>
      <c r="B95" s="6"/>
      <c r="C95" s="1"/>
      <c r="D95" s="1"/>
      <c r="E95" s="2"/>
      <c r="F95" s="44"/>
      <c r="G95" s="6"/>
      <c r="H95" s="1"/>
      <c r="M95" t="s">
        <v>71</v>
      </c>
      <c r="N95" s="58">
        <f>N93*O95</f>
        <v>1238.4928511248636</v>
      </c>
      <c r="O95" s="55">
        <f t="shared" ref="O95" si="3">R95</f>
        <v>0.50797852601370574</v>
      </c>
      <c r="P95" s="43"/>
      <c r="Q95" s="45">
        <v>205.33</v>
      </c>
      <c r="R95" s="57">
        <f>Q95*R93/Q93</f>
        <v>0.50797852601370574</v>
      </c>
    </row>
    <row r="96" spans="1:18" ht="15" customHeight="1" x14ac:dyDescent="0.25">
      <c r="A96" s="25"/>
      <c r="B96" s="6"/>
      <c r="C96" s="1"/>
      <c r="D96" s="1"/>
      <c r="E96" s="2"/>
      <c r="F96" s="1"/>
      <c r="G96" s="6"/>
      <c r="H96" s="1"/>
      <c r="M96" t="s">
        <v>46</v>
      </c>
      <c r="R96" t="s">
        <v>45</v>
      </c>
    </row>
    <row r="97" spans="1:8" ht="15" customHeight="1" x14ac:dyDescent="0.25">
      <c r="A97" s="25"/>
      <c r="B97" s="6"/>
      <c r="C97" s="1"/>
      <c r="D97" s="1"/>
      <c r="E97" s="2"/>
      <c r="F97" s="1"/>
      <c r="G97" s="6"/>
      <c r="H97" s="1"/>
    </row>
    <row r="98" spans="1:8" ht="15" customHeight="1" x14ac:dyDescent="0.25">
      <c r="A98" s="25"/>
      <c r="B98" s="6"/>
      <c r="C98" s="1"/>
      <c r="D98" s="1"/>
      <c r="E98" s="2"/>
      <c r="F98" s="1"/>
      <c r="G98" s="6"/>
      <c r="H98" s="1"/>
    </row>
    <row r="99" spans="1:8" ht="15" customHeight="1" x14ac:dyDescent="0.25">
      <c r="A99" s="25"/>
      <c r="B99" s="6"/>
      <c r="C99" s="1"/>
      <c r="D99" s="1"/>
      <c r="E99" s="2"/>
      <c r="F99" s="1"/>
      <c r="G99" s="6"/>
      <c r="H99" s="1"/>
    </row>
    <row r="100" spans="1:8" ht="15" customHeight="1" x14ac:dyDescent="0.25">
      <c r="A100" s="25"/>
      <c r="B100" s="6"/>
      <c r="C100" s="1"/>
      <c r="D100" s="1"/>
      <c r="E100" s="2"/>
      <c r="F100" s="1"/>
      <c r="G100" s="6"/>
      <c r="H100" s="1"/>
    </row>
    <row r="101" spans="1:8" ht="15" customHeight="1" x14ac:dyDescent="0.25">
      <c r="A101" s="25"/>
      <c r="B101" s="6"/>
      <c r="C101" s="1"/>
      <c r="D101" s="1"/>
      <c r="E101" s="2"/>
      <c r="F101" s="1"/>
      <c r="G101" s="6"/>
      <c r="H101" s="1"/>
    </row>
    <row r="102" spans="1:8" ht="15" customHeight="1" x14ac:dyDescent="0.25">
      <c r="A102" s="25"/>
      <c r="B102" s="6"/>
      <c r="C102" s="1"/>
      <c r="D102" s="1"/>
      <c r="E102" s="2"/>
      <c r="F102" s="1"/>
      <c r="G102" s="6"/>
      <c r="H102" s="1"/>
    </row>
    <row r="103" spans="1:8" ht="15" customHeight="1" x14ac:dyDescent="0.25">
      <c r="A103" s="25"/>
      <c r="B103" s="6"/>
      <c r="C103" s="1"/>
      <c r="D103" s="1"/>
      <c r="E103" s="2"/>
      <c r="F103" s="1"/>
      <c r="G103" s="6"/>
      <c r="H103" s="1"/>
    </row>
    <row r="104" spans="1:8" ht="15" customHeight="1" x14ac:dyDescent="0.25">
      <c r="A104" s="25"/>
      <c r="B104" s="6"/>
      <c r="C104" s="1"/>
      <c r="D104" s="1"/>
      <c r="E104" s="2"/>
      <c r="F104" s="1"/>
      <c r="G104" s="6"/>
      <c r="H104" s="1"/>
    </row>
    <row r="105" spans="1:8" ht="15" customHeight="1" x14ac:dyDescent="0.25">
      <c r="A105" s="25"/>
      <c r="B105" s="6"/>
      <c r="C105" s="1"/>
      <c r="D105" s="1"/>
      <c r="E105" s="2"/>
      <c r="F105" s="1"/>
      <c r="G105" s="6"/>
      <c r="H105" s="1"/>
    </row>
    <row r="106" spans="1:8" ht="15" customHeight="1" x14ac:dyDescent="0.25">
      <c r="A106" s="25"/>
      <c r="B106" s="6"/>
      <c r="C106" s="1"/>
      <c r="D106" s="1"/>
      <c r="E106" s="2"/>
      <c r="F106" s="1"/>
      <c r="G106" s="6"/>
      <c r="H106" s="1"/>
    </row>
    <row r="107" spans="1:8" ht="15" customHeight="1" x14ac:dyDescent="0.25">
      <c r="A107" s="25"/>
      <c r="B107" s="6"/>
      <c r="C107" s="1"/>
      <c r="D107" s="1"/>
      <c r="E107" s="2"/>
      <c r="F107" s="1"/>
      <c r="G107" s="6"/>
      <c r="H107" s="1"/>
    </row>
    <row r="108" spans="1:8" ht="15" customHeight="1" x14ac:dyDescent="0.25">
      <c r="A108" s="25"/>
      <c r="B108" s="6"/>
      <c r="C108" s="1"/>
      <c r="D108" s="1"/>
      <c r="E108" s="2"/>
      <c r="F108" s="1"/>
      <c r="G108" s="6"/>
      <c r="H108" s="1"/>
    </row>
    <row r="109" spans="1:8" ht="15" customHeight="1" x14ac:dyDescent="0.25">
      <c r="A109" s="25"/>
      <c r="B109" s="6"/>
      <c r="C109" s="1"/>
      <c r="D109" s="1"/>
      <c r="E109" s="2"/>
      <c r="F109" s="1"/>
      <c r="G109" s="6"/>
      <c r="H109" s="1"/>
    </row>
    <row r="110" spans="1:8" ht="15" customHeight="1" x14ac:dyDescent="0.25">
      <c r="A110" s="25"/>
      <c r="B110" s="6"/>
      <c r="C110" s="1"/>
      <c r="D110" s="1"/>
      <c r="E110" s="2"/>
      <c r="F110" s="1"/>
      <c r="G110" s="6"/>
      <c r="H110" s="1"/>
    </row>
    <row r="111" spans="1:8" ht="15" customHeight="1" x14ac:dyDescent="0.25">
      <c r="A111" s="25"/>
      <c r="B111" s="6"/>
      <c r="C111" s="1"/>
      <c r="D111" s="1"/>
      <c r="E111" s="2"/>
      <c r="F111" s="1"/>
      <c r="G111" s="6"/>
      <c r="H111" s="1"/>
    </row>
    <row r="112" spans="1:8" ht="15" customHeight="1" x14ac:dyDescent="0.25">
      <c r="A112" s="25"/>
      <c r="B112" s="6"/>
      <c r="C112" s="1"/>
      <c r="D112" s="1"/>
      <c r="E112" s="2"/>
      <c r="F112" s="1"/>
      <c r="G112" s="6"/>
      <c r="H112" s="1"/>
    </row>
    <row r="113" spans="1:8" ht="15" customHeight="1" x14ac:dyDescent="0.25">
      <c r="A113" s="25"/>
      <c r="B113" s="6"/>
      <c r="C113" s="1"/>
      <c r="D113" s="1"/>
      <c r="E113" s="2"/>
      <c r="F113" s="1"/>
      <c r="G113" s="6"/>
      <c r="H113" s="1"/>
    </row>
    <row r="114" spans="1:8" ht="15" customHeight="1" x14ac:dyDescent="0.25">
      <c r="A114" s="25"/>
      <c r="B114" s="6"/>
      <c r="C114" s="1"/>
      <c r="D114" s="1"/>
      <c r="E114" s="2"/>
      <c r="F114" s="1"/>
      <c r="G114" s="6"/>
      <c r="H114" s="1"/>
    </row>
    <row r="115" spans="1:8" ht="15" customHeight="1" x14ac:dyDescent="0.25">
      <c r="A115" s="25"/>
      <c r="B115" s="6"/>
      <c r="C115" s="1"/>
      <c r="D115" s="1"/>
      <c r="E115" s="2"/>
      <c r="F115" s="1"/>
      <c r="G115" s="6"/>
      <c r="H115" s="1"/>
    </row>
    <row r="116" spans="1:8" ht="15" customHeight="1" x14ac:dyDescent="0.25">
      <c r="A116" s="25"/>
      <c r="B116" s="6"/>
      <c r="C116" s="1"/>
      <c r="D116" s="1"/>
      <c r="E116" s="2"/>
      <c r="F116" s="1"/>
      <c r="G116" s="6"/>
      <c r="H116" s="1"/>
    </row>
    <row r="117" spans="1:8" ht="15" customHeight="1" x14ac:dyDescent="0.25">
      <c r="A117" s="25"/>
      <c r="B117" s="6"/>
      <c r="C117" s="1"/>
      <c r="D117" s="1"/>
      <c r="E117" s="2"/>
      <c r="F117" s="1"/>
      <c r="G117" s="6"/>
      <c r="H117" s="1"/>
    </row>
    <row r="118" spans="1:8" ht="15" customHeight="1" x14ac:dyDescent="0.25">
      <c r="A118" s="25"/>
      <c r="B118" s="6"/>
      <c r="C118" s="1"/>
      <c r="D118" s="1"/>
      <c r="E118" s="2"/>
      <c r="F118" s="1"/>
      <c r="G118" s="6"/>
      <c r="H118" s="1"/>
    </row>
    <row r="119" spans="1:8" ht="15" customHeight="1" x14ac:dyDescent="0.25">
      <c r="A119" s="25"/>
      <c r="B119" s="6"/>
      <c r="C119" s="1"/>
      <c r="D119" s="1"/>
      <c r="E119" s="2"/>
      <c r="F119" s="1"/>
      <c r="G119" s="6"/>
      <c r="H119" s="1"/>
    </row>
    <row r="120" spans="1:8" ht="15" customHeight="1" x14ac:dyDescent="0.25">
      <c r="A120" s="25"/>
      <c r="B120" s="6"/>
      <c r="C120" s="1"/>
      <c r="D120" s="1"/>
      <c r="E120" s="2"/>
      <c r="F120" s="1"/>
      <c r="G120" s="6"/>
      <c r="H120" s="1"/>
    </row>
    <row r="121" spans="1:8" ht="15" customHeight="1" x14ac:dyDescent="0.25">
      <c r="A121" s="25"/>
      <c r="B121" s="6"/>
      <c r="C121" s="1"/>
      <c r="D121" s="1"/>
      <c r="E121" s="2"/>
      <c r="F121" s="1"/>
      <c r="G121" s="6"/>
      <c r="H121" s="1"/>
    </row>
    <row r="122" spans="1:8" ht="15" customHeight="1" x14ac:dyDescent="0.25">
      <c r="A122" s="25"/>
      <c r="B122" s="6"/>
      <c r="C122" s="1"/>
      <c r="D122" s="1"/>
      <c r="E122" s="2"/>
      <c r="F122" s="1"/>
      <c r="G122" s="6"/>
      <c r="H122" s="1"/>
    </row>
    <row r="123" spans="1:8" ht="15" customHeight="1" x14ac:dyDescent="0.25">
      <c r="A123" s="25"/>
      <c r="B123" s="6"/>
      <c r="C123" s="1"/>
      <c r="D123" s="1"/>
      <c r="E123" s="2"/>
      <c r="F123" s="1"/>
      <c r="G123" s="6"/>
      <c r="H123" s="1"/>
    </row>
    <row r="124" spans="1:8" ht="15" customHeight="1" x14ac:dyDescent="0.25">
      <c r="A124" s="25"/>
      <c r="B124" s="6"/>
      <c r="C124" s="1"/>
      <c r="D124" s="1"/>
      <c r="E124" s="2"/>
      <c r="F124" s="1"/>
      <c r="G124" s="6"/>
      <c r="H124" s="1"/>
    </row>
    <row r="125" spans="1:8" ht="15" customHeight="1" x14ac:dyDescent="0.25">
      <c r="A125" s="25"/>
      <c r="B125" s="6"/>
      <c r="C125" s="1"/>
      <c r="D125" s="1"/>
      <c r="E125" s="2"/>
      <c r="F125" s="1"/>
      <c r="G125" s="6"/>
      <c r="H125" s="1"/>
    </row>
    <row r="126" spans="1:8" ht="15" customHeight="1" x14ac:dyDescent="0.25">
      <c r="A126" s="25"/>
      <c r="B126" s="6"/>
      <c r="C126" s="1"/>
      <c r="D126" s="1"/>
      <c r="E126" s="2"/>
      <c r="F126" s="1"/>
      <c r="G126" s="6"/>
      <c r="H126" s="1"/>
    </row>
    <row r="127" spans="1:8" ht="15" customHeight="1" x14ac:dyDescent="0.25">
      <c r="A127" s="25"/>
      <c r="B127" s="6"/>
      <c r="C127" s="1"/>
      <c r="D127" s="1"/>
      <c r="E127" s="2"/>
      <c r="F127" s="1"/>
      <c r="G127" s="6"/>
      <c r="H127" s="1"/>
    </row>
    <row r="128" spans="1:8" ht="15" customHeight="1" x14ac:dyDescent="0.25">
      <c r="A128" s="25"/>
      <c r="B128" s="6"/>
      <c r="C128" s="1"/>
      <c r="D128" s="1"/>
      <c r="E128" s="2"/>
      <c r="F128" s="1"/>
      <c r="G128" s="6"/>
      <c r="H128" s="1"/>
    </row>
    <row r="129" spans="1:8" ht="15" customHeight="1" x14ac:dyDescent="0.25">
      <c r="A129" s="25"/>
      <c r="B129" s="6"/>
      <c r="C129" s="1"/>
      <c r="D129" s="1"/>
      <c r="E129" s="2"/>
      <c r="F129" s="1"/>
      <c r="G129" s="6"/>
      <c r="H129" s="1"/>
    </row>
    <row r="130" spans="1:8" ht="15" customHeight="1" x14ac:dyDescent="0.25">
      <c r="A130" s="25"/>
      <c r="B130" s="6"/>
      <c r="C130" s="1"/>
      <c r="D130" s="1"/>
      <c r="E130" s="2"/>
      <c r="F130" s="1"/>
      <c r="G130" s="6"/>
      <c r="H130" s="1"/>
    </row>
    <row r="131" spans="1:8" ht="15" customHeight="1" x14ac:dyDescent="0.25">
      <c r="A131" s="25"/>
      <c r="B131" s="6"/>
      <c r="C131" s="1"/>
      <c r="D131" s="1"/>
      <c r="E131" s="2"/>
      <c r="F131" s="1"/>
      <c r="G131" s="6"/>
      <c r="H131" s="1"/>
    </row>
    <row r="132" spans="1:8" ht="15" customHeight="1" x14ac:dyDescent="0.25">
      <c r="A132" s="25"/>
      <c r="B132" s="6"/>
      <c r="C132" s="1"/>
      <c r="D132" s="1"/>
      <c r="E132" s="2"/>
      <c r="F132" s="1"/>
      <c r="G132" s="6"/>
      <c r="H132" s="1"/>
    </row>
    <row r="133" spans="1:8" ht="15" customHeight="1" x14ac:dyDescent="0.25">
      <c r="A133" s="25"/>
      <c r="B133" s="6"/>
      <c r="C133" s="1"/>
      <c r="D133" s="1"/>
      <c r="E133" s="2"/>
      <c r="F133" s="1"/>
      <c r="G133" s="6"/>
      <c r="H133" s="1"/>
    </row>
    <row r="134" spans="1:8" ht="15" customHeight="1" x14ac:dyDescent="0.25">
      <c r="A134" s="25"/>
      <c r="B134" s="6"/>
      <c r="C134" s="1"/>
      <c r="D134" s="1"/>
      <c r="E134" s="2"/>
      <c r="F134" s="1"/>
      <c r="G134" s="6"/>
      <c r="H134" s="1"/>
    </row>
    <row r="135" spans="1:8" ht="15" customHeight="1" x14ac:dyDescent="0.25">
      <c r="A135" s="25"/>
      <c r="B135" s="6"/>
      <c r="C135" s="1"/>
      <c r="D135" s="1"/>
      <c r="E135" s="2"/>
      <c r="F135" s="1"/>
      <c r="G135" s="6"/>
      <c r="H135" s="1"/>
    </row>
    <row r="136" spans="1:8" ht="15" customHeight="1" x14ac:dyDescent="0.25">
      <c r="A136" s="25"/>
      <c r="B136" s="6"/>
      <c r="C136" s="1"/>
      <c r="D136" s="1"/>
      <c r="E136" s="2"/>
      <c r="F136" s="1"/>
      <c r="G136" s="6"/>
      <c r="H136" s="1"/>
    </row>
    <row r="137" spans="1:8" ht="15" customHeight="1" x14ac:dyDescent="0.25">
      <c r="A137" s="25"/>
      <c r="B137" s="6"/>
      <c r="C137" s="1"/>
      <c r="D137" s="1"/>
      <c r="E137" s="2"/>
      <c r="F137" s="1"/>
      <c r="G137" s="6"/>
      <c r="H137" s="1"/>
    </row>
    <row r="138" spans="1:8" ht="15" customHeight="1" x14ac:dyDescent="0.25">
      <c r="A138" s="25"/>
      <c r="B138" s="6"/>
      <c r="C138" s="1"/>
      <c r="D138" s="1"/>
      <c r="E138" s="2"/>
      <c r="F138" s="1"/>
      <c r="G138" s="6"/>
      <c r="H138" s="1"/>
    </row>
    <row r="139" spans="1:8" ht="15" customHeight="1" x14ac:dyDescent="0.25">
      <c r="A139" s="25"/>
      <c r="B139" s="6"/>
      <c r="C139" s="1"/>
      <c r="D139" s="1"/>
      <c r="E139" s="2"/>
      <c r="F139" s="1"/>
      <c r="G139" s="6"/>
      <c r="H139" s="1"/>
    </row>
    <row r="140" spans="1:8" ht="15" customHeight="1" x14ac:dyDescent="0.25">
      <c r="A140" s="25"/>
      <c r="B140" s="6"/>
      <c r="C140" s="1"/>
      <c r="D140" s="1"/>
      <c r="E140" s="2"/>
      <c r="F140" s="1"/>
      <c r="G140" s="6"/>
      <c r="H140" s="1"/>
    </row>
    <row r="141" spans="1:8" ht="15" customHeight="1" x14ac:dyDescent="0.25">
      <c r="A141" s="25"/>
      <c r="B141" s="6"/>
      <c r="C141" s="1"/>
      <c r="D141" s="1"/>
      <c r="E141" s="2"/>
      <c r="F141" s="1"/>
      <c r="G141" s="6"/>
      <c r="H141" s="1"/>
    </row>
    <row r="142" spans="1:8" ht="15" customHeight="1" x14ac:dyDescent="0.25">
      <c r="A142" s="25"/>
      <c r="B142" s="6"/>
      <c r="C142" s="1"/>
      <c r="D142" s="1"/>
      <c r="E142" s="2"/>
      <c r="F142" s="1"/>
      <c r="G142" s="6"/>
      <c r="H142" s="1"/>
    </row>
    <row r="143" spans="1:8" ht="15" customHeight="1" x14ac:dyDescent="0.25">
      <c r="A143" s="25"/>
      <c r="B143" s="6"/>
      <c r="C143" s="1"/>
      <c r="D143" s="1"/>
      <c r="E143" s="2"/>
      <c r="F143" s="1"/>
      <c r="G143" s="6"/>
      <c r="H143" s="1"/>
    </row>
    <row r="144" spans="1:8" ht="15" customHeight="1" x14ac:dyDescent="0.25">
      <c r="A144" s="25"/>
      <c r="B144" s="6"/>
      <c r="C144" s="1"/>
      <c r="D144" s="1"/>
      <c r="E144" s="2"/>
      <c r="F144" s="1"/>
      <c r="G144" s="6"/>
      <c r="H144" s="1"/>
    </row>
    <row r="145" spans="1:8" ht="15" customHeight="1" x14ac:dyDescent="0.25">
      <c r="A145" s="25"/>
      <c r="B145" s="6"/>
      <c r="C145" s="1"/>
      <c r="D145" s="1"/>
      <c r="E145" s="2"/>
      <c r="F145" s="1"/>
      <c r="G145" s="6"/>
      <c r="H145" s="1"/>
    </row>
    <row r="146" spans="1:8" ht="15" customHeight="1" x14ac:dyDescent="0.25">
      <c r="A146" s="25"/>
      <c r="B146" s="6"/>
      <c r="C146" s="1"/>
      <c r="D146" s="1"/>
      <c r="E146" s="2"/>
      <c r="F146" s="1"/>
      <c r="G146" s="6"/>
      <c r="H146" s="1"/>
    </row>
    <row r="147" spans="1:8" ht="15" customHeight="1" x14ac:dyDescent="0.25">
      <c r="A147" s="25"/>
      <c r="B147" s="6"/>
      <c r="C147" s="1"/>
      <c r="D147" s="1"/>
      <c r="E147" s="2"/>
      <c r="F147" s="1"/>
      <c r="G147" s="6"/>
      <c r="H147" s="1"/>
    </row>
    <row r="148" spans="1:8" ht="15" customHeight="1" x14ac:dyDescent="0.25">
      <c r="A148" s="25"/>
      <c r="B148" s="6"/>
      <c r="C148" s="1"/>
      <c r="D148" s="1"/>
      <c r="E148" s="2"/>
      <c r="F148" s="1"/>
      <c r="G148" s="6"/>
      <c r="H148" s="1"/>
    </row>
    <row r="149" spans="1:8" ht="15" customHeight="1" x14ac:dyDescent="0.25">
      <c r="A149" s="25"/>
      <c r="B149" s="6"/>
      <c r="C149" s="1"/>
      <c r="D149" s="1"/>
      <c r="E149" s="2"/>
      <c r="F149" s="1"/>
      <c r="G149" s="6"/>
      <c r="H149" s="1"/>
    </row>
    <row r="150" spans="1:8" ht="15" customHeight="1" x14ac:dyDescent="0.25">
      <c r="A150" s="25"/>
      <c r="B150" s="6"/>
      <c r="C150" s="1"/>
      <c r="D150" s="1"/>
      <c r="E150" s="2"/>
      <c r="F150" s="1"/>
      <c r="G150" s="6"/>
      <c r="H150" s="1"/>
    </row>
    <row r="151" spans="1:8" ht="15" customHeight="1" x14ac:dyDescent="0.25">
      <c r="A151" s="25"/>
      <c r="B151" s="6"/>
      <c r="C151" s="1"/>
      <c r="D151" s="1"/>
      <c r="E151" s="2"/>
      <c r="F151" s="1"/>
      <c r="G151" s="6"/>
      <c r="H151" s="1"/>
    </row>
    <row r="152" spans="1:8" ht="15" customHeight="1" x14ac:dyDescent="0.25">
      <c r="A152" s="25"/>
      <c r="B152" s="6"/>
      <c r="C152" s="1"/>
      <c r="D152" s="1"/>
      <c r="E152" s="2"/>
      <c r="F152" s="1"/>
      <c r="G152" s="6"/>
      <c r="H152" s="1"/>
    </row>
    <row r="153" spans="1:8" ht="15" customHeight="1" x14ac:dyDescent="0.25">
      <c r="A153" s="25"/>
      <c r="B153" s="6"/>
      <c r="C153" s="1"/>
      <c r="D153" s="1"/>
      <c r="E153" s="2"/>
      <c r="F153" s="1"/>
      <c r="G153" s="6"/>
      <c r="H153" s="1"/>
    </row>
    <row r="154" spans="1:8" ht="15" customHeight="1" x14ac:dyDescent="0.25">
      <c r="A154" s="25"/>
      <c r="B154" s="6"/>
      <c r="C154" s="1"/>
      <c r="D154" s="1"/>
      <c r="E154" s="2"/>
      <c r="F154" s="1"/>
      <c r="G154" s="6"/>
      <c r="H154" s="1"/>
    </row>
    <row r="155" spans="1:8" ht="15" customHeight="1" x14ac:dyDescent="0.25">
      <c r="A155" s="25"/>
      <c r="B155" s="6"/>
      <c r="C155" s="1"/>
      <c r="D155" s="1"/>
      <c r="E155" s="2"/>
      <c r="F155" s="1"/>
      <c r="G155" s="6"/>
      <c r="H155" s="1"/>
    </row>
    <row r="156" spans="1:8" ht="15" customHeight="1" x14ac:dyDescent="0.25">
      <c r="A156" s="25"/>
      <c r="B156" s="6"/>
      <c r="C156" s="1"/>
      <c r="D156" s="1"/>
      <c r="E156" s="2"/>
      <c r="F156" s="1"/>
      <c r="G156" s="6"/>
      <c r="H156" s="1"/>
    </row>
    <row r="157" spans="1:8" ht="15" customHeight="1" x14ac:dyDescent="0.25">
      <c r="A157" s="25"/>
      <c r="B157" s="6"/>
      <c r="C157" s="1"/>
      <c r="D157" s="1"/>
      <c r="E157" s="2"/>
      <c r="F157" s="1"/>
      <c r="G157" s="6"/>
      <c r="H157" s="1"/>
    </row>
    <row r="158" spans="1:8" ht="15" customHeight="1" x14ac:dyDescent="0.25">
      <c r="A158" s="25"/>
      <c r="B158" s="6"/>
      <c r="C158" s="1"/>
      <c r="D158" s="1"/>
      <c r="E158" s="2"/>
      <c r="F158" s="1"/>
      <c r="G158" s="6"/>
      <c r="H158" s="1"/>
    </row>
    <row r="159" spans="1:8" ht="15" customHeight="1" x14ac:dyDescent="0.25">
      <c r="A159" s="25"/>
      <c r="B159" s="6"/>
      <c r="C159" s="1"/>
      <c r="D159" s="1"/>
      <c r="E159" s="2"/>
      <c r="F159" s="1"/>
      <c r="G159" s="6"/>
      <c r="H159" s="1"/>
    </row>
    <row r="160" spans="1:8" ht="15" customHeight="1" x14ac:dyDescent="0.25">
      <c r="A160" s="25"/>
      <c r="B160" s="6"/>
      <c r="C160" s="1"/>
      <c r="D160" s="1"/>
      <c r="E160" s="2"/>
      <c r="F160" s="1"/>
      <c r="G160" s="6"/>
      <c r="H160" s="1"/>
    </row>
    <row r="161" spans="1:8" ht="15" customHeight="1" x14ac:dyDescent="0.25">
      <c r="A161" s="25"/>
      <c r="B161" s="6"/>
      <c r="C161" s="1"/>
      <c r="D161" s="1"/>
      <c r="E161" s="2"/>
      <c r="F161" s="1"/>
      <c r="G161" s="6"/>
      <c r="H161" s="1"/>
    </row>
    <row r="162" spans="1:8" ht="15" customHeight="1" x14ac:dyDescent="0.25">
      <c r="A162" s="25"/>
      <c r="B162" s="6"/>
      <c r="C162" s="1"/>
      <c r="D162" s="1"/>
      <c r="E162" s="2"/>
      <c r="F162" s="1"/>
      <c r="G162" s="6"/>
      <c r="H162" s="1"/>
    </row>
    <row r="163" spans="1:8" ht="15" customHeight="1" x14ac:dyDescent="0.25">
      <c r="A163" s="25"/>
      <c r="B163" s="6"/>
      <c r="C163" s="1"/>
      <c r="D163" s="1"/>
      <c r="E163" s="2"/>
      <c r="F163" s="1"/>
      <c r="G163" s="6"/>
      <c r="H163" s="1"/>
    </row>
    <row r="164" spans="1:8" ht="15" customHeight="1" x14ac:dyDescent="0.25">
      <c r="A164" s="25"/>
      <c r="B164" s="6"/>
      <c r="C164" s="1"/>
      <c r="D164" s="1"/>
      <c r="E164" s="2"/>
      <c r="F164" s="1"/>
      <c r="G164" s="6"/>
      <c r="H164" s="1"/>
    </row>
    <row r="165" spans="1:8" ht="15" customHeight="1" x14ac:dyDescent="0.25">
      <c r="A165" s="25"/>
      <c r="B165" s="6"/>
      <c r="C165" s="1"/>
      <c r="D165" s="1"/>
      <c r="E165" s="2"/>
      <c r="F165" s="1"/>
      <c r="G165" s="6"/>
      <c r="H165" s="1"/>
    </row>
    <row r="166" spans="1:8" ht="15" customHeight="1" x14ac:dyDescent="0.25">
      <c r="A166" s="25"/>
      <c r="B166" s="6"/>
      <c r="C166" s="1"/>
      <c r="D166" s="1"/>
      <c r="E166" s="2"/>
      <c r="F166" s="1"/>
      <c r="G166" s="6"/>
      <c r="H166" s="1"/>
    </row>
    <row r="167" spans="1:8" ht="15" customHeight="1" x14ac:dyDescent="0.25">
      <c r="A167" s="25"/>
      <c r="B167" s="6"/>
      <c r="C167" s="1"/>
      <c r="D167" s="1"/>
      <c r="E167" s="2"/>
      <c r="F167" s="1"/>
      <c r="G167" s="6"/>
      <c r="H167" s="1"/>
    </row>
    <row r="168" spans="1:8" ht="15" customHeight="1" x14ac:dyDescent="0.25">
      <c r="A168" s="25"/>
      <c r="B168" s="6"/>
      <c r="C168" s="1"/>
      <c r="D168" s="1"/>
      <c r="E168" s="2"/>
      <c r="F168" s="1"/>
      <c r="G168" s="6"/>
      <c r="H168" s="1"/>
    </row>
    <row r="169" spans="1:8" ht="15" customHeight="1" x14ac:dyDescent="0.25">
      <c r="A169" s="25"/>
      <c r="B169" s="6"/>
      <c r="C169" s="1"/>
      <c r="D169" s="1"/>
      <c r="E169" s="2"/>
      <c r="F169" s="1"/>
      <c r="G169" s="6"/>
      <c r="H169" s="1"/>
    </row>
    <row r="170" spans="1:8" ht="15" customHeight="1" x14ac:dyDescent="0.25">
      <c r="A170" s="25"/>
      <c r="B170" s="6"/>
      <c r="C170" s="1"/>
      <c r="D170" s="1"/>
      <c r="E170" s="2"/>
      <c r="F170" s="1"/>
      <c r="G170" s="6"/>
      <c r="H170" s="1"/>
    </row>
    <row r="171" spans="1:8" ht="15" customHeight="1" x14ac:dyDescent="0.25">
      <c r="A171" s="25"/>
      <c r="B171" s="6"/>
      <c r="C171" s="1"/>
      <c r="D171" s="1"/>
      <c r="E171" s="2"/>
      <c r="F171" s="1"/>
      <c r="G171" s="6"/>
      <c r="H171" s="1"/>
    </row>
    <row r="172" spans="1:8" ht="15" customHeight="1" x14ac:dyDescent="0.25">
      <c r="A172" s="25"/>
      <c r="B172" s="6"/>
      <c r="C172" s="1"/>
      <c r="D172" s="1"/>
      <c r="E172" s="2"/>
      <c r="F172" s="1"/>
      <c r="G172" s="6"/>
      <c r="H172" s="1"/>
    </row>
    <row r="173" spans="1:8" ht="15" customHeight="1" x14ac:dyDescent="0.25">
      <c r="A173" s="25"/>
      <c r="B173" s="6"/>
      <c r="C173" s="1"/>
      <c r="D173" s="1"/>
      <c r="E173" s="2"/>
      <c r="F173" s="1"/>
      <c r="G173" s="6"/>
      <c r="H173" s="1"/>
    </row>
    <row r="174" spans="1:8" ht="15" customHeight="1" x14ac:dyDescent="0.25">
      <c r="A174" s="25"/>
      <c r="B174" s="6"/>
      <c r="C174" s="1"/>
      <c r="D174" s="1"/>
      <c r="E174" s="2"/>
      <c r="F174" s="1"/>
      <c r="G174" s="6"/>
      <c r="H174" s="1"/>
    </row>
    <row r="175" spans="1:8" ht="15" customHeight="1" x14ac:dyDescent="0.25">
      <c r="A175" s="25"/>
      <c r="B175" s="6"/>
      <c r="C175" s="1"/>
      <c r="D175" s="1"/>
      <c r="E175" s="2"/>
      <c r="F175" s="1"/>
      <c r="G175" s="6"/>
      <c r="H175" s="1"/>
    </row>
    <row r="176" spans="1:8" ht="15" customHeight="1" x14ac:dyDescent="0.25">
      <c r="A176" s="25"/>
      <c r="B176" s="6"/>
      <c r="C176" s="1"/>
      <c r="D176" s="1"/>
      <c r="E176" s="2"/>
      <c r="F176" s="1"/>
      <c r="G176" s="6"/>
      <c r="H176" s="1"/>
    </row>
    <row r="177" spans="1:8" ht="15" customHeight="1" x14ac:dyDescent="0.25">
      <c r="A177" s="25"/>
      <c r="B177" s="6"/>
      <c r="C177" s="1"/>
      <c r="D177" s="1"/>
      <c r="E177" s="2"/>
      <c r="F177" s="1"/>
      <c r="G177" s="6"/>
      <c r="H177" s="1"/>
    </row>
    <row r="178" spans="1:8" ht="15" customHeight="1" x14ac:dyDescent="0.25">
      <c r="A178" s="25"/>
      <c r="B178" s="6"/>
      <c r="C178" s="1"/>
      <c r="D178" s="1"/>
      <c r="E178" s="2"/>
      <c r="F178" s="1"/>
      <c r="G178" s="6"/>
      <c r="H178" s="1"/>
    </row>
    <row r="179" spans="1:8" ht="15" customHeight="1" x14ac:dyDescent="0.25">
      <c r="A179" s="25"/>
      <c r="B179" s="6"/>
      <c r="C179" s="1"/>
      <c r="D179" s="1"/>
      <c r="E179" s="2"/>
      <c r="F179" s="1"/>
      <c r="G179" s="6"/>
      <c r="H179" s="1"/>
    </row>
    <row r="180" spans="1:8" ht="15" customHeight="1" x14ac:dyDescent="0.25">
      <c r="A180" s="25"/>
      <c r="B180" s="6"/>
      <c r="C180" s="1"/>
      <c r="D180" s="1"/>
      <c r="E180" s="2"/>
      <c r="F180" s="1"/>
      <c r="G180" s="6"/>
      <c r="H180" s="1"/>
    </row>
    <row r="181" spans="1:8" ht="15" customHeight="1" x14ac:dyDescent="0.25">
      <c r="A181" s="25"/>
      <c r="B181" s="6"/>
      <c r="C181" s="1"/>
      <c r="D181" s="1"/>
      <c r="E181" s="2"/>
      <c r="F181" s="1"/>
      <c r="G181" s="6"/>
      <c r="H181" s="1"/>
    </row>
    <row r="182" spans="1:8" ht="15" customHeight="1" x14ac:dyDescent="0.25">
      <c r="A182" s="25"/>
      <c r="B182" s="6"/>
      <c r="C182" s="1"/>
      <c r="D182" s="1"/>
      <c r="E182" s="2"/>
      <c r="F182" s="1"/>
      <c r="G182" s="6"/>
      <c r="H182" s="1"/>
    </row>
    <row r="183" spans="1:8" ht="15" customHeight="1" x14ac:dyDescent="0.25">
      <c r="A183" s="25"/>
      <c r="B183" s="6"/>
      <c r="C183" s="1"/>
      <c r="D183" s="1"/>
      <c r="E183" s="2"/>
      <c r="F183" s="1"/>
      <c r="G183" s="6"/>
      <c r="H183" s="1"/>
    </row>
    <row r="184" spans="1:8" ht="15" customHeight="1" x14ac:dyDescent="0.25">
      <c r="A184" s="25"/>
      <c r="B184" s="6"/>
      <c r="C184" s="1"/>
      <c r="D184" s="1"/>
      <c r="E184" s="2"/>
      <c r="F184" s="1"/>
      <c r="G184" s="6"/>
      <c r="H184" s="1"/>
    </row>
    <row r="185" spans="1:8" ht="15" customHeight="1" x14ac:dyDescent="0.25">
      <c r="A185" s="25"/>
      <c r="B185" s="6"/>
      <c r="C185" s="1"/>
      <c r="D185" s="1"/>
      <c r="E185" s="2"/>
      <c r="F185" s="1"/>
      <c r="G185" s="6"/>
      <c r="H185" s="1"/>
    </row>
    <row r="186" spans="1:8" ht="15" customHeight="1" x14ac:dyDescent="0.25">
      <c r="A186" s="25"/>
      <c r="B186" s="6"/>
      <c r="C186" s="1"/>
      <c r="D186" s="1"/>
      <c r="E186" s="2"/>
      <c r="F186" s="1"/>
      <c r="G186" s="6"/>
      <c r="H186" s="1"/>
    </row>
    <row r="187" spans="1:8" ht="15" customHeight="1" x14ac:dyDescent="0.25">
      <c r="A187" s="25"/>
      <c r="B187" s="6"/>
      <c r="C187" s="1"/>
      <c r="D187" s="1"/>
      <c r="E187" s="2"/>
      <c r="F187" s="1"/>
      <c r="G187" s="6"/>
      <c r="H187" s="1"/>
    </row>
    <row r="188" spans="1:8" ht="15" customHeight="1" x14ac:dyDescent="0.25">
      <c r="A188" s="25"/>
      <c r="B188" s="6"/>
      <c r="C188" s="1"/>
      <c r="D188" s="1"/>
      <c r="E188" s="2"/>
      <c r="F188" s="1"/>
      <c r="G188" s="6"/>
      <c r="H188" s="1"/>
    </row>
    <row r="189" spans="1:8" ht="15" customHeight="1" x14ac:dyDescent="0.25">
      <c r="A189" s="25"/>
      <c r="B189" s="6"/>
      <c r="C189" s="1"/>
      <c r="D189" s="1"/>
      <c r="E189" s="2"/>
      <c r="F189" s="1"/>
      <c r="G189" s="6"/>
      <c r="H189" s="1"/>
    </row>
    <row r="190" spans="1:8" ht="15" customHeight="1" x14ac:dyDescent="0.25">
      <c r="A190" s="25"/>
      <c r="B190" s="6"/>
      <c r="C190" s="1"/>
      <c r="D190" s="1"/>
      <c r="E190" s="2"/>
      <c r="F190" s="1"/>
      <c r="G190" s="6"/>
      <c r="H190" s="1"/>
    </row>
    <row r="191" spans="1:8" ht="15" customHeight="1" x14ac:dyDescent="0.25">
      <c r="A191" s="25"/>
      <c r="B191" s="6"/>
      <c r="C191" s="1"/>
      <c r="D191" s="1"/>
      <c r="E191" s="2"/>
      <c r="F191" s="1"/>
      <c r="G191" s="6"/>
      <c r="H191" s="1"/>
    </row>
    <row r="192" spans="1:8" ht="15" customHeight="1" x14ac:dyDescent="0.25">
      <c r="A192" s="25"/>
      <c r="B192" s="6"/>
      <c r="C192" s="1"/>
      <c r="D192" s="1"/>
      <c r="E192" s="2"/>
      <c r="F192" s="1"/>
      <c r="G192" s="6"/>
      <c r="H192" s="1"/>
    </row>
    <row r="193" spans="1:8" ht="15" customHeight="1" x14ac:dyDescent="0.25">
      <c r="A193" s="25"/>
      <c r="B193" s="6"/>
      <c r="C193" s="1"/>
      <c r="D193" s="1"/>
      <c r="E193" s="2"/>
      <c r="F193" s="1"/>
      <c r="G193" s="6"/>
      <c r="H193" s="1"/>
    </row>
    <row r="194" spans="1:8" ht="15" customHeight="1" x14ac:dyDescent="0.25">
      <c r="A194" s="25"/>
      <c r="B194" s="6"/>
      <c r="C194" s="1"/>
      <c r="D194" s="1"/>
      <c r="E194" s="2"/>
      <c r="F194" s="1"/>
      <c r="G194" s="6"/>
      <c r="H194" s="1"/>
    </row>
    <row r="195" spans="1:8" ht="15" customHeight="1" x14ac:dyDescent="0.25">
      <c r="A195" s="25"/>
      <c r="B195" s="6"/>
      <c r="C195" s="1"/>
      <c r="D195" s="1"/>
      <c r="E195" s="2"/>
      <c r="F195" s="1"/>
      <c r="G195" s="6"/>
      <c r="H195" s="1"/>
    </row>
    <row r="196" spans="1:8" ht="15" customHeight="1" x14ac:dyDescent="0.25">
      <c r="A196" s="25"/>
      <c r="B196" s="6"/>
      <c r="C196" s="1"/>
      <c r="D196" s="1"/>
      <c r="E196" s="2"/>
      <c r="F196" s="1"/>
      <c r="G196" s="6"/>
      <c r="H196" s="1"/>
    </row>
    <row r="197" spans="1:8" ht="15" customHeight="1" x14ac:dyDescent="0.25">
      <c r="A197" s="25"/>
      <c r="B197" s="6"/>
      <c r="C197" s="1"/>
      <c r="D197" s="1"/>
      <c r="E197" s="2"/>
      <c r="F197" s="1"/>
      <c r="G197" s="6"/>
      <c r="H197" s="1"/>
    </row>
    <row r="198" spans="1:8" ht="15" customHeight="1" x14ac:dyDescent="0.25">
      <c r="A198" s="25"/>
      <c r="B198" s="6"/>
      <c r="C198" s="1"/>
      <c r="D198" s="1"/>
      <c r="E198" s="2"/>
      <c r="F198" s="1"/>
      <c r="G198" s="6"/>
      <c r="H198" s="1"/>
    </row>
    <row r="199" spans="1:8" ht="15" customHeight="1" x14ac:dyDescent="0.25">
      <c r="A199" s="25"/>
      <c r="B199" s="6"/>
      <c r="C199" s="1"/>
      <c r="D199" s="1"/>
      <c r="E199" s="2"/>
      <c r="F199" s="1"/>
      <c r="G199" s="6"/>
      <c r="H199" s="1"/>
    </row>
    <row r="200" spans="1:8" ht="15" customHeight="1" x14ac:dyDescent="0.25">
      <c r="A200" s="25"/>
      <c r="B200" s="6"/>
      <c r="C200" s="1"/>
      <c r="D200" s="1"/>
      <c r="E200" s="2"/>
      <c r="F200" s="1"/>
      <c r="G200" s="6"/>
      <c r="H200" s="1"/>
    </row>
    <row r="201" spans="1:8" ht="15" customHeight="1" x14ac:dyDescent="0.25">
      <c r="A201" s="25"/>
      <c r="B201" s="6"/>
      <c r="C201" s="1"/>
      <c r="D201" s="1"/>
      <c r="E201" s="2"/>
      <c r="F201" s="1"/>
      <c r="G201" s="6"/>
      <c r="H201" s="1"/>
    </row>
    <row r="202" spans="1:8" ht="15" customHeight="1" x14ac:dyDescent="0.25">
      <c r="A202" s="25"/>
      <c r="B202" s="6"/>
      <c r="C202" s="1"/>
      <c r="D202" s="1"/>
      <c r="E202" s="2"/>
      <c r="F202" s="1"/>
      <c r="G202" s="6"/>
      <c r="H202" s="1"/>
    </row>
    <row r="203" spans="1:8" ht="15" customHeight="1" x14ac:dyDescent="0.25">
      <c r="A203" s="25"/>
      <c r="B203" s="6"/>
      <c r="C203" s="1"/>
      <c r="D203" s="1"/>
      <c r="E203" s="2"/>
      <c r="F203" s="1"/>
      <c r="G203" s="6"/>
      <c r="H203" s="1"/>
    </row>
    <row r="204" spans="1:8" ht="15" customHeight="1" x14ac:dyDescent="0.25">
      <c r="A204" s="25"/>
      <c r="B204" s="6"/>
      <c r="C204" s="1"/>
      <c r="D204" s="1"/>
      <c r="E204" s="2"/>
      <c r="F204" s="1"/>
      <c r="G204" s="6"/>
      <c r="H204" s="1"/>
    </row>
    <row r="205" spans="1:8" ht="15" customHeight="1" x14ac:dyDescent="0.25">
      <c r="A205" s="25"/>
      <c r="B205" s="6"/>
      <c r="C205" s="1"/>
      <c r="D205" s="1"/>
      <c r="E205" s="2"/>
      <c r="F205" s="1"/>
      <c r="G205" s="6"/>
      <c r="H205" s="1"/>
    </row>
    <row r="206" spans="1:8" ht="15" customHeight="1" x14ac:dyDescent="0.25">
      <c r="A206" s="25"/>
      <c r="B206" s="6"/>
      <c r="C206" s="1"/>
      <c r="D206" s="1"/>
      <c r="E206" s="2"/>
      <c r="F206" s="1"/>
      <c r="G206" s="6"/>
      <c r="H206" s="1"/>
    </row>
    <row r="207" spans="1:8" ht="15" customHeight="1" x14ac:dyDescent="0.25">
      <c r="A207" s="25"/>
      <c r="B207" s="6"/>
      <c r="C207" s="1"/>
      <c r="D207" s="1"/>
      <c r="E207" s="2"/>
      <c r="F207" s="1"/>
      <c r="G207" s="6"/>
      <c r="H207" s="1"/>
    </row>
    <row r="208" spans="1:8" ht="15" customHeight="1" x14ac:dyDescent="0.25">
      <c r="A208" s="25"/>
      <c r="B208" s="6"/>
      <c r="C208" s="1"/>
      <c r="D208" s="1"/>
      <c r="E208" s="2"/>
      <c r="F208" s="1"/>
      <c r="G208" s="6"/>
      <c r="H208" s="1"/>
    </row>
    <row r="209" spans="1:8" ht="15" customHeight="1" x14ac:dyDescent="0.25">
      <c r="A209" s="25"/>
      <c r="B209" s="6"/>
      <c r="C209" s="1"/>
      <c r="D209" s="1"/>
      <c r="E209" s="2"/>
      <c r="F209" s="1"/>
      <c r="G209" s="6"/>
      <c r="H209" s="1"/>
    </row>
    <row r="210" spans="1:8" ht="15" customHeight="1" x14ac:dyDescent="0.25">
      <c r="A210" s="25"/>
      <c r="B210" s="6"/>
      <c r="C210" s="1"/>
      <c r="D210" s="1"/>
      <c r="E210" s="2"/>
      <c r="F210" s="1"/>
      <c r="G210" s="6"/>
      <c r="H210" s="1"/>
    </row>
    <row r="211" spans="1:8" ht="15" customHeight="1" x14ac:dyDescent="0.25">
      <c r="A211" s="25"/>
      <c r="B211" s="6"/>
      <c r="C211" s="1"/>
      <c r="D211" s="1"/>
      <c r="E211" s="2"/>
      <c r="F211" s="1"/>
      <c r="G211" s="6"/>
      <c r="H211" s="1"/>
    </row>
    <row r="212" spans="1:8" ht="15" customHeight="1" x14ac:dyDescent="0.25">
      <c r="A212" s="25"/>
      <c r="B212" s="6"/>
      <c r="C212" s="1"/>
      <c r="D212" s="1"/>
      <c r="E212" s="2"/>
      <c r="F212" s="1"/>
      <c r="G212" s="6"/>
      <c r="H212" s="1"/>
    </row>
    <row r="213" spans="1:8" ht="15" customHeight="1" x14ac:dyDescent="0.25">
      <c r="A213" s="25"/>
      <c r="B213" s="6"/>
      <c r="C213" s="1"/>
      <c r="D213" s="1"/>
      <c r="E213" s="2"/>
      <c r="F213" s="1"/>
      <c r="G213" s="6"/>
      <c r="H213" s="1"/>
    </row>
    <row r="214" spans="1:8" ht="15" customHeight="1" x14ac:dyDescent="0.25">
      <c r="A214" s="25"/>
      <c r="B214" s="6"/>
      <c r="C214" s="1"/>
      <c r="D214" s="1"/>
      <c r="E214" s="2"/>
      <c r="F214" s="1"/>
      <c r="G214" s="6"/>
      <c r="H214" s="1"/>
    </row>
    <row r="215" spans="1:8" ht="15" customHeight="1" x14ac:dyDescent="0.25">
      <c r="A215" s="25"/>
      <c r="B215" s="6"/>
      <c r="C215" s="1"/>
      <c r="D215" s="1"/>
      <c r="E215" s="2"/>
      <c r="F215" s="1"/>
      <c r="G215" s="6"/>
      <c r="H215" s="1"/>
    </row>
    <row r="216" spans="1:8" ht="15" customHeight="1" x14ac:dyDescent="0.25">
      <c r="A216" s="25"/>
      <c r="B216" s="6"/>
      <c r="C216" s="1"/>
      <c r="D216" s="1"/>
      <c r="E216" s="2"/>
      <c r="F216" s="1"/>
      <c r="G216" s="6"/>
      <c r="H216" s="1"/>
    </row>
    <row r="217" spans="1:8" ht="15" customHeight="1" x14ac:dyDescent="0.25">
      <c r="A217" s="25"/>
      <c r="B217" s="6"/>
      <c r="C217" s="1"/>
      <c r="D217" s="1"/>
      <c r="E217" s="2"/>
      <c r="F217" s="1"/>
      <c r="G217" s="6"/>
      <c r="H217" s="1"/>
    </row>
    <row r="218" spans="1:8" ht="15" customHeight="1" x14ac:dyDescent="0.25">
      <c r="A218" s="25"/>
      <c r="B218" s="6"/>
      <c r="C218" s="1"/>
      <c r="D218" s="1"/>
      <c r="E218" s="2"/>
      <c r="F218" s="1"/>
      <c r="G218" s="6"/>
      <c r="H218" s="1"/>
    </row>
    <row r="219" spans="1:8" ht="15" customHeight="1" x14ac:dyDescent="0.25">
      <c r="A219" s="25"/>
      <c r="B219" s="6"/>
      <c r="C219" s="1"/>
      <c r="D219" s="1"/>
      <c r="E219" s="2"/>
      <c r="F219" s="1"/>
      <c r="G219" s="6"/>
      <c r="H219" s="1"/>
    </row>
    <row r="220" spans="1:8" ht="15" customHeight="1" x14ac:dyDescent="0.25">
      <c r="A220" s="25"/>
      <c r="B220" s="6"/>
      <c r="C220" s="1"/>
      <c r="D220" s="1"/>
      <c r="E220" s="2"/>
      <c r="F220" s="1"/>
      <c r="G220" s="6"/>
      <c r="H220" s="1"/>
    </row>
    <row r="221" spans="1:8" ht="15" customHeight="1" x14ac:dyDescent="0.25">
      <c r="A221" s="25"/>
      <c r="B221" s="6"/>
      <c r="C221" s="1"/>
      <c r="D221" s="1"/>
      <c r="E221" s="2"/>
      <c r="F221" s="1"/>
      <c r="G221" s="6"/>
      <c r="H221" s="1"/>
    </row>
    <row r="222" spans="1:8" ht="15" customHeight="1" x14ac:dyDescent="0.25">
      <c r="A222" s="25"/>
      <c r="B222" s="6"/>
      <c r="C222" s="1"/>
      <c r="D222" s="1"/>
      <c r="E222" s="2"/>
      <c r="F222" s="1"/>
      <c r="G222" s="6"/>
      <c r="H222" s="1"/>
    </row>
    <row r="223" spans="1:8" ht="15" customHeight="1" x14ac:dyDescent="0.25">
      <c r="A223" s="25"/>
      <c r="B223" s="6"/>
      <c r="C223" s="1"/>
      <c r="D223" s="1"/>
      <c r="E223" s="2"/>
      <c r="F223" s="1"/>
      <c r="G223" s="6"/>
      <c r="H223" s="1"/>
    </row>
    <row r="224" spans="1:8" ht="15" customHeight="1" x14ac:dyDescent="0.25">
      <c r="A224" s="25"/>
      <c r="B224" s="6"/>
      <c r="C224" s="1"/>
      <c r="D224" s="1"/>
      <c r="E224" s="2"/>
      <c r="F224" s="1"/>
      <c r="G224" s="6"/>
      <c r="H224" s="1"/>
    </row>
    <row r="225" spans="1:8" ht="15" customHeight="1" x14ac:dyDescent="0.25">
      <c r="A225" s="25"/>
      <c r="B225" s="6"/>
      <c r="C225" s="1"/>
      <c r="D225" s="1"/>
      <c r="E225" s="2"/>
      <c r="F225" s="1"/>
      <c r="G225" s="6"/>
      <c r="H225" s="1"/>
    </row>
    <row r="226" spans="1:8" ht="15" customHeight="1" x14ac:dyDescent="0.25">
      <c r="A226" s="25"/>
      <c r="B226" s="6"/>
      <c r="C226" s="1"/>
      <c r="D226" s="1"/>
      <c r="E226" s="2"/>
      <c r="F226" s="1"/>
      <c r="G226" s="6"/>
      <c r="H226" s="1"/>
    </row>
    <row r="227" spans="1:8" ht="15" customHeight="1" x14ac:dyDescent="0.25">
      <c r="A227" s="25"/>
      <c r="B227" s="6"/>
      <c r="C227" s="1"/>
      <c r="D227" s="1"/>
      <c r="E227" s="2"/>
      <c r="F227" s="1"/>
      <c r="G227" s="6"/>
      <c r="H227" s="1"/>
    </row>
    <row r="228" spans="1:8" ht="15" customHeight="1" x14ac:dyDescent="0.25">
      <c r="A228" s="25"/>
      <c r="B228" s="6"/>
      <c r="C228" s="1"/>
      <c r="D228" s="1"/>
      <c r="E228" s="2"/>
      <c r="F228" s="1"/>
      <c r="G228" s="6"/>
      <c r="H228" s="1"/>
    </row>
    <row r="229" spans="1:8" ht="15" customHeight="1" x14ac:dyDescent="0.25">
      <c r="A229" s="25"/>
      <c r="B229" s="6"/>
      <c r="C229" s="1"/>
      <c r="D229" s="1"/>
      <c r="E229" s="2"/>
      <c r="F229" s="1"/>
      <c r="G229" s="6"/>
      <c r="H229" s="1"/>
    </row>
    <row r="230" spans="1:8" ht="15" customHeight="1" x14ac:dyDescent="0.25">
      <c r="A230" s="25"/>
      <c r="B230" s="6"/>
      <c r="C230" s="1"/>
      <c r="D230" s="1"/>
      <c r="E230" s="2"/>
      <c r="F230" s="1"/>
      <c r="G230" s="6"/>
      <c r="H230" s="1"/>
    </row>
    <row r="231" spans="1:8" ht="15" customHeight="1" x14ac:dyDescent="0.25">
      <c r="A231" s="25"/>
      <c r="B231" s="6"/>
      <c r="C231" s="1"/>
      <c r="D231" s="1"/>
      <c r="E231" s="2"/>
      <c r="F231" s="1"/>
      <c r="G231" s="6"/>
      <c r="H231" s="1"/>
    </row>
    <row r="232" spans="1:8" ht="15" customHeight="1" x14ac:dyDescent="0.25">
      <c r="A232" s="25"/>
      <c r="B232" s="6"/>
      <c r="C232" s="1"/>
      <c r="D232" s="1"/>
      <c r="E232" s="2"/>
      <c r="F232" s="1"/>
      <c r="G232" s="6"/>
      <c r="H232" s="1"/>
    </row>
    <row r="233" spans="1:8" ht="15" customHeight="1" x14ac:dyDescent="0.25">
      <c r="A233" s="25"/>
      <c r="B233" s="6"/>
      <c r="C233" s="1"/>
      <c r="D233" s="1"/>
      <c r="E233" s="2"/>
      <c r="F233" s="1"/>
      <c r="G233" s="6"/>
      <c r="H233" s="1"/>
    </row>
    <row r="234" spans="1:8" ht="15" customHeight="1" x14ac:dyDescent="0.25">
      <c r="A234" s="25"/>
      <c r="B234" s="6"/>
      <c r="C234" s="1"/>
      <c r="D234" s="1"/>
      <c r="E234" s="2"/>
      <c r="F234" s="1"/>
      <c r="G234" s="6"/>
      <c r="H234" s="1"/>
    </row>
    <row r="235" spans="1:8" ht="15" customHeight="1" x14ac:dyDescent="0.25">
      <c r="A235" s="25"/>
      <c r="B235" s="6"/>
      <c r="C235" s="1"/>
      <c r="D235" s="1"/>
      <c r="E235" s="2"/>
      <c r="F235" s="1"/>
      <c r="G235" s="6"/>
      <c r="H235" s="1"/>
    </row>
    <row r="236" spans="1:8" ht="15" customHeight="1" x14ac:dyDescent="0.25">
      <c r="A236" s="25"/>
      <c r="B236" s="6"/>
      <c r="C236" s="1"/>
      <c r="D236" s="1"/>
      <c r="E236" s="2"/>
      <c r="F236" s="1"/>
      <c r="G236" s="6"/>
      <c r="H236" s="1"/>
    </row>
    <row r="237" spans="1:8" ht="15" customHeight="1" x14ac:dyDescent="0.25">
      <c r="A237" s="25"/>
      <c r="B237" s="6"/>
      <c r="C237" s="1"/>
      <c r="D237" s="1"/>
      <c r="E237" s="2"/>
      <c r="F237" s="1"/>
      <c r="G237" s="6"/>
      <c r="H237" s="1"/>
    </row>
    <row r="238" spans="1:8" ht="15" customHeight="1" x14ac:dyDescent="0.25">
      <c r="A238" s="25"/>
      <c r="B238" s="6"/>
      <c r="C238" s="1"/>
      <c r="D238" s="1"/>
      <c r="E238" s="2"/>
      <c r="F238" s="1"/>
      <c r="G238" s="6"/>
      <c r="H238" s="1"/>
    </row>
    <row r="239" spans="1:8" ht="15" customHeight="1" x14ac:dyDescent="0.25">
      <c r="A239" s="25"/>
      <c r="B239" s="6"/>
      <c r="C239" s="1"/>
      <c r="D239" s="1"/>
      <c r="E239" s="2"/>
      <c r="F239" s="1"/>
      <c r="G239" s="6"/>
      <c r="H239" s="1"/>
    </row>
    <row r="240" spans="1:8" ht="15" customHeight="1" x14ac:dyDescent="0.25">
      <c r="A240" s="25"/>
      <c r="B240" s="6"/>
      <c r="C240" s="1"/>
      <c r="D240" s="1"/>
      <c r="E240" s="2"/>
      <c r="F240" s="1"/>
      <c r="G240" s="6"/>
      <c r="H240" s="1"/>
    </row>
    <row r="241" spans="1:8" ht="15" customHeight="1" x14ac:dyDescent="0.25">
      <c r="A241" s="25"/>
      <c r="B241" s="6"/>
      <c r="C241" s="1"/>
      <c r="D241" s="1"/>
      <c r="E241" s="2"/>
      <c r="F241" s="1"/>
      <c r="G241" s="6"/>
      <c r="H241" s="1"/>
    </row>
    <row r="242" spans="1:8" ht="15" customHeight="1" x14ac:dyDescent="0.25">
      <c r="A242" s="25"/>
      <c r="B242" s="6"/>
      <c r="C242" s="1"/>
      <c r="D242" s="1"/>
      <c r="E242" s="2"/>
      <c r="F242" s="1"/>
      <c r="G242" s="6"/>
      <c r="H242" s="1"/>
    </row>
    <row r="243" spans="1:8" ht="15" customHeight="1" x14ac:dyDescent="0.25">
      <c r="A243" s="25"/>
      <c r="B243" s="6"/>
      <c r="C243" s="1"/>
      <c r="D243" s="1"/>
      <c r="E243" s="2"/>
      <c r="F243" s="1"/>
      <c r="G243" s="6"/>
      <c r="H243" s="1"/>
    </row>
    <row r="244" spans="1:8" ht="15" customHeight="1" x14ac:dyDescent="0.25">
      <c r="A244" s="25"/>
      <c r="B244" s="6"/>
      <c r="C244" s="1"/>
      <c r="D244" s="1"/>
      <c r="E244" s="2"/>
      <c r="F244" s="1"/>
      <c r="G244" s="6"/>
      <c r="H244" s="1"/>
    </row>
    <row r="245" spans="1:8" ht="15" customHeight="1" x14ac:dyDescent="0.25">
      <c r="A245" s="25"/>
      <c r="B245" s="6"/>
      <c r="C245" s="1"/>
      <c r="D245" s="1"/>
      <c r="E245" s="2"/>
      <c r="F245" s="1"/>
      <c r="G245" s="6"/>
      <c r="H245" s="1"/>
    </row>
    <row r="246" spans="1:8" ht="15" customHeight="1" x14ac:dyDescent="0.25">
      <c r="A246" s="25"/>
      <c r="B246" s="6"/>
      <c r="C246" s="1"/>
      <c r="D246" s="1"/>
      <c r="E246" s="2"/>
      <c r="F246" s="1"/>
      <c r="G246" s="6"/>
      <c r="H246" s="1"/>
    </row>
    <row r="247" spans="1:8" ht="15" customHeight="1" x14ac:dyDescent="0.25">
      <c r="A247" s="25"/>
      <c r="B247" s="6"/>
      <c r="C247" s="1"/>
      <c r="D247" s="1"/>
      <c r="E247" s="2"/>
      <c r="F247" s="1"/>
      <c r="G247" s="6"/>
      <c r="H247" s="1"/>
    </row>
    <row r="248" spans="1:8" ht="15" customHeight="1" x14ac:dyDescent="0.25">
      <c r="A248" s="25"/>
      <c r="B248" s="6"/>
      <c r="C248" s="1"/>
      <c r="D248" s="1"/>
      <c r="E248" s="2"/>
      <c r="F248" s="1"/>
      <c r="G248" s="6"/>
      <c r="H248" s="1"/>
    </row>
    <row r="249" spans="1:8" ht="15" customHeight="1" x14ac:dyDescent="0.25">
      <c r="A249" s="25"/>
      <c r="B249" s="6"/>
      <c r="C249" s="1"/>
      <c r="D249" s="1"/>
      <c r="E249" s="2"/>
      <c r="F249" s="1"/>
      <c r="G249" s="6"/>
      <c r="H249" s="1"/>
    </row>
    <row r="250" spans="1:8" ht="15" customHeight="1" x14ac:dyDescent="0.25">
      <c r="A250" s="25"/>
      <c r="B250" s="6"/>
      <c r="C250" s="1"/>
      <c r="D250" s="1"/>
      <c r="E250" s="2"/>
      <c r="F250" s="1"/>
      <c r="G250" s="6"/>
      <c r="H250" s="1"/>
    </row>
    <row r="251" spans="1:8" ht="15" customHeight="1" x14ac:dyDescent="0.25">
      <c r="A251" s="25"/>
      <c r="B251" s="6"/>
      <c r="C251" s="1"/>
      <c r="D251" s="1"/>
      <c r="E251" s="2"/>
      <c r="F251" s="1"/>
      <c r="G251" s="6"/>
      <c r="H251" s="1"/>
    </row>
    <row r="252" spans="1:8" ht="15" customHeight="1" x14ac:dyDescent="0.25">
      <c r="A252" s="25"/>
      <c r="B252" s="6"/>
      <c r="C252" s="1"/>
      <c r="D252" s="1"/>
      <c r="E252" s="2"/>
      <c r="F252" s="1"/>
      <c r="G252" s="6"/>
      <c r="H252" s="1"/>
    </row>
    <row r="253" spans="1:8" ht="15" customHeight="1" x14ac:dyDescent="0.25">
      <c r="A253" s="25"/>
      <c r="B253" s="6"/>
      <c r="C253" s="1"/>
      <c r="D253" s="1"/>
      <c r="E253" s="2"/>
      <c r="F253" s="1"/>
      <c r="G253" s="6"/>
      <c r="H253" s="1"/>
    </row>
    <row r="254" spans="1:8" ht="15" customHeight="1" x14ac:dyDescent="0.25">
      <c r="A254" s="25"/>
      <c r="B254" s="6"/>
      <c r="C254" s="1"/>
      <c r="D254" s="1"/>
      <c r="E254" s="2"/>
      <c r="F254" s="1"/>
      <c r="G254" s="6"/>
      <c r="H254" s="1"/>
    </row>
    <row r="255" spans="1:8" ht="15" customHeight="1" x14ac:dyDescent="0.25">
      <c r="A255" s="25"/>
      <c r="B255" s="6"/>
      <c r="C255" s="1"/>
      <c r="D255" s="1"/>
      <c r="E255" s="2"/>
      <c r="F255" s="1"/>
      <c r="G255" s="6"/>
      <c r="H255" s="1"/>
    </row>
    <row r="256" spans="1:8" ht="15" customHeight="1" x14ac:dyDescent="0.25">
      <c r="A256" s="25"/>
      <c r="B256" s="6"/>
      <c r="C256" s="1"/>
      <c r="D256" s="1"/>
      <c r="E256" s="2"/>
      <c r="F256" s="1"/>
      <c r="G256" s="6"/>
      <c r="H256" s="1"/>
    </row>
    <row r="257" spans="1:8" ht="15" customHeight="1" x14ac:dyDescent="0.25">
      <c r="A257" s="25"/>
      <c r="B257" s="6"/>
      <c r="C257" s="1"/>
      <c r="D257" s="1"/>
      <c r="E257" s="2"/>
      <c r="F257" s="1"/>
      <c r="G257" s="6"/>
      <c r="H257" s="1"/>
    </row>
    <row r="258" spans="1:8" ht="15" customHeight="1" x14ac:dyDescent="0.25">
      <c r="A258" s="25"/>
      <c r="B258" s="6"/>
      <c r="C258" s="1"/>
      <c r="D258" s="1"/>
      <c r="E258" s="2"/>
      <c r="F258" s="1"/>
      <c r="G258" s="6"/>
      <c r="H258" s="1"/>
    </row>
    <row r="259" spans="1:8" ht="15" customHeight="1" x14ac:dyDescent="0.25">
      <c r="A259" s="25"/>
      <c r="B259" s="6"/>
      <c r="C259" s="1"/>
      <c r="D259" s="1"/>
      <c r="E259" s="2"/>
      <c r="F259" s="1"/>
      <c r="G259" s="6"/>
      <c r="H259" s="1"/>
    </row>
    <row r="260" spans="1:8" ht="15" customHeight="1" x14ac:dyDescent="0.25">
      <c r="A260" s="25"/>
      <c r="B260" s="6"/>
      <c r="C260" s="1"/>
      <c r="D260" s="1"/>
      <c r="E260" s="2"/>
      <c r="F260" s="1"/>
      <c r="G260" s="6"/>
      <c r="H260" s="1"/>
    </row>
    <row r="261" spans="1:8" ht="15" customHeight="1" x14ac:dyDescent="0.25">
      <c r="A261" s="25"/>
      <c r="B261" s="6"/>
      <c r="C261" s="1"/>
      <c r="D261" s="1"/>
      <c r="E261" s="2"/>
      <c r="F261" s="1"/>
      <c r="G261" s="6"/>
      <c r="H261" s="1"/>
    </row>
    <row r="262" spans="1:8" ht="15" customHeight="1" x14ac:dyDescent="0.25">
      <c r="A262" s="25"/>
      <c r="B262" s="6"/>
      <c r="C262" s="1"/>
      <c r="D262" s="1"/>
      <c r="E262" s="2"/>
      <c r="F262" s="1"/>
      <c r="G262" s="6"/>
      <c r="H262" s="1"/>
    </row>
    <row r="263" spans="1:8" ht="15" customHeight="1" x14ac:dyDescent="0.25">
      <c r="A263" s="25"/>
      <c r="B263" s="6"/>
      <c r="C263" s="1"/>
      <c r="D263" s="1"/>
      <c r="E263" s="2"/>
      <c r="F263" s="1"/>
      <c r="G263" s="6"/>
      <c r="H263" s="1"/>
    </row>
    <row r="264" spans="1:8" ht="15" customHeight="1" x14ac:dyDescent="0.25">
      <c r="A264" s="25"/>
      <c r="B264" s="6"/>
      <c r="C264" s="1"/>
      <c r="D264" s="1"/>
      <c r="E264" s="2"/>
      <c r="F264" s="1"/>
      <c r="G264" s="6"/>
      <c r="H264" s="1"/>
    </row>
    <row r="265" spans="1:8" ht="15" customHeight="1" x14ac:dyDescent="0.25">
      <c r="A265" s="25"/>
      <c r="B265" s="6"/>
      <c r="C265" s="1"/>
      <c r="D265" s="1"/>
      <c r="E265" s="2"/>
      <c r="F265" s="1"/>
      <c r="G265" s="6"/>
      <c r="H265" s="1"/>
    </row>
    <row r="266" spans="1:8" ht="15" customHeight="1" x14ac:dyDescent="0.25">
      <c r="A266" s="25"/>
      <c r="B266" s="6"/>
      <c r="C266" s="1"/>
      <c r="D266" s="1"/>
      <c r="E266" s="2"/>
      <c r="F266" s="1"/>
      <c r="G266" s="6"/>
      <c r="H266" s="1"/>
    </row>
    <row r="267" spans="1:8" ht="15" customHeight="1" x14ac:dyDescent="0.25">
      <c r="A267" s="25"/>
      <c r="B267" s="6"/>
      <c r="C267" s="1"/>
      <c r="D267" s="1"/>
      <c r="E267" s="2"/>
      <c r="F267" s="1"/>
      <c r="G267" s="6"/>
      <c r="H267" s="1"/>
    </row>
    <row r="268" spans="1:8" ht="15" customHeight="1" x14ac:dyDescent="0.25">
      <c r="A268" s="25"/>
      <c r="B268" s="6"/>
      <c r="C268" s="1"/>
      <c r="D268" s="1"/>
      <c r="E268" s="2"/>
      <c r="F268" s="1"/>
      <c r="G268" s="6"/>
      <c r="H268" s="1"/>
    </row>
    <row r="269" spans="1:8" ht="15" customHeight="1" x14ac:dyDescent="0.25">
      <c r="A269" s="25"/>
      <c r="B269" s="6"/>
      <c r="C269" s="1"/>
      <c r="D269" s="1"/>
      <c r="E269" s="2"/>
      <c r="F269" s="1"/>
      <c r="G269" s="6"/>
      <c r="H269" s="1"/>
    </row>
    <row r="270" spans="1:8" ht="15" customHeight="1" x14ac:dyDescent="0.25">
      <c r="A270" s="25"/>
      <c r="B270" s="6"/>
      <c r="C270" s="1"/>
      <c r="D270" s="1"/>
      <c r="E270" s="2"/>
      <c r="F270" s="1"/>
      <c r="G270" s="6"/>
      <c r="H270" s="1"/>
    </row>
    <row r="271" spans="1:8" ht="15" customHeight="1" x14ac:dyDescent="0.25">
      <c r="A271" s="25"/>
      <c r="B271" s="6"/>
      <c r="C271" s="1"/>
      <c r="D271" s="1"/>
      <c r="E271" s="2"/>
      <c r="F271" s="1"/>
      <c r="G271" s="6"/>
      <c r="H271" s="1"/>
    </row>
    <row r="272" spans="1:8" ht="15" customHeight="1" x14ac:dyDescent="0.25">
      <c r="A272" s="25"/>
      <c r="B272" s="6"/>
      <c r="C272" s="1"/>
      <c r="D272" s="1"/>
      <c r="E272" s="2"/>
      <c r="F272" s="1"/>
      <c r="G272" s="6"/>
      <c r="H272" s="1"/>
    </row>
    <row r="273" spans="1:8" ht="15" customHeight="1" x14ac:dyDescent="0.25">
      <c r="A273" s="25"/>
      <c r="B273" s="6"/>
      <c r="C273" s="1"/>
      <c r="D273" s="1"/>
      <c r="E273" s="2"/>
      <c r="F273" s="1"/>
      <c r="G273" s="6"/>
      <c r="H273" s="1"/>
    </row>
    <row r="274" spans="1:8" ht="15" customHeight="1" x14ac:dyDescent="0.25">
      <c r="A274" s="25"/>
      <c r="B274" s="6"/>
      <c r="C274" s="1"/>
      <c r="D274" s="1"/>
      <c r="E274" s="2"/>
      <c r="F274" s="1"/>
      <c r="G274" s="6"/>
      <c r="H274" s="1"/>
    </row>
    <row r="275" spans="1:8" ht="15" customHeight="1" x14ac:dyDescent="0.25">
      <c r="A275" s="25"/>
      <c r="B275" s="6"/>
      <c r="C275" s="1"/>
      <c r="D275" s="1"/>
      <c r="E275" s="2"/>
      <c r="F275" s="1"/>
      <c r="G275" s="6"/>
      <c r="H275" s="1"/>
    </row>
    <row r="276" spans="1:8" ht="15" customHeight="1" x14ac:dyDescent="0.25">
      <c r="A276" s="25"/>
      <c r="B276" s="6"/>
      <c r="C276" s="1"/>
      <c r="D276" s="1"/>
      <c r="E276" s="2"/>
      <c r="F276" s="1"/>
      <c r="G276" s="6"/>
      <c r="H276" s="1"/>
    </row>
    <row r="277" spans="1:8" ht="15" customHeight="1" x14ac:dyDescent="0.25">
      <c r="A277" s="25"/>
      <c r="B277" s="6"/>
      <c r="C277" s="1"/>
      <c r="D277" s="1"/>
      <c r="E277" s="2"/>
      <c r="F277" s="1"/>
      <c r="G277" s="6"/>
      <c r="H277" s="1"/>
    </row>
    <row r="278" spans="1:8" ht="15" customHeight="1" x14ac:dyDescent="0.25">
      <c r="A278" s="25"/>
      <c r="B278" s="6"/>
      <c r="C278" s="1"/>
      <c r="D278" s="1"/>
      <c r="E278" s="2"/>
      <c r="F278" s="1"/>
      <c r="G278" s="6"/>
      <c r="H278" s="1"/>
    </row>
    <row r="279" spans="1:8" ht="15" customHeight="1" x14ac:dyDescent="0.25">
      <c r="A279" s="25"/>
      <c r="B279" s="6"/>
      <c r="C279" s="1"/>
      <c r="D279" s="1"/>
      <c r="E279" s="2"/>
      <c r="F279" s="1"/>
      <c r="G279" s="6"/>
      <c r="H279" s="1"/>
    </row>
    <row r="280" spans="1:8" ht="15" customHeight="1" x14ac:dyDescent="0.25">
      <c r="A280" s="25"/>
      <c r="B280" s="6"/>
      <c r="C280" s="1"/>
      <c r="D280" s="1"/>
      <c r="E280" s="2"/>
      <c r="F280" s="1"/>
      <c r="G280" s="6"/>
      <c r="H280" s="1"/>
    </row>
    <row r="281" spans="1:8" ht="15" customHeight="1" x14ac:dyDescent="0.25">
      <c r="A281" s="25"/>
      <c r="B281" s="6"/>
      <c r="C281" s="1"/>
      <c r="D281" s="1"/>
      <c r="E281" s="2"/>
      <c r="F281" s="1"/>
      <c r="G281" s="6"/>
      <c r="H281" s="1"/>
    </row>
    <row r="282" spans="1:8" ht="15" customHeight="1" x14ac:dyDescent="0.25">
      <c r="A282" s="25"/>
      <c r="B282" s="6"/>
      <c r="C282" s="1"/>
      <c r="D282" s="1"/>
      <c r="E282" s="2"/>
      <c r="F282" s="1"/>
      <c r="G282" s="6"/>
      <c r="H282" s="1"/>
    </row>
    <row r="283" spans="1:8" ht="15" customHeight="1" x14ac:dyDescent="0.25">
      <c r="A283" s="25"/>
      <c r="B283" s="6"/>
      <c r="C283" s="1"/>
      <c r="D283" s="1"/>
      <c r="E283" s="2"/>
      <c r="F283" s="1"/>
      <c r="G283" s="6"/>
      <c r="H283" s="1"/>
    </row>
    <row r="284" spans="1:8" ht="15" customHeight="1" x14ac:dyDescent="0.25">
      <c r="A284" s="25"/>
      <c r="B284" s="6"/>
      <c r="C284" s="1"/>
      <c r="D284" s="1"/>
      <c r="E284" s="2"/>
      <c r="F284" s="1"/>
      <c r="G284" s="6"/>
      <c r="H284" s="1"/>
    </row>
    <row r="285" spans="1:8" ht="15" customHeight="1" x14ac:dyDescent="0.25">
      <c r="A285" s="25"/>
      <c r="B285" s="6"/>
      <c r="C285" s="1"/>
      <c r="D285" s="1"/>
      <c r="E285" s="2"/>
      <c r="F285" s="1"/>
      <c r="G285" s="6"/>
      <c r="H285" s="1"/>
    </row>
    <row r="286" spans="1:8" ht="15" customHeight="1" x14ac:dyDescent="0.25">
      <c r="A286" s="25"/>
      <c r="B286" s="6"/>
      <c r="C286" s="1"/>
      <c r="D286" s="1"/>
      <c r="E286" s="2"/>
      <c r="F286" s="1"/>
      <c r="G286" s="6"/>
      <c r="H286" s="1"/>
    </row>
    <row r="287" spans="1:8" ht="15" customHeight="1" x14ac:dyDescent="0.25">
      <c r="A287" s="25"/>
      <c r="B287" s="6"/>
      <c r="C287" s="1"/>
      <c r="D287" s="1"/>
      <c r="E287" s="2"/>
      <c r="F287" s="1"/>
      <c r="G287" s="6"/>
      <c r="H287" s="1"/>
    </row>
    <row r="288" spans="1:8" ht="15" customHeight="1" x14ac:dyDescent="0.25">
      <c r="A288" s="25"/>
      <c r="B288" s="6"/>
      <c r="C288" s="1"/>
      <c r="D288" s="1"/>
      <c r="E288" s="2"/>
      <c r="F288" s="1"/>
      <c r="G288" s="6"/>
      <c r="H288" s="1"/>
    </row>
    <row r="289" spans="1:8" ht="15" customHeight="1" x14ac:dyDescent="0.25">
      <c r="A289" s="25"/>
      <c r="B289" s="6"/>
      <c r="C289" s="1"/>
      <c r="D289" s="1"/>
      <c r="E289" s="2"/>
      <c r="F289" s="1"/>
      <c r="G289" s="6"/>
      <c r="H289" s="1"/>
    </row>
    <row r="290" spans="1:8" ht="15" customHeight="1" x14ac:dyDescent="0.25">
      <c r="A290" s="25"/>
      <c r="B290" s="6"/>
      <c r="C290" s="1"/>
      <c r="D290" s="1"/>
      <c r="E290" s="2"/>
      <c r="F290" s="1"/>
      <c r="G290" s="6"/>
      <c r="H290" s="1"/>
    </row>
    <row r="291" spans="1:8" ht="15" customHeight="1" x14ac:dyDescent="0.25">
      <c r="A291" s="25"/>
      <c r="B291" s="6"/>
      <c r="C291" s="1"/>
      <c r="D291" s="1"/>
      <c r="E291" s="2"/>
      <c r="F291" s="1"/>
      <c r="G291" s="6"/>
      <c r="H291" s="1"/>
    </row>
    <row r="292" spans="1:8" ht="15" customHeight="1" x14ac:dyDescent="0.25">
      <c r="A292" s="25"/>
      <c r="B292" s="6"/>
      <c r="C292" s="1"/>
      <c r="D292" s="1"/>
      <c r="E292" s="2"/>
      <c r="F292" s="1"/>
      <c r="G292" s="6"/>
      <c r="H292" s="1"/>
    </row>
    <row r="293" spans="1:8" ht="15" customHeight="1" x14ac:dyDescent="0.25">
      <c r="A293" s="25"/>
      <c r="B293" s="6"/>
      <c r="C293" s="1"/>
      <c r="D293" s="1"/>
      <c r="E293" s="2"/>
      <c r="F293" s="1"/>
      <c r="G293" s="6"/>
      <c r="H293" s="1"/>
    </row>
    <row r="294" spans="1:8" ht="15" customHeight="1" x14ac:dyDescent="0.25">
      <c r="A294" s="25"/>
      <c r="B294" s="6"/>
      <c r="C294" s="1"/>
      <c r="D294" s="1"/>
      <c r="E294" s="2"/>
      <c r="F294" s="1"/>
      <c r="G294" s="6"/>
      <c r="H294" s="1"/>
    </row>
    <row r="295" spans="1:8" ht="15" customHeight="1" x14ac:dyDescent="0.25">
      <c r="A295" s="25"/>
      <c r="B295" s="6"/>
      <c r="C295" s="1"/>
      <c r="D295" s="1"/>
      <c r="E295" s="2"/>
      <c r="F295" s="1"/>
      <c r="G295" s="6"/>
      <c r="H295" s="1"/>
    </row>
    <row r="296" spans="1:8" ht="15" customHeight="1" x14ac:dyDescent="0.25">
      <c r="A296" s="25"/>
      <c r="B296" s="6"/>
      <c r="C296" s="1"/>
      <c r="D296" s="1"/>
      <c r="E296" s="2"/>
      <c r="F296" s="1"/>
      <c r="G296" s="6"/>
      <c r="H296" s="1"/>
    </row>
    <row r="297" spans="1:8" ht="15" customHeight="1" x14ac:dyDescent="0.25">
      <c r="A297" s="25"/>
      <c r="B297" s="6"/>
      <c r="C297" s="1"/>
      <c r="D297" s="1"/>
      <c r="E297" s="2"/>
      <c r="F297" s="1"/>
      <c r="G297" s="6"/>
      <c r="H297" s="1"/>
    </row>
    <row r="298" spans="1:8" ht="15" customHeight="1" x14ac:dyDescent="0.25">
      <c r="A298" s="25"/>
      <c r="B298" s="6"/>
      <c r="C298" s="1"/>
      <c r="D298" s="1"/>
      <c r="E298" s="2"/>
      <c r="F298" s="1"/>
      <c r="G298" s="6"/>
      <c r="H298" s="1"/>
    </row>
    <row r="299" spans="1:8" ht="15" customHeight="1" x14ac:dyDescent="0.25">
      <c r="A299" s="25"/>
      <c r="B299" s="6"/>
      <c r="C299" s="1"/>
      <c r="D299" s="1"/>
      <c r="E299" s="2"/>
      <c r="F299" s="1"/>
      <c r="G299" s="6"/>
      <c r="H299" s="1"/>
    </row>
    <row r="300" spans="1:8" ht="15" customHeight="1" x14ac:dyDescent="0.25">
      <c r="A300" s="25"/>
      <c r="B300" s="6"/>
      <c r="C300" s="1"/>
      <c r="D300" s="1"/>
      <c r="E300" s="2"/>
      <c r="F300" s="1"/>
      <c r="G300" s="6"/>
      <c r="H300" s="1"/>
    </row>
    <row r="301" spans="1:8" ht="15" customHeight="1" x14ac:dyDescent="0.25">
      <c r="A301" s="25"/>
      <c r="B301" s="6"/>
      <c r="C301" s="1"/>
      <c r="D301" s="1"/>
      <c r="E301" s="2"/>
      <c r="F301" s="1"/>
      <c r="G301" s="6"/>
      <c r="H301" s="1"/>
    </row>
    <row r="302" spans="1:8" ht="15" customHeight="1" x14ac:dyDescent="0.25">
      <c r="A302" s="25"/>
      <c r="B302" s="6"/>
      <c r="C302" s="1"/>
      <c r="D302" s="1"/>
      <c r="E302" s="2"/>
      <c r="F302" s="1"/>
      <c r="G302" s="6"/>
      <c r="H302" s="1"/>
    </row>
    <row r="303" spans="1:8" ht="15" customHeight="1" x14ac:dyDescent="0.25">
      <c r="A303" s="25"/>
      <c r="B303" s="6"/>
      <c r="C303" s="1"/>
      <c r="D303" s="1"/>
      <c r="E303" s="2"/>
      <c r="F303" s="1"/>
      <c r="G303" s="6"/>
      <c r="H303" s="1"/>
    </row>
    <row r="304" spans="1:8" ht="15" customHeight="1" x14ac:dyDescent="0.25">
      <c r="A304" s="25"/>
      <c r="B304" s="6"/>
      <c r="C304" s="1"/>
      <c r="D304" s="1"/>
      <c r="E304" s="2"/>
      <c r="F304" s="1"/>
      <c r="G304" s="6"/>
      <c r="H304" s="1"/>
    </row>
    <row r="305" spans="1:8" ht="15" customHeight="1" x14ac:dyDescent="0.25">
      <c r="A305" s="25"/>
      <c r="B305" s="6"/>
      <c r="C305" s="1"/>
      <c r="D305" s="1"/>
      <c r="E305" s="2"/>
      <c r="F305" s="1"/>
      <c r="G305" s="6"/>
      <c r="H305" s="1"/>
    </row>
    <row r="306" spans="1:8" ht="15" customHeight="1" x14ac:dyDescent="0.25">
      <c r="A306" s="25"/>
      <c r="B306" s="6"/>
      <c r="C306" s="1"/>
      <c r="D306" s="1"/>
      <c r="E306" s="2"/>
      <c r="F306" s="1"/>
      <c r="G306" s="6"/>
      <c r="H306" s="1"/>
    </row>
    <row r="307" spans="1:8" ht="15" customHeight="1" x14ac:dyDescent="0.25">
      <c r="A307" s="25"/>
      <c r="B307" s="6"/>
      <c r="C307" s="1"/>
      <c r="D307" s="1"/>
      <c r="E307" s="2"/>
      <c r="F307" s="1"/>
      <c r="G307" s="6"/>
      <c r="H307" s="1"/>
    </row>
    <row r="308" spans="1:8" ht="15" customHeight="1" x14ac:dyDescent="0.25">
      <c r="A308" s="25"/>
      <c r="B308" s="6"/>
      <c r="C308" s="1"/>
      <c r="D308" s="1"/>
      <c r="E308" s="2"/>
      <c r="F308" s="1"/>
      <c r="G308" s="6"/>
      <c r="H308" s="1"/>
    </row>
    <row r="309" spans="1:8" ht="15" customHeight="1" x14ac:dyDescent="0.25">
      <c r="A309" s="25"/>
      <c r="B309" s="6"/>
      <c r="C309" s="1"/>
      <c r="D309" s="1"/>
      <c r="E309" s="2"/>
      <c r="F309" s="1"/>
      <c r="G309" s="6"/>
      <c r="H309" s="1"/>
    </row>
  </sheetData>
  <autoFilter ref="A1:L96" xr:uid="{C07DA694-33CE-490A-BD2E-756A2F2C5AA1}"/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3FCF9-7B12-4219-85BC-332B3FCA0A7B}">
  <dimension ref="A1:R309"/>
  <sheetViews>
    <sheetView showGridLines="0" topLeftCell="A29" zoomScaleNormal="100" workbookViewId="0">
      <selection activeCell="E38" sqref="E38"/>
    </sheetView>
  </sheetViews>
  <sheetFormatPr defaultRowHeight="15" customHeight="1" x14ac:dyDescent="0.25"/>
  <cols>
    <col min="1" max="1" width="49" style="26" customWidth="1"/>
    <col min="2" max="2" width="19.28515625" style="7" bestFit="1" customWidth="1"/>
    <col min="3" max="3" width="12.42578125" style="5" bestFit="1" customWidth="1"/>
    <col min="4" max="4" width="30" style="3" bestFit="1" customWidth="1"/>
    <col min="5" max="5" width="11" style="4" bestFit="1" customWidth="1"/>
    <col min="6" max="6" width="17.28515625" style="3" bestFit="1" customWidth="1"/>
    <col min="7" max="7" width="19.140625" style="7" bestFit="1" customWidth="1"/>
    <col min="8" max="8" width="16.28515625" style="3" bestFit="1" customWidth="1"/>
    <col min="9" max="9" width="2" bestFit="1" customWidth="1"/>
    <col min="10" max="10" width="17" style="5" bestFit="1" customWidth="1"/>
    <col min="11" max="11" width="18" style="27" bestFit="1" customWidth="1"/>
    <col min="12" max="12" width="30" bestFit="1" customWidth="1"/>
    <col min="13" max="13" width="11.140625" bestFit="1" customWidth="1"/>
    <col min="14" max="14" width="10.5703125" bestFit="1" customWidth="1"/>
    <col min="16" max="17" width="9.5703125" bestFit="1" customWidth="1"/>
  </cols>
  <sheetData>
    <row r="1" spans="1:14" ht="14.25" customHeight="1" x14ac:dyDescent="0.25">
      <c r="A1" s="10" t="s">
        <v>0</v>
      </c>
      <c r="B1" s="10" t="s">
        <v>7</v>
      </c>
      <c r="C1" s="13" t="s">
        <v>1</v>
      </c>
      <c r="D1" s="13" t="s">
        <v>2</v>
      </c>
      <c r="E1" s="14" t="s">
        <v>3</v>
      </c>
      <c r="F1" s="13" t="s">
        <v>4</v>
      </c>
      <c r="G1" s="10" t="s">
        <v>5</v>
      </c>
      <c r="H1" s="13" t="s">
        <v>6</v>
      </c>
      <c r="I1" s="15" t="s">
        <v>12</v>
      </c>
      <c r="J1" s="16" t="s">
        <v>26</v>
      </c>
      <c r="K1" s="16" t="s">
        <v>27</v>
      </c>
      <c r="L1" s="15" t="s">
        <v>80</v>
      </c>
    </row>
    <row r="2" spans="1:14" ht="15" customHeight="1" x14ac:dyDescent="0.25">
      <c r="A2" s="21" t="str">
        <f>_xlfn.CONCAT($L$1,$I$1,F2,$I$1,J2)</f>
        <v>CUSTO PLATAFORMA - ABRIL/26 - OMS CARE ORDER - 61086</v>
      </c>
      <c r="B2" s="9">
        <v>46113</v>
      </c>
      <c r="C2" s="8">
        <v>817394</v>
      </c>
      <c r="D2" s="8" t="s">
        <v>21</v>
      </c>
      <c r="E2" s="67">
        <v>-1855.814873650058</v>
      </c>
      <c r="F2" s="8" t="s">
        <v>9</v>
      </c>
      <c r="G2" s="9">
        <v>46113</v>
      </c>
      <c r="H2" s="8">
        <v>1170</v>
      </c>
      <c r="J2" s="37">
        <v>61086</v>
      </c>
      <c r="K2" s="37">
        <f>_xlfn.XLOOKUP(L2,[1]!Tabela33[BROKER],[1]!Tabela33[ID ORACLE],0,0,1)</f>
        <v>61086</v>
      </c>
      <c r="L2" s="8" t="s">
        <v>21</v>
      </c>
    </row>
    <row r="3" spans="1:14" ht="15" customHeight="1" x14ac:dyDescent="0.25">
      <c r="A3" s="21" t="str">
        <f t="shared" ref="A3:A71" si="0">_xlfn.CONCAT($L$1,$I$1,F3,$I$1,J3)</f>
        <v>CUSTO PLATAFORMA - ABRIL/26 - OMS CARE ORDER - 57036</v>
      </c>
      <c r="B3" s="9">
        <v>46113</v>
      </c>
      <c r="C3" s="8">
        <v>817394</v>
      </c>
      <c r="D3" s="8" t="s">
        <v>21</v>
      </c>
      <c r="E3" s="67">
        <v>-1855.814873650058</v>
      </c>
      <c r="F3" s="8" t="s">
        <v>9</v>
      </c>
      <c r="G3" s="9">
        <v>46113</v>
      </c>
      <c r="H3" s="8">
        <v>1170</v>
      </c>
      <c r="J3" s="37">
        <v>57036</v>
      </c>
      <c r="K3" s="37">
        <f>_xlfn.XLOOKUP(L3,[1]!Tabela33[BROKER],[1]!Tabela33[ID ORACLE],0,0,1)</f>
        <v>57036</v>
      </c>
      <c r="L3" s="8" t="s">
        <v>22</v>
      </c>
      <c r="N3" s="29"/>
    </row>
    <row r="4" spans="1:14" ht="15" customHeight="1" x14ac:dyDescent="0.25">
      <c r="A4" s="21" t="str">
        <f t="shared" si="0"/>
        <v>CUSTO PLATAFORMA - ABRIL/26 - OMS CARE ORDER - 115154</v>
      </c>
      <c r="B4" s="9">
        <v>46113</v>
      </c>
      <c r="C4" s="8">
        <v>817394</v>
      </c>
      <c r="D4" s="8" t="s">
        <v>21</v>
      </c>
      <c r="E4" s="67">
        <v>-1855.814873650058</v>
      </c>
      <c r="F4" s="8" t="s">
        <v>9</v>
      </c>
      <c r="G4" s="9">
        <v>46113</v>
      </c>
      <c r="H4" s="8">
        <v>1170</v>
      </c>
      <c r="J4" s="37">
        <v>115154</v>
      </c>
      <c r="K4" s="37">
        <f>_xlfn.XLOOKUP(L4,[1]!Tabela33[BROKER],[1]!Tabela33[ID ORACLE],0,0,1)</f>
        <v>115154</v>
      </c>
      <c r="L4" s="8" t="s">
        <v>23</v>
      </c>
      <c r="M4" s="30"/>
      <c r="N4" s="29"/>
    </row>
    <row r="5" spans="1:14" ht="15" customHeight="1" x14ac:dyDescent="0.25">
      <c r="A5" s="21" t="str">
        <f t="shared" si="0"/>
        <v>CUSTO PLATAFORMA - ABRIL/26 - OMS CARE ORDER - 136668</v>
      </c>
      <c r="B5" s="9">
        <v>46113</v>
      </c>
      <c r="C5" s="8">
        <v>817394</v>
      </c>
      <c r="D5" s="8" t="s">
        <v>21</v>
      </c>
      <c r="E5" s="67">
        <v>-1855.814873650058</v>
      </c>
      <c r="F5" s="8" t="s">
        <v>9</v>
      </c>
      <c r="G5" s="9">
        <v>46113</v>
      </c>
      <c r="H5" s="8">
        <v>1170</v>
      </c>
      <c r="J5" s="37">
        <v>136668</v>
      </c>
      <c r="K5" s="37">
        <f>_xlfn.XLOOKUP(L5,[1]!Tabela33[BROKER],[1]!Tabela33[ID ORACLE],0,0,1)</f>
        <v>136668</v>
      </c>
      <c r="L5" s="8" t="s">
        <v>36</v>
      </c>
      <c r="M5" s="30"/>
      <c r="N5" s="29"/>
    </row>
    <row r="6" spans="1:14" ht="15" customHeight="1" x14ac:dyDescent="0.25">
      <c r="A6" s="21" t="str">
        <f t="shared" si="0"/>
        <v>CUSTO PLATAFORMA - ABRIL/26 - OMS CARE ORDER - 64098</v>
      </c>
      <c r="B6" s="9">
        <v>46113</v>
      </c>
      <c r="C6" s="8">
        <v>817394</v>
      </c>
      <c r="D6" s="8" t="s">
        <v>24</v>
      </c>
      <c r="E6" s="67">
        <v>-1855.814873650058</v>
      </c>
      <c r="F6" s="8" t="s">
        <v>9</v>
      </c>
      <c r="G6" s="9">
        <v>46113</v>
      </c>
      <c r="H6" s="8">
        <v>1170</v>
      </c>
      <c r="J6" s="37">
        <v>64098</v>
      </c>
      <c r="K6" s="37">
        <f>_xlfn.XLOOKUP(L6,[1]!Tabela33[BROKER],[1]!Tabela33[ID ORACLE],0,0,1)</f>
        <v>64098</v>
      </c>
      <c r="L6" s="8" t="s">
        <v>24</v>
      </c>
      <c r="N6" s="30"/>
    </row>
    <row r="7" spans="1:14" ht="15" customHeight="1" x14ac:dyDescent="0.25">
      <c r="A7" s="21" t="str">
        <f t="shared" si="0"/>
        <v>CUSTO PLATAFORMA - ABRIL/26 - OMS CARE ORDER - 36554</v>
      </c>
      <c r="B7" s="9">
        <v>46113</v>
      </c>
      <c r="C7" s="8">
        <v>817394</v>
      </c>
      <c r="D7" s="8" t="s">
        <v>40</v>
      </c>
      <c r="E7" s="67">
        <v>-1855.814873650058</v>
      </c>
      <c r="F7" s="8" t="s">
        <v>9</v>
      </c>
      <c r="G7" s="9">
        <v>46113</v>
      </c>
      <c r="H7" s="8">
        <v>1170</v>
      </c>
      <c r="J7" s="37">
        <v>36554</v>
      </c>
      <c r="K7" s="37">
        <f>_xlfn.XLOOKUP(L7,[1]!Tabela33[BROKER],[1]!Tabela33[ID ORACLE],0,0,1)</f>
        <v>0</v>
      </c>
      <c r="L7" s="8" t="s">
        <v>16</v>
      </c>
    </row>
    <row r="8" spans="1:14" ht="15" customHeight="1" x14ac:dyDescent="0.25">
      <c r="A8" s="22" t="str">
        <f t="shared" si="0"/>
        <v>CUSTO PLATAFORMA - ABRIL/26 - OMS CARE ORDER - 122758</v>
      </c>
      <c r="B8" s="18">
        <v>46113</v>
      </c>
      <c r="C8" s="17">
        <v>817394</v>
      </c>
      <c r="D8" s="17" t="s">
        <v>20</v>
      </c>
      <c r="E8" s="67">
        <v>-371.16297473001202</v>
      </c>
      <c r="F8" s="17" t="s">
        <v>9</v>
      </c>
      <c r="G8" s="18">
        <v>46113</v>
      </c>
      <c r="H8" s="17">
        <v>1170</v>
      </c>
      <c r="J8" s="28">
        <v>122758</v>
      </c>
      <c r="K8" s="28">
        <f>_xlfn.XLOOKUP(L8,[1]!Tabela33[BROKER],[1]!Tabela33[ID ORACLE],0,0,1)</f>
        <v>106970</v>
      </c>
      <c r="L8" s="17" t="s">
        <v>20</v>
      </c>
    </row>
    <row r="9" spans="1:14" ht="15" customHeight="1" x14ac:dyDescent="0.25">
      <c r="A9" s="22" t="str">
        <f t="shared" si="0"/>
        <v>CUSTO PLATAFORMA - ABRIL/26 - OMS CARE ORDER - 122758</v>
      </c>
      <c r="B9" s="18">
        <v>46113</v>
      </c>
      <c r="C9" s="17">
        <v>817394</v>
      </c>
      <c r="D9" s="17" t="s">
        <v>31</v>
      </c>
      <c r="E9" s="67">
        <v>-371.16297473001202</v>
      </c>
      <c r="F9" s="17" t="s">
        <v>9</v>
      </c>
      <c r="G9" s="18">
        <v>46113</v>
      </c>
      <c r="H9" s="17">
        <v>1170</v>
      </c>
      <c r="J9" s="28">
        <v>122758</v>
      </c>
      <c r="K9" s="28">
        <f>_xlfn.XLOOKUP(L9,[1]!Tabela33[BROKER],[1]!Tabela33[ID ORACLE],0,0,1)</f>
        <v>139345</v>
      </c>
      <c r="L9" s="17" t="s">
        <v>31</v>
      </c>
    </row>
    <row r="10" spans="1:14" ht="15" customHeight="1" x14ac:dyDescent="0.25">
      <c r="A10" s="22" t="str">
        <f t="shared" si="0"/>
        <v>CUSTO PLATAFORMA - ABRIL/26 - OMS CARE ORDER - 122758</v>
      </c>
      <c r="B10" s="18">
        <v>46113</v>
      </c>
      <c r="C10" s="17">
        <v>817394</v>
      </c>
      <c r="D10" s="17" t="s">
        <v>19</v>
      </c>
      <c r="E10" s="67">
        <v>-371.16297473001202</v>
      </c>
      <c r="F10" s="17" t="s">
        <v>9</v>
      </c>
      <c r="G10" s="18">
        <v>46113</v>
      </c>
      <c r="H10" s="17">
        <v>1170</v>
      </c>
      <c r="J10" s="28">
        <v>122758</v>
      </c>
      <c r="K10" s="28">
        <f>_xlfn.XLOOKUP(L10,[1]!Tabela33[BROKER],[1]!Tabela33[ID ORACLE],0,0,1)</f>
        <v>22361</v>
      </c>
      <c r="L10" s="17" t="s">
        <v>19</v>
      </c>
    </row>
    <row r="11" spans="1:14" ht="15" customHeight="1" x14ac:dyDescent="0.25">
      <c r="A11" s="22" t="str">
        <f t="shared" si="0"/>
        <v>CUSTO PLATAFORMA - ABRIL/26 - OMS CARE ORDER - 122758</v>
      </c>
      <c r="B11" s="18">
        <v>46113</v>
      </c>
      <c r="C11" s="17">
        <v>817394</v>
      </c>
      <c r="D11" s="17" t="s">
        <v>32</v>
      </c>
      <c r="E11" s="67">
        <v>-371.16297473001202</v>
      </c>
      <c r="F11" s="17" t="s">
        <v>9</v>
      </c>
      <c r="G11" s="18">
        <v>46113</v>
      </c>
      <c r="H11" s="17">
        <v>1170</v>
      </c>
      <c r="J11" s="28">
        <v>122758</v>
      </c>
      <c r="K11" s="28">
        <f>_xlfn.XLOOKUP(L11,[1]!Tabela33[BROKER],[1]!Tabela33[ID ORACLE],0,0,1)</f>
        <v>132975</v>
      </c>
      <c r="L11" s="17" t="s">
        <v>32</v>
      </c>
    </row>
    <row r="12" spans="1:14" ht="15" customHeight="1" x14ac:dyDescent="0.25">
      <c r="A12" s="22" t="str">
        <f t="shared" si="0"/>
        <v>CUSTO PLATAFORMA - ABRIL/26 - OMS CARE ORDER - 122758</v>
      </c>
      <c r="B12" s="18">
        <v>46113</v>
      </c>
      <c r="C12" s="17">
        <v>817394</v>
      </c>
      <c r="D12" s="17" t="s">
        <v>18</v>
      </c>
      <c r="E12" s="67">
        <v>-371.16297473001202</v>
      </c>
      <c r="F12" s="17" t="s">
        <v>9</v>
      </c>
      <c r="G12" s="18">
        <v>46113</v>
      </c>
      <c r="H12" s="17">
        <v>1170</v>
      </c>
      <c r="J12" s="28">
        <v>122758</v>
      </c>
      <c r="K12" s="28">
        <f>_xlfn.XLOOKUP(L12,[1]!Tabela33[BROKER],[1]!Tabela33[ID ORACLE],0,0,1)</f>
        <v>122758</v>
      </c>
      <c r="L12" s="17" t="s">
        <v>18</v>
      </c>
      <c r="M12" s="29"/>
    </row>
    <row r="13" spans="1:14" ht="15" customHeight="1" x14ac:dyDescent="0.25">
      <c r="A13" s="21" t="str">
        <f t="shared" si="0"/>
        <v>CUSTO PLATAFORMA - ABRIL/26 - OMS CARE ORDER - 125412</v>
      </c>
      <c r="B13" s="9">
        <v>46113</v>
      </c>
      <c r="C13" s="8">
        <v>817394</v>
      </c>
      <c r="D13" s="8" t="s">
        <v>29</v>
      </c>
      <c r="E13" s="67">
        <v>-1855.814873650058</v>
      </c>
      <c r="F13" s="8" t="s">
        <v>9</v>
      </c>
      <c r="G13" s="9">
        <v>46113</v>
      </c>
      <c r="H13" s="8">
        <v>1170</v>
      </c>
      <c r="J13" s="37">
        <v>125412</v>
      </c>
      <c r="K13" s="37">
        <v>52340</v>
      </c>
      <c r="L13" s="8" t="s">
        <v>29</v>
      </c>
      <c r="M13" s="30"/>
    </row>
    <row r="14" spans="1:14" ht="15" customHeight="1" x14ac:dyDescent="0.25">
      <c r="A14" s="21" t="str">
        <f t="shared" si="0"/>
        <v>CUSTO PLATAFORMA - ABRIL/26 - OMS CARE ORDER - 127165</v>
      </c>
      <c r="B14" s="9">
        <v>46113</v>
      </c>
      <c r="C14" s="8">
        <v>817394</v>
      </c>
      <c r="D14" s="8" t="s">
        <v>17</v>
      </c>
      <c r="E14" s="67">
        <v>-1855.814873650058</v>
      </c>
      <c r="F14" s="8" t="s">
        <v>9</v>
      </c>
      <c r="G14" s="9">
        <v>46113</v>
      </c>
      <c r="H14" s="8">
        <v>1170</v>
      </c>
      <c r="J14" s="37">
        <v>127165</v>
      </c>
      <c r="K14" s="37">
        <f>_xlfn.XLOOKUP(L14,[1]!Tabela33[BROKER],[1]!Tabela33[ID ORACLE],0,0,1)</f>
        <v>127165</v>
      </c>
      <c r="L14" s="8" t="s">
        <v>17</v>
      </c>
    </row>
    <row r="15" spans="1:14" ht="15" customHeight="1" x14ac:dyDescent="0.25">
      <c r="A15" s="23" t="str">
        <f>_xlfn.CONCAT($L$1,$I$1,F15,$I$1,J15)</f>
        <v>CUSTO PLATAFORMA - ABRIL/26 - OMS CARE ORDER - 133842</v>
      </c>
      <c r="B15" s="12">
        <v>46113</v>
      </c>
      <c r="C15" s="11">
        <v>817394</v>
      </c>
      <c r="D15" s="11" t="s">
        <v>28</v>
      </c>
      <c r="E15" s="49">
        <v>-1855.814873650058</v>
      </c>
      <c r="F15" s="11" t="s">
        <v>9</v>
      </c>
      <c r="G15" s="12">
        <v>46113</v>
      </c>
      <c r="H15" s="11">
        <v>1170</v>
      </c>
      <c r="I15" s="36"/>
      <c r="J15" s="38">
        <v>133842</v>
      </c>
      <c r="K15" s="38">
        <f>_xlfn.XLOOKUP(L15,[1]!Tabela33[BROKER],[1]!Tabela33[ID ORACLE],0,0,1)</f>
        <v>133842</v>
      </c>
      <c r="L15" s="11" t="s">
        <v>28</v>
      </c>
    </row>
    <row r="16" spans="1:14" ht="15" customHeight="1" x14ac:dyDescent="0.25">
      <c r="A16" s="22" t="str">
        <f t="shared" si="0"/>
        <v>CUSTO PLATAFORMA - ABRIL/26 - TACTICS - 106970</v>
      </c>
      <c r="B16" s="18">
        <v>46113</v>
      </c>
      <c r="C16" s="17">
        <v>817394</v>
      </c>
      <c r="D16" s="17" t="s">
        <v>20</v>
      </c>
      <c r="E16" s="67">
        <v>-171.2676578227408</v>
      </c>
      <c r="F16" s="17" t="s">
        <v>10</v>
      </c>
      <c r="G16" s="18">
        <v>46113</v>
      </c>
      <c r="H16" s="17">
        <v>1170</v>
      </c>
      <c r="J16" s="28">
        <v>106970</v>
      </c>
      <c r="K16" s="28">
        <v>106970</v>
      </c>
      <c r="L16" s="17" t="s">
        <v>20</v>
      </c>
    </row>
    <row r="17" spans="1:13" ht="15" customHeight="1" x14ac:dyDescent="0.25">
      <c r="A17" s="22" t="str">
        <f t="shared" si="0"/>
        <v>CUSTO PLATAFORMA - ABRIL/26 - TACTICS - 106970</v>
      </c>
      <c r="B17" s="18">
        <v>46113</v>
      </c>
      <c r="C17" s="17">
        <v>817394</v>
      </c>
      <c r="D17" s="17" t="s">
        <v>31</v>
      </c>
      <c r="E17" s="67">
        <v>-171.2676578227408</v>
      </c>
      <c r="F17" s="17" t="s">
        <v>10</v>
      </c>
      <c r="G17" s="18">
        <v>46113</v>
      </c>
      <c r="H17" s="17">
        <v>1170</v>
      </c>
      <c r="J17" s="28">
        <v>106970</v>
      </c>
      <c r="K17" s="28">
        <v>139345</v>
      </c>
      <c r="L17" s="17" t="s">
        <v>31</v>
      </c>
    </row>
    <row r="18" spans="1:13" ht="15" customHeight="1" x14ac:dyDescent="0.25">
      <c r="A18" s="22" t="str">
        <f t="shared" si="0"/>
        <v>CUSTO PLATAFORMA - ABRIL/26 - TACTICS - 106970</v>
      </c>
      <c r="B18" s="18">
        <v>46113</v>
      </c>
      <c r="C18" s="17">
        <v>817394</v>
      </c>
      <c r="D18" s="17" t="s">
        <v>19</v>
      </c>
      <c r="E18" s="67">
        <v>-171.2676578227408</v>
      </c>
      <c r="F18" s="17" t="s">
        <v>10</v>
      </c>
      <c r="G18" s="18">
        <v>46113</v>
      </c>
      <c r="H18" s="17">
        <v>1170</v>
      </c>
      <c r="J18" s="28">
        <v>106970</v>
      </c>
      <c r="K18" s="28">
        <v>22361</v>
      </c>
      <c r="L18" s="17" t="s">
        <v>19</v>
      </c>
    </row>
    <row r="19" spans="1:13" ht="15" customHeight="1" x14ac:dyDescent="0.25">
      <c r="A19" s="22" t="str">
        <f t="shared" si="0"/>
        <v>CUSTO PLATAFORMA - ABRIL/26 - TACTICS - 106970</v>
      </c>
      <c r="B19" s="18">
        <v>46113</v>
      </c>
      <c r="C19" s="17">
        <v>817394</v>
      </c>
      <c r="D19" s="17" t="s">
        <v>32</v>
      </c>
      <c r="E19" s="67">
        <v>-171.2676578227408</v>
      </c>
      <c r="F19" s="17" t="s">
        <v>10</v>
      </c>
      <c r="G19" s="18">
        <v>46113</v>
      </c>
      <c r="H19" s="17">
        <v>1170</v>
      </c>
      <c r="J19" s="28">
        <v>106970</v>
      </c>
      <c r="K19" s="28">
        <v>132975</v>
      </c>
      <c r="L19" s="17" t="s">
        <v>32</v>
      </c>
    </row>
    <row r="20" spans="1:13" ht="15" customHeight="1" x14ac:dyDescent="0.25">
      <c r="A20" s="22" t="str">
        <f t="shared" si="0"/>
        <v>CUSTO PLATAFORMA - ABRIL/26 - TACTICS - 106970</v>
      </c>
      <c r="B20" s="18">
        <v>46113</v>
      </c>
      <c r="C20" s="17">
        <v>817394</v>
      </c>
      <c r="D20" s="17" t="s">
        <v>18</v>
      </c>
      <c r="E20" s="67">
        <v>-171.2676578227408</v>
      </c>
      <c r="F20" s="17" t="s">
        <v>10</v>
      </c>
      <c r="G20" s="18">
        <v>46113</v>
      </c>
      <c r="H20" s="17">
        <v>1170</v>
      </c>
      <c r="J20" s="28">
        <v>106970</v>
      </c>
      <c r="K20" s="28">
        <v>122758</v>
      </c>
      <c r="L20" s="17" t="s">
        <v>18</v>
      </c>
      <c r="M20" s="29"/>
    </row>
    <row r="21" spans="1:13" ht="15" customHeight="1" x14ac:dyDescent="0.25">
      <c r="A21" s="21" t="str">
        <f t="shared" si="0"/>
        <v>CUSTO PLATAFORMA - ABRIL/26 - TACTICS - 122758</v>
      </c>
      <c r="B21" s="9">
        <v>46113</v>
      </c>
      <c r="C21" s="8">
        <v>817394</v>
      </c>
      <c r="D21" s="8" t="s">
        <v>20</v>
      </c>
      <c r="E21" s="67">
        <v>-171.2676578227408</v>
      </c>
      <c r="F21" s="8" t="s">
        <v>10</v>
      </c>
      <c r="G21" s="9">
        <v>46113</v>
      </c>
      <c r="H21" s="8">
        <v>1170</v>
      </c>
      <c r="J21" s="37">
        <v>122758</v>
      </c>
      <c r="K21" s="37">
        <v>106970</v>
      </c>
      <c r="L21" s="8" t="s">
        <v>20</v>
      </c>
    </row>
    <row r="22" spans="1:13" ht="15" customHeight="1" x14ac:dyDescent="0.25">
      <c r="A22" s="21" t="str">
        <f t="shared" si="0"/>
        <v>CUSTO PLATAFORMA - ABRIL/26 - TACTICS - 122758</v>
      </c>
      <c r="B22" s="9">
        <v>46113</v>
      </c>
      <c r="C22" s="8">
        <v>817394</v>
      </c>
      <c r="D22" s="8" t="s">
        <v>31</v>
      </c>
      <c r="E22" s="67">
        <v>-171.2676578227408</v>
      </c>
      <c r="F22" s="8" t="s">
        <v>10</v>
      </c>
      <c r="G22" s="9">
        <v>46113</v>
      </c>
      <c r="H22" s="8">
        <v>1170</v>
      </c>
      <c r="J22" s="37">
        <v>122758</v>
      </c>
      <c r="K22" s="37">
        <v>139345</v>
      </c>
      <c r="L22" s="8" t="s">
        <v>31</v>
      </c>
    </row>
    <row r="23" spans="1:13" ht="15" customHeight="1" x14ac:dyDescent="0.25">
      <c r="A23" s="21" t="str">
        <f t="shared" si="0"/>
        <v>CUSTO PLATAFORMA - ABRIL/26 - TACTICS - 122758</v>
      </c>
      <c r="B23" s="9">
        <v>46113</v>
      </c>
      <c r="C23" s="8">
        <v>817394</v>
      </c>
      <c r="D23" s="8" t="s">
        <v>19</v>
      </c>
      <c r="E23" s="67">
        <v>-171.2676578227408</v>
      </c>
      <c r="F23" s="8" t="s">
        <v>10</v>
      </c>
      <c r="G23" s="9">
        <v>46113</v>
      </c>
      <c r="H23" s="8">
        <v>1170</v>
      </c>
      <c r="J23" s="37">
        <v>122758</v>
      </c>
      <c r="K23" s="37">
        <v>22361</v>
      </c>
      <c r="L23" s="8" t="s">
        <v>19</v>
      </c>
    </row>
    <row r="24" spans="1:13" ht="15" customHeight="1" x14ac:dyDescent="0.25">
      <c r="A24" s="21" t="str">
        <f t="shared" si="0"/>
        <v>CUSTO PLATAFORMA - ABRIL/26 - TACTICS - 122758</v>
      </c>
      <c r="B24" s="9">
        <v>46113</v>
      </c>
      <c r="C24" s="8">
        <v>817394</v>
      </c>
      <c r="D24" s="8" t="s">
        <v>32</v>
      </c>
      <c r="E24" s="67">
        <v>-171.2676578227408</v>
      </c>
      <c r="F24" s="8" t="s">
        <v>10</v>
      </c>
      <c r="G24" s="9">
        <v>46113</v>
      </c>
      <c r="H24" s="8">
        <v>1170</v>
      </c>
      <c r="J24" s="37">
        <v>122758</v>
      </c>
      <c r="K24" s="37">
        <v>132975</v>
      </c>
      <c r="L24" s="8" t="s">
        <v>32</v>
      </c>
    </row>
    <row r="25" spans="1:13" ht="15" customHeight="1" x14ac:dyDescent="0.25">
      <c r="A25" s="21" t="str">
        <f t="shared" si="0"/>
        <v>CUSTO PLATAFORMA - ABRIL/26 - TACTICS - 122758</v>
      </c>
      <c r="B25" s="9">
        <v>46113</v>
      </c>
      <c r="C25" s="8">
        <v>817394</v>
      </c>
      <c r="D25" s="8" t="s">
        <v>18</v>
      </c>
      <c r="E25" s="67">
        <v>-171.2676578227408</v>
      </c>
      <c r="F25" s="8" t="s">
        <v>10</v>
      </c>
      <c r="G25" s="9">
        <v>46113</v>
      </c>
      <c r="H25" s="8">
        <v>1170</v>
      </c>
      <c r="J25" s="37">
        <v>122758</v>
      </c>
      <c r="K25" s="37">
        <v>122758</v>
      </c>
      <c r="L25" s="8" t="s">
        <v>18</v>
      </c>
    </row>
    <row r="26" spans="1:13" ht="15" customHeight="1" x14ac:dyDescent="0.25">
      <c r="A26" s="22" t="str">
        <f t="shared" si="0"/>
        <v>CUSTO PLATAFORMA - ABRIL/26 - TACTICS - 56258</v>
      </c>
      <c r="B26" s="18">
        <v>46113</v>
      </c>
      <c r="C26" s="17">
        <v>817394</v>
      </c>
      <c r="D26" s="17" t="s">
        <v>13</v>
      </c>
      <c r="E26" s="67">
        <v>-214.08457227842601</v>
      </c>
      <c r="F26" s="17" t="s">
        <v>10</v>
      </c>
      <c r="G26" s="18">
        <v>46113</v>
      </c>
      <c r="H26" s="17">
        <v>1170</v>
      </c>
      <c r="J26" s="28">
        <v>56258</v>
      </c>
      <c r="K26" s="28">
        <f>_xlfn.XLOOKUP(L26,[1]!Tabela33[BROKER],[1]!Tabela33[ID ORACLE],0,0,1)</f>
        <v>70461</v>
      </c>
      <c r="L26" s="17" t="s">
        <v>13</v>
      </c>
    </row>
    <row r="27" spans="1:13" ht="15" customHeight="1" x14ac:dyDescent="0.25">
      <c r="A27" s="22" t="str">
        <f t="shared" si="0"/>
        <v>CUSTO PLATAFORMA - ABRIL/26 - TACTICS - 56258</v>
      </c>
      <c r="B27" s="18">
        <v>46113</v>
      </c>
      <c r="C27" s="17">
        <v>817394</v>
      </c>
      <c r="D27" s="17" t="s">
        <v>14</v>
      </c>
      <c r="E27" s="67">
        <v>-214.08457227842601</v>
      </c>
      <c r="F27" s="17" t="s">
        <v>10</v>
      </c>
      <c r="G27" s="18">
        <v>46113</v>
      </c>
      <c r="H27" s="17">
        <v>1170</v>
      </c>
      <c r="J27" s="28">
        <v>56258</v>
      </c>
      <c r="K27" s="28">
        <f>_xlfn.XLOOKUP(L27,[1]!Tabela33[BROKER],[1]!Tabela33[ID ORACLE],0,0,1)</f>
        <v>24140</v>
      </c>
      <c r="L27" s="17" t="s">
        <v>14</v>
      </c>
    </row>
    <row r="28" spans="1:13" ht="15" customHeight="1" x14ac:dyDescent="0.25">
      <c r="A28" s="22" t="str">
        <f t="shared" si="0"/>
        <v>CUSTO PLATAFORMA - ABRIL/26 - TACTICS - 56258</v>
      </c>
      <c r="B28" s="18">
        <v>46113</v>
      </c>
      <c r="C28" s="17">
        <v>817394</v>
      </c>
      <c r="D28" s="17" t="s">
        <v>30</v>
      </c>
      <c r="E28" s="67">
        <v>-214.08457227842601</v>
      </c>
      <c r="F28" s="17" t="s">
        <v>10</v>
      </c>
      <c r="G28" s="18">
        <v>46113</v>
      </c>
      <c r="H28" s="17">
        <v>1170</v>
      </c>
      <c r="J28" s="28">
        <v>56258</v>
      </c>
      <c r="K28" s="28">
        <f>_xlfn.XLOOKUP(L28,[1]!Tabela33[BROKER],[1]!Tabela33[ID ORACLE],0,0,1)</f>
        <v>137478</v>
      </c>
      <c r="L28" s="17" t="s">
        <v>30</v>
      </c>
    </row>
    <row r="29" spans="1:13" ht="15" customHeight="1" x14ac:dyDescent="0.25">
      <c r="A29" s="22" t="str">
        <f t="shared" si="0"/>
        <v>CUSTO PLATAFORMA - ABRIL/26 - TACTICS - 56258</v>
      </c>
      <c r="B29" s="18">
        <v>46113</v>
      </c>
      <c r="C29" s="17">
        <v>817394</v>
      </c>
      <c r="D29" s="17" t="s">
        <v>15</v>
      </c>
      <c r="E29" s="67">
        <v>-214.08457227842601</v>
      </c>
      <c r="F29" s="17" t="s">
        <v>10</v>
      </c>
      <c r="G29" s="18">
        <v>46113</v>
      </c>
      <c r="H29" s="17">
        <v>1170</v>
      </c>
      <c r="J29" s="28">
        <v>56258</v>
      </c>
      <c r="K29" s="28">
        <f>_xlfn.XLOOKUP(L29,[1]!Tabela33[BROKER],[1]!Tabela33[ID ORACLE],0,0,1)</f>
        <v>56258</v>
      </c>
      <c r="L29" s="17" t="s">
        <v>15</v>
      </c>
    </row>
    <row r="30" spans="1:13" ht="15" customHeight="1" x14ac:dyDescent="0.25">
      <c r="A30" s="21" t="str">
        <f t="shared" si="0"/>
        <v>CUSTO PLATAFORMA - ABRIL/26 - TACTICS - 133842</v>
      </c>
      <c r="B30" s="9">
        <v>46113</v>
      </c>
      <c r="C30" s="8">
        <v>817394</v>
      </c>
      <c r="D30" s="8" t="s">
        <v>28</v>
      </c>
      <c r="E30" s="67">
        <v>-856.33828911370438</v>
      </c>
      <c r="F30" s="8" t="s">
        <v>10</v>
      </c>
      <c r="G30" s="9">
        <v>46113</v>
      </c>
      <c r="H30" s="8">
        <v>1170</v>
      </c>
      <c r="J30" s="37">
        <v>133842</v>
      </c>
      <c r="K30" s="37">
        <f>_xlfn.XLOOKUP(L30,[1]!Tabela33[BROKER],[1]!Tabela33[ID ORACLE],0,0,1)</f>
        <v>133842</v>
      </c>
      <c r="L30" s="8" t="s">
        <v>28</v>
      </c>
    </row>
    <row r="31" spans="1:13" ht="15" customHeight="1" x14ac:dyDescent="0.25">
      <c r="A31" s="21" t="str">
        <f t="shared" si="0"/>
        <v>CUSTO PLATAFORMA - ABRIL/26 - TACTICS - 61086</v>
      </c>
      <c r="B31" s="9">
        <v>46113</v>
      </c>
      <c r="C31" s="8">
        <v>817394</v>
      </c>
      <c r="D31" s="8" t="s">
        <v>21</v>
      </c>
      <c r="E31" s="67">
        <v>-856.33828911370438</v>
      </c>
      <c r="F31" s="8" t="s">
        <v>10</v>
      </c>
      <c r="G31" s="9">
        <v>46113</v>
      </c>
      <c r="H31" s="8">
        <v>1170</v>
      </c>
      <c r="J31" s="37">
        <v>61086</v>
      </c>
      <c r="K31" s="37">
        <f>_xlfn.XLOOKUP(L31,[1]!Tabela33[BROKER],[1]!Tabela33[ID ORACLE],0,0,1)</f>
        <v>61086</v>
      </c>
      <c r="L31" s="8" t="s">
        <v>21</v>
      </c>
    </row>
    <row r="32" spans="1:13" ht="15" customHeight="1" x14ac:dyDescent="0.25">
      <c r="A32" s="21" t="str">
        <f t="shared" si="0"/>
        <v>CUSTO PLATAFORMA - ABRIL/26 - TACTICS - 115154</v>
      </c>
      <c r="B32" s="9">
        <v>46113</v>
      </c>
      <c r="C32" s="8">
        <v>817394</v>
      </c>
      <c r="D32" s="8" t="s">
        <v>21</v>
      </c>
      <c r="E32" s="67">
        <v>-856.33828911370438</v>
      </c>
      <c r="F32" s="8" t="s">
        <v>10</v>
      </c>
      <c r="G32" s="9">
        <v>46113</v>
      </c>
      <c r="H32" s="8">
        <v>1170</v>
      </c>
      <c r="J32" s="37">
        <v>115154</v>
      </c>
      <c r="K32" s="37">
        <f>_xlfn.XLOOKUP(L32,[1]!Tabela33[BROKER],[1]!Tabela33[ID ORACLE],0,0,1)</f>
        <v>115154</v>
      </c>
      <c r="L32" s="8" t="s">
        <v>23</v>
      </c>
    </row>
    <row r="33" spans="1:12" ht="15" customHeight="1" x14ac:dyDescent="0.25">
      <c r="A33" s="21" t="str">
        <f t="shared" si="0"/>
        <v>CUSTO PLATAFORMA - ABRIL/26 - TACTICS - 57036</v>
      </c>
      <c r="B33" s="9">
        <v>46113</v>
      </c>
      <c r="C33" s="8">
        <v>817394</v>
      </c>
      <c r="D33" s="8" t="s">
        <v>21</v>
      </c>
      <c r="E33" s="67">
        <v>-856.33828911370438</v>
      </c>
      <c r="F33" s="8" t="s">
        <v>10</v>
      </c>
      <c r="G33" s="9">
        <v>46113</v>
      </c>
      <c r="H33" s="8">
        <v>1170</v>
      </c>
      <c r="J33" s="37">
        <v>57036</v>
      </c>
      <c r="K33" s="37">
        <f>_xlfn.XLOOKUP(L33,[1]!Tabela33[BROKER],[1]!Tabela33[ID ORACLE],0,0,1)</f>
        <v>57036</v>
      </c>
      <c r="L33" s="8" t="s">
        <v>22</v>
      </c>
    </row>
    <row r="34" spans="1:12" ht="15" customHeight="1" x14ac:dyDescent="0.25">
      <c r="A34" s="21" t="str">
        <f t="shared" si="0"/>
        <v>CUSTO PLATAFORMA - ABRIL/26 - TACTICS - 136668</v>
      </c>
      <c r="B34" s="9">
        <v>46113</v>
      </c>
      <c r="C34" s="8">
        <v>817394</v>
      </c>
      <c r="D34" s="8" t="s">
        <v>21</v>
      </c>
      <c r="E34" s="67">
        <v>-856.33828911370438</v>
      </c>
      <c r="F34" s="8" t="s">
        <v>10</v>
      </c>
      <c r="G34" s="9">
        <v>46113</v>
      </c>
      <c r="H34" s="8">
        <v>1170</v>
      </c>
      <c r="J34" s="37">
        <v>136668</v>
      </c>
      <c r="K34" s="37">
        <f>_xlfn.XLOOKUP(L34,[1]!Tabela33[BROKER],[1]!Tabela33[ID ORACLE],0,0,1)</f>
        <v>136668</v>
      </c>
      <c r="L34" s="8" t="s">
        <v>36</v>
      </c>
    </row>
    <row r="35" spans="1:12" ht="15" customHeight="1" x14ac:dyDescent="0.25">
      <c r="A35" s="21" t="str">
        <f t="shared" si="0"/>
        <v>CUSTO PLATAFORMA - ABRIL/26 - TACTICS - 64098</v>
      </c>
      <c r="B35" s="9">
        <v>46113</v>
      </c>
      <c r="C35" s="8">
        <v>817394</v>
      </c>
      <c r="D35" s="8" t="s">
        <v>24</v>
      </c>
      <c r="E35" s="67">
        <v>-856.33828911370438</v>
      </c>
      <c r="F35" s="8" t="s">
        <v>10</v>
      </c>
      <c r="G35" s="9">
        <v>46113</v>
      </c>
      <c r="H35" s="8">
        <v>1170</v>
      </c>
      <c r="J35" s="37">
        <v>64098</v>
      </c>
      <c r="K35" s="37">
        <f>_xlfn.XLOOKUP(L35,[1]!Tabela33[BROKER],[1]!Tabela33[ID ORACLE],0,0,1)</f>
        <v>64098</v>
      </c>
      <c r="L35" s="8" t="s">
        <v>24</v>
      </c>
    </row>
    <row r="36" spans="1:12" ht="15" customHeight="1" x14ac:dyDescent="0.25">
      <c r="A36" s="21" t="str">
        <f t="shared" si="0"/>
        <v>CUSTO PLATAFORMA - ABRIL/26 - TACTICS - 125412</v>
      </c>
      <c r="B36" s="9">
        <v>46113</v>
      </c>
      <c r="C36" s="8">
        <v>817394</v>
      </c>
      <c r="D36" s="8" t="s">
        <v>29</v>
      </c>
      <c r="E36" s="67">
        <v>-856.33828911370438</v>
      </c>
      <c r="F36" s="8" t="s">
        <v>10</v>
      </c>
      <c r="G36" s="9">
        <v>46113</v>
      </c>
      <c r="H36" s="8">
        <v>1170</v>
      </c>
      <c r="J36" s="37">
        <v>125412</v>
      </c>
      <c r="K36" s="37">
        <v>52340</v>
      </c>
      <c r="L36" s="8" t="s">
        <v>29</v>
      </c>
    </row>
    <row r="37" spans="1:12" ht="15" customHeight="1" x14ac:dyDescent="0.25">
      <c r="A37" s="23" t="str">
        <f t="shared" si="0"/>
        <v>CUSTO PLATAFORMA - ABRIL/26 - TACTICS - 127165</v>
      </c>
      <c r="B37" s="12">
        <v>46113</v>
      </c>
      <c r="C37" s="11">
        <v>817394</v>
      </c>
      <c r="D37" s="11" t="s">
        <v>17</v>
      </c>
      <c r="E37" s="49">
        <v>-856.33828911370438</v>
      </c>
      <c r="F37" s="11" t="s">
        <v>10</v>
      </c>
      <c r="G37" s="12">
        <v>46113</v>
      </c>
      <c r="H37" s="11">
        <v>1170</v>
      </c>
      <c r="I37" s="36"/>
      <c r="J37" s="38">
        <v>127165</v>
      </c>
      <c r="K37" s="38">
        <f>_xlfn.XLOOKUP(L37,[1]!Tabela33[BROKER],[1]!Tabela33[ID ORACLE],0,0,1)</f>
        <v>127165</v>
      </c>
      <c r="L37" s="11" t="s">
        <v>17</v>
      </c>
    </row>
    <row r="38" spans="1:12" ht="15" customHeight="1" x14ac:dyDescent="0.25">
      <c r="A38" s="21" t="str">
        <f t="shared" si="0"/>
        <v>CUSTO PLATAFORMA - ABRIL/26 - ATG - 115154</v>
      </c>
      <c r="B38" s="9">
        <v>46113</v>
      </c>
      <c r="C38" s="8">
        <v>817394</v>
      </c>
      <c r="D38" s="8" t="s">
        <v>21</v>
      </c>
      <c r="E38" s="50">
        <f>-7752.37992665867-70</f>
        <v>-7822.3799266586702</v>
      </c>
      <c r="F38" s="8" t="s">
        <v>8</v>
      </c>
      <c r="G38" s="9">
        <v>46113</v>
      </c>
      <c r="H38" s="8">
        <v>1170</v>
      </c>
      <c r="J38" s="37">
        <v>115154</v>
      </c>
      <c r="K38" s="37">
        <f>_xlfn.XLOOKUP(L38,[1]!Tabela33[BROKER],[1]!Tabela33[ID ORACLE],0,0,1)</f>
        <v>115154</v>
      </c>
      <c r="L38" s="8" t="s">
        <v>23</v>
      </c>
    </row>
    <row r="39" spans="1:12" ht="15" customHeight="1" x14ac:dyDescent="0.25">
      <c r="A39" s="21" t="str">
        <f t="shared" si="0"/>
        <v>CUSTO PLATAFORMA - ABRIL/26 - ATG - 57038</v>
      </c>
      <c r="B39" s="9">
        <v>46113</v>
      </c>
      <c r="C39" s="8">
        <v>817394</v>
      </c>
      <c r="D39" s="8" t="s">
        <v>21</v>
      </c>
      <c r="E39" s="50">
        <f>-4877.4279559952-70</f>
        <v>-4947.4279559952001</v>
      </c>
      <c r="F39" s="8" t="s">
        <v>8</v>
      </c>
      <c r="G39" s="9">
        <v>46113</v>
      </c>
      <c r="H39" s="8">
        <v>1170</v>
      </c>
      <c r="J39" s="37">
        <v>57038</v>
      </c>
      <c r="K39" s="37">
        <v>57036</v>
      </c>
      <c r="L39" s="8" t="s">
        <v>22</v>
      </c>
    </row>
    <row r="40" spans="1:12" ht="15" customHeight="1" x14ac:dyDescent="0.25">
      <c r="A40" s="21" t="str">
        <f t="shared" si="0"/>
        <v>CUSTO PLATAFORMA - ABRIL/26 - ATG - 111439</v>
      </c>
      <c r="B40" s="9">
        <v>46113</v>
      </c>
      <c r="C40" s="8">
        <v>817394</v>
      </c>
      <c r="D40" s="8" t="s">
        <v>24</v>
      </c>
      <c r="E40" s="50">
        <f>-4651.4279559952-70</f>
        <v>-4721.4279559952001</v>
      </c>
      <c r="F40" s="8" t="s">
        <v>8</v>
      </c>
      <c r="G40" s="9">
        <v>46113</v>
      </c>
      <c r="H40" s="8">
        <v>1170</v>
      </c>
      <c r="J40" s="37">
        <v>111439</v>
      </c>
      <c r="K40" s="37">
        <v>111439</v>
      </c>
      <c r="L40" s="8" t="s">
        <v>25</v>
      </c>
    </row>
    <row r="41" spans="1:12" ht="15" customHeight="1" x14ac:dyDescent="0.25">
      <c r="A41" s="22" t="str">
        <f t="shared" si="0"/>
        <v>CUSTO PLATAFORMA - ABRIL/26 - ATG - 132975</v>
      </c>
      <c r="B41" s="18">
        <v>46113</v>
      </c>
      <c r="C41" s="17">
        <v>817394</v>
      </c>
      <c r="D41" s="17" t="str">
        <f>IF(K41=57038,"ALEXANDRE DA COSTA SOARES",IF(K41=115154,"ALEXANDRE DA COSTA SOARES",IF(K41=57036,"ALEXANDRE DA COSTA SOARES",IF(K41=24157,"JOSE MAURICIO GOMES TEIXEIRA",IF(K41=24203,"JOSE MAURICIO GOMES TEIXEIRA",IF(K41=24149,"CHRISTIANO MARCONDES DE BARROS LIMA",IF(K41=24137,"CHRISTIANO MARCONDES DE BARROS LIMA",_xlfn.XLOOKUP(K41,[1]!Tabela33[ID ORACLE],[1]!Tabela33[BROKER],0,0,1))))))))</f>
        <v>CESAR MARIANO SCARAMBONE MENEZES</v>
      </c>
      <c r="E41" s="50">
        <f>-775.237992665868-(35/5)</f>
        <v>-782.23799266586798</v>
      </c>
      <c r="F41" s="17" t="s">
        <v>8</v>
      </c>
      <c r="G41" s="18">
        <v>46113</v>
      </c>
      <c r="H41" s="17">
        <v>1170</v>
      </c>
      <c r="J41" s="28">
        <v>132975</v>
      </c>
      <c r="K41" s="28">
        <f>_xlfn.XLOOKUP(L41,[1]!Tabela33[BROKER],[1]!Tabela33[ID ORACLE],0,0,1)</f>
        <v>106970</v>
      </c>
      <c r="L41" s="17" t="s">
        <v>20</v>
      </c>
    </row>
    <row r="42" spans="1:12" ht="15" customHeight="1" x14ac:dyDescent="0.25">
      <c r="A42" s="22" t="str">
        <f t="shared" si="0"/>
        <v>CUSTO PLATAFORMA - ABRIL/26 - ATG - 132975</v>
      </c>
      <c r="B42" s="18">
        <v>46113</v>
      </c>
      <c r="C42" s="17">
        <v>817394</v>
      </c>
      <c r="D42" s="17" t="str">
        <f>IF(K42=57038,"ALEXANDRE DA COSTA SOARES",IF(K42=115154,"ALEXANDRE DA COSTA SOARES",IF(K42=57036,"ALEXANDRE DA COSTA SOARES",IF(K42=24157,"JOSE MAURICIO GOMES TEIXEIRA",IF(K42=24203,"JOSE MAURICIO GOMES TEIXEIRA",IF(K42=24149,"CHRISTIANO MARCONDES DE BARROS LIMA",IF(K42=24137,"CHRISTIANO MARCONDES DE BARROS LIMA",_xlfn.XLOOKUP(K42,[1]!Tabela33[ID ORACLE],[1]!Tabela33[BROKER],0,0,1))))))))</f>
        <v>DANIEL TEIXEIRA SIQUEIRA GONÇALVES</v>
      </c>
      <c r="E42" s="50">
        <f t="shared" ref="E42:E45" si="1">-775.237992665868-(35/5)</f>
        <v>-782.23799266586798</v>
      </c>
      <c r="F42" s="17" t="s">
        <v>8</v>
      </c>
      <c r="G42" s="18">
        <v>46113</v>
      </c>
      <c r="H42" s="17">
        <v>1170</v>
      </c>
      <c r="J42" s="28">
        <v>132975</v>
      </c>
      <c r="K42" s="28">
        <f>_xlfn.XLOOKUP(L42,[1]!Tabela33[BROKER],[1]!Tabela33[ID ORACLE],0,0,1)</f>
        <v>22361</v>
      </c>
      <c r="L42" s="17" t="s">
        <v>19</v>
      </c>
    </row>
    <row r="43" spans="1:12" ht="15" customHeight="1" x14ac:dyDescent="0.25">
      <c r="A43" s="22" t="str">
        <f t="shared" si="0"/>
        <v>CUSTO PLATAFORMA - ABRIL/26 - ATG - 132975</v>
      </c>
      <c r="B43" s="18">
        <v>46113</v>
      </c>
      <c r="C43" s="17">
        <v>817394</v>
      </c>
      <c r="D43" s="17" t="str">
        <f>IF(K43=57038,"ALEXANDRE DA COSTA SOARES",IF(K43=115154,"ALEXANDRE DA COSTA SOARES",IF(K43=57036,"ALEXANDRE DA COSTA SOARES",IF(K43=24157,"JOSE MAURICIO GOMES TEIXEIRA",IF(K43=24203,"JOSE MAURICIO GOMES TEIXEIRA",IF(K43=24149,"CHRISTIANO MARCONDES DE BARROS LIMA",IF(K43=24137,"CHRISTIANO MARCONDES DE BARROS LIMA",_xlfn.XLOOKUP(K43,[1]!Tabela33[ID ORACLE],[1]!Tabela33[BROKER],0,0,1))))))))</f>
        <v>FELIPE MEIRELLES RACCAH</v>
      </c>
      <c r="E43" s="50">
        <f t="shared" si="1"/>
        <v>-782.23799266586798</v>
      </c>
      <c r="F43" s="17" t="s">
        <v>8</v>
      </c>
      <c r="G43" s="18">
        <v>46113</v>
      </c>
      <c r="H43" s="17">
        <v>1170</v>
      </c>
      <c r="J43" s="28">
        <v>132975</v>
      </c>
      <c r="K43" s="28">
        <f>_xlfn.XLOOKUP(L43,[1]!Tabela33[BROKER],[1]!Tabela33[ID ORACLE],0,0,1)</f>
        <v>139345</v>
      </c>
      <c r="L43" s="17" t="s">
        <v>31</v>
      </c>
    </row>
    <row r="44" spans="1:12" ht="15" customHeight="1" x14ac:dyDescent="0.25">
      <c r="A44" s="22" t="str">
        <f t="shared" si="0"/>
        <v>CUSTO PLATAFORMA - ABRIL/26 - ATG - 132975</v>
      </c>
      <c r="B44" s="18">
        <v>46113</v>
      </c>
      <c r="C44" s="17">
        <v>817394</v>
      </c>
      <c r="D44" s="17" t="str">
        <f>IF(K44=57038,"ALEXANDRE DA COSTA SOARES",IF(K44=115154,"ALEXANDRE DA COSTA SOARES",IF(K44=57036,"ALEXANDRE DA COSTA SOARES",IF(K44=24157,"JOSE MAURICIO GOMES TEIXEIRA",IF(K44=24203,"JOSE MAURICIO GOMES TEIXEIRA",IF(K44=24149,"CHRISTIANO MARCONDES DE BARROS LIMA",IF(K44=24137,"CHRISTIANO MARCONDES DE BARROS LIMA",_xlfn.XLOOKUP(K44,[1]!Tabela33[ID ORACLE],[1]!Tabela33[BROKER],0,0,1))))))))</f>
        <v>MATHEUS NACIF NESRALLAH</v>
      </c>
      <c r="E44" s="50">
        <f t="shared" si="1"/>
        <v>-782.23799266586798</v>
      </c>
      <c r="F44" s="17" t="s">
        <v>8</v>
      </c>
      <c r="G44" s="18">
        <v>46113</v>
      </c>
      <c r="H44" s="17">
        <v>1170</v>
      </c>
      <c r="J44" s="28">
        <v>132975</v>
      </c>
      <c r="K44" s="28">
        <f>_xlfn.XLOOKUP(L44,[1]!Tabela33[BROKER],[1]!Tabela33[ID ORACLE],0,0,1)</f>
        <v>132975</v>
      </c>
      <c r="L44" s="17" t="s">
        <v>32</v>
      </c>
    </row>
    <row r="45" spans="1:12" ht="15" customHeight="1" x14ac:dyDescent="0.25">
      <c r="A45" s="22" t="str">
        <f t="shared" si="0"/>
        <v>CUSTO PLATAFORMA - ABRIL/26 - ATG - 132975</v>
      </c>
      <c r="B45" s="18">
        <v>46113</v>
      </c>
      <c r="C45" s="17">
        <v>817394</v>
      </c>
      <c r="D45" s="17" t="str">
        <f>IF(K45=57038,"ALEXANDRE DA COSTA SOARES",IF(K45=115154,"ALEXANDRE DA COSTA SOARES",IF(K45=57036,"ALEXANDRE DA COSTA SOARES",IF(K45=24157,"JOSE MAURICIO GOMES TEIXEIRA",IF(K45=24203,"JOSE MAURICIO GOMES TEIXEIRA",IF(K45=24149,"CHRISTIANO MARCONDES DE BARROS LIMA",IF(K45=24137,"CHRISTIANO MARCONDES DE BARROS LIMA",_xlfn.XLOOKUP(K45,[1]!Tabela33[ID ORACLE],[1]!Tabela33[BROKER],0,0,1))))))))</f>
        <v>ANDRE FERREIRA DOS SANTOS</v>
      </c>
      <c r="E45" s="50">
        <f t="shared" si="1"/>
        <v>-782.23799266586798</v>
      </c>
      <c r="F45" s="17" t="s">
        <v>8</v>
      </c>
      <c r="G45" s="18">
        <v>46113</v>
      </c>
      <c r="H45" s="17">
        <v>1170</v>
      </c>
      <c r="J45" s="28">
        <v>132975</v>
      </c>
      <c r="K45" s="28">
        <f>_xlfn.XLOOKUP(L45,[1]!Tabela33[BROKER],[1]!Tabela33[ID ORACLE],0,0,1)</f>
        <v>122758</v>
      </c>
      <c r="L45" s="17" t="s">
        <v>18</v>
      </c>
    </row>
    <row r="46" spans="1:12" ht="15" customHeight="1" x14ac:dyDescent="0.25">
      <c r="A46" s="21" t="str">
        <f t="shared" si="0"/>
        <v>CUSTO PLATAFORMA - ABRIL/26 - ATG - 158778</v>
      </c>
      <c r="B46" s="9">
        <v>46113</v>
      </c>
      <c r="C46" s="8">
        <v>817394</v>
      </c>
      <c r="D46" s="8" t="s">
        <v>64</v>
      </c>
      <c r="E46" s="50">
        <f>-4651.4279559952-70</f>
        <v>-4721.4279559952001</v>
      </c>
      <c r="F46" s="8" t="s">
        <v>8</v>
      </c>
      <c r="G46" s="9">
        <v>46113</v>
      </c>
      <c r="H46" s="8">
        <v>1170</v>
      </c>
      <c r="J46" s="37">
        <v>158778</v>
      </c>
      <c r="K46" s="37">
        <f>_xlfn.XLOOKUP(L46,[1]!Tabela33[BROKER],[1]!Tabela33[ID ORACLE],0,0,1)</f>
        <v>158778</v>
      </c>
      <c r="L46" s="8" t="s">
        <v>65</v>
      </c>
    </row>
    <row r="47" spans="1:12" ht="15" customHeight="1" x14ac:dyDescent="0.25">
      <c r="A47" s="21" t="str">
        <f t="shared" si="0"/>
        <v>CUSTO PLATAFORMA - ABRIL/26 - ATG - 125412</v>
      </c>
      <c r="B47" s="9">
        <v>46113</v>
      </c>
      <c r="C47" s="8">
        <v>817394</v>
      </c>
      <c r="D47" s="8" t="s">
        <v>29</v>
      </c>
      <c r="E47" s="50">
        <f>-4651.4279559952-35</f>
        <v>-4686.4279559952001</v>
      </c>
      <c r="F47" s="8" t="s">
        <v>8</v>
      </c>
      <c r="G47" s="9">
        <v>46113</v>
      </c>
      <c r="H47" s="8">
        <v>1170</v>
      </c>
      <c r="J47" s="37">
        <v>125412</v>
      </c>
      <c r="K47" s="37">
        <v>52340</v>
      </c>
      <c r="L47" s="8" t="s">
        <v>29</v>
      </c>
    </row>
    <row r="48" spans="1:12" ht="15" customHeight="1" x14ac:dyDescent="0.25">
      <c r="A48" s="23" t="str">
        <f>_xlfn.CONCAT($L$1,$I$1,F48,$I$1,J48)</f>
        <v>CUSTO PLATAFORMA - ABRIL/26 - ATG - 127165</v>
      </c>
      <c r="B48" s="12">
        <v>46113</v>
      </c>
      <c r="C48" s="11">
        <v>817394</v>
      </c>
      <c r="D48" s="11" t="s">
        <v>17</v>
      </c>
      <c r="E48" s="49">
        <f>-9252.37992665867-70</f>
        <v>-9322.3799266586702</v>
      </c>
      <c r="F48" s="11" t="s">
        <v>8</v>
      </c>
      <c r="G48" s="12">
        <v>46113</v>
      </c>
      <c r="H48" s="11">
        <v>1170</v>
      </c>
      <c r="I48" s="36"/>
      <c r="J48" s="38">
        <v>127165</v>
      </c>
      <c r="K48" s="38">
        <f>_xlfn.XLOOKUP(L48,[1]!Tabela33[BROKER],[1]!Tabela33[ID ORACLE],0,0,1)</f>
        <v>127165</v>
      </c>
      <c r="L48" s="11" t="s">
        <v>17</v>
      </c>
    </row>
    <row r="49" spans="1:12" ht="15" customHeight="1" x14ac:dyDescent="0.25">
      <c r="A49" s="22" t="str">
        <f t="shared" si="0"/>
        <v>CUSTO PLATAFORMA - ABRIL/26 - TRADING TECHNOLOGIES - 22361</v>
      </c>
      <c r="B49" s="18">
        <v>46113</v>
      </c>
      <c r="C49" s="17">
        <v>817394</v>
      </c>
      <c r="D49" s="17" t="str">
        <f>IF(K49=57038,"ALEXANDRE DA COSTA SOARES",IF(K49=115154,"ALEXANDRE DA COSTA SOARES",IF(K49=57036,"ALEXANDRE DA COSTA SOARES",IF(K49=24157,"JOSE MAURICIO GOMES TEIXEIRA",IF(K49=24203,"JOSE MAURICIO GOMES TEIXEIRA",IF(K49=24149,"CHRISTIANO MARCONDES DE BARROS LIMA",IF(K49=24137,"CHRISTIANO MARCONDES DE BARROS LIMA",_xlfn.XLOOKUP(K49,[1]!Tabela33[ID ORACLE],[1]!Tabela33[BROKER],0,0,1))))))))</f>
        <v>CESAR MARIANO SCARAMBONE MENEZES</v>
      </c>
      <c r="E49" s="50">
        <v>-167.00321402</v>
      </c>
      <c r="F49" s="32" t="s">
        <v>11</v>
      </c>
      <c r="G49" s="18">
        <v>46113</v>
      </c>
      <c r="H49" s="17">
        <v>1170</v>
      </c>
      <c r="J49" s="28">
        <v>22361</v>
      </c>
      <c r="K49" s="28">
        <f>_xlfn.XLOOKUP(L49,[1]!Tabela33[BROKER],[1]!Tabela33[ID ORACLE],0,0,1)</f>
        <v>106970</v>
      </c>
      <c r="L49" s="17" t="s">
        <v>20</v>
      </c>
    </row>
    <row r="50" spans="1:12" ht="15" customHeight="1" x14ac:dyDescent="0.25">
      <c r="A50" s="22" t="str">
        <f t="shared" si="0"/>
        <v>CUSTO PLATAFORMA - ABRIL/26 - TRADING TECHNOLOGIES - 22361</v>
      </c>
      <c r="B50" s="18">
        <v>46113</v>
      </c>
      <c r="C50" s="17">
        <v>817394</v>
      </c>
      <c r="D50" s="17" t="str">
        <f>IF(K50=57038,"ALEXANDRE DA COSTA SOARES",IF(K50=115154,"ALEXANDRE DA COSTA SOARES",IF(K50=57036,"ALEXANDRE DA COSTA SOARES",IF(K50=24157,"JOSE MAURICIO GOMES TEIXEIRA",IF(K50=24203,"JOSE MAURICIO GOMES TEIXEIRA",IF(K50=24149,"CHRISTIANO MARCONDES DE BARROS LIMA",IF(K50=24137,"CHRISTIANO MARCONDES DE BARROS LIMA",_xlfn.XLOOKUP(K50,[1]!Tabela33[ID ORACLE],[1]!Tabela33[BROKER],0,0,1))))))))</f>
        <v>FELIPE MEIRELLES RACCAH</v>
      </c>
      <c r="E50" s="50">
        <v>-167.00321402</v>
      </c>
      <c r="F50" s="32" t="s">
        <v>11</v>
      </c>
      <c r="G50" s="18">
        <v>46113</v>
      </c>
      <c r="H50" s="17">
        <v>1170</v>
      </c>
      <c r="J50" s="28">
        <v>22361</v>
      </c>
      <c r="K50" s="28">
        <f>_xlfn.XLOOKUP(L50,[1]!Tabela33[BROKER],[1]!Tabela33[ID ORACLE],0,0,1)</f>
        <v>139345</v>
      </c>
      <c r="L50" s="17" t="s">
        <v>31</v>
      </c>
    </row>
    <row r="51" spans="1:12" ht="15" customHeight="1" x14ac:dyDescent="0.25">
      <c r="A51" s="22" t="str">
        <f t="shared" si="0"/>
        <v>CUSTO PLATAFORMA - ABRIL/26 - TRADING TECHNOLOGIES - 22361</v>
      </c>
      <c r="B51" s="18">
        <v>46113</v>
      </c>
      <c r="C51" s="17">
        <v>817394</v>
      </c>
      <c r="D51" s="17" t="str">
        <f>IF(K51=57038,"ALEXANDRE DA COSTA SOARES",IF(K51=115154,"ALEXANDRE DA COSTA SOARES",IF(K51=57036,"ALEXANDRE DA COSTA SOARES",IF(K51=24157,"JOSE MAURICIO GOMES TEIXEIRA",IF(K51=24203,"JOSE MAURICIO GOMES TEIXEIRA",IF(K51=24149,"CHRISTIANO MARCONDES DE BARROS LIMA",IF(K51=24137,"CHRISTIANO MARCONDES DE BARROS LIMA",_xlfn.XLOOKUP(K51,[1]!Tabela33[ID ORACLE],[1]!Tabela33[BROKER],0,0,1))))))))</f>
        <v>DANIEL TEIXEIRA SIQUEIRA GONÇALVES</v>
      </c>
      <c r="E51" s="50">
        <v>-167.00321402</v>
      </c>
      <c r="F51" s="32" t="s">
        <v>11</v>
      </c>
      <c r="G51" s="18">
        <v>46113</v>
      </c>
      <c r="H51" s="17">
        <v>1170</v>
      </c>
      <c r="J51" s="28">
        <v>22361</v>
      </c>
      <c r="K51" s="28">
        <f>_xlfn.XLOOKUP(L51,[1]!Tabela33[BROKER],[1]!Tabela33[ID ORACLE],0,0,1)</f>
        <v>22361</v>
      </c>
      <c r="L51" s="17" t="s">
        <v>19</v>
      </c>
    </row>
    <row r="52" spans="1:12" ht="15" customHeight="1" x14ac:dyDescent="0.25">
      <c r="A52" s="22" t="str">
        <f t="shared" si="0"/>
        <v>CUSTO PLATAFORMA - ABRIL/26 - TRADING TECHNOLOGIES - 22361</v>
      </c>
      <c r="B52" s="18">
        <v>46113</v>
      </c>
      <c r="C52" s="17">
        <v>817394</v>
      </c>
      <c r="D52" s="17" t="str">
        <f>IF(K52=57038,"ALEXANDRE DA COSTA SOARES",IF(K52=115154,"ALEXANDRE DA COSTA SOARES",IF(K52=57036,"ALEXANDRE DA COSTA SOARES",IF(K52=24157,"JOSE MAURICIO GOMES TEIXEIRA",IF(K52=24203,"JOSE MAURICIO GOMES TEIXEIRA",IF(K52=24149,"CHRISTIANO MARCONDES DE BARROS LIMA",IF(K52=24137,"CHRISTIANO MARCONDES DE BARROS LIMA",_xlfn.XLOOKUP(K52,[1]!Tabela33[ID ORACLE],[1]!Tabela33[BROKER],0,0,1))))))))</f>
        <v>MATHEUS NACIF NESRALLAH</v>
      </c>
      <c r="E52" s="50">
        <v>-167.00321402</v>
      </c>
      <c r="F52" s="32" t="s">
        <v>11</v>
      </c>
      <c r="G52" s="18">
        <v>46113</v>
      </c>
      <c r="H52" s="17">
        <v>1170</v>
      </c>
      <c r="J52" s="28">
        <v>22361</v>
      </c>
      <c r="K52" s="28">
        <f>_xlfn.XLOOKUP(L52,[1]!Tabela33[BROKER],[1]!Tabela33[ID ORACLE],0,0,1)</f>
        <v>132975</v>
      </c>
      <c r="L52" s="17" t="s">
        <v>32</v>
      </c>
    </row>
    <row r="53" spans="1:12" ht="15" customHeight="1" x14ac:dyDescent="0.25">
      <c r="A53" s="24" t="str">
        <f t="shared" si="0"/>
        <v>CUSTO PLATAFORMA - ABRIL/26 - TRADING TECHNOLOGIES - 22361</v>
      </c>
      <c r="B53" s="20">
        <v>46113</v>
      </c>
      <c r="C53" s="19">
        <v>817394</v>
      </c>
      <c r="D53" s="19" t="str">
        <f>IF(K53=57038,"ALEXANDRE DA COSTA SOARES",IF(K53=115154,"ALEXANDRE DA COSTA SOARES",IF(K53=57036,"ALEXANDRE DA COSTA SOARES",IF(K53=24157,"JOSE MAURICIO GOMES TEIXEIRA",IF(K53=24203,"JOSE MAURICIO GOMES TEIXEIRA",IF(K53=24149,"CHRISTIANO MARCONDES DE BARROS LIMA",IF(K53=24137,"CHRISTIANO MARCONDES DE BARROS LIMA",_xlfn.XLOOKUP(K53,[1]!Tabela33[ID ORACLE],[1]!Tabela33[BROKER],0,0,1))))))))</f>
        <v>ANDRE FERREIRA DOS SANTOS</v>
      </c>
      <c r="E53" s="49">
        <v>-167.00321402</v>
      </c>
      <c r="F53" s="34" t="s">
        <v>11</v>
      </c>
      <c r="G53" s="20">
        <v>46113</v>
      </c>
      <c r="H53" s="19">
        <v>1170</v>
      </c>
      <c r="I53" s="36"/>
      <c r="J53" s="35">
        <v>22361</v>
      </c>
      <c r="K53" s="35">
        <f>_xlfn.XLOOKUP(L53,[1]!Tabela33[BROKER],[1]!Tabela33[ID ORACLE],0,0,1)</f>
        <v>122758</v>
      </c>
      <c r="L53" s="19" t="s">
        <v>18</v>
      </c>
    </row>
    <row r="54" spans="1:12" ht="15" customHeight="1" x14ac:dyDescent="0.25">
      <c r="A54" s="61" t="str">
        <f t="shared" ref="A54" si="2">_xlfn.CONCAT($L$1,$I$1,F54,$I$1,J54)</f>
        <v>CUSTO PLATAFORMA - ABRIL/26 - TRADING TECHNOLOGIES - 61086</v>
      </c>
      <c r="B54" s="62">
        <v>46113</v>
      </c>
      <c r="C54" s="63">
        <v>817394</v>
      </c>
      <c r="D54" s="63" t="str">
        <f>IF(K54=57038,"ALEXANDRE DA COSTA SOARES",IF(K54=115154,"ALEXANDRE DA COSTA SOARES",IF(K54=57036,"ALEXANDRE DA COSTA SOARES",IF(K54=24157,"JOSE MAURICIO GOMES TEIXEIRA",IF(K54=24203,"JOSE MAURICIO GOMES TEIXEIRA",IF(K54=24149,"CHRISTIANO MARCONDES DE BARROS LIMA",IF(K54=24137,"CHRISTIANO MARCONDES DE BARROS LIMA",_xlfn.XLOOKUP(K54,[1]!Tabela33[ID ORACLE],[1]!Tabela33[BROKER],0,0,1))))))))</f>
        <v>ALEXANDRE DA COSTA SOARES</v>
      </c>
      <c r="E54" s="68">
        <v>-174.005427</v>
      </c>
      <c r="F54" s="64" t="s">
        <v>11</v>
      </c>
      <c r="G54" s="62">
        <v>46113</v>
      </c>
      <c r="H54" s="63">
        <v>1170</v>
      </c>
      <c r="I54" s="65"/>
      <c r="J54" s="66">
        <v>61086</v>
      </c>
      <c r="K54" s="66">
        <v>61086</v>
      </c>
      <c r="L54" s="63" t="s">
        <v>21</v>
      </c>
    </row>
    <row r="55" spans="1:12" ht="15" customHeight="1" x14ac:dyDescent="0.25">
      <c r="A55" s="22" t="str">
        <f t="shared" si="0"/>
        <v>CUSTO PLATAFORMA - ABRIL/26 - SILICON TRADER - 22361</v>
      </c>
      <c r="B55" s="18">
        <v>46113</v>
      </c>
      <c r="C55" s="17">
        <v>817394</v>
      </c>
      <c r="D55" s="32" t="str">
        <f>IF(K55=57038,"ALEXANDRE DA COSTA SOARES",IF(K55=115154,"ALEXANDRE DA COSTA SOARES",IF(K55=57036,"ALEXANDRE DA COSTA SOARES",IF(K55=24157,"JOSE MAURICIO GOMES TEIXEIRA",IF(K55=24203,"JOSE MAURICIO GOMES TEIXEIRA",IF(K55=24149,"CHRISTIANO MARCONDES DE BARROS LIMA",IF(K55=24137,"CHRISTIANO MARCONDES DE BARROS LIMA",_xlfn.XLOOKUP(K55,[1]!Tabela33[ID ORACLE],[1]!Tabela33[BROKER],0,0,1))))))))</f>
        <v>CESAR MARIANO SCARAMBONE MENEZES</v>
      </c>
      <c r="E55" s="50">
        <v>-736.78</v>
      </c>
      <c r="F55" s="32" t="s">
        <v>33</v>
      </c>
      <c r="G55" s="18">
        <v>46113</v>
      </c>
      <c r="H55" s="17">
        <v>1170</v>
      </c>
      <c r="J55" s="28">
        <v>22361</v>
      </c>
      <c r="K55" s="28">
        <f>_xlfn.XLOOKUP(L55,[1]!Tabela33[BROKER],[1]!Tabela33[ID ORACLE],0,0,1)</f>
        <v>106970</v>
      </c>
      <c r="L55" s="17" t="s">
        <v>20</v>
      </c>
    </row>
    <row r="56" spans="1:12" ht="15" customHeight="1" x14ac:dyDescent="0.25">
      <c r="A56" s="22" t="str">
        <f t="shared" si="0"/>
        <v>CUSTO PLATAFORMA - ABRIL/26 - SILICON TRADER - 22361</v>
      </c>
      <c r="B56" s="18">
        <v>46113</v>
      </c>
      <c r="C56" s="17">
        <v>817394</v>
      </c>
      <c r="D56" s="32" t="str">
        <f>IF(K56=57038,"ALEXANDRE DA COSTA SOARES",IF(K56=115154,"ALEXANDRE DA COSTA SOARES",IF(K56=57036,"ALEXANDRE DA COSTA SOARES",IF(K56=24157,"JOSE MAURICIO GOMES TEIXEIRA",IF(K56=24203,"JOSE MAURICIO GOMES TEIXEIRA",IF(K56=24149,"CHRISTIANO MARCONDES DE BARROS LIMA",IF(K56=24137,"CHRISTIANO MARCONDES DE BARROS LIMA",_xlfn.XLOOKUP(K56,[1]!Tabela33[ID ORACLE],[1]!Tabela33[BROKER],0,0,1))))))))</f>
        <v>DANIEL TEIXEIRA SIQUEIRA GONÇALVES</v>
      </c>
      <c r="E56" s="50">
        <v>-736.78</v>
      </c>
      <c r="F56" s="32" t="s">
        <v>33</v>
      </c>
      <c r="G56" s="18">
        <v>46113</v>
      </c>
      <c r="H56" s="17">
        <v>1170</v>
      </c>
      <c r="J56" s="28">
        <v>22361</v>
      </c>
      <c r="K56" s="28">
        <f>_xlfn.XLOOKUP(L56,[1]!Tabela33[BROKER],[1]!Tabela33[ID ORACLE],0,0,1)</f>
        <v>22361</v>
      </c>
      <c r="L56" s="17" t="s">
        <v>19</v>
      </c>
    </row>
    <row r="57" spans="1:12" ht="15" customHeight="1" x14ac:dyDescent="0.25">
      <c r="A57" s="22" t="str">
        <f t="shared" si="0"/>
        <v>CUSTO PLATAFORMA - ABRIL/26 - SILICON TRADER - 22361</v>
      </c>
      <c r="B57" s="18">
        <v>46113</v>
      </c>
      <c r="C57" s="17">
        <v>817394</v>
      </c>
      <c r="D57" s="32" t="str">
        <f>IF(K57=57038,"ALEXANDRE DA COSTA SOARES",IF(K57=115154,"ALEXANDRE DA COSTA SOARES",IF(K57=57036,"ALEXANDRE DA COSTA SOARES",IF(K57=24157,"JOSE MAURICIO GOMES TEIXEIRA",IF(K57=24203,"JOSE MAURICIO GOMES TEIXEIRA",IF(K57=24149,"CHRISTIANO MARCONDES DE BARROS LIMA",IF(K57=24137,"CHRISTIANO MARCONDES DE BARROS LIMA",_xlfn.XLOOKUP(K57,[1]!Tabela33[ID ORACLE],[1]!Tabela33[BROKER],0,0,1))))))))</f>
        <v>FELIPE MEIRELLES RACCAH</v>
      </c>
      <c r="E57" s="50">
        <v>-736.78</v>
      </c>
      <c r="F57" s="32" t="s">
        <v>33</v>
      </c>
      <c r="G57" s="18">
        <v>46113</v>
      </c>
      <c r="H57" s="17">
        <v>1170</v>
      </c>
      <c r="J57" s="28">
        <v>22361</v>
      </c>
      <c r="K57" s="28">
        <f>_xlfn.XLOOKUP(L57,[1]!Tabela33[BROKER],[1]!Tabela33[ID ORACLE],0,0,1)</f>
        <v>139345</v>
      </c>
      <c r="L57" s="17" t="s">
        <v>31</v>
      </c>
    </row>
    <row r="58" spans="1:12" ht="15" customHeight="1" x14ac:dyDescent="0.25">
      <c r="A58" s="22" t="str">
        <f t="shared" si="0"/>
        <v>CUSTO PLATAFORMA - ABRIL/26 - SILICON TRADER - 22361</v>
      </c>
      <c r="B58" s="18">
        <v>46113</v>
      </c>
      <c r="C58" s="17">
        <v>817394</v>
      </c>
      <c r="D58" s="32" t="str">
        <f>IF(K58=57038,"ALEXANDRE DA COSTA SOARES",IF(K58=115154,"ALEXANDRE DA COSTA SOARES",IF(K58=57036,"ALEXANDRE DA COSTA SOARES",IF(K58=24157,"JOSE MAURICIO GOMES TEIXEIRA",IF(K58=24203,"JOSE MAURICIO GOMES TEIXEIRA",IF(K58=24149,"CHRISTIANO MARCONDES DE BARROS LIMA",IF(K58=24137,"CHRISTIANO MARCONDES DE BARROS LIMA",_xlfn.XLOOKUP(K58,[1]!Tabela33[ID ORACLE],[1]!Tabela33[BROKER],0,0,1))))))))</f>
        <v>MATHEUS NACIF NESRALLAH</v>
      </c>
      <c r="E58" s="50">
        <v>-736.78</v>
      </c>
      <c r="F58" s="32" t="s">
        <v>33</v>
      </c>
      <c r="G58" s="18">
        <v>46113</v>
      </c>
      <c r="H58" s="17">
        <v>1170</v>
      </c>
      <c r="J58" s="28">
        <v>22361</v>
      </c>
      <c r="K58" s="28">
        <f>_xlfn.XLOOKUP(L58,[1]!Tabela33[BROKER],[1]!Tabela33[ID ORACLE],0,0,1)</f>
        <v>132975</v>
      </c>
      <c r="L58" s="17" t="s">
        <v>32</v>
      </c>
    </row>
    <row r="59" spans="1:12" ht="15" customHeight="1" x14ac:dyDescent="0.25">
      <c r="A59" s="24" t="str">
        <f t="shared" si="0"/>
        <v>CUSTO PLATAFORMA - ABRIL/26 - SILICON TRADER - 22361</v>
      </c>
      <c r="B59" s="20">
        <v>46113</v>
      </c>
      <c r="C59" s="19">
        <v>817394</v>
      </c>
      <c r="D59" s="34" t="str">
        <f>IF(K59=57038,"ALEXANDRE DA COSTA SOARES",IF(K59=115154,"ALEXANDRE DA COSTA SOARES",IF(K59=57036,"ALEXANDRE DA COSTA SOARES",IF(K59=24157,"JOSE MAURICIO GOMES TEIXEIRA",IF(K59=24203,"JOSE MAURICIO GOMES TEIXEIRA",IF(K59=24149,"CHRISTIANO MARCONDES DE BARROS LIMA",IF(K59=24137,"CHRISTIANO MARCONDES DE BARROS LIMA",_xlfn.XLOOKUP(K59,[1]!Tabela33[ID ORACLE],[1]!Tabela33[BROKER],0,0,1))))))))</f>
        <v>ANDRE FERREIRA DOS SANTOS</v>
      </c>
      <c r="E59" s="49">
        <v>-736.78</v>
      </c>
      <c r="F59" s="34" t="s">
        <v>33</v>
      </c>
      <c r="G59" s="20">
        <v>46113</v>
      </c>
      <c r="H59" s="19">
        <v>1170</v>
      </c>
      <c r="J59" s="35">
        <v>22361</v>
      </c>
      <c r="K59" s="35">
        <f>_xlfn.XLOOKUP(L59,[1]!Tabela33[BROKER],[1]!Tabela33[ID ORACLE],0,0,1)</f>
        <v>122758</v>
      </c>
      <c r="L59" s="19" t="s">
        <v>18</v>
      </c>
    </row>
    <row r="60" spans="1:12" ht="15" customHeight="1" x14ac:dyDescent="0.25">
      <c r="A60" s="22" t="str">
        <f t="shared" si="0"/>
        <v>CUSTO PLATAFORMA - ABRIL/26 - SILICON TRADER - 122758</v>
      </c>
      <c r="B60" s="18">
        <v>46113</v>
      </c>
      <c r="C60" s="17">
        <v>817394</v>
      </c>
      <c r="D60" s="32" t="s">
        <v>20</v>
      </c>
      <c r="E60" s="50">
        <v>-728.61</v>
      </c>
      <c r="F60" s="32" t="s">
        <v>33</v>
      </c>
      <c r="G60" s="18">
        <v>46113</v>
      </c>
      <c r="H60" s="17">
        <v>1170</v>
      </c>
      <c r="J60" s="28">
        <v>122758</v>
      </c>
      <c r="K60" s="28">
        <v>106970</v>
      </c>
      <c r="L60" s="17" t="s">
        <v>20</v>
      </c>
    </row>
    <row r="61" spans="1:12" ht="15" customHeight="1" x14ac:dyDescent="0.25">
      <c r="A61" s="22" t="str">
        <f t="shared" si="0"/>
        <v>CUSTO PLATAFORMA - ABRIL/26 - SILICON TRADER - 122758</v>
      </c>
      <c r="B61" s="18">
        <v>46113</v>
      </c>
      <c r="C61" s="17">
        <v>817394</v>
      </c>
      <c r="D61" s="32" t="s">
        <v>19</v>
      </c>
      <c r="E61" s="50">
        <v>-728.61</v>
      </c>
      <c r="F61" s="32" t="s">
        <v>33</v>
      </c>
      <c r="G61" s="18">
        <v>46113</v>
      </c>
      <c r="H61" s="17">
        <v>1170</v>
      </c>
      <c r="J61" s="28">
        <v>122758</v>
      </c>
      <c r="K61" s="28">
        <v>22361</v>
      </c>
      <c r="L61" s="17" t="s">
        <v>19</v>
      </c>
    </row>
    <row r="62" spans="1:12" ht="15" customHeight="1" x14ac:dyDescent="0.25">
      <c r="A62" s="22" t="str">
        <f t="shared" si="0"/>
        <v>CUSTO PLATAFORMA - ABRIL/26 - SILICON TRADER - 122758</v>
      </c>
      <c r="B62" s="18">
        <v>46113</v>
      </c>
      <c r="C62" s="17">
        <v>817394</v>
      </c>
      <c r="D62" s="32" t="s">
        <v>31</v>
      </c>
      <c r="E62" s="50">
        <v>-728.61</v>
      </c>
      <c r="F62" s="32" t="s">
        <v>33</v>
      </c>
      <c r="G62" s="18">
        <v>46113</v>
      </c>
      <c r="H62" s="17">
        <v>1170</v>
      </c>
      <c r="J62" s="28">
        <v>122758</v>
      </c>
      <c r="K62" s="28">
        <v>139345</v>
      </c>
      <c r="L62" s="17" t="s">
        <v>31</v>
      </c>
    </row>
    <row r="63" spans="1:12" ht="15" customHeight="1" x14ac:dyDescent="0.25">
      <c r="A63" s="22" t="str">
        <f t="shared" si="0"/>
        <v>CUSTO PLATAFORMA - ABRIL/26 - SILICON TRADER - 122758</v>
      </c>
      <c r="B63" s="18">
        <v>46113</v>
      </c>
      <c r="C63" s="17">
        <v>817394</v>
      </c>
      <c r="D63" s="32" t="s">
        <v>32</v>
      </c>
      <c r="E63" s="50">
        <v>-728.61</v>
      </c>
      <c r="F63" s="32" t="s">
        <v>33</v>
      </c>
      <c r="G63" s="18">
        <v>46113</v>
      </c>
      <c r="H63" s="17">
        <v>1170</v>
      </c>
      <c r="J63" s="28">
        <v>122758</v>
      </c>
      <c r="K63" s="28">
        <v>132975</v>
      </c>
      <c r="L63" s="17" t="s">
        <v>32</v>
      </c>
    </row>
    <row r="64" spans="1:12" ht="15" customHeight="1" x14ac:dyDescent="0.25">
      <c r="A64" s="24" t="str">
        <f t="shared" si="0"/>
        <v>CUSTO PLATAFORMA - ABRIL/26 - SILICON TRADER - 122758</v>
      </c>
      <c r="B64" s="20">
        <v>46113</v>
      </c>
      <c r="C64" s="19">
        <v>817394</v>
      </c>
      <c r="D64" s="34" t="s">
        <v>18</v>
      </c>
      <c r="E64" s="49">
        <v>-728.61</v>
      </c>
      <c r="F64" s="34" t="s">
        <v>33</v>
      </c>
      <c r="G64" s="20">
        <v>46113</v>
      </c>
      <c r="H64" s="19">
        <v>1170</v>
      </c>
      <c r="J64" s="35">
        <v>122758</v>
      </c>
      <c r="K64" s="35">
        <v>122758</v>
      </c>
      <c r="L64" s="19" t="s">
        <v>18</v>
      </c>
    </row>
    <row r="65" spans="1:15" ht="15" customHeight="1" x14ac:dyDescent="0.25">
      <c r="A65" s="22" t="str">
        <f t="shared" ref="A65:A68" si="3">_xlfn.CONCAT($L$1,$I$1,F65,$I$1,J65)</f>
        <v>CUSTO PLATAFORMA - ABRIL/26 - SILICON TRADER - 56258</v>
      </c>
      <c r="B65" s="18">
        <v>46113</v>
      </c>
      <c r="C65" s="17">
        <v>817394</v>
      </c>
      <c r="D65" s="17" t="s">
        <v>13</v>
      </c>
      <c r="E65" s="67">
        <v>-77.177500000000009</v>
      </c>
      <c r="F65" s="17" t="s">
        <v>33</v>
      </c>
      <c r="G65" s="18">
        <v>46113</v>
      </c>
      <c r="H65" s="17">
        <v>1170</v>
      </c>
      <c r="J65" s="28">
        <v>56258</v>
      </c>
      <c r="K65" s="28">
        <f>_xlfn.XLOOKUP(L65,[1]!Tabela33[BROKER],[1]!Tabela33[ID ORACLE],0,0,1)</f>
        <v>70461</v>
      </c>
      <c r="L65" s="17" t="s">
        <v>13</v>
      </c>
      <c r="N65" t="s">
        <v>47</v>
      </c>
      <c r="O65">
        <v>1.69</v>
      </c>
    </row>
    <row r="66" spans="1:15" ht="15" customHeight="1" x14ac:dyDescent="0.25">
      <c r="A66" s="22" t="str">
        <f t="shared" si="3"/>
        <v>CUSTO PLATAFORMA - ABRIL/26 - SILICON TRADER - 56258</v>
      </c>
      <c r="B66" s="18">
        <v>46113</v>
      </c>
      <c r="C66" s="17">
        <v>817394</v>
      </c>
      <c r="D66" s="17" t="s">
        <v>14</v>
      </c>
      <c r="E66" s="67">
        <v>-77.177500000000009</v>
      </c>
      <c r="F66" s="17" t="s">
        <v>33</v>
      </c>
      <c r="G66" s="18">
        <v>46113</v>
      </c>
      <c r="H66" s="17">
        <v>1170</v>
      </c>
      <c r="J66" s="28">
        <v>56258</v>
      </c>
      <c r="K66" s="28">
        <f>_xlfn.XLOOKUP(L66,[1]!Tabela33[BROKER],[1]!Tabela33[ID ORACLE],0,0,1)</f>
        <v>24140</v>
      </c>
      <c r="L66" s="17" t="s">
        <v>14</v>
      </c>
    </row>
    <row r="67" spans="1:15" ht="15" customHeight="1" x14ac:dyDescent="0.25">
      <c r="A67" s="22" t="str">
        <f t="shared" si="3"/>
        <v>CUSTO PLATAFORMA - ABRIL/26 - SILICON TRADER - 56258</v>
      </c>
      <c r="B67" s="18">
        <v>46113</v>
      </c>
      <c r="C67" s="17">
        <v>817394</v>
      </c>
      <c r="D67" s="17" t="s">
        <v>30</v>
      </c>
      <c r="E67" s="67">
        <v>-77.177500000000009</v>
      </c>
      <c r="F67" s="17" t="s">
        <v>33</v>
      </c>
      <c r="G67" s="18">
        <v>46113</v>
      </c>
      <c r="H67" s="17">
        <v>1170</v>
      </c>
      <c r="J67" s="28">
        <v>56258</v>
      </c>
      <c r="K67" s="28">
        <f>_xlfn.XLOOKUP(L67,[1]!Tabela33[BROKER],[1]!Tabela33[ID ORACLE],0,0,1)</f>
        <v>137478</v>
      </c>
      <c r="L67" s="17" t="s">
        <v>30</v>
      </c>
    </row>
    <row r="68" spans="1:15" ht="15" customHeight="1" x14ac:dyDescent="0.25">
      <c r="A68" s="24" t="str">
        <f t="shared" si="3"/>
        <v>CUSTO PLATAFORMA - ABRIL/26 - SILICON TRADER - 56258</v>
      </c>
      <c r="B68" s="20">
        <v>46113</v>
      </c>
      <c r="C68" s="19">
        <v>817394</v>
      </c>
      <c r="D68" s="19" t="s">
        <v>15</v>
      </c>
      <c r="E68" s="49">
        <v>-77.177500000000009</v>
      </c>
      <c r="F68" s="19" t="s">
        <v>33</v>
      </c>
      <c r="G68" s="20">
        <v>46113</v>
      </c>
      <c r="H68" s="19">
        <v>1170</v>
      </c>
      <c r="J68" s="28">
        <v>56258</v>
      </c>
      <c r="K68" s="28">
        <f>_xlfn.XLOOKUP(L68,[1]!Tabela33[BROKER],[1]!Tabela33[ID ORACLE],0,0,1)</f>
        <v>56258</v>
      </c>
      <c r="L68" s="17" t="s">
        <v>15</v>
      </c>
    </row>
    <row r="69" spans="1:15" ht="15" customHeight="1" x14ac:dyDescent="0.25">
      <c r="A69" s="23" t="str">
        <f t="shared" si="0"/>
        <v>CUSTO PLATAFORMA - ABRIL/26 - SILICON TRADER - 57036</v>
      </c>
      <c r="B69" s="12">
        <v>46113</v>
      </c>
      <c r="C69" s="11">
        <v>817394</v>
      </c>
      <c r="D69" s="33" t="s">
        <v>21</v>
      </c>
      <c r="E69" s="70">
        <v>-19211.023333333302</v>
      </c>
      <c r="F69" s="33" t="s">
        <v>33</v>
      </c>
      <c r="G69" s="12">
        <v>46113</v>
      </c>
      <c r="H69" s="11">
        <v>1170</v>
      </c>
      <c r="J69" s="39">
        <v>57036</v>
      </c>
      <c r="K69" s="39">
        <v>57036</v>
      </c>
      <c r="L69" s="46" t="s">
        <v>22</v>
      </c>
      <c r="N69" t="s">
        <v>47</v>
      </c>
      <c r="O69">
        <v>1.69</v>
      </c>
    </row>
    <row r="70" spans="1:15" ht="15" customHeight="1" x14ac:dyDescent="0.25">
      <c r="A70" s="23" t="str">
        <f t="shared" si="0"/>
        <v>CUSTO PLATAFORMA - ABRIL/26 - SILICON TRADER - 133842</v>
      </c>
      <c r="B70" s="12">
        <v>46113</v>
      </c>
      <c r="C70" s="11">
        <v>817394</v>
      </c>
      <c r="D70" s="33" t="s">
        <v>28</v>
      </c>
      <c r="E70" s="49">
        <v>-13415.0333333333</v>
      </c>
      <c r="F70" s="33" t="s">
        <v>33</v>
      </c>
      <c r="G70" s="12">
        <v>46113</v>
      </c>
      <c r="H70" s="11">
        <v>1170</v>
      </c>
      <c r="J70" s="39">
        <v>133842</v>
      </c>
      <c r="K70" s="39">
        <f>_xlfn.XLOOKUP(L70,[1]!Tabela33[BROKER],[1]!Tabela33[ID ORACLE],0,0,1)</f>
        <v>133842</v>
      </c>
      <c r="L70" s="46" t="s">
        <v>28</v>
      </c>
      <c r="N70" t="s">
        <v>48</v>
      </c>
      <c r="O70">
        <v>256.38</v>
      </c>
    </row>
    <row r="71" spans="1:15" ht="15" customHeight="1" x14ac:dyDescent="0.25">
      <c r="A71" s="23" t="str">
        <f t="shared" si="0"/>
        <v>CUSTO PLATAFORMA - ABRIL/26 - SILICON TRADER - 125412</v>
      </c>
      <c r="B71" s="12">
        <v>46113</v>
      </c>
      <c r="C71" s="11">
        <v>817394</v>
      </c>
      <c r="D71" s="11" t="s">
        <v>29</v>
      </c>
      <c r="E71" s="49">
        <v>-13415.0333333333</v>
      </c>
      <c r="F71" s="33" t="s">
        <v>33</v>
      </c>
      <c r="G71" s="12">
        <v>46113</v>
      </c>
      <c r="H71" s="11">
        <v>1170</v>
      </c>
      <c r="J71" s="38">
        <v>125412</v>
      </c>
      <c r="K71" s="38">
        <v>52340</v>
      </c>
      <c r="L71" s="11" t="s">
        <v>29</v>
      </c>
      <c r="N71" t="s">
        <v>49</v>
      </c>
      <c r="O71">
        <v>71.45</v>
      </c>
    </row>
    <row r="72" spans="1:15" ht="15" customHeight="1" x14ac:dyDescent="0.25">
      <c r="A72" s="11" t="str">
        <f t="shared" ref="A72:A74" si="4">_xlfn.CONCAT($L$1,$I$1,F72,$I$1,J72)</f>
        <v>CUSTO PLATAFORMA - ABRIL/26 - PARAMITA - 135064</v>
      </c>
      <c r="B72" s="12">
        <v>46113</v>
      </c>
      <c r="C72" s="11">
        <v>817394</v>
      </c>
      <c r="D72" s="11" t="s">
        <v>34</v>
      </c>
      <c r="E72" s="49">
        <v>-3740</v>
      </c>
      <c r="F72" s="11" t="s">
        <v>62</v>
      </c>
      <c r="G72" s="12">
        <v>46113</v>
      </c>
      <c r="H72" s="11">
        <v>1170</v>
      </c>
      <c r="J72" s="39">
        <v>135064</v>
      </c>
      <c r="K72" s="39">
        <f>_xlfn.XLOOKUP(L72,[1]!Tabela33[BROKER],[1]!Tabela33[ID ORACLE],0,0,1)</f>
        <v>135064</v>
      </c>
      <c r="L72" s="40" t="s">
        <v>34</v>
      </c>
      <c r="N72" s="42"/>
    </row>
    <row r="73" spans="1:15" ht="15" customHeight="1" x14ac:dyDescent="0.25">
      <c r="A73" s="11" t="str">
        <f t="shared" si="4"/>
        <v>CUSTO PLATAFORMA - ABRIL/26 - CETIP - 135064</v>
      </c>
      <c r="B73" s="12">
        <v>46113</v>
      </c>
      <c r="C73" s="11">
        <v>817394</v>
      </c>
      <c r="D73" s="11" t="s">
        <v>34</v>
      </c>
      <c r="E73" s="49">
        <v>-109337.70999999999</v>
      </c>
      <c r="F73" s="33" t="s">
        <v>39</v>
      </c>
      <c r="G73" s="12">
        <v>46113</v>
      </c>
      <c r="H73" s="11">
        <v>1170</v>
      </c>
      <c r="J73" s="39">
        <v>135064</v>
      </c>
      <c r="K73" s="39">
        <f>_xlfn.XLOOKUP(L73,[1]!Tabela33[BROKER],[1]!Tabela33[ID ORACLE],0,0,1)</f>
        <v>135064</v>
      </c>
      <c r="L73" s="40" t="s">
        <v>34</v>
      </c>
      <c r="M73" t="s">
        <v>50</v>
      </c>
    </row>
    <row r="74" spans="1:15" ht="15" customHeight="1" x14ac:dyDescent="0.25">
      <c r="A74" s="11" t="str">
        <f t="shared" si="4"/>
        <v>CUSTO PLATAFORMA - ABRIL/26 - TERMO - 24140</v>
      </c>
      <c r="B74" s="12">
        <v>46113</v>
      </c>
      <c r="C74" s="11">
        <v>817394</v>
      </c>
      <c r="D74" s="11" t="s">
        <v>14</v>
      </c>
      <c r="E74" s="49">
        <v>-20546.580000000002</v>
      </c>
      <c r="F74" s="33" t="s">
        <v>35</v>
      </c>
      <c r="G74" s="12">
        <v>46113</v>
      </c>
      <c r="H74" s="11">
        <v>80101</v>
      </c>
      <c r="J74" s="39">
        <v>24140</v>
      </c>
      <c r="K74" s="39">
        <f>_xlfn.XLOOKUP(L74,[1]!Tabela33[BROKER],[1]!Tabela33[ID ORACLE],0,0,1)</f>
        <v>24140</v>
      </c>
      <c r="L74" s="40" t="s">
        <v>14</v>
      </c>
      <c r="M74" t="s">
        <v>41</v>
      </c>
    </row>
    <row r="75" spans="1:15" ht="15" customHeight="1" x14ac:dyDescent="0.25">
      <c r="A75" s="60" t="str">
        <f>_xlfn.CONCAT($L$1,$I$1,F75)</f>
        <v>CUSTO PLATAFORMA - ABRIL/26 - TRADEMATE</v>
      </c>
      <c r="B75" s="18">
        <v>46113</v>
      </c>
      <c r="C75" s="17">
        <v>817394</v>
      </c>
      <c r="D75" s="17" t="s">
        <v>51</v>
      </c>
      <c r="E75" s="50">
        <v>-295.68256756888474</v>
      </c>
      <c r="F75" s="32" t="s">
        <v>60</v>
      </c>
      <c r="G75" s="18">
        <v>46113</v>
      </c>
      <c r="H75" s="17">
        <v>1170</v>
      </c>
      <c r="J75" s="28"/>
      <c r="K75" s="28"/>
      <c r="L75" s="47"/>
    </row>
    <row r="76" spans="1:15" ht="15" customHeight="1" x14ac:dyDescent="0.25">
      <c r="A76" s="17" t="str">
        <f t="shared" ref="A76:A90" si="5">_xlfn.CONCAT($L$1,$I$1,F76)</f>
        <v>CUSTO PLATAFORMA - ABRIL/26 - TRADEMATE</v>
      </c>
      <c r="B76" s="18">
        <v>46113</v>
      </c>
      <c r="C76" s="17">
        <v>817394</v>
      </c>
      <c r="D76" s="17" t="s">
        <v>74</v>
      </c>
      <c r="E76" s="50">
        <v>-5023.3085678739608</v>
      </c>
      <c r="F76" s="32" t="s">
        <v>60</v>
      </c>
      <c r="G76" s="18">
        <v>46113</v>
      </c>
      <c r="H76" s="17">
        <v>1170</v>
      </c>
      <c r="J76" s="28"/>
      <c r="K76" s="28"/>
      <c r="L76" s="47"/>
    </row>
    <row r="77" spans="1:15" ht="15" customHeight="1" x14ac:dyDescent="0.25">
      <c r="A77" s="17" t="str">
        <f t="shared" si="5"/>
        <v>CUSTO PLATAFORMA - ABRIL/26 - TRADEMATE</v>
      </c>
      <c r="B77" s="18">
        <v>46113</v>
      </c>
      <c r="C77" s="17">
        <v>817394</v>
      </c>
      <c r="D77" s="17" t="s">
        <v>52</v>
      </c>
      <c r="E77" s="50">
        <v>-22.033079070458843</v>
      </c>
      <c r="F77" s="32" t="s">
        <v>60</v>
      </c>
      <c r="G77" s="18">
        <v>46113</v>
      </c>
      <c r="H77" s="17">
        <v>1170</v>
      </c>
      <c r="J77" s="28"/>
      <c r="K77" s="28"/>
      <c r="L77" s="47"/>
    </row>
    <row r="78" spans="1:15" ht="15" customHeight="1" x14ac:dyDescent="0.25">
      <c r="A78" s="17" t="str">
        <f t="shared" si="5"/>
        <v>CUSTO PLATAFORMA - ABRIL/26 - TRADEMATE</v>
      </c>
      <c r="B78" s="18">
        <v>46113</v>
      </c>
      <c r="C78" s="17">
        <v>817394</v>
      </c>
      <c r="D78" s="17" t="s">
        <v>43</v>
      </c>
      <c r="E78" s="50">
        <v>-1705.4366196347257</v>
      </c>
      <c r="F78" s="32" t="s">
        <v>60</v>
      </c>
      <c r="G78" s="18">
        <v>46113</v>
      </c>
      <c r="H78" s="17">
        <v>1170</v>
      </c>
      <c r="J78" s="28"/>
      <c r="K78" s="28"/>
      <c r="L78" s="47"/>
    </row>
    <row r="79" spans="1:15" ht="15" customHeight="1" x14ac:dyDescent="0.25">
      <c r="A79" s="17" t="str">
        <f t="shared" si="5"/>
        <v>CUSTO PLATAFORMA - ABRIL/26 - TRADEMATE</v>
      </c>
      <c r="B79" s="18">
        <v>46113</v>
      </c>
      <c r="C79" s="17">
        <v>817394</v>
      </c>
      <c r="D79" s="17" t="s">
        <v>53</v>
      </c>
      <c r="E79" s="50">
        <v>-2863.1413829063149</v>
      </c>
      <c r="F79" s="32" t="s">
        <v>60</v>
      </c>
      <c r="G79" s="18">
        <v>46113</v>
      </c>
      <c r="H79" s="17">
        <v>1170</v>
      </c>
      <c r="J79" s="28"/>
      <c r="K79" s="28"/>
      <c r="L79" s="47"/>
    </row>
    <row r="80" spans="1:15" ht="15" customHeight="1" x14ac:dyDescent="0.25">
      <c r="A80" s="17" t="str">
        <f t="shared" si="5"/>
        <v>CUSTO PLATAFORMA - ABRIL/26 - TRADEMATE</v>
      </c>
      <c r="B80" s="18">
        <v>46113</v>
      </c>
      <c r="C80" s="17">
        <v>817394</v>
      </c>
      <c r="D80" s="17" t="s">
        <v>38</v>
      </c>
      <c r="E80" s="50">
        <v>-1762.0840674444155</v>
      </c>
      <c r="F80" s="32" t="s">
        <v>60</v>
      </c>
      <c r="G80" s="18">
        <v>46113</v>
      </c>
      <c r="H80" s="17">
        <v>1170</v>
      </c>
      <c r="J80" s="28"/>
      <c r="K80" s="28"/>
      <c r="L80" s="47"/>
    </row>
    <row r="81" spans="1:18" ht="15" customHeight="1" x14ac:dyDescent="0.25">
      <c r="A81" s="17" t="str">
        <f t="shared" si="5"/>
        <v>CUSTO PLATAFORMA - ABRIL/26 - TRADEMATE</v>
      </c>
      <c r="B81" s="18">
        <v>46113</v>
      </c>
      <c r="C81" s="17">
        <v>817394</v>
      </c>
      <c r="D81" s="17" t="s">
        <v>59</v>
      </c>
      <c r="E81" s="50">
        <v>-4460.6314792334706</v>
      </c>
      <c r="F81" s="32" t="s">
        <v>60</v>
      </c>
      <c r="G81" s="18">
        <v>46113</v>
      </c>
      <c r="H81" s="17">
        <v>1170</v>
      </c>
      <c r="J81" s="28"/>
      <c r="K81" s="28"/>
      <c r="L81" s="47"/>
    </row>
    <row r="82" spans="1:18" ht="15" customHeight="1" x14ac:dyDescent="0.25">
      <c r="A82" s="17" t="str">
        <f t="shared" ref="A82:A84" si="6">_xlfn.CONCAT($L$1,$I$1,F82)</f>
        <v>CUSTO PLATAFORMA - ABRIL/26 - TRADEMATE</v>
      </c>
      <c r="B82" s="18">
        <v>46113</v>
      </c>
      <c r="C82" s="17">
        <v>817394</v>
      </c>
      <c r="D82" s="17" t="s">
        <v>75</v>
      </c>
      <c r="E82" s="50">
        <v>-58.305910473572958</v>
      </c>
      <c r="F82" s="32" t="s">
        <v>60</v>
      </c>
      <c r="G82" s="18">
        <v>46113</v>
      </c>
      <c r="H82" s="17">
        <v>1170</v>
      </c>
      <c r="J82" s="28"/>
      <c r="K82" s="28"/>
      <c r="L82" s="47"/>
    </row>
    <row r="83" spans="1:18" ht="15" customHeight="1" x14ac:dyDescent="0.25">
      <c r="A83" s="17" t="str">
        <f t="shared" si="6"/>
        <v>CUSTO PLATAFORMA - ABRIL/26 - TRADEMATE</v>
      </c>
      <c r="B83" s="18">
        <v>46113</v>
      </c>
      <c r="C83" s="17">
        <v>817394</v>
      </c>
      <c r="D83" s="17" t="s">
        <v>54</v>
      </c>
      <c r="E83" s="50">
        <v>-611.42617440136678</v>
      </c>
      <c r="F83" s="32" t="s">
        <v>60</v>
      </c>
      <c r="G83" s="18">
        <v>46113</v>
      </c>
      <c r="H83" s="17">
        <v>1170</v>
      </c>
      <c r="J83" s="28"/>
      <c r="K83" s="28"/>
      <c r="L83" s="47"/>
    </row>
    <row r="84" spans="1:18" ht="15" customHeight="1" x14ac:dyDescent="0.25">
      <c r="A84" s="17" t="str">
        <f t="shared" si="6"/>
        <v>CUSTO PLATAFORMA - ABRIL/26 - TRADEMATE</v>
      </c>
      <c r="B84" s="18">
        <v>46113</v>
      </c>
      <c r="C84" s="17">
        <v>817394</v>
      </c>
      <c r="D84" s="17" t="s">
        <v>73</v>
      </c>
      <c r="E84" s="50">
        <v>-305.87282620915829</v>
      </c>
      <c r="F84" s="32" t="s">
        <v>60</v>
      </c>
      <c r="G84" s="18">
        <v>46113</v>
      </c>
      <c r="H84" s="17">
        <v>1170</v>
      </c>
      <c r="J84" s="28"/>
      <c r="K84" s="28"/>
      <c r="L84" s="47"/>
    </row>
    <row r="85" spans="1:18" ht="15" customHeight="1" x14ac:dyDescent="0.25">
      <c r="A85" s="17" t="str">
        <f t="shared" si="5"/>
        <v>CUSTO PLATAFORMA - ABRIL/26 - TRADEMATE</v>
      </c>
      <c r="B85" s="18">
        <v>46113</v>
      </c>
      <c r="C85" s="17">
        <v>817394</v>
      </c>
      <c r="D85" s="17" t="s">
        <v>72</v>
      </c>
      <c r="E85" s="50">
        <v>-749.4835108208307</v>
      </c>
      <c r="F85" s="32" t="s">
        <v>60</v>
      </c>
      <c r="G85" s="18">
        <v>46113</v>
      </c>
      <c r="H85" s="17">
        <v>1170</v>
      </c>
      <c r="J85" s="28"/>
      <c r="K85" s="28"/>
      <c r="L85" s="47"/>
    </row>
    <row r="86" spans="1:18" ht="15" customHeight="1" x14ac:dyDescent="0.25">
      <c r="A86" s="17" t="str">
        <f t="shared" si="5"/>
        <v>CUSTO PLATAFORMA - ABRIL/26 - TRADEMATE</v>
      </c>
      <c r="B86" s="18">
        <v>46113</v>
      </c>
      <c r="C86" s="17">
        <v>817394</v>
      </c>
      <c r="D86" s="17" t="s">
        <v>76</v>
      </c>
      <c r="E86" s="50">
        <v>-465.80500163292658</v>
      </c>
      <c r="F86" s="32" t="s">
        <v>60</v>
      </c>
      <c r="G86" s="18">
        <v>46113</v>
      </c>
      <c r="H86" s="17">
        <v>1170</v>
      </c>
      <c r="J86" s="28"/>
      <c r="K86" s="28"/>
      <c r="L86" s="47"/>
    </row>
    <row r="87" spans="1:18" ht="15" customHeight="1" x14ac:dyDescent="0.25">
      <c r="A87" s="17" t="str">
        <f t="shared" si="5"/>
        <v>CUSTO PLATAFORMA - ABRIL/26 - TRADEMATE</v>
      </c>
      <c r="B87" s="18">
        <v>46113</v>
      </c>
      <c r="C87" s="17">
        <v>817394</v>
      </c>
      <c r="D87" s="17" t="s">
        <v>61</v>
      </c>
      <c r="E87" s="50">
        <v>-2290.0178744534933</v>
      </c>
      <c r="F87" s="32" t="s">
        <v>60</v>
      </c>
      <c r="G87" s="18">
        <v>46113</v>
      </c>
      <c r="H87" s="17">
        <v>1170</v>
      </c>
      <c r="J87" s="28"/>
      <c r="K87" s="28"/>
      <c r="L87" s="47"/>
    </row>
    <row r="88" spans="1:18" ht="15" customHeight="1" x14ac:dyDescent="0.25">
      <c r="A88" s="17" t="str">
        <f t="shared" si="5"/>
        <v>CUSTO PLATAFORMA - ABRIL/26 - TRADEMATE</v>
      </c>
      <c r="B88" s="18">
        <v>46113</v>
      </c>
      <c r="C88" s="17">
        <v>817394</v>
      </c>
      <c r="D88" s="17" t="s">
        <v>55</v>
      </c>
      <c r="E88" s="50">
        <v>-475.75249317119068</v>
      </c>
      <c r="F88" s="32" t="s">
        <v>60</v>
      </c>
      <c r="G88" s="18">
        <v>46113</v>
      </c>
      <c r="H88" s="17">
        <v>1170</v>
      </c>
      <c r="J88" s="28"/>
      <c r="K88" s="28"/>
      <c r="L88" s="47"/>
    </row>
    <row r="89" spans="1:18" ht="15" customHeight="1" x14ac:dyDescent="0.25">
      <c r="A89" s="17" t="str">
        <f t="shared" si="5"/>
        <v>CUSTO PLATAFORMA - ABRIL/26 - TRADEMATE</v>
      </c>
      <c r="B89" s="18">
        <v>46113</v>
      </c>
      <c r="C89" s="17">
        <v>817394</v>
      </c>
      <c r="D89" s="17" t="s">
        <v>77</v>
      </c>
      <c r="E89" s="50">
        <v>-295.24713116598679</v>
      </c>
      <c r="F89" s="32" t="s">
        <v>60</v>
      </c>
      <c r="G89" s="18">
        <v>46113</v>
      </c>
      <c r="H89" s="17">
        <v>1170</v>
      </c>
      <c r="J89" s="28"/>
      <c r="K89" s="28"/>
      <c r="L89" s="47"/>
    </row>
    <row r="90" spans="1:18" ht="15" customHeight="1" x14ac:dyDescent="0.25">
      <c r="A90" s="19" t="str">
        <f t="shared" si="5"/>
        <v>CUSTO PLATAFORMA - ABRIL/26 - TRADEMATE</v>
      </c>
      <c r="B90" s="20">
        <v>46113</v>
      </c>
      <c r="C90" s="19">
        <v>817394</v>
      </c>
      <c r="D90" s="19" t="s">
        <v>57</v>
      </c>
      <c r="E90" s="49">
        <v>-124.42131393924021</v>
      </c>
      <c r="F90" s="34" t="s">
        <v>60</v>
      </c>
      <c r="G90" s="20">
        <v>46113</v>
      </c>
      <c r="H90" s="19">
        <v>1170</v>
      </c>
      <c r="I90" s="36"/>
      <c r="J90" s="35"/>
      <c r="K90" s="35"/>
      <c r="L90" s="48"/>
    </row>
    <row r="91" spans="1:18" ht="15" customHeight="1" x14ac:dyDescent="0.25">
      <c r="A91" s="22" t="str">
        <f>_xlfn.CONCAT($L$1,$I$1,F91)</f>
        <v>CUSTO PLATAFORMA - ABRIL/26 - BLOOMBERG SINGAPURA</v>
      </c>
      <c r="B91" s="18">
        <v>46113</v>
      </c>
      <c r="C91" s="17">
        <v>817394</v>
      </c>
      <c r="D91" s="32" t="s">
        <v>38</v>
      </c>
      <c r="E91" s="50">
        <v>-1080.01046857402</v>
      </c>
      <c r="F91" s="17" t="s">
        <v>37</v>
      </c>
      <c r="G91" s="18">
        <v>46113</v>
      </c>
      <c r="H91" s="17">
        <v>1170</v>
      </c>
      <c r="J91" s="28"/>
      <c r="K91" s="28"/>
      <c r="L91" s="17"/>
      <c r="N91" s="43"/>
      <c r="R91" s="41"/>
    </row>
    <row r="92" spans="1:18" ht="15" customHeight="1" x14ac:dyDescent="0.25">
      <c r="A92" s="22" t="str">
        <f>_xlfn.CONCAT($L$1,$I$1,F92)</f>
        <v>CUSTO PLATAFORMA - ABRIL/26 - BLOOMBERG SINGAPURA</v>
      </c>
      <c r="B92" s="18">
        <v>46113</v>
      </c>
      <c r="C92" s="17">
        <v>817394</v>
      </c>
      <c r="D92" s="17" t="s">
        <v>72</v>
      </c>
      <c r="E92" s="50">
        <f>-1358.0706464758/2</f>
        <v>-679.0353232379</v>
      </c>
      <c r="F92" s="17" t="s">
        <v>37</v>
      </c>
      <c r="G92" s="18">
        <v>46113</v>
      </c>
      <c r="H92" s="17">
        <v>1170</v>
      </c>
      <c r="J92" s="28"/>
      <c r="K92" s="28"/>
      <c r="L92" s="17"/>
      <c r="N92" t="s">
        <v>79</v>
      </c>
    </row>
    <row r="93" spans="1:18" ht="15" customHeight="1" x14ac:dyDescent="0.25">
      <c r="A93" s="22" t="str">
        <f>_xlfn.CONCAT($L$1,$I$1,F93)</f>
        <v>CUSTO PLATAFORMA - ABRIL/26 - BLOOMBERG SINGAPURA</v>
      </c>
      <c r="B93" s="18">
        <v>46113</v>
      </c>
      <c r="C93" s="17">
        <v>817394</v>
      </c>
      <c r="D93" s="17" t="s">
        <v>73</v>
      </c>
      <c r="E93" s="50">
        <v>-679.0353232379</v>
      </c>
      <c r="F93" s="17" t="s">
        <v>37</v>
      </c>
      <c r="G93" s="18">
        <v>46113</v>
      </c>
      <c r="H93" s="17">
        <v>1170</v>
      </c>
      <c r="J93" s="28"/>
      <c r="K93" s="28"/>
      <c r="L93" s="17"/>
      <c r="N93" s="69">
        <v>2438.0811150498275</v>
      </c>
      <c r="O93" s="59">
        <v>1</v>
      </c>
      <c r="Q93" s="45">
        <f>Q94+Q95</f>
        <v>205</v>
      </c>
      <c r="R93" s="59">
        <v>1</v>
      </c>
    </row>
    <row r="94" spans="1:18" ht="15" customHeight="1" x14ac:dyDescent="0.25">
      <c r="A94" s="22"/>
      <c r="B94" s="18"/>
      <c r="C94" s="17"/>
      <c r="D94" s="17"/>
      <c r="E94" s="54"/>
      <c r="F94" s="17"/>
      <c r="G94" s="18"/>
      <c r="H94" s="17"/>
      <c r="J94" s="28"/>
      <c r="K94" s="28"/>
      <c r="L94" s="17"/>
      <c r="M94" t="s">
        <v>71</v>
      </c>
      <c r="N94" s="58">
        <f>N93*O94</f>
        <v>1080.0104685740237</v>
      </c>
      <c r="O94" s="55">
        <f>R94</f>
        <v>0.44297560975609757</v>
      </c>
      <c r="Q94" s="45">
        <v>90.81</v>
      </c>
      <c r="R94" s="56">
        <f>Q94*R93/Q93</f>
        <v>0.44297560975609757</v>
      </c>
    </row>
    <row r="95" spans="1:18" ht="15" customHeight="1" x14ac:dyDescent="0.25">
      <c r="A95" s="25"/>
      <c r="B95" s="6"/>
      <c r="C95" s="1"/>
      <c r="D95" s="1"/>
      <c r="E95" s="2"/>
      <c r="F95" s="44"/>
      <c r="G95" s="6"/>
      <c r="H95" s="1"/>
      <c r="N95" s="58">
        <f>N93*O95</f>
        <v>1358.0706464758039</v>
      </c>
      <c r="O95" s="55">
        <f t="shared" ref="O95" si="7">R95</f>
        <v>0.55702439024390238</v>
      </c>
      <c r="P95" s="43"/>
      <c r="Q95" s="45">
        <f>205-Q94</f>
        <v>114.19</v>
      </c>
      <c r="R95" s="57">
        <f>Q95*R93/Q93</f>
        <v>0.55702439024390238</v>
      </c>
    </row>
    <row r="96" spans="1:18" ht="15" customHeight="1" x14ac:dyDescent="0.25">
      <c r="A96" s="25"/>
      <c r="B96" s="6"/>
      <c r="C96" s="1"/>
      <c r="D96" s="1"/>
      <c r="E96" s="2"/>
      <c r="F96" s="1"/>
      <c r="G96" s="6"/>
      <c r="H96" s="1"/>
      <c r="M96" t="s">
        <v>46</v>
      </c>
      <c r="R96" t="s">
        <v>45</v>
      </c>
    </row>
    <row r="97" spans="1:8" ht="15" customHeight="1" x14ac:dyDescent="0.25">
      <c r="A97" s="25"/>
      <c r="B97" s="6"/>
      <c r="C97" s="1"/>
      <c r="D97" s="1"/>
      <c r="E97" s="2"/>
      <c r="F97" s="1"/>
      <c r="G97" s="6"/>
      <c r="H97" s="1"/>
    </row>
    <row r="98" spans="1:8" ht="15" customHeight="1" x14ac:dyDescent="0.25">
      <c r="A98" s="25"/>
      <c r="B98" s="6"/>
      <c r="C98" s="1"/>
      <c r="D98" s="1"/>
      <c r="E98" s="2"/>
      <c r="F98" s="1"/>
      <c r="G98" s="6"/>
      <c r="H98" s="1"/>
    </row>
    <row r="99" spans="1:8" ht="15" customHeight="1" x14ac:dyDescent="0.25">
      <c r="A99" s="25"/>
      <c r="B99" s="6"/>
      <c r="C99" s="1"/>
      <c r="D99" s="1"/>
      <c r="E99" s="2"/>
      <c r="F99" s="1"/>
      <c r="G99" s="6"/>
      <c r="H99" s="1"/>
    </row>
    <row r="100" spans="1:8" ht="15" customHeight="1" x14ac:dyDescent="0.25">
      <c r="A100" s="25"/>
      <c r="B100" s="6"/>
      <c r="C100" s="1"/>
      <c r="D100" s="1"/>
      <c r="E100" s="2"/>
      <c r="F100" s="1"/>
      <c r="G100" s="6"/>
      <c r="H100" s="1"/>
    </row>
    <row r="101" spans="1:8" ht="15" customHeight="1" x14ac:dyDescent="0.25">
      <c r="A101" s="25"/>
      <c r="B101" s="6"/>
      <c r="C101" s="1"/>
      <c r="D101" s="1"/>
      <c r="E101" s="2"/>
      <c r="F101" s="1"/>
      <c r="G101" s="6"/>
      <c r="H101" s="1"/>
    </row>
    <row r="102" spans="1:8" ht="15" customHeight="1" x14ac:dyDescent="0.25">
      <c r="A102" s="25"/>
      <c r="B102" s="6"/>
      <c r="C102" s="1"/>
      <c r="D102" s="1"/>
      <c r="E102" s="2"/>
      <c r="F102" s="1"/>
      <c r="G102" s="6"/>
      <c r="H102" s="1"/>
    </row>
    <row r="103" spans="1:8" ht="15" customHeight="1" x14ac:dyDescent="0.25">
      <c r="A103" s="25"/>
      <c r="B103" s="6"/>
      <c r="C103" s="1"/>
      <c r="D103" s="1"/>
      <c r="E103" s="2"/>
      <c r="F103" s="1"/>
      <c r="G103" s="6"/>
      <c r="H103" s="1"/>
    </row>
    <row r="104" spans="1:8" ht="15" customHeight="1" x14ac:dyDescent="0.25">
      <c r="A104" s="25"/>
      <c r="B104" s="6"/>
      <c r="C104" s="1"/>
      <c r="D104" s="1"/>
      <c r="E104" s="2"/>
      <c r="F104" s="1"/>
      <c r="G104" s="6"/>
      <c r="H104" s="1"/>
    </row>
    <row r="105" spans="1:8" ht="15" customHeight="1" x14ac:dyDescent="0.25">
      <c r="A105" s="25"/>
      <c r="B105" s="6"/>
      <c r="C105" s="1"/>
      <c r="D105" s="1"/>
      <c r="E105" s="2"/>
      <c r="F105" s="1"/>
      <c r="G105" s="6"/>
      <c r="H105" s="1"/>
    </row>
    <row r="106" spans="1:8" ht="15" customHeight="1" x14ac:dyDescent="0.25">
      <c r="A106" s="25"/>
      <c r="B106" s="6"/>
      <c r="C106" s="1"/>
      <c r="D106" s="1"/>
      <c r="E106" s="2"/>
      <c r="F106" s="1"/>
      <c r="G106" s="6"/>
      <c r="H106" s="1"/>
    </row>
    <row r="107" spans="1:8" ht="15" customHeight="1" x14ac:dyDescent="0.25">
      <c r="A107" s="25"/>
      <c r="B107" s="6"/>
      <c r="C107" s="1"/>
      <c r="D107" s="1"/>
      <c r="E107" s="2"/>
      <c r="F107" s="1"/>
      <c r="G107" s="6"/>
      <c r="H107" s="1"/>
    </row>
    <row r="108" spans="1:8" ht="15" customHeight="1" x14ac:dyDescent="0.25">
      <c r="A108" s="25"/>
      <c r="B108" s="6"/>
      <c r="C108" s="1"/>
      <c r="D108" s="1"/>
      <c r="E108" s="2"/>
      <c r="F108" s="1"/>
      <c r="G108" s="6"/>
      <c r="H108" s="1"/>
    </row>
    <row r="109" spans="1:8" ht="15" customHeight="1" x14ac:dyDescent="0.25">
      <c r="A109" s="25"/>
      <c r="B109" s="6"/>
      <c r="C109" s="1"/>
      <c r="D109" s="1"/>
      <c r="E109" s="2"/>
      <c r="F109" s="1"/>
      <c r="G109" s="6"/>
      <c r="H109" s="1"/>
    </row>
    <row r="110" spans="1:8" ht="15" customHeight="1" x14ac:dyDescent="0.25">
      <c r="A110" s="25"/>
      <c r="B110" s="6"/>
      <c r="C110" s="1"/>
      <c r="D110" s="1"/>
      <c r="E110" s="2"/>
      <c r="F110" s="1"/>
      <c r="G110" s="6"/>
      <c r="H110" s="1"/>
    </row>
    <row r="111" spans="1:8" ht="15" customHeight="1" x14ac:dyDescent="0.25">
      <c r="A111" s="25"/>
      <c r="B111" s="6"/>
      <c r="C111" s="1"/>
      <c r="D111" s="1"/>
      <c r="E111" s="2"/>
      <c r="F111" s="1"/>
      <c r="G111" s="6"/>
      <c r="H111" s="1"/>
    </row>
    <row r="112" spans="1:8" ht="15" customHeight="1" x14ac:dyDescent="0.25">
      <c r="A112" s="25"/>
      <c r="B112" s="6"/>
      <c r="C112" s="1"/>
      <c r="D112" s="1"/>
      <c r="E112" s="2"/>
      <c r="F112" s="1"/>
      <c r="G112" s="6"/>
      <c r="H112" s="1"/>
    </row>
    <row r="113" spans="1:8" ht="15" customHeight="1" x14ac:dyDescent="0.25">
      <c r="A113" s="25"/>
      <c r="B113" s="6"/>
      <c r="C113" s="1"/>
      <c r="D113" s="1"/>
      <c r="E113" s="2"/>
      <c r="F113" s="1"/>
      <c r="G113" s="6"/>
      <c r="H113" s="1"/>
    </row>
    <row r="114" spans="1:8" ht="15" customHeight="1" x14ac:dyDescent="0.25">
      <c r="A114" s="25"/>
      <c r="B114" s="6"/>
      <c r="C114" s="1"/>
      <c r="D114" s="1"/>
      <c r="E114" s="2"/>
      <c r="F114" s="1"/>
      <c r="G114" s="6"/>
      <c r="H114" s="1"/>
    </row>
    <row r="115" spans="1:8" ht="15" customHeight="1" x14ac:dyDescent="0.25">
      <c r="A115" s="25"/>
      <c r="B115" s="6"/>
      <c r="C115" s="1"/>
      <c r="D115" s="1"/>
      <c r="E115" s="2"/>
      <c r="F115" s="1"/>
      <c r="G115" s="6"/>
      <c r="H115" s="1"/>
    </row>
    <row r="116" spans="1:8" ht="15" customHeight="1" x14ac:dyDescent="0.25">
      <c r="A116" s="25"/>
      <c r="B116" s="6"/>
      <c r="C116" s="1"/>
      <c r="D116" s="1"/>
      <c r="E116" s="2"/>
      <c r="F116" s="1"/>
      <c r="G116" s="6"/>
      <c r="H116" s="1"/>
    </row>
    <row r="117" spans="1:8" ht="15" customHeight="1" x14ac:dyDescent="0.25">
      <c r="A117" s="25"/>
      <c r="B117" s="6"/>
      <c r="C117" s="1"/>
      <c r="D117" s="1"/>
      <c r="E117" s="2"/>
      <c r="F117" s="1"/>
      <c r="G117" s="6"/>
      <c r="H117" s="1"/>
    </row>
    <row r="118" spans="1:8" ht="15" customHeight="1" x14ac:dyDescent="0.25">
      <c r="A118" s="25"/>
      <c r="B118" s="6"/>
      <c r="C118" s="1"/>
      <c r="D118" s="1"/>
      <c r="E118" s="2"/>
      <c r="F118" s="1"/>
      <c r="G118" s="6"/>
      <c r="H118" s="1"/>
    </row>
    <row r="119" spans="1:8" ht="15" customHeight="1" x14ac:dyDescent="0.25">
      <c r="A119" s="25"/>
      <c r="B119" s="6"/>
      <c r="C119" s="1"/>
      <c r="D119" s="1"/>
      <c r="E119" s="2"/>
      <c r="F119" s="1"/>
      <c r="G119" s="6"/>
      <c r="H119" s="1"/>
    </row>
    <row r="120" spans="1:8" ht="15" customHeight="1" x14ac:dyDescent="0.25">
      <c r="A120" s="25"/>
      <c r="B120" s="6"/>
      <c r="C120" s="1"/>
      <c r="D120" s="1"/>
      <c r="E120" s="2"/>
      <c r="F120" s="1"/>
      <c r="G120" s="6"/>
      <c r="H120" s="1"/>
    </row>
    <row r="121" spans="1:8" ht="15" customHeight="1" x14ac:dyDescent="0.25">
      <c r="A121" s="25"/>
      <c r="B121" s="6"/>
      <c r="C121" s="1"/>
      <c r="D121" s="1"/>
      <c r="E121" s="2"/>
      <c r="F121" s="1"/>
      <c r="G121" s="6"/>
      <c r="H121" s="1"/>
    </row>
    <row r="122" spans="1:8" ht="15" customHeight="1" x14ac:dyDescent="0.25">
      <c r="A122" s="25"/>
      <c r="B122" s="6"/>
      <c r="C122" s="1"/>
      <c r="D122" s="1"/>
      <c r="E122" s="2"/>
      <c r="F122" s="1"/>
      <c r="G122" s="6"/>
      <c r="H122" s="1"/>
    </row>
    <row r="123" spans="1:8" ht="15" customHeight="1" x14ac:dyDescent="0.25">
      <c r="A123" s="25"/>
      <c r="B123" s="6"/>
      <c r="C123" s="1"/>
      <c r="D123" s="1"/>
      <c r="E123" s="2"/>
      <c r="F123" s="1"/>
      <c r="G123" s="6"/>
      <c r="H123" s="1"/>
    </row>
    <row r="124" spans="1:8" ht="15" customHeight="1" x14ac:dyDescent="0.25">
      <c r="A124" s="25"/>
      <c r="B124" s="6"/>
      <c r="C124" s="1"/>
      <c r="D124" s="1"/>
      <c r="E124" s="2"/>
      <c r="F124" s="1"/>
      <c r="G124" s="6"/>
      <c r="H124" s="1"/>
    </row>
    <row r="125" spans="1:8" ht="15" customHeight="1" x14ac:dyDescent="0.25">
      <c r="A125" s="25"/>
      <c r="B125" s="6"/>
      <c r="C125" s="1"/>
      <c r="D125" s="1"/>
      <c r="E125" s="2"/>
      <c r="F125" s="1"/>
      <c r="G125" s="6"/>
      <c r="H125" s="1"/>
    </row>
    <row r="126" spans="1:8" ht="15" customHeight="1" x14ac:dyDescent="0.25">
      <c r="A126" s="25"/>
      <c r="B126" s="6"/>
      <c r="C126" s="1"/>
      <c r="D126" s="1"/>
      <c r="E126" s="2"/>
      <c r="F126" s="1"/>
      <c r="G126" s="6"/>
      <c r="H126" s="1"/>
    </row>
    <row r="127" spans="1:8" ht="15" customHeight="1" x14ac:dyDescent="0.25">
      <c r="A127" s="25"/>
      <c r="B127" s="6"/>
      <c r="C127" s="1"/>
      <c r="D127" s="1"/>
      <c r="E127" s="2"/>
      <c r="F127" s="1"/>
      <c r="G127" s="6"/>
      <c r="H127" s="1"/>
    </row>
    <row r="128" spans="1:8" ht="15" customHeight="1" x14ac:dyDescent="0.25">
      <c r="A128" s="25"/>
      <c r="B128" s="6"/>
      <c r="C128" s="1"/>
      <c r="D128" s="1"/>
      <c r="E128" s="2"/>
      <c r="F128" s="1"/>
      <c r="G128" s="6"/>
      <c r="H128" s="1"/>
    </row>
    <row r="129" spans="1:8" ht="15" customHeight="1" x14ac:dyDescent="0.25">
      <c r="A129" s="25"/>
      <c r="B129" s="6"/>
      <c r="C129" s="1"/>
      <c r="D129" s="1"/>
      <c r="E129" s="2"/>
      <c r="F129" s="1"/>
      <c r="G129" s="6"/>
      <c r="H129" s="1"/>
    </row>
    <row r="130" spans="1:8" ht="15" customHeight="1" x14ac:dyDescent="0.25">
      <c r="A130" s="25"/>
      <c r="B130" s="6"/>
      <c r="C130" s="1"/>
      <c r="D130" s="1"/>
      <c r="E130" s="2"/>
      <c r="F130" s="1"/>
      <c r="G130" s="6"/>
      <c r="H130" s="1"/>
    </row>
    <row r="131" spans="1:8" ht="15" customHeight="1" x14ac:dyDescent="0.25">
      <c r="A131" s="25"/>
      <c r="B131" s="6"/>
      <c r="C131" s="1"/>
      <c r="D131" s="1"/>
      <c r="E131" s="2"/>
      <c r="F131" s="1"/>
      <c r="G131" s="6"/>
      <c r="H131" s="1"/>
    </row>
    <row r="132" spans="1:8" ht="15" customHeight="1" x14ac:dyDescent="0.25">
      <c r="A132" s="25"/>
      <c r="B132" s="6"/>
      <c r="C132" s="1"/>
      <c r="D132" s="1"/>
      <c r="E132" s="2"/>
      <c r="F132" s="1"/>
      <c r="G132" s="6"/>
      <c r="H132" s="1"/>
    </row>
    <row r="133" spans="1:8" ht="15" customHeight="1" x14ac:dyDescent="0.25">
      <c r="A133" s="25"/>
      <c r="B133" s="6"/>
      <c r="C133" s="1"/>
      <c r="D133" s="1"/>
      <c r="E133" s="2"/>
      <c r="F133" s="1"/>
      <c r="G133" s="6"/>
      <c r="H133" s="1"/>
    </row>
    <row r="134" spans="1:8" ht="15" customHeight="1" x14ac:dyDescent="0.25">
      <c r="A134" s="25"/>
      <c r="B134" s="6"/>
      <c r="C134" s="1"/>
      <c r="D134" s="1"/>
      <c r="E134" s="2"/>
      <c r="F134" s="1"/>
      <c r="G134" s="6"/>
      <c r="H134" s="1"/>
    </row>
    <row r="135" spans="1:8" ht="15" customHeight="1" x14ac:dyDescent="0.25">
      <c r="A135" s="25"/>
      <c r="B135" s="6"/>
      <c r="C135" s="1"/>
      <c r="D135" s="1"/>
      <c r="E135" s="2"/>
      <c r="F135" s="1"/>
      <c r="G135" s="6"/>
      <c r="H135" s="1"/>
    </row>
    <row r="136" spans="1:8" ht="15" customHeight="1" x14ac:dyDescent="0.25">
      <c r="A136" s="25"/>
      <c r="B136" s="6"/>
      <c r="C136" s="1"/>
      <c r="D136" s="1"/>
      <c r="E136" s="2"/>
      <c r="F136" s="1"/>
      <c r="G136" s="6"/>
      <c r="H136" s="1"/>
    </row>
    <row r="137" spans="1:8" ht="15" customHeight="1" x14ac:dyDescent="0.25">
      <c r="A137" s="25"/>
      <c r="B137" s="6"/>
      <c r="C137" s="1"/>
      <c r="D137" s="1"/>
      <c r="E137" s="2"/>
      <c r="F137" s="1"/>
      <c r="G137" s="6"/>
      <c r="H137" s="1"/>
    </row>
    <row r="138" spans="1:8" ht="15" customHeight="1" x14ac:dyDescent="0.25">
      <c r="A138" s="25"/>
      <c r="B138" s="6"/>
      <c r="C138" s="1"/>
      <c r="D138" s="1"/>
      <c r="E138" s="2"/>
      <c r="F138" s="1"/>
      <c r="G138" s="6"/>
      <c r="H138" s="1"/>
    </row>
    <row r="139" spans="1:8" ht="15" customHeight="1" x14ac:dyDescent="0.25">
      <c r="A139" s="25"/>
      <c r="B139" s="6"/>
      <c r="C139" s="1"/>
      <c r="D139" s="1"/>
      <c r="E139" s="2"/>
      <c r="F139" s="1"/>
      <c r="G139" s="6"/>
      <c r="H139" s="1"/>
    </row>
    <row r="140" spans="1:8" ht="15" customHeight="1" x14ac:dyDescent="0.25">
      <c r="A140" s="25"/>
      <c r="B140" s="6"/>
      <c r="C140" s="1"/>
      <c r="D140" s="1"/>
      <c r="E140" s="2"/>
      <c r="F140" s="1"/>
      <c r="G140" s="6"/>
      <c r="H140" s="1"/>
    </row>
    <row r="141" spans="1:8" ht="15" customHeight="1" x14ac:dyDescent="0.25">
      <c r="A141" s="25"/>
      <c r="B141" s="6"/>
      <c r="C141" s="1"/>
      <c r="D141" s="1"/>
      <c r="E141" s="2"/>
      <c r="F141" s="1"/>
      <c r="G141" s="6"/>
      <c r="H141" s="1"/>
    </row>
    <row r="142" spans="1:8" ht="15" customHeight="1" x14ac:dyDescent="0.25">
      <c r="A142" s="25"/>
      <c r="B142" s="6"/>
      <c r="C142" s="1"/>
      <c r="D142" s="1"/>
      <c r="E142" s="2"/>
      <c r="F142" s="1"/>
      <c r="G142" s="6"/>
      <c r="H142" s="1"/>
    </row>
    <row r="143" spans="1:8" ht="15" customHeight="1" x14ac:dyDescent="0.25">
      <c r="A143" s="25"/>
      <c r="B143" s="6"/>
      <c r="C143" s="1"/>
      <c r="D143" s="1"/>
      <c r="E143" s="2"/>
      <c r="F143" s="1"/>
      <c r="G143" s="6"/>
      <c r="H143" s="1"/>
    </row>
    <row r="144" spans="1:8" ht="15" customHeight="1" x14ac:dyDescent="0.25">
      <c r="A144" s="25"/>
      <c r="B144" s="6"/>
      <c r="C144" s="1"/>
      <c r="D144" s="1"/>
      <c r="E144" s="2"/>
      <c r="F144" s="1"/>
      <c r="G144" s="6"/>
      <c r="H144" s="1"/>
    </row>
    <row r="145" spans="1:8" ht="15" customHeight="1" x14ac:dyDescent="0.25">
      <c r="A145" s="25"/>
      <c r="B145" s="6"/>
      <c r="C145" s="1"/>
      <c r="D145" s="1"/>
      <c r="E145" s="2"/>
      <c r="F145" s="1"/>
      <c r="G145" s="6"/>
      <c r="H145" s="1"/>
    </row>
    <row r="146" spans="1:8" ht="15" customHeight="1" x14ac:dyDescent="0.25">
      <c r="A146" s="25"/>
      <c r="B146" s="6"/>
      <c r="C146" s="1"/>
      <c r="D146" s="1"/>
      <c r="E146" s="2"/>
      <c r="F146" s="1"/>
      <c r="G146" s="6"/>
      <c r="H146" s="1"/>
    </row>
    <row r="147" spans="1:8" ht="15" customHeight="1" x14ac:dyDescent="0.25">
      <c r="A147" s="25"/>
      <c r="B147" s="6"/>
      <c r="C147" s="1"/>
      <c r="D147" s="1"/>
      <c r="E147" s="2"/>
      <c r="F147" s="1"/>
      <c r="G147" s="6"/>
      <c r="H147" s="1"/>
    </row>
    <row r="148" spans="1:8" ht="15" customHeight="1" x14ac:dyDescent="0.25">
      <c r="A148" s="25"/>
      <c r="B148" s="6"/>
      <c r="C148" s="1"/>
      <c r="D148" s="1"/>
      <c r="E148" s="2"/>
      <c r="F148" s="1"/>
      <c r="G148" s="6"/>
      <c r="H148" s="1"/>
    </row>
    <row r="149" spans="1:8" ht="15" customHeight="1" x14ac:dyDescent="0.25">
      <c r="A149" s="25"/>
      <c r="B149" s="6"/>
      <c r="C149" s="1"/>
      <c r="D149" s="1"/>
      <c r="E149" s="2"/>
      <c r="F149" s="1"/>
      <c r="G149" s="6"/>
      <c r="H149" s="1"/>
    </row>
    <row r="150" spans="1:8" ht="15" customHeight="1" x14ac:dyDescent="0.25">
      <c r="A150" s="25"/>
      <c r="B150" s="6"/>
      <c r="C150" s="1"/>
      <c r="D150" s="1"/>
      <c r="E150" s="2"/>
      <c r="F150" s="1"/>
      <c r="G150" s="6"/>
      <c r="H150" s="1"/>
    </row>
    <row r="151" spans="1:8" ht="15" customHeight="1" x14ac:dyDescent="0.25">
      <c r="A151" s="25"/>
      <c r="B151" s="6"/>
      <c r="C151" s="1"/>
      <c r="D151" s="1"/>
      <c r="E151" s="2"/>
      <c r="F151" s="1"/>
      <c r="G151" s="6"/>
      <c r="H151" s="1"/>
    </row>
    <row r="152" spans="1:8" ht="15" customHeight="1" x14ac:dyDescent="0.25">
      <c r="A152" s="25"/>
      <c r="B152" s="6"/>
      <c r="C152" s="1"/>
      <c r="D152" s="1"/>
      <c r="E152" s="2"/>
      <c r="F152" s="1"/>
      <c r="G152" s="6"/>
      <c r="H152" s="1"/>
    </row>
    <row r="153" spans="1:8" ht="15" customHeight="1" x14ac:dyDescent="0.25">
      <c r="A153" s="25"/>
      <c r="B153" s="6"/>
      <c r="C153" s="1"/>
      <c r="D153" s="1"/>
      <c r="E153" s="2"/>
      <c r="F153" s="1"/>
      <c r="G153" s="6"/>
      <c r="H153" s="1"/>
    </row>
    <row r="154" spans="1:8" ht="15" customHeight="1" x14ac:dyDescent="0.25">
      <c r="A154" s="25"/>
      <c r="B154" s="6"/>
      <c r="C154" s="1"/>
      <c r="D154" s="1"/>
      <c r="E154" s="2"/>
      <c r="F154" s="1"/>
      <c r="G154" s="6"/>
      <c r="H154" s="1"/>
    </row>
    <row r="155" spans="1:8" ht="15" customHeight="1" x14ac:dyDescent="0.25">
      <c r="A155" s="25"/>
      <c r="B155" s="6"/>
      <c r="C155" s="1"/>
      <c r="D155" s="1"/>
      <c r="E155" s="2"/>
      <c r="F155" s="1"/>
      <c r="G155" s="6"/>
      <c r="H155" s="1"/>
    </row>
    <row r="156" spans="1:8" ht="15" customHeight="1" x14ac:dyDescent="0.25">
      <c r="A156" s="25"/>
      <c r="B156" s="6"/>
      <c r="C156" s="1"/>
      <c r="D156" s="1"/>
      <c r="E156" s="2"/>
      <c r="F156" s="1"/>
      <c r="G156" s="6"/>
      <c r="H156" s="1"/>
    </row>
    <row r="157" spans="1:8" ht="15" customHeight="1" x14ac:dyDescent="0.25">
      <c r="A157" s="25"/>
      <c r="B157" s="6"/>
      <c r="C157" s="1"/>
      <c r="D157" s="1"/>
      <c r="E157" s="2"/>
      <c r="F157" s="1"/>
      <c r="G157" s="6"/>
      <c r="H157" s="1"/>
    </row>
    <row r="158" spans="1:8" ht="15" customHeight="1" x14ac:dyDescent="0.25">
      <c r="A158" s="25"/>
      <c r="B158" s="6"/>
      <c r="C158" s="1"/>
      <c r="D158" s="1"/>
      <c r="E158" s="2"/>
      <c r="F158" s="1"/>
      <c r="G158" s="6"/>
      <c r="H158" s="1"/>
    </row>
    <row r="159" spans="1:8" ht="15" customHeight="1" x14ac:dyDescent="0.25">
      <c r="A159" s="25"/>
      <c r="B159" s="6"/>
      <c r="C159" s="1"/>
      <c r="D159" s="1"/>
      <c r="E159" s="2"/>
      <c r="F159" s="1"/>
      <c r="G159" s="6"/>
      <c r="H159" s="1"/>
    </row>
    <row r="160" spans="1:8" ht="15" customHeight="1" x14ac:dyDescent="0.25">
      <c r="A160" s="25"/>
      <c r="B160" s="6"/>
      <c r="C160" s="1"/>
      <c r="D160" s="1"/>
      <c r="E160" s="2"/>
      <c r="F160" s="1"/>
      <c r="G160" s="6"/>
      <c r="H160" s="1"/>
    </row>
    <row r="161" spans="1:8" ht="15" customHeight="1" x14ac:dyDescent="0.25">
      <c r="A161" s="25"/>
      <c r="B161" s="6"/>
      <c r="C161" s="1"/>
      <c r="D161" s="1"/>
      <c r="E161" s="2"/>
      <c r="F161" s="1"/>
      <c r="G161" s="6"/>
      <c r="H161" s="1"/>
    </row>
    <row r="162" spans="1:8" ht="15" customHeight="1" x14ac:dyDescent="0.25">
      <c r="A162" s="25"/>
      <c r="B162" s="6"/>
      <c r="C162" s="1"/>
      <c r="D162" s="1"/>
      <c r="E162" s="2"/>
      <c r="F162" s="1"/>
      <c r="G162" s="6"/>
      <c r="H162" s="1"/>
    </row>
    <row r="163" spans="1:8" ht="15" customHeight="1" x14ac:dyDescent="0.25">
      <c r="A163" s="25"/>
      <c r="B163" s="6"/>
      <c r="C163" s="1"/>
      <c r="D163" s="1"/>
      <c r="E163" s="2"/>
      <c r="F163" s="1"/>
      <c r="G163" s="6"/>
      <c r="H163" s="1"/>
    </row>
    <row r="164" spans="1:8" ht="15" customHeight="1" x14ac:dyDescent="0.25">
      <c r="A164" s="25"/>
      <c r="B164" s="6"/>
      <c r="C164" s="1"/>
      <c r="D164" s="1"/>
      <c r="E164" s="2"/>
      <c r="F164" s="1"/>
      <c r="G164" s="6"/>
      <c r="H164" s="1"/>
    </row>
    <row r="165" spans="1:8" ht="15" customHeight="1" x14ac:dyDescent="0.25">
      <c r="A165" s="25"/>
      <c r="B165" s="6"/>
      <c r="C165" s="1"/>
      <c r="D165" s="1"/>
      <c r="E165" s="2"/>
      <c r="F165" s="1"/>
      <c r="G165" s="6"/>
      <c r="H165" s="1"/>
    </row>
    <row r="166" spans="1:8" ht="15" customHeight="1" x14ac:dyDescent="0.25">
      <c r="A166" s="25"/>
      <c r="B166" s="6"/>
      <c r="C166" s="1"/>
      <c r="D166" s="1"/>
      <c r="E166" s="2"/>
      <c r="F166" s="1"/>
      <c r="G166" s="6"/>
      <c r="H166" s="1"/>
    </row>
    <row r="167" spans="1:8" ht="15" customHeight="1" x14ac:dyDescent="0.25">
      <c r="A167" s="25"/>
      <c r="B167" s="6"/>
      <c r="C167" s="1"/>
      <c r="D167" s="1"/>
      <c r="E167" s="2"/>
      <c r="F167" s="1"/>
      <c r="G167" s="6"/>
      <c r="H167" s="1"/>
    </row>
    <row r="168" spans="1:8" ht="15" customHeight="1" x14ac:dyDescent="0.25">
      <c r="A168" s="25"/>
      <c r="B168" s="6"/>
      <c r="C168" s="1"/>
      <c r="D168" s="1"/>
      <c r="E168" s="2"/>
      <c r="F168" s="1"/>
      <c r="G168" s="6"/>
      <c r="H168" s="1"/>
    </row>
    <row r="169" spans="1:8" ht="15" customHeight="1" x14ac:dyDescent="0.25">
      <c r="A169" s="25"/>
      <c r="B169" s="6"/>
      <c r="C169" s="1"/>
      <c r="D169" s="1"/>
      <c r="E169" s="2"/>
      <c r="F169" s="1"/>
      <c r="G169" s="6"/>
      <c r="H169" s="1"/>
    </row>
    <row r="170" spans="1:8" ht="15" customHeight="1" x14ac:dyDescent="0.25">
      <c r="A170" s="25"/>
      <c r="B170" s="6"/>
      <c r="C170" s="1"/>
      <c r="D170" s="1"/>
      <c r="E170" s="2"/>
      <c r="F170" s="1"/>
      <c r="G170" s="6"/>
      <c r="H170" s="1"/>
    </row>
    <row r="171" spans="1:8" ht="15" customHeight="1" x14ac:dyDescent="0.25">
      <c r="A171" s="25"/>
      <c r="B171" s="6"/>
      <c r="C171" s="1"/>
      <c r="D171" s="1"/>
      <c r="E171" s="2"/>
      <c r="F171" s="1"/>
      <c r="G171" s="6"/>
      <c r="H171" s="1"/>
    </row>
    <row r="172" spans="1:8" ht="15" customHeight="1" x14ac:dyDescent="0.25">
      <c r="A172" s="25"/>
      <c r="B172" s="6"/>
      <c r="C172" s="1"/>
      <c r="D172" s="1"/>
      <c r="E172" s="2"/>
      <c r="F172" s="1"/>
      <c r="G172" s="6"/>
      <c r="H172" s="1"/>
    </row>
    <row r="173" spans="1:8" ht="15" customHeight="1" x14ac:dyDescent="0.25">
      <c r="A173" s="25"/>
      <c r="B173" s="6"/>
      <c r="C173" s="1"/>
      <c r="D173" s="1"/>
      <c r="E173" s="2"/>
      <c r="F173" s="1"/>
      <c r="G173" s="6"/>
      <c r="H173" s="1"/>
    </row>
    <row r="174" spans="1:8" ht="15" customHeight="1" x14ac:dyDescent="0.25">
      <c r="A174" s="25"/>
      <c r="B174" s="6"/>
      <c r="C174" s="1"/>
      <c r="D174" s="1"/>
      <c r="E174" s="2"/>
      <c r="F174" s="1"/>
      <c r="G174" s="6"/>
      <c r="H174" s="1"/>
    </row>
    <row r="175" spans="1:8" ht="15" customHeight="1" x14ac:dyDescent="0.25">
      <c r="A175" s="25"/>
      <c r="B175" s="6"/>
      <c r="C175" s="1"/>
      <c r="D175" s="1"/>
      <c r="E175" s="2"/>
      <c r="F175" s="1"/>
      <c r="G175" s="6"/>
      <c r="H175" s="1"/>
    </row>
    <row r="176" spans="1:8" ht="15" customHeight="1" x14ac:dyDescent="0.25">
      <c r="A176" s="25"/>
      <c r="B176" s="6"/>
      <c r="C176" s="1"/>
      <c r="D176" s="1"/>
      <c r="E176" s="2"/>
      <c r="F176" s="1"/>
      <c r="G176" s="6"/>
      <c r="H176" s="1"/>
    </row>
    <row r="177" spans="1:8" ht="15" customHeight="1" x14ac:dyDescent="0.25">
      <c r="A177" s="25"/>
      <c r="B177" s="6"/>
      <c r="C177" s="1"/>
      <c r="D177" s="1"/>
      <c r="E177" s="2"/>
      <c r="F177" s="1"/>
      <c r="G177" s="6"/>
      <c r="H177" s="1"/>
    </row>
    <row r="178" spans="1:8" ht="15" customHeight="1" x14ac:dyDescent="0.25">
      <c r="A178" s="25"/>
      <c r="B178" s="6"/>
      <c r="C178" s="1"/>
      <c r="D178" s="1"/>
      <c r="E178" s="2"/>
      <c r="F178" s="1"/>
      <c r="G178" s="6"/>
      <c r="H178" s="1"/>
    </row>
    <row r="179" spans="1:8" ht="15" customHeight="1" x14ac:dyDescent="0.25">
      <c r="A179" s="25"/>
      <c r="B179" s="6"/>
      <c r="C179" s="1"/>
      <c r="D179" s="1"/>
      <c r="E179" s="2"/>
      <c r="F179" s="1"/>
      <c r="G179" s="6"/>
      <c r="H179" s="1"/>
    </row>
    <row r="180" spans="1:8" ht="15" customHeight="1" x14ac:dyDescent="0.25">
      <c r="A180" s="25"/>
      <c r="B180" s="6"/>
      <c r="C180" s="1"/>
      <c r="D180" s="1"/>
      <c r="E180" s="2"/>
      <c r="F180" s="1"/>
      <c r="G180" s="6"/>
      <c r="H180" s="1"/>
    </row>
    <row r="181" spans="1:8" ht="15" customHeight="1" x14ac:dyDescent="0.25">
      <c r="A181" s="25"/>
      <c r="B181" s="6"/>
      <c r="C181" s="1"/>
      <c r="D181" s="1"/>
      <c r="E181" s="2"/>
      <c r="F181" s="1"/>
      <c r="G181" s="6"/>
      <c r="H181" s="1"/>
    </row>
    <row r="182" spans="1:8" ht="15" customHeight="1" x14ac:dyDescent="0.25">
      <c r="A182" s="25"/>
      <c r="B182" s="6"/>
      <c r="C182" s="1"/>
      <c r="D182" s="1"/>
      <c r="E182" s="2"/>
      <c r="F182" s="1"/>
      <c r="G182" s="6"/>
      <c r="H182" s="1"/>
    </row>
    <row r="183" spans="1:8" ht="15" customHeight="1" x14ac:dyDescent="0.25">
      <c r="A183" s="25"/>
      <c r="B183" s="6"/>
      <c r="C183" s="1"/>
      <c r="D183" s="1"/>
      <c r="E183" s="2"/>
      <c r="F183" s="1"/>
      <c r="G183" s="6"/>
      <c r="H183" s="1"/>
    </row>
    <row r="184" spans="1:8" ht="15" customHeight="1" x14ac:dyDescent="0.25">
      <c r="A184" s="25"/>
      <c r="B184" s="6"/>
      <c r="C184" s="1"/>
      <c r="D184" s="1"/>
      <c r="E184" s="2"/>
      <c r="F184" s="1"/>
      <c r="G184" s="6"/>
      <c r="H184" s="1"/>
    </row>
    <row r="185" spans="1:8" ht="15" customHeight="1" x14ac:dyDescent="0.25">
      <c r="A185" s="25"/>
      <c r="B185" s="6"/>
      <c r="C185" s="1"/>
      <c r="D185" s="1"/>
      <c r="E185" s="2"/>
      <c r="F185" s="1"/>
      <c r="G185" s="6"/>
      <c r="H185" s="1"/>
    </row>
    <row r="186" spans="1:8" ht="15" customHeight="1" x14ac:dyDescent="0.25">
      <c r="A186" s="25"/>
      <c r="B186" s="6"/>
      <c r="C186" s="1"/>
      <c r="D186" s="1"/>
      <c r="E186" s="2"/>
      <c r="F186" s="1"/>
      <c r="G186" s="6"/>
      <c r="H186" s="1"/>
    </row>
    <row r="187" spans="1:8" ht="15" customHeight="1" x14ac:dyDescent="0.25">
      <c r="A187" s="25"/>
      <c r="B187" s="6"/>
      <c r="C187" s="1"/>
      <c r="D187" s="1"/>
      <c r="E187" s="2"/>
      <c r="F187" s="1"/>
      <c r="G187" s="6"/>
      <c r="H187" s="1"/>
    </row>
    <row r="188" spans="1:8" ht="15" customHeight="1" x14ac:dyDescent="0.25">
      <c r="A188" s="25"/>
      <c r="B188" s="6"/>
      <c r="C188" s="1"/>
      <c r="D188" s="1"/>
      <c r="E188" s="2"/>
      <c r="F188" s="1"/>
      <c r="G188" s="6"/>
      <c r="H188" s="1"/>
    </row>
    <row r="189" spans="1:8" ht="15" customHeight="1" x14ac:dyDescent="0.25">
      <c r="A189" s="25"/>
      <c r="B189" s="6"/>
      <c r="C189" s="1"/>
      <c r="D189" s="1"/>
      <c r="E189" s="2"/>
      <c r="F189" s="1"/>
      <c r="G189" s="6"/>
      <c r="H189" s="1"/>
    </row>
    <row r="190" spans="1:8" ht="15" customHeight="1" x14ac:dyDescent="0.25">
      <c r="A190" s="25"/>
      <c r="B190" s="6"/>
      <c r="C190" s="1"/>
      <c r="D190" s="1"/>
      <c r="E190" s="2"/>
      <c r="F190" s="1"/>
      <c r="G190" s="6"/>
      <c r="H190" s="1"/>
    </row>
    <row r="191" spans="1:8" ht="15" customHeight="1" x14ac:dyDescent="0.25">
      <c r="A191" s="25"/>
      <c r="B191" s="6"/>
      <c r="C191" s="1"/>
      <c r="D191" s="1"/>
      <c r="E191" s="2"/>
      <c r="F191" s="1"/>
      <c r="G191" s="6"/>
      <c r="H191" s="1"/>
    </row>
    <row r="192" spans="1:8" ht="15" customHeight="1" x14ac:dyDescent="0.25">
      <c r="A192" s="25"/>
      <c r="B192" s="6"/>
      <c r="C192" s="1"/>
      <c r="D192" s="1"/>
      <c r="E192" s="2"/>
      <c r="F192" s="1"/>
      <c r="G192" s="6"/>
      <c r="H192" s="1"/>
    </row>
    <row r="193" spans="1:8" ht="15" customHeight="1" x14ac:dyDescent="0.25">
      <c r="A193" s="25"/>
      <c r="B193" s="6"/>
      <c r="C193" s="1"/>
      <c r="D193" s="1"/>
      <c r="E193" s="2"/>
      <c r="F193" s="1"/>
      <c r="G193" s="6"/>
      <c r="H193" s="1"/>
    </row>
    <row r="194" spans="1:8" ht="15" customHeight="1" x14ac:dyDescent="0.25">
      <c r="A194" s="25"/>
      <c r="B194" s="6"/>
      <c r="C194" s="1"/>
      <c r="D194" s="1"/>
      <c r="E194" s="2"/>
      <c r="F194" s="1"/>
      <c r="G194" s="6"/>
      <c r="H194" s="1"/>
    </row>
    <row r="195" spans="1:8" ht="15" customHeight="1" x14ac:dyDescent="0.25">
      <c r="A195" s="25"/>
      <c r="B195" s="6"/>
      <c r="C195" s="1"/>
      <c r="D195" s="1"/>
      <c r="E195" s="2"/>
      <c r="F195" s="1"/>
      <c r="G195" s="6"/>
      <c r="H195" s="1"/>
    </row>
    <row r="196" spans="1:8" ht="15" customHeight="1" x14ac:dyDescent="0.25">
      <c r="A196" s="25"/>
      <c r="B196" s="6"/>
      <c r="C196" s="1"/>
      <c r="D196" s="1"/>
      <c r="E196" s="2"/>
      <c r="F196" s="1"/>
      <c r="G196" s="6"/>
      <c r="H196" s="1"/>
    </row>
    <row r="197" spans="1:8" ht="15" customHeight="1" x14ac:dyDescent="0.25">
      <c r="A197" s="25"/>
      <c r="B197" s="6"/>
      <c r="C197" s="1"/>
      <c r="D197" s="1"/>
      <c r="E197" s="2"/>
      <c r="F197" s="1"/>
      <c r="G197" s="6"/>
      <c r="H197" s="1"/>
    </row>
    <row r="198" spans="1:8" ht="15" customHeight="1" x14ac:dyDescent="0.25">
      <c r="A198" s="25"/>
      <c r="B198" s="6"/>
      <c r="C198" s="1"/>
      <c r="D198" s="1"/>
      <c r="E198" s="2"/>
      <c r="F198" s="1"/>
      <c r="G198" s="6"/>
      <c r="H198" s="1"/>
    </row>
    <row r="199" spans="1:8" ht="15" customHeight="1" x14ac:dyDescent="0.25">
      <c r="A199" s="25"/>
      <c r="B199" s="6"/>
      <c r="C199" s="1"/>
      <c r="D199" s="1"/>
      <c r="E199" s="2"/>
      <c r="F199" s="1"/>
      <c r="G199" s="6"/>
      <c r="H199" s="1"/>
    </row>
    <row r="200" spans="1:8" ht="15" customHeight="1" x14ac:dyDescent="0.25">
      <c r="A200" s="25"/>
      <c r="B200" s="6"/>
      <c r="C200" s="1"/>
      <c r="D200" s="1"/>
      <c r="E200" s="2"/>
      <c r="F200" s="1"/>
      <c r="G200" s="6"/>
      <c r="H200" s="1"/>
    </row>
    <row r="201" spans="1:8" ht="15" customHeight="1" x14ac:dyDescent="0.25">
      <c r="A201" s="25"/>
      <c r="B201" s="6"/>
      <c r="C201" s="1"/>
      <c r="D201" s="1"/>
      <c r="E201" s="2"/>
      <c r="F201" s="1"/>
      <c r="G201" s="6"/>
      <c r="H201" s="1"/>
    </row>
    <row r="202" spans="1:8" ht="15" customHeight="1" x14ac:dyDescent="0.25">
      <c r="A202" s="25"/>
      <c r="B202" s="6"/>
      <c r="C202" s="1"/>
      <c r="D202" s="1"/>
      <c r="E202" s="2"/>
      <c r="F202" s="1"/>
      <c r="G202" s="6"/>
      <c r="H202" s="1"/>
    </row>
    <row r="203" spans="1:8" ht="15" customHeight="1" x14ac:dyDescent="0.25">
      <c r="A203" s="25"/>
      <c r="B203" s="6"/>
      <c r="C203" s="1"/>
      <c r="D203" s="1"/>
      <c r="E203" s="2"/>
      <c r="F203" s="1"/>
      <c r="G203" s="6"/>
      <c r="H203" s="1"/>
    </row>
    <row r="204" spans="1:8" ht="15" customHeight="1" x14ac:dyDescent="0.25">
      <c r="A204" s="25"/>
      <c r="B204" s="6"/>
      <c r="C204" s="1"/>
      <c r="D204" s="1"/>
      <c r="E204" s="2"/>
      <c r="F204" s="1"/>
      <c r="G204" s="6"/>
      <c r="H204" s="1"/>
    </row>
    <row r="205" spans="1:8" ht="15" customHeight="1" x14ac:dyDescent="0.25">
      <c r="A205" s="25"/>
      <c r="B205" s="6"/>
      <c r="C205" s="1"/>
      <c r="D205" s="1"/>
      <c r="E205" s="2"/>
      <c r="F205" s="1"/>
      <c r="G205" s="6"/>
      <c r="H205" s="1"/>
    </row>
    <row r="206" spans="1:8" ht="15" customHeight="1" x14ac:dyDescent="0.25">
      <c r="A206" s="25"/>
      <c r="B206" s="6"/>
      <c r="C206" s="1"/>
      <c r="D206" s="1"/>
      <c r="E206" s="2"/>
      <c r="F206" s="1"/>
      <c r="G206" s="6"/>
      <c r="H206" s="1"/>
    </row>
    <row r="207" spans="1:8" ht="15" customHeight="1" x14ac:dyDescent="0.25">
      <c r="A207" s="25"/>
      <c r="B207" s="6"/>
      <c r="C207" s="1"/>
      <c r="D207" s="1"/>
      <c r="E207" s="2"/>
      <c r="F207" s="1"/>
      <c r="G207" s="6"/>
      <c r="H207" s="1"/>
    </row>
    <row r="208" spans="1:8" ht="15" customHeight="1" x14ac:dyDescent="0.25">
      <c r="A208" s="25"/>
      <c r="B208" s="6"/>
      <c r="C208" s="1"/>
      <c r="D208" s="1"/>
      <c r="E208" s="2"/>
      <c r="F208" s="1"/>
      <c r="G208" s="6"/>
      <c r="H208" s="1"/>
    </row>
    <row r="209" spans="1:8" ht="15" customHeight="1" x14ac:dyDescent="0.25">
      <c r="A209" s="25"/>
      <c r="B209" s="6"/>
      <c r="C209" s="1"/>
      <c r="D209" s="1"/>
      <c r="E209" s="2"/>
      <c r="F209" s="1"/>
      <c r="G209" s="6"/>
      <c r="H209" s="1"/>
    </row>
    <row r="210" spans="1:8" ht="15" customHeight="1" x14ac:dyDescent="0.25">
      <c r="A210" s="25"/>
      <c r="B210" s="6"/>
      <c r="C210" s="1"/>
      <c r="D210" s="1"/>
      <c r="E210" s="2"/>
      <c r="F210" s="1"/>
      <c r="G210" s="6"/>
      <c r="H210" s="1"/>
    </row>
    <row r="211" spans="1:8" ht="15" customHeight="1" x14ac:dyDescent="0.25">
      <c r="A211" s="25"/>
      <c r="B211" s="6"/>
      <c r="C211" s="1"/>
      <c r="D211" s="1"/>
      <c r="E211" s="2"/>
      <c r="F211" s="1"/>
      <c r="G211" s="6"/>
      <c r="H211" s="1"/>
    </row>
    <row r="212" spans="1:8" ht="15" customHeight="1" x14ac:dyDescent="0.25">
      <c r="A212" s="25"/>
      <c r="B212" s="6"/>
      <c r="C212" s="1"/>
      <c r="D212" s="1"/>
      <c r="E212" s="2"/>
      <c r="F212" s="1"/>
      <c r="G212" s="6"/>
      <c r="H212" s="1"/>
    </row>
    <row r="213" spans="1:8" ht="15" customHeight="1" x14ac:dyDescent="0.25">
      <c r="A213" s="25"/>
      <c r="B213" s="6"/>
      <c r="C213" s="1"/>
      <c r="D213" s="1"/>
      <c r="E213" s="2"/>
      <c r="F213" s="1"/>
      <c r="G213" s="6"/>
      <c r="H213" s="1"/>
    </row>
    <row r="214" spans="1:8" ht="15" customHeight="1" x14ac:dyDescent="0.25">
      <c r="A214" s="25"/>
      <c r="B214" s="6"/>
      <c r="C214" s="1"/>
      <c r="D214" s="1"/>
      <c r="E214" s="2"/>
      <c r="F214" s="1"/>
      <c r="G214" s="6"/>
      <c r="H214" s="1"/>
    </row>
    <row r="215" spans="1:8" ht="15" customHeight="1" x14ac:dyDescent="0.25">
      <c r="A215" s="25"/>
      <c r="B215" s="6"/>
      <c r="C215" s="1"/>
      <c r="D215" s="1"/>
      <c r="E215" s="2"/>
      <c r="F215" s="1"/>
      <c r="G215" s="6"/>
      <c r="H215" s="1"/>
    </row>
    <row r="216" spans="1:8" ht="15" customHeight="1" x14ac:dyDescent="0.25">
      <c r="A216" s="25"/>
      <c r="B216" s="6"/>
      <c r="C216" s="1"/>
      <c r="D216" s="1"/>
      <c r="E216" s="2"/>
      <c r="F216" s="1"/>
      <c r="G216" s="6"/>
      <c r="H216" s="1"/>
    </row>
    <row r="217" spans="1:8" ht="15" customHeight="1" x14ac:dyDescent="0.25">
      <c r="A217" s="25"/>
      <c r="B217" s="6"/>
      <c r="C217" s="1"/>
      <c r="D217" s="1"/>
      <c r="E217" s="2"/>
      <c r="F217" s="1"/>
      <c r="G217" s="6"/>
      <c r="H217" s="1"/>
    </row>
    <row r="218" spans="1:8" ht="15" customHeight="1" x14ac:dyDescent="0.25">
      <c r="A218" s="25"/>
      <c r="B218" s="6"/>
      <c r="C218" s="1"/>
      <c r="D218" s="1"/>
      <c r="E218" s="2"/>
      <c r="F218" s="1"/>
      <c r="G218" s="6"/>
      <c r="H218" s="1"/>
    </row>
    <row r="219" spans="1:8" ht="15" customHeight="1" x14ac:dyDescent="0.25">
      <c r="A219" s="25"/>
      <c r="B219" s="6"/>
      <c r="C219" s="1"/>
      <c r="D219" s="1"/>
      <c r="E219" s="2"/>
      <c r="F219" s="1"/>
      <c r="G219" s="6"/>
      <c r="H219" s="1"/>
    </row>
    <row r="220" spans="1:8" ht="15" customHeight="1" x14ac:dyDescent="0.25">
      <c r="A220" s="25"/>
      <c r="B220" s="6"/>
      <c r="C220" s="1"/>
      <c r="D220" s="1"/>
      <c r="E220" s="2"/>
      <c r="F220" s="1"/>
      <c r="G220" s="6"/>
      <c r="H220" s="1"/>
    </row>
    <row r="221" spans="1:8" ht="15" customHeight="1" x14ac:dyDescent="0.25">
      <c r="A221" s="25"/>
      <c r="B221" s="6"/>
      <c r="C221" s="1"/>
      <c r="D221" s="1"/>
      <c r="E221" s="2"/>
      <c r="F221" s="1"/>
      <c r="G221" s="6"/>
      <c r="H221" s="1"/>
    </row>
    <row r="222" spans="1:8" ht="15" customHeight="1" x14ac:dyDescent="0.25">
      <c r="A222" s="25"/>
      <c r="B222" s="6"/>
      <c r="C222" s="1"/>
      <c r="D222" s="1"/>
      <c r="E222" s="2"/>
      <c r="F222" s="1"/>
      <c r="G222" s="6"/>
      <c r="H222" s="1"/>
    </row>
    <row r="223" spans="1:8" ht="15" customHeight="1" x14ac:dyDescent="0.25">
      <c r="A223" s="25"/>
      <c r="B223" s="6"/>
      <c r="C223" s="1"/>
      <c r="D223" s="1"/>
      <c r="E223" s="2"/>
      <c r="F223" s="1"/>
      <c r="G223" s="6"/>
      <c r="H223" s="1"/>
    </row>
    <row r="224" spans="1:8" ht="15" customHeight="1" x14ac:dyDescent="0.25">
      <c r="A224" s="25"/>
      <c r="B224" s="6"/>
      <c r="C224" s="1"/>
      <c r="D224" s="1"/>
      <c r="E224" s="2"/>
      <c r="F224" s="1"/>
      <c r="G224" s="6"/>
      <c r="H224" s="1"/>
    </row>
    <row r="225" spans="1:8" ht="15" customHeight="1" x14ac:dyDescent="0.25">
      <c r="A225" s="25"/>
      <c r="B225" s="6"/>
      <c r="C225" s="1"/>
      <c r="D225" s="1"/>
      <c r="E225" s="2"/>
      <c r="F225" s="1"/>
      <c r="G225" s="6"/>
      <c r="H225" s="1"/>
    </row>
    <row r="226" spans="1:8" ht="15" customHeight="1" x14ac:dyDescent="0.25">
      <c r="A226" s="25"/>
      <c r="B226" s="6"/>
      <c r="C226" s="1"/>
      <c r="D226" s="1"/>
      <c r="E226" s="2"/>
      <c r="F226" s="1"/>
      <c r="G226" s="6"/>
      <c r="H226" s="1"/>
    </row>
    <row r="227" spans="1:8" ht="15" customHeight="1" x14ac:dyDescent="0.25">
      <c r="A227" s="25"/>
      <c r="B227" s="6"/>
      <c r="C227" s="1"/>
      <c r="D227" s="1"/>
      <c r="E227" s="2"/>
      <c r="F227" s="1"/>
      <c r="G227" s="6"/>
      <c r="H227" s="1"/>
    </row>
    <row r="228" spans="1:8" ht="15" customHeight="1" x14ac:dyDescent="0.25">
      <c r="A228" s="25"/>
      <c r="B228" s="6"/>
      <c r="C228" s="1"/>
      <c r="D228" s="1"/>
      <c r="E228" s="2"/>
      <c r="F228" s="1"/>
      <c r="G228" s="6"/>
      <c r="H228" s="1"/>
    </row>
    <row r="229" spans="1:8" ht="15" customHeight="1" x14ac:dyDescent="0.25">
      <c r="A229" s="25"/>
      <c r="B229" s="6"/>
      <c r="C229" s="1"/>
      <c r="D229" s="1"/>
      <c r="E229" s="2"/>
      <c r="F229" s="1"/>
      <c r="G229" s="6"/>
      <c r="H229" s="1"/>
    </row>
    <row r="230" spans="1:8" ht="15" customHeight="1" x14ac:dyDescent="0.25">
      <c r="A230" s="25"/>
      <c r="B230" s="6"/>
      <c r="C230" s="1"/>
      <c r="D230" s="1"/>
      <c r="E230" s="2"/>
      <c r="F230" s="1"/>
      <c r="G230" s="6"/>
      <c r="H230" s="1"/>
    </row>
    <row r="231" spans="1:8" ht="15" customHeight="1" x14ac:dyDescent="0.25">
      <c r="A231" s="25"/>
      <c r="B231" s="6"/>
      <c r="C231" s="1"/>
      <c r="D231" s="1"/>
      <c r="E231" s="2"/>
      <c r="F231" s="1"/>
      <c r="G231" s="6"/>
      <c r="H231" s="1"/>
    </row>
    <row r="232" spans="1:8" ht="15" customHeight="1" x14ac:dyDescent="0.25">
      <c r="A232" s="25"/>
      <c r="B232" s="6"/>
      <c r="C232" s="1"/>
      <c r="D232" s="1"/>
      <c r="E232" s="2"/>
      <c r="F232" s="1"/>
      <c r="G232" s="6"/>
      <c r="H232" s="1"/>
    </row>
    <row r="233" spans="1:8" ht="15" customHeight="1" x14ac:dyDescent="0.25">
      <c r="A233" s="25"/>
      <c r="B233" s="6"/>
      <c r="C233" s="1"/>
      <c r="D233" s="1"/>
      <c r="E233" s="2"/>
      <c r="F233" s="1"/>
      <c r="G233" s="6"/>
      <c r="H233" s="1"/>
    </row>
    <row r="234" spans="1:8" ht="15" customHeight="1" x14ac:dyDescent="0.25">
      <c r="A234" s="25"/>
      <c r="B234" s="6"/>
      <c r="C234" s="1"/>
      <c r="D234" s="1"/>
      <c r="E234" s="2"/>
      <c r="F234" s="1"/>
      <c r="G234" s="6"/>
      <c r="H234" s="1"/>
    </row>
    <row r="235" spans="1:8" ht="15" customHeight="1" x14ac:dyDescent="0.25">
      <c r="A235" s="25"/>
      <c r="B235" s="6"/>
      <c r="C235" s="1"/>
      <c r="D235" s="1"/>
      <c r="E235" s="2"/>
      <c r="F235" s="1"/>
      <c r="G235" s="6"/>
      <c r="H235" s="1"/>
    </row>
    <row r="236" spans="1:8" ht="15" customHeight="1" x14ac:dyDescent="0.25">
      <c r="A236" s="25"/>
      <c r="B236" s="6"/>
      <c r="C236" s="1"/>
      <c r="D236" s="1"/>
      <c r="E236" s="2"/>
      <c r="F236" s="1"/>
      <c r="G236" s="6"/>
      <c r="H236" s="1"/>
    </row>
    <row r="237" spans="1:8" ht="15" customHeight="1" x14ac:dyDescent="0.25">
      <c r="A237" s="25"/>
      <c r="B237" s="6"/>
      <c r="C237" s="1"/>
      <c r="D237" s="1"/>
      <c r="E237" s="2"/>
      <c r="F237" s="1"/>
      <c r="G237" s="6"/>
      <c r="H237" s="1"/>
    </row>
    <row r="238" spans="1:8" ht="15" customHeight="1" x14ac:dyDescent="0.25">
      <c r="A238" s="25"/>
      <c r="B238" s="6"/>
      <c r="C238" s="1"/>
      <c r="D238" s="1"/>
      <c r="E238" s="2"/>
      <c r="F238" s="1"/>
      <c r="G238" s="6"/>
      <c r="H238" s="1"/>
    </row>
    <row r="239" spans="1:8" ht="15" customHeight="1" x14ac:dyDescent="0.25">
      <c r="A239" s="25"/>
      <c r="B239" s="6"/>
      <c r="C239" s="1"/>
      <c r="D239" s="1"/>
      <c r="E239" s="2"/>
      <c r="F239" s="1"/>
      <c r="G239" s="6"/>
      <c r="H239" s="1"/>
    </row>
    <row r="240" spans="1:8" ht="15" customHeight="1" x14ac:dyDescent="0.25">
      <c r="A240" s="25"/>
      <c r="B240" s="6"/>
      <c r="C240" s="1"/>
      <c r="D240" s="1"/>
      <c r="E240" s="2"/>
      <c r="F240" s="1"/>
      <c r="G240" s="6"/>
      <c r="H240" s="1"/>
    </row>
    <row r="241" spans="1:8" ht="15" customHeight="1" x14ac:dyDescent="0.25">
      <c r="A241" s="25"/>
      <c r="B241" s="6"/>
      <c r="C241" s="1"/>
      <c r="D241" s="1"/>
      <c r="E241" s="2"/>
      <c r="F241" s="1"/>
      <c r="G241" s="6"/>
      <c r="H241" s="1"/>
    </row>
    <row r="242" spans="1:8" ht="15" customHeight="1" x14ac:dyDescent="0.25">
      <c r="A242" s="25"/>
      <c r="B242" s="6"/>
      <c r="C242" s="1"/>
      <c r="D242" s="1"/>
      <c r="E242" s="2"/>
      <c r="F242" s="1"/>
      <c r="G242" s="6"/>
      <c r="H242" s="1"/>
    </row>
    <row r="243" spans="1:8" ht="15" customHeight="1" x14ac:dyDescent="0.25">
      <c r="A243" s="25"/>
      <c r="B243" s="6"/>
      <c r="C243" s="1"/>
      <c r="D243" s="1"/>
      <c r="E243" s="2"/>
      <c r="F243" s="1"/>
      <c r="G243" s="6"/>
      <c r="H243" s="1"/>
    </row>
    <row r="244" spans="1:8" ht="15" customHeight="1" x14ac:dyDescent="0.25">
      <c r="A244" s="25"/>
      <c r="B244" s="6"/>
      <c r="C244" s="1"/>
      <c r="D244" s="1"/>
      <c r="E244" s="2"/>
      <c r="F244" s="1"/>
      <c r="G244" s="6"/>
      <c r="H244" s="1"/>
    </row>
    <row r="245" spans="1:8" ht="15" customHeight="1" x14ac:dyDescent="0.25">
      <c r="A245" s="25"/>
      <c r="B245" s="6"/>
      <c r="C245" s="1"/>
      <c r="D245" s="1"/>
      <c r="E245" s="2"/>
      <c r="F245" s="1"/>
      <c r="G245" s="6"/>
      <c r="H245" s="1"/>
    </row>
    <row r="246" spans="1:8" ht="15" customHeight="1" x14ac:dyDescent="0.25">
      <c r="A246" s="25"/>
      <c r="B246" s="6"/>
      <c r="C246" s="1"/>
      <c r="D246" s="1"/>
      <c r="E246" s="2"/>
      <c r="F246" s="1"/>
      <c r="G246" s="6"/>
      <c r="H246" s="1"/>
    </row>
    <row r="247" spans="1:8" ht="15" customHeight="1" x14ac:dyDescent="0.25">
      <c r="A247" s="25"/>
      <c r="B247" s="6"/>
      <c r="C247" s="1"/>
      <c r="D247" s="1"/>
      <c r="E247" s="2"/>
      <c r="F247" s="1"/>
      <c r="G247" s="6"/>
      <c r="H247" s="1"/>
    </row>
    <row r="248" spans="1:8" ht="15" customHeight="1" x14ac:dyDescent="0.25">
      <c r="A248" s="25"/>
      <c r="B248" s="6"/>
      <c r="C248" s="1"/>
      <c r="D248" s="1"/>
      <c r="E248" s="2"/>
      <c r="F248" s="1"/>
      <c r="G248" s="6"/>
      <c r="H248" s="1"/>
    </row>
    <row r="249" spans="1:8" ht="15" customHeight="1" x14ac:dyDescent="0.25">
      <c r="A249" s="25"/>
      <c r="B249" s="6"/>
      <c r="C249" s="1"/>
      <c r="D249" s="1"/>
      <c r="E249" s="2"/>
      <c r="F249" s="1"/>
      <c r="G249" s="6"/>
      <c r="H249" s="1"/>
    </row>
    <row r="250" spans="1:8" ht="15" customHeight="1" x14ac:dyDescent="0.25">
      <c r="A250" s="25"/>
      <c r="B250" s="6"/>
      <c r="C250" s="1"/>
      <c r="D250" s="1"/>
      <c r="E250" s="2"/>
      <c r="F250" s="1"/>
      <c r="G250" s="6"/>
      <c r="H250" s="1"/>
    </row>
    <row r="251" spans="1:8" ht="15" customHeight="1" x14ac:dyDescent="0.25">
      <c r="A251" s="25"/>
      <c r="B251" s="6"/>
      <c r="C251" s="1"/>
      <c r="D251" s="1"/>
      <c r="E251" s="2"/>
      <c r="F251" s="1"/>
      <c r="G251" s="6"/>
      <c r="H251" s="1"/>
    </row>
    <row r="252" spans="1:8" ht="15" customHeight="1" x14ac:dyDescent="0.25">
      <c r="A252" s="25"/>
      <c r="B252" s="6"/>
      <c r="C252" s="1"/>
      <c r="D252" s="1"/>
      <c r="E252" s="2"/>
      <c r="F252" s="1"/>
      <c r="G252" s="6"/>
      <c r="H252" s="1"/>
    </row>
    <row r="253" spans="1:8" ht="15" customHeight="1" x14ac:dyDescent="0.25">
      <c r="A253" s="25"/>
      <c r="B253" s="6"/>
      <c r="C253" s="1"/>
      <c r="D253" s="1"/>
      <c r="E253" s="2"/>
      <c r="F253" s="1"/>
      <c r="G253" s="6"/>
      <c r="H253" s="1"/>
    </row>
    <row r="254" spans="1:8" ht="15" customHeight="1" x14ac:dyDescent="0.25">
      <c r="A254" s="25"/>
      <c r="B254" s="6"/>
      <c r="C254" s="1"/>
      <c r="D254" s="1"/>
      <c r="E254" s="2"/>
      <c r="F254" s="1"/>
      <c r="G254" s="6"/>
      <c r="H254" s="1"/>
    </row>
    <row r="255" spans="1:8" ht="15" customHeight="1" x14ac:dyDescent="0.25">
      <c r="A255" s="25"/>
      <c r="B255" s="6"/>
      <c r="C255" s="1"/>
      <c r="D255" s="1"/>
      <c r="E255" s="2"/>
      <c r="F255" s="1"/>
      <c r="G255" s="6"/>
      <c r="H255" s="1"/>
    </row>
    <row r="256" spans="1:8" ht="15" customHeight="1" x14ac:dyDescent="0.25">
      <c r="A256" s="25"/>
      <c r="B256" s="6"/>
      <c r="C256" s="1"/>
      <c r="D256" s="1"/>
      <c r="E256" s="2"/>
      <c r="F256" s="1"/>
      <c r="G256" s="6"/>
      <c r="H256" s="1"/>
    </row>
    <row r="257" spans="1:8" ht="15" customHeight="1" x14ac:dyDescent="0.25">
      <c r="A257" s="25"/>
      <c r="B257" s="6"/>
      <c r="C257" s="1"/>
      <c r="D257" s="1"/>
      <c r="E257" s="2"/>
      <c r="F257" s="1"/>
      <c r="G257" s="6"/>
      <c r="H257" s="1"/>
    </row>
    <row r="258" spans="1:8" ht="15" customHeight="1" x14ac:dyDescent="0.25">
      <c r="A258" s="25"/>
      <c r="B258" s="6"/>
      <c r="C258" s="1"/>
      <c r="D258" s="1"/>
      <c r="E258" s="2"/>
      <c r="F258" s="1"/>
      <c r="G258" s="6"/>
      <c r="H258" s="1"/>
    </row>
    <row r="259" spans="1:8" ht="15" customHeight="1" x14ac:dyDescent="0.25">
      <c r="A259" s="25"/>
      <c r="B259" s="6"/>
      <c r="C259" s="1"/>
      <c r="D259" s="1"/>
      <c r="E259" s="2"/>
      <c r="F259" s="1"/>
      <c r="G259" s="6"/>
      <c r="H259" s="1"/>
    </row>
    <row r="260" spans="1:8" ht="15" customHeight="1" x14ac:dyDescent="0.25">
      <c r="A260" s="25"/>
      <c r="B260" s="6"/>
      <c r="C260" s="1"/>
      <c r="D260" s="1"/>
      <c r="E260" s="2"/>
      <c r="F260" s="1"/>
      <c r="G260" s="6"/>
      <c r="H260" s="1"/>
    </row>
    <row r="261" spans="1:8" ht="15" customHeight="1" x14ac:dyDescent="0.25">
      <c r="A261" s="25"/>
      <c r="B261" s="6"/>
      <c r="C261" s="1"/>
      <c r="D261" s="1"/>
      <c r="E261" s="2"/>
      <c r="F261" s="1"/>
      <c r="G261" s="6"/>
      <c r="H261" s="1"/>
    </row>
    <row r="262" spans="1:8" ht="15" customHeight="1" x14ac:dyDescent="0.25">
      <c r="A262" s="25"/>
      <c r="B262" s="6"/>
      <c r="C262" s="1"/>
      <c r="D262" s="1"/>
      <c r="E262" s="2"/>
      <c r="F262" s="1"/>
      <c r="G262" s="6"/>
      <c r="H262" s="1"/>
    </row>
    <row r="263" spans="1:8" ht="15" customHeight="1" x14ac:dyDescent="0.25">
      <c r="A263" s="25"/>
      <c r="B263" s="6"/>
      <c r="C263" s="1"/>
      <c r="D263" s="1"/>
      <c r="E263" s="2"/>
      <c r="F263" s="1"/>
      <c r="G263" s="6"/>
      <c r="H263" s="1"/>
    </row>
    <row r="264" spans="1:8" ht="15" customHeight="1" x14ac:dyDescent="0.25">
      <c r="A264" s="25"/>
      <c r="B264" s="6"/>
      <c r="C264" s="1"/>
      <c r="D264" s="1"/>
      <c r="E264" s="2"/>
      <c r="F264" s="1"/>
      <c r="G264" s="6"/>
      <c r="H264" s="1"/>
    </row>
    <row r="265" spans="1:8" ht="15" customHeight="1" x14ac:dyDescent="0.25">
      <c r="A265" s="25"/>
      <c r="B265" s="6"/>
      <c r="C265" s="1"/>
      <c r="D265" s="1"/>
      <c r="E265" s="2"/>
      <c r="F265" s="1"/>
      <c r="G265" s="6"/>
      <c r="H265" s="1"/>
    </row>
    <row r="266" spans="1:8" ht="15" customHeight="1" x14ac:dyDescent="0.25">
      <c r="A266" s="25"/>
      <c r="B266" s="6"/>
      <c r="C266" s="1"/>
      <c r="D266" s="1"/>
      <c r="E266" s="2"/>
      <c r="F266" s="1"/>
      <c r="G266" s="6"/>
      <c r="H266" s="1"/>
    </row>
    <row r="267" spans="1:8" ht="15" customHeight="1" x14ac:dyDescent="0.25">
      <c r="A267" s="25"/>
      <c r="B267" s="6"/>
      <c r="C267" s="1"/>
      <c r="D267" s="1"/>
      <c r="E267" s="2"/>
      <c r="F267" s="1"/>
      <c r="G267" s="6"/>
      <c r="H267" s="1"/>
    </row>
    <row r="268" spans="1:8" ht="15" customHeight="1" x14ac:dyDescent="0.25">
      <c r="A268" s="25"/>
      <c r="B268" s="6"/>
      <c r="C268" s="1"/>
      <c r="D268" s="1"/>
      <c r="E268" s="2"/>
      <c r="F268" s="1"/>
      <c r="G268" s="6"/>
      <c r="H268" s="1"/>
    </row>
    <row r="269" spans="1:8" ht="15" customHeight="1" x14ac:dyDescent="0.25">
      <c r="A269" s="25"/>
      <c r="B269" s="6"/>
      <c r="C269" s="1"/>
      <c r="D269" s="1"/>
      <c r="E269" s="2"/>
      <c r="F269" s="1"/>
      <c r="G269" s="6"/>
      <c r="H269" s="1"/>
    </row>
    <row r="270" spans="1:8" ht="15" customHeight="1" x14ac:dyDescent="0.25">
      <c r="A270" s="25"/>
      <c r="B270" s="6"/>
      <c r="C270" s="1"/>
      <c r="D270" s="1"/>
      <c r="E270" s="2"/>
      <c r="F270" s="1"/>
      <c r="G270" s="6"/>
      <c r="H270" s="1"/>
    </row>
    <row r="271" spans="1:8" ht="15" customHeight="1" x14ac:dyDescent="0.25">
      <c r="A271" s="25"/>
      <c r="B271" s="6"/>
      <c r="C271" s="1"/>
      <c r="D271" s="1"/>
      <c r="E271" s="2"/>
      <c r="F271" s="1"/>
      <c r="G271" s="6"/>
      <c r="H271" s="1"/>
    </row>
    <row r="272" spans="1:8" ht="15" customHeight="1" x14ac:dyDescent="0.25">
      <c r="A272" s="25"/>
      <c r="B272" s="6"/>
      <c r="C272" s="1"/>
      <c r="D272" s="1"/>
      <c r="E272" s="2"/>
      <c r="F272" s="1"/>
      <c r="G272" s="6"/>
      <c r="H272" s="1"/>
    </row>
    <row r="273" spans="1:8" ht="15" customHeight="1" x14ac:dyDescent="0.25">
      <c r="A273" s="25"/>
      <c r="B273" s="6"/>
      <c r="C273" s="1"/>
      <c r="D273" s="1"/>
      <c r="E273" s="2"/>
      <c r="F273" s="1"/>
      <c r="G273" s="6"/>
      <c r="H273" s="1"/>
    </row>
    <row r="274" spans="1:8" ht="15" customHeight="1" x14ac:dyDescent="0.25">
      <c r="A274" s="25"/>
      <c r="B274" s="6"/>
      <c r="C274" s="1"/>
      <c r="D274" s="1"/>
      <c r="E274" s="2"/>
      <c r="F274" s="1"/>
      <c r="G274" s="6"/>
      <c r="H274" s="1"/>
    </row>
    <row r="275" spans="1:8" ht="15" customHeight="1" x14ac:dyDescent="0.25">
      <c r="A275" s="25"/>
      <c r="B275" s="6"/>
      <c r="C275" s="1"/>
      <c r="D275" s="1"/>
      <c r="E275" s="2"/>
      <c r="F275" s="1"/>
      <c r="G275" s="6"/>
      <c r="H275" s="1"/>
    </row>
    <row r="276" spans="1:8" ht="15" customHeight="1" x14ac:dyDescent="0.25">
      <c r="A276" s="25"/>
      <c r="B276" s="6"/>
      <c r="C276" s="1"/>
      <c r="D276" s="1"/>
      <c r="E276" s="2"/>
      <c r="F276" s="1"/>
      <c r="G276" s="6"/>
      <c r="H276" s="1"/>
    </row>
    <row r="277" spans="1:8" ht="15" customHeight="1" x14ac:dyDescent="0.25">
      <c r="A277" s="25"/>
      <c r="B277" s="6"/>
      <c r="C277" s="1"/>
      <c r="D277" s="1"/>
      <c r="E277" s="2"/>
      <c r="F277" s="1"/>
      <c r="G277" s="6"/>
      <c r="H277" s="1"/>
    </row>
    <row r="278" spans="1:8" ht="15" customHeight="1" x14ac:dyDescent="0.25">
      <c r="A278" s="25"/>
      <c r="B278" s="6"/>
      <c r="C278" s="1"/>
      <c r="D278" s="1"/>
      <c r="E278" s="2"/>
      <c r="F278" s="1"/>
      <c r="G278" s="6"/>
      <c r="H278" s="1"/>
    </row>
    <row r="279" spans="1:8" ht="15" customHeight="1" x14ac:dyDescent="0.25">
      <c r="A279" s="25"/>
      <c r="B279" s="6"/>
      <c r="C279" s="1"/>
      <c r="D279" s="1"/>
      <c r="E279" s="2"/>
      <c r="F279" s="1"/>
      <c r="G279" s="6"/>
      <c r="H279" s="1"/>
    </row>
    <row r="280" spans="1:8" ht="15" customHeight="1" x14ac:dyDescent="0.25">
      <c r="A280" s="25"/>
      <c r="B280" s="6"/>
      <c r="C280" s="1"/>
      <c r="D280" s="1"/>
      <c r="E280" s="2"/>
      <c r="F280" s="1"/>
      <c r="G280" s="6"/>
      <c r="H280" s="1"/>
    </row>
    <row r="281" spans="1:8" ht="15" customHeight="1" x14ac:dyDescent="0.25">
      <c r="A281" s="25"/>
      <c r="B281" s="6"/>
      <c r="C281" s="1"/>
      <c r="D281" s="1"/>
      <c r="E281" s="2"/>
      <c r="F281" s="1"/>
      <c r="G281" s="6"/>
      <c r="H281" s="1"/>
    </row>
    <row r="282" spans="1:8" ht="15" customHeight="1" x14ac:dyDescent="0.25">
      <c r="A282" s="25"/>
      <c r="B282" s="6"/>
      <c r="C282" s="1"/>
      <c r="D282" s="1"/>
      <c r="E282" s="2"/>
      <c r="F282" s="1"/>
      <c r="G282" s="6"/>
      <c r="H282" s="1"/>
    </row>
    <row r="283" spans="1:8" ht="15" customHeight="1" x14ac:dyDescent="0.25">
      <c r="A283" s="25"/>
      <c r="B283" s="6"/>
      <c r="C283" s="1"/>
      <c r="D283" s="1"/>
      <c r="E283" s="2"/>
      <c r="F283" s="1"/>
      <c r="G283" s="6"/>
      <c r="H283" s="1"/>
    </row>
    <row r="284" spans="1:8" ht="15" customHeight="1" x14ac:dyDescent="0.25">
      <c r="A284" s="25"/>
      <c r="B284" s="6"/>
      <c r="C284" s="1"/>
      <c r="D284" s="1"/>
      <c r="E284" s="2"/>
      <c r="F284" s="1"/>
      <c r="G284" s="6"/>
      <c r="H284" s="1"/>
    </row>
    <row r="285" spans="1:8" ht="15" customHeight="1" x14ac:dyDescent="0.25">
      <c r="A285" s="25"/>
      <c r="B285" s="6"/>
      <c r="C285" s="1"/>
      <c r="D285" s="1"/>
      <c r="E285" s="2"/>
      <c r="F285" s="1"/>
      <c r="G285" s="6"/>
      <c r="H285" s="1"/>
    </row>
    <row r="286" spans="1:8" ht="15" customHeight="1" x14ac:dyDescent="0.25">
      <c r="A286" s="25"/>
      <c r="B286" s="6"/>
      <c r="C286" s="1"/>
      <c r="D286" s="1"/>
      <c r="E286" s="2"/>
      <c r="F286" s="1"/>
      <c r="G286" s="6"/>
      <c r="H286" s="1"/>
    </row>
    <row r="287" spans="1:8" ht="15" customHeight="1" x14ac:dyDescent="0.25">
      <c r="A287" s="25"/>
      <c r="B287" s="6"/>
      <c r="C287" s="1"/>
      <c r="D287" s="1"/>
      <c r="E287" s="2"/>
      <c r="F287" s="1"/>
      <c r="G287" s="6"/>
      <c r="H287" s="1"/>
    </row>
    <row r="288" spans="1:8" ht="15" customHeight="1" x14ac:dyDescent="0.25">
      <c r="A288" s="25"/>
      <c r="B288" s="6"/>
      <c r="C288" s="1"/>
      <c r="D288" s="1"/>
      <c r="E288" s="2"/>
      <c r="F288" s="1"/>
      <c r="G288" s="6"/>
      <c r="H288" s="1"/>
    </row>
    <row r="289" spans="1:8" ht="15" customHeight="1" x14ac:dyDescent="0.25">
      <c r="A289" s="25"/>
      <c r="B289" s="6"/>
      <c r="C289" s="1"/>
      <c r="D289" s="1"/>
      <c r="E289" s="2"/>
      <c r="F289" s="1"/>
      <c r="G289" s="6"/>
      <c r="H289" s="1"/>
    </row>
    <row r="290" spans="1:8" ht="15" customHeight="1" x14ac:dyDescent="0.25">
      <c r="A290" s="25"/>
      <c r="B290" s="6"/>
      <c r="C290" s="1"/>
      <c r="D290" s="1"/>
      <c r="E290" s="2"/>
      <c r="F290" s="1"/>
      <c r="G290" s="6"/>
      <c r="H290" s="1"/>
    </row>
    <row r="291" spans="1:8" ht="15" customHeight="1" x14ac:dyDescent="0.25">
      <c r="A291" s="25"/>
      <c r="B291" s="6"/>
      <c r="C291" s="1"/>
      <c r="D291" s="1"/>
      <c r="E291" s="2"/>
      <c r="F291" s="1"/>
      <c r="G291" s="6"/>
      <c r="H291" s="1"/>
    </row>
    <row r="292" spans="1:8" ht="15" customHeight="1" x14ac:dyDescent="0.25">
      <c r="A292" s="25"/>
      <c r="B292" s="6"/>
      <c r="C292" s="1"/>
      <c r="D292" s="1"/>
      <c r="E292" s="2"/>
      <c r="F292" s="1"/>
      <c r="G292" s="6"/>
      <c r="H292" s="1"/>
    </row>
    <row r="293" spans="1:8" ht="15" customHeight="1" x14ac:dyDescent="0.25">
      <c r="A293" s="25"/>
      <c r="B293" s="6"/>
      <c r="C293" s="1"/>
      <c r="D293" s="1"/>
      <c r="E293" s="2"/>
      <c r="F293" s="1"/>
      <c r="G293" s="6"/>
      <c r="H293" s="1"/>
    </row>
    <row r="294" spans="1:8" ht="15" customHeight="1" x14ac:dyDescent="0.25">
      <c r="A294" s="25"/>
      <c r="B294" s="6"/>
      <c r="C294" s="1"/>
      <c r="D294" s="1"/>
      <c r="E294" s="2"/>
      <c r="F294" s="1"/>
      <c r="G294" s="6"/>
      <c r="H294" s="1"/>
    </row>
    <row r="295" spans="1:8" ht="15" customHeight="1" x14ac:dyDescent="0.25">
      <c r="A295" s="25"/>
      <c r="B295" s="6"/>
      <c r="C295" s="1"/>
      <c r="D295" s="1"/>
      <c r="E295" s="2"/>
      <c r="F295" s="1"/>
      <c r="G295" s="6"/>
      <c r="H295" s="1"/>
    </row>
    <row r="296" spans="1:8" ht="15" customHeight="1" x14ac:dyDescent="0.25">
      <c r="A296" s="25"/>
      <c r="B296" s="6"/>
      <c r="C296" s="1"/>
      <c r="D296" s="1"/>
      <c r="E296" s="2"/>
      <c r="F296" s="1"/>
      <c r="G296" s="6"/>
      <c r="H296" s="1"/>
    </row>
    <row r="297" spans="1:8" ht="15" customHeight="1" x14ac:dyDescent="0.25">
      <c r="A297" s="25"/>
      <c r="B297" s="6"/>
      <c r="C297" s="1"/>
      <c r="D297" s="1"/>
      <c r="E297" s="2"/>
      <c r="F297" s="1"/>
      <c r="G297" s="6"/>
      <c r="H297" s="1"/>
    </row>
    <row r="298" spans="1:8" ht="15" customHeight="1" x14ac:dyDescent="0.25">
      <c r="A298" s="25"/>
      <c r="B298" s="6"/>
      <c r="C298" s="1"/>
      <c r="D298" s="1"/>
      <c r="E298" s="2"/>
      <c r="F298" s="1"/>
      <c r="G298" s="6"/>
      <c r="H298" s="1"/>
    </row>
    <row r="299" spans="1:8" ht="15" customHeight="1" x14ac:dyDescent="0.25">
      <c r="A299" s="25"/>
      <c r="B299" s="6"/>
      <c r="C299" s="1"/>
      <c r="D299" s="1"/>
      <c r="E299" s="2"/>
      <c r="F299" s="1"/>
      <c r="G299" s="6"/>
      <c r="H299" s="1"/>
    </row>
    <row r="300" spans="1:8" ht="15" customHeight="1" x14ac:dyDescent="0.25">
      <c r="A300" s="25"/>
      <c r="B300" s="6"/>
      <c r="C300" s="1"/>
      <c r="D300" s="1"/>
      <c r="E300" s="2"/>
      <c r="F300" s="1"/>
      <c r="G300" s="6"/>
      <c r="H300" s="1"/>
    </row>
    <row r="301" spans="1:8" ht="15" customHeight="1" x14ac:dyDescent="0.25">
      <c r="A301" s="25"/>
      <c r="B301" s="6"/>
      <c r="C301" s="1"/>
      <c r="D301" s="1"/>
      <c r="E301" s="2"/>
      <c r="F301" s="1"/>
      <c r="G301" s="6"/>
      <c r="H301" s="1"/>
    </row>
    <row r="302" spans="1:8" ht="15" customHeight="1" x14ac:dyDescent="0.25">
      <c r="A302" s="25"/>
      <c r="B302" s="6"/>
      <c r="C302" s="1"/>
      <c r="D302" s="1"/>
      <c r="E302" s="2"/>
      <c r="F302" s="1"/>
      <c r="G302" s="6"/>
      <c r="H302" s="1"/>
    </row>
    <row r="303" spans="1:8" ht="15" customHeight="1" x14ac:dyDescent="0.25">
      <c r="A303" s="25"/>
      <c r="B303" s="6"/>
      <c r="C303" s="1"/>
      <c r="D303" s="1"/>
      <c r="E303" s="2"/>
      <c r="F303" s="1"/>
      <c r="G303" s="6"/>
      <c r="H303" s="1"/>
    </row>
    <row r="304" spans="1:8" ht="15" customHeight="1" x14ac:dyDescent="0.25">
      <c r="A304" s="25"/>
      <c r="B304" s="6"/>
      <c r="C304" s="1"/>
      <c r="D304" s="1"/>
      <c r="E304" s="2"/>
      <c r="F304" s="1"/>
      <c r="G304" s="6"/>
      <c r="H304" s="1"/>
    </row>
    <row r="305" spans="1:8" ht="15" customHeight="1" x14ac:dyDescent="0.25">
      <c r="A305" s="25"/>
      <c r="B305" s="6"/>
      <c r="C305" s="1"/>
      <c r="D305" s="1"/>
      <c r="E305" s="2"/>
      <c r="F305" s="1"/>
      <c r="G305" s="6"/>
      <c r="H305" s="1"/>
    </row>
    <row r="306" spans="1:8" ht="15" customHeight="1" x14ac:dyDescent="0.25">
      <c r="A306" s="25"/>
      <c r="B306" s="6"/>
      <c r="C306" s="1"/>
      <c r="D306" s="1"/>
      <c r="E306" s="2"/>
      <c r="F306" s="1"/>
      <c r="G306" s="6"/>
      <c r="H306" s="1"/>
    </row>
    <row r="307" spans="1:8" ht="15" customHeight="1" x14ac:dyDescent="0.25">
      <c r="A307" s="25"/>
      <c r="B307" s="6"/>
      <c r="C307" s="1"/>
      <c r="D307" s="1"/>
      <c r="E307" s="2"/>
      <c r="F307" s="1"/>
      <c r="G307" s="6"/>
      <c r="H307" s="1"/>
    </row>
    <row r="308" spans="1:8" ht="15" customHeight="1" x14ac:dyDescent="0.25">
      <c r="A308" s="25"/>
      <c r="B308" s="6"/>
      <c r="C308" s="1"/>
      <c r="D308" s="1"/>
      <c r="E308" s="2"/>
      <c r="F308" s="1"/>
      <c r="G308" s="6"/>
      <c r="H308" s="1"/>
    </row>
    <row r="309" spans="1:8" ht="15" customHeight="1" x14ac:dyDescent="0.25">
      <c r="A309" s="25"/>
      <c r="B309" s="6"/>
      <c r="C309" s="1"/>
      <c r="D309" s="1"/>
      <c r="E309" s="2"/>
      <c r="F309" s="1"/>
      <c r="G309" s="6"/>
      <c r="H309" s="1"/>
    </row>
  </sheetData>
  <autoFilter ref="A1:L96" xr:uid="{C07DA694-33CE-490A-BD2E-756A2F2C5AA1}"/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F6768-95AC-479C-BDC6-3FF012CD3762}">
  <dimension ref="A1:R311"/>
  <sheetViews>
    <sheetView showGridLines="0" topLeftCell="A58" zoomScaleNormal="100" workbookViewId="0">
      <selection activeCell="A2" sqref="A2:H92"/>
    </sheetView>
  </sheetViews>
  <sheetFormatPr defaultRowHeight="15" customHeight="1" x14ac:dyDescent="0.25"/>
  <cols>
    <col min="1" max="1" width="49" style="26" customWidth="1"/>
    <col min="2" max="2" width="19.28515625" style="7" bestFit="1" customWidth="1"/>
    <col min="3" max="3" width="12.42578125" style="5" bestFit="1" customWidth="1"/>
    <col min="4" max="4" width="30" style="3" bestFit="1" customWidth="1"/>
    <col min="5" max="5" width="11" style="4" bestFit="1" customWidth="1"/>
    <col min="6" max="6" width="17.28515625" style="3" bestFit="1" customWidth="1"/>
    <col min="7" max="7" width="19.140625" style="7" bestFit="1" customWidth="1"/>
    <col min="8" max="8" width="16.28515625" style="3" bestFit="1" customWidth="1"/>
    <col min="9" max="9" width="2" bestFit="1" customWidth="1"/>
    <col min="10" max="10" width="17" style="5" bestFit="1" customWidth="1"/>
    <col min="11" max="11" width="18" style="27" bestFit="1" customWidth="1"/>
    <col min="12" max="12" width="30" bestFit="1" customWidth="1"/>
    <col min="13" max="13" width="11.140625" bestFit="1" customWidth="1"/>
    <col min="14" max="14" width="10.5703125" bestFit="1" customWidth="1"/>
    <col min="16" max="17" width="9.5703125" bestFit="1" customWidth="1"/>
  </cols>
  <sheetData>
    <row r="1" spans="1:14" ht="14.25" customHeight="1" x14ac:dyDescent="0.25">
      <c r="A1" s="10" t="s">
        <v>0</v>
      </c>
      <c r="B1" s="10" t="s">
        <v>7</v>
      </c>
      <c r="C1" s="13" t="s">
        <v>1</v>
      </c>
      <c r="D1" s="13" t="s">
        <v>2</v>
      </c>
      <c r="E1" s="14" t="s">
        <v>3</v>
      </c>
      <c r="F1" s="13" t="s">
        <v>4</v>
      </c>
      <c r="G1" s="10" t="s">
        <v>5</v>
      </c>
      <c r="H1" s="13" t="s">
        <v>6</v>
      </c>
      <c r="I1" s="15" t="s">
        <v>12</v>
      </c>
      <c r="J1" s="16" t="s">
        <v>26</v>
      </c>
      <c r="K1" s="16" t="s">
        <v>27</v>
      </c>
      <c r="L1" s="15" t="s">
        <v>81</v>
      </c>
    </row>
    <row r="2" spans="1:14" ht="15" customHeight="1" x14ac:dyDescent="0.25">
      <c r="A2" s="21" t="str">
        <f>_xlfn.CONCAT($L$1,$I$1,F2,$I$1,J2)</f>
        <v>CUSTO PLATAFORMA - MAIO/26 - OMS CARE ORDER - 61086</v>
      </c>
      <c r="B2" s="9">
        <v>46143</v>
      </c>
      <c r="C2" s="8">
        <v>817394</v>
      </c>
      <c r="D2" s="8" t="s">
        <v>21</v>
      </c>
      <c r="E2" s="67">
        <v>-1855.814873650058</v>
      </c>
      <c r="F2" s="8" t="s">
        <v>9</v>
      </c>
      <c r="G2" s="9">
        <v>46143</v>
      </c>
      <c r="H2" s="8">
        <v>1170</v>
      </c>
      <c r="J2" s="37">
        <v>61086</v>
      </c>
      <c r="K2" s="37">
        <f>_xlfn.XLOOKUP(L2,[1]!Tabela33[BROKER],[1]!Tabela33[ID ORACLE],0,0,1)</f>
        <v>61086</v>
      </c>
      <c r="L2" s="8" t="s">
        <v>21</v>
      </c>
    </row>
    <row r="3" spans="1:14" ht="15" customHeight="1" x14ac:dyDescent="0.25">
      <c r="A3" s="21" t="str">
        <f t="shared" ref="A3:A71" si="0">_xlfn.CONCAT($L$1,$I$1,F3,$I$1,J3)</f>
        <v>CUSTO PLATAFORMA - MAIO/26 - OMS CARE ORDER - 57036</v>
      </c>
      <c r="B3" s="9">
        <v>46143</v>
      </c>
      <c r="C3" s="8">
        <v>817394</v>
      </c>
      <c r="D3" s="8" t="s">
        <v>21</v>
      </c>
      <c r="E3" s="67">
        <v>-1855.814873650058</v>
      </c>
      <c r="F3" s="8" t="s">
        <v>9</v>
      </c>
      <c r="G3" s="9">
        <v>46143</v>
      </c>
      <c r="H3" s="8">
        <v>1170</v>
      </c>
      <c r="J3" s="37">
        <v>57036</v>
      </c>
      <c r="K3" s="37">
        <f>_xlfn.XLOOKUP(L3,[1]!Tabela33[BROKER],[1]!Tabela33[ID ORACLE],0,0,1)</f>
        <v>57036</v>
      </c>
      <c r="L3" s="8" t="s">
        <v>22</v>
      </c>
      <c r="N3" s="29"/>
    </row>
    <row r="4" spans="1:14" ht="15" customHeight="1" x14ac:dyDescent="0.25">
      <c r="A4" s="21" t="str">
        <f t="shared" si="0"/>
        <v>CUSTO PLATAFORMA - MAIO/26 - OMS CARE ORDER - 115154</v>
      </c>
      <c r="B4" s="9">
        <v>46143</v>
      </c>
      <c r="C4" s="8">
        <v>817394</v>
      </c>
      <c r="D4" s="8" t="s">
        <v>21</v>
      </c>
      <c r="E4" s="67">
        <v>-1855.814873650058</v>
      </c>
      <c r="F4" s="8" t="s">
        <v>9</v>
      </c>
      <c r="G4" s="9">
        <v>46143</v>
      </c>
      <c r="H4" s="8">
        <v>1170</v>
      </c>
      <c r="J4" s="37">
        <v>115154</v>
      </c>
      <c r="K4" s="37">
        <f>_xlfn.XLOOKUP(L4,[1]!Tabela33[BROKER],[1]!Tabela33[ID ORACLE],0,0,1)</f>
        <v>115154</v>
      </c>
      <c r="L4" s="8" t="s">
        <v>23</v>
      </c>
      <c r="M4" s="30"/>
      <c r="N4" s="29"/>
    </row>
    <row r="5" spans="1:14" ht="15" customHeight="1" x14ac:dyDescent="0.25">
      <c r="A5" s="21" t="str">
        <f t="shared" si="0"/>
        <v>CUSTO PLATAFORMA - MAIO/26 - OMS CARE ORDER - 136668</v>
      </c>
      <c r="B5" s="9">
        <v>46143</v>
      </c>
      <c r="C5" s="8">
        <v>817394</v>
      </c>
      <c r="D5" s="8" t="s">
        <v>21</v>
      </c>
      <c r="E5" s="67">
        <v>-1855.814873650058</v>
      </c>
      <c r="F5" s="8" t="s">
        <v>9</v>
      </c>
      <c r="G5" s="9">
        <v>46143</v>
      </c>
      <c r="H5" s="8">
        <v>1170</v>
      </c>
      <c r="J5" s="37">
        <v>136668</v>
      </c>
      <c r="K5" s="37">
        <f>_xlfn.XLOOKUP(L5,[1]!Tabela33[BROKER],[1]!Tabela33[ID ORACLE],0,0,1)</f>
        <v>136668</v>
      </c>
      <c r="L5" s="8" t="s">
        <v>36</v>
      </c>
      <c r="M5" s="30"/>
      <c r="N5" s="29"/>
    </row>
    <row r="6" spans="1:14" ht="15" customHeight="1" x14ac:dyDescent="0.25">
      <c r="A6" s="21" t="str">
        <f t="shared" si="0"/>
        <v>CUSTO PLATAFORMA - MAIO/26 - OMS CARE ORDER - 64098</v>
      </c>
      <c r="B6" s="9">
        <v>46143</v>
      </c>
      <c r="C6" s="8">
        <v>817394</v>
      </c>
      <c r="D6" s="8" t="s">
        <v>24</v>
      </c>
      <c r="E6" s="67">
        <v>-1855.814873650058</v>
      </c>
      <c r="F6" s="8" t="s">
        <v>9</v>
      </c>
      <c r="G6" s="9">
        <v>46143</v>
      </c>
      <c r="H6" s="8">
        <v>1170</v>
      </c>
      <c r="J6" s="37">
        <v>64098</v>
      </c>
      <c r="K6" s="37">
        <f>_xlfn.XLOOKUP(L6,[1]!Tabela33[BROKER],[1]!Tabela33[ID ORACLE],0,0,1)</f>
        <v>64098</v>
      </c>
      <c r="L6" s="8" t="s">
        <v>24</v>
      </c>
      <c r="N6" s="30"/>
    </row>
    <row r="7" spans="1:14" ht="15" customHeight="1" x14ac:dyDescent="0.25">
      <c r="A7" s="21" t="str">
        <f t="shared" si="0"/>
        <v>CUSTO PLATAFORMA - MAIO/26 - OMS CARE ORDER - 36554</v>
      </c>
      <c r="B7" s="9">
        <v>46143</v>
      </c>
      <c r="C7" s="8">
        <v>817394</v>
      </c>
      <c r="D7" s="8" t="s">
        <v>40</v>
      </c>
      <c r="E7" s="67">
        <v>-1855.814873650058</v>
      </c>
      <c r="F7" s="8" t="s">
        <v>9</v>
      </c>
      <c r="G7" s="9">
        <v>46143</v>
      </c>
      <c r="H7" s="8">
        <v>1170</v>
      </c>
      <c r="J7" s="37">
        <v>36554</v>
      </c>
      <c r="K7" s="37">
        <f>_xlfn.XLOOKUP(L7,[1]!Tabela33[BROKER],[1]!Tabela33[ID ORACLE],0,0,1)</f>
        <v>0</v>
      </c>
      <c r="L7" s="8" t="s">
        <v>16</v>
      </c>
    </row>
    <row r="8" spans="1:14" ht="15" customHeight="1" x14ac:dyDescent="0.25">
      <c r="A8" s="22" t="str">
        <f t="shared" si="0"/>
        <v>CUSTO PLATAFORMA - MAIO/26 - OMS CARE ORDER - 122758</v>
      </c>
      <c r="B8" s="18">
        <v>46143</v>
      </c>
      <c r="C8" s="17">
        <v>817394</v>
      </c>
      <c r="D8" s="17" t="s">
        <v>20</v>
      </c>
      <c r="E8" s="67">
        <v>-371.16297473001202</v>
      </c>
      <c r="F8" s="17" t="s">
        <v>9</v>
      </c>
      <c r="G8" s="18">
        <v>46143</v>
      </c>
      <c r="H8" s="17">
        <v>1170</v>
      </c>
      <c r="J8" s="28">
        <v>122758</v>
      </c>
      <c r="K8" s="28">
        <f>_xlfn.XLOOKUP(L8,[1]!Tabela33[BROKER],[1]!Tabela33[ID ORACLE],0,0,1)</f>
        <v>106970</v>
      </c>
      <c r="L8" s="17" t="s">
        <v>20</v>
      </c>
    </row>
    <row r="9" spans="1:14" ht="15" customHeight="1" x14ac:dyDescent="0.25">
      <c r="A9" s="22" t="str">
        <f t="shared" si="0"/>
        <v>CUSTO PLATAFORMA - MAIO/26 - OMS CARE ORDER - 122758</v>
      </c>
      <c r="B9" s="18">
        <v>46143</v>
      </c>
      <c r="C9" s="17">
        <v>817394</v>
      </c>
      <c r="D9" s="17" t="s">
        <v>31</v>
      </c>
      <c r="E9" s="67">
        <v>-371.16297473001202</v>
      </c>
      <c r="F9" s="17" t="s">
        <v>9</v>
      </c>
      <c r="G9" s="18">
        <v>46143</v>
      </c>
      <c r="H9" s="17">
        <v>1170</v>
      </c>
      <c r="J9" s="28">
        <v>122758</v>
      </c>
      <c r="K9" s="28">
        <f>_xlfn.XLOOKUP(L9,[1]!Tabela33[BROKER],[1]!Tabela33[ID ORACLE],0,0,1)</f>
        <v>139345</v>
      </c>
      <c r="L9" s="17" t="s">
        <v>31</v>
      </c>
    </row>
    <row r="10" spans="1:14" ht="15" customHeight="1" x14ac:dyDescent="0.25">
      <c r="A10" s="22" t="str">
        <f t="shared" si="0"/>
        <v>CUSTO PLATAFORMA - MAIO/26 - OMS CARE ORDER - 122758</v>
      </c>
      <c r="B10" s="18">
        <v>46143</v>
      </c>
      <c r="C10" s="17">
        <v>817394</v>
      </c>
      <c r="D10" s="17" t="s">
        <v>19</v>
      </c>
      <c r="E10" s="67">
        <v>-371.16297473001202</v>
      </c>
      <c r="F10" s="17" t="s">
        <v>9</v>
      </c>
      <c r="G10" s="18">
        <v>46143</v>
      </c>
      <c r="H10" s="17">
        <v>1170</v>
      </c>
      <c r="J10" s="28">
        <v>122758</v>
      </c>
      <c r="K10" s="28">
        <f>_xlfn.XLOOKUP(L10,[1]!Tabela33[BROKER],[1]!Tabela33[ID ORACLE],0,0,1)</f>
        <v>22361</v>
      </c>
      <c r="L10" s="17" t="s">
        <v>19</v>
      </c>
    </row>
    <row r="11" spans="1:14" ht="15" customHeight="1" x14ac:dyDescent="0.25">
      <c r="A11" s="22" t="str">
        <f t="shared" si="0"/>
        <v>CUSTO PLATAFORMA - MAIO/26 - OMS CARE ORDER - 122758</v>
      </c>
      <c r="B11" s="18">
        <v>46143</v>
      </c>
      <c r="C11" s="17">
        <v>817394</v>
      </c>
      <c r="D11" s="17" t="s">
        <v>32</v>
      </c>
      <c r="E11" s="67">
        <v>-371.16297473001202</v>
      </c>
      <c r="F11" s="17" t="s">
        <v>9</v>
      </c>
      <c r="G11" s="18">
        <v>46143</v>
      </c>
      <c r="H11" s="17">
        <v>1170</v>
      </c>
      <c r="J11" s="28">
        <v>122758</v>
      </c>
      <c r="K11" s="28">
        <f>_xlfn.XLOOKUP(L11,[1]!Tabela33[BROKER],[1]!Tabela33[ID ORACLE],0,0,1)</f>
        <v>132975</v>
      </c>
      <c r="L11" s="17" t="s">
        <v>32</v>
      </c>
    </row>
    <row r="12" spans="1:14" ht="15" customHeight="1" x14ac:dyDescent="0.25">
      <c r="A12" s="22" t="str">
        <f t="shared" si="0"/>
        <v>CUSTO PLATAFORMA - MAIO/26 - OMS CARE ORDER - 122758</v>
      </c>
      <c r="B12" s="18">
        <v>46143</v>
      </c>
      <c r="C12" s="17">
        <v>817394</v>
      </c>
      <c r="D12" s="17" t="s">
        <v>18</v>
      </c>
      <c r="E12" s="67">
        <v>-371.16297473001202</v>
      </c>
      <c r="F12" s="17" t="s">
        <v>9</v>
      </c>
      <c r="G12" s="18">
        <v>46143</v>
      </c>
      <c r="H12" s="17">
        <v>1170</v>
      </c>
      <c r="J12" s="28">
        <v>122758</v>
      </c>
      <c r="K12" s="28">
        <f>_xlfn.XLOOKUP(L12,[1]!Tabela33[BROKER],[1]!Tabela33[ID ORACLE],0,0,1)</f>
        <v>122758</v>
      </c>
      <c r="L12" s="17" t="s">
        <v>18</v>
      </c>
      <c r="M12" s="29"/>
    </row>
    <row r="13" spans="1:14" ht="15" customHeight="1" x14ac:dyDescent="0.25">
      <c r="A13" s="21" t="str">
        <f t="shared" si="0"/>
        <v>CUSTO PLATAFORMA - MAIO/26 - OMS CARE ORDER - 125412</v>
      </c>
      <c r="B13" s="9">
        <v>46143</v>
      </c>
      <c r="C13" s="8">
        <v>817394</v>
      </c>
      <c r="D13" s="8" t="s">
        <v>29</v>
      </c>
      <c r="E13" s="67">
        <v>-1855.814873650058</v>
      </c>
      <c r="F13" s="8" t="s">
        <v>9</v>
      </c>
      <c r="G13" s="9">
        <v>46143</v>
      </c>
      <c r="H13" s="8">
        <v>1170</v>
      </c>
      <c r="J13" s="37">
        <v>125412</v>
      </c>
      <c r="K13" s="37">
        <v>52340</v>
      </c>
      <c r="L13" s="8" t="s">
        <v>29</v>
      </c>
      <c r="M13" s="30"/>
    </row>
    <row r="14" spans="1:14" ht="15" customHeight="1" x14ac:dyDescent="0.25">
      <c r="A14" s="21" t="str">
        <f t="shared" si="0"/>
        <v>CUSTO PLATAFORMA - MAIO/26 - OMS CARE ORDER - 127165</v>
      </c>
      <c r="B14" s="9">
        <v>46143</v>
      </c>
      <c r="C14" s="8">
        <v>817394</v>
      </c>
      <c r="D14" s="8" t="s">
        <v>17</v>
      </c>
      <c r="E14" s="67">
        <v>-1855.814873650058</v>
      </c>
      <c r="F14" s="8" t="s">
        <v>9</v>
      </c>
      <c r="G14" s="9">
        <v>46143</v>
      </c>
      <c r="H14" s="8">
        <v>1170</v>
      </c>
      <c r="J14" s="37">
        <v>127165</v>
      </c>
      <c r="K14" s="37">
        <f>_xlfn.XLOOKUP(L14,[1]!Tabela33[BROKER],[1]!Tabela33[ID ORACLE],0,0,1)</f>
        <v>127165</v>
      </c>
      <c r="L14" s="8" t="s">
        <v>17</v>
      </c>
    </row>
    <row r="15" spans="1:14" s="36" customFormat="1" ht="15" customHeight="1" x14ac:dyDescent="0.25">
      <c r="A15" s="23" t="str">
        <f>_xlfn.CONCAT($L$1,$I$1,F15,$I$1,J15)</f>
        <v>CUSTO PLATAFORMA - MAIO/26 - OMS CARE ORDER - 133842</v>
      </c>
      <c r="B15" s="12">
        <v>46143</v>
      </c>
      <c r="C15" s="11">
        <v>817394</v>
      </c>
      <c r="D15" s="11" t="s">
        <v>28</v>
      </c>
      <c r="E15" s="49">
        <v>-1855.814873650058</v>
      </c>
      <c r="F15" s="11" t="s">
        <v>9</v>
      </c>
      <c r="G15" s="12">
        <v>46143</v>
      </c>
      <c r="H15" s="11">
        <v>1170</v>
      </c>
      <c r="J15" s="38">
        <v>133842</v>
      </c>
      <c r="K15" s="38">
        <f>_xlfn.XLOOKUP(L15,[1]!Tabela33[BROKER],[1]!Tabela33[ID ORACLE],0,0,1)</f>
        <v>133842</v>
      </c>
      <c r="L15" s="11" t="s">
        <v>28</v>
      </c>
    </row>
    <row r="16" spans="1:14" ht="15" customHeight="1" x14ac:dyDescent="0.25">
      <c r="A16" s="22" t="str">
        <f t="shared" si="0"/>
        <v>CUSTO PLATAFORMA - MAIO/26 - TACTICS - 106970</v>
      </c>
      <c r="B16" s="18">
        <v>46143</v>
      </c>
      <c r="C16" s="17">
        <v>817394</v>
      </c>
      <c r="D16" s="17" t="s">
        <v>20</v>
      </c>
      <c r="E16" s="67">
        <v>-171.2676578227408</v>
      </c>
      <c r="F16" s="17" t="s">
        <v>10</v>
      </c>
      <c r="G16" s="18">
        <v>46143</v>
      </c>
      <c r="H16" s="17">
        <v>1170</v>
      </c>
      <c r="J16" s="28">
        <v>106970</v>
      </c>
      <c r="K16" s="28">
        <v>106970</v>
      </c>
      <c r="L16" s="17" t="s">
        <v>20</v>
      </c>
    </row>
    <row r="17" spans="1:13" ht="15" customHeight="1" x14ac:dyDescent="0.25">
      <c r="A17" s="22" t="str">
        <f t="shared" si="0"/>
        <v>CUSTO PLATAFORMA - MAIO/26 - TACTICS - 106970</v>
      </c>
      <c r="B17" s="18">
        <v>46143</v>
      </c>
      <c r="C17" s="17">
        <v>817394</v>
      </c>
      <c r="D17" s="17" t="s">
        <v>31</v>
      </c>
      <c r="E17" s="67">
        <v>-171.2676578227408</v>
      </c>
      <c r="F17" s="17" t="s">
        <v>10</v>
      </c>
      <c r="G17" s="18">
        <v>46143</v>
      </c>
      <c r="H17" s="17">
        <v>1170</v>
      </c>
      <c r="J17" s="28">
        <v>106970</v>
      </c>
      <c r="K17" s="28">
        <v>139345</v>
      </c>
      <c r="L17" s="17" t="s">
        <v>31</v>
      </c>
    </row>
    <row r="18" spans="1:13" ht="15" customHeight="1" x14ac:dyDescent="0.25">
      <c r="A18" s="22" t="str">
        <f t="shared" si="0"/>
        <v>CUSTO PLATAFORMA - MAIO/26 - TACTICS - 106970</v>
      </c>
      <c r="B18" s="18">
        <v>46143</v>
      </c>
      <c r="C18" s="17">
        <v>817394</v>
      </c>
      <c r="D18" s="17" t="s">
        <v>19</v>
      </c>
      <c r="E18" s="67">
        <v>-171.2676578227408</v>
      </c>
      <c r="F18" s="17" t="s">
        <v>10</v>
      </c>
      <c r="G18" s="18">
        <v>46143</v>
      </c>
      <c r="H18" s="17">
        <v>1170</v>
      </c>
      <c r="J18" s="28">
        <v>106970</v>
      </c>
      <c r="K18" s="28">
        <v>22361</v>
      </c>
      <c r="L18" s="17" t="s">
        <v>19</v>
      </c>
    </row>
    <row r="19" spans="1:13" ht="15" customHeight="1" x14ac:dyDescent="0.25">
      <c r="A19" s="22" t="str">
        <f t="shared" si="0"/>
        <v>CUSTO PLATAFORMA - MAIO/26 - TACTICS - 106970</v>
      </c>
      <c r="B19" s="18">
        <v>46143</v>
      </c>
      <c r="C19" s="17">
        <v>817394</v>
      </c>
      <c r="D19" s="17" t="s">
        <v>32</v>
      </c>
      <c r="E19" s="67">
        <v>-171.2676578227408</v>
      </c>
      <c r="F19" s="17" t="s">
        <v>10</v>
      </c>
      <c r="G19" s="18">
        <v>46143</v>
      </c>
      <c r="H19" s="17">
        <v>1170</v>
      </c>
      <c r="J19" s="28">
        <v>106970</v>
      </c>
      <c r="K19" s="28">
        <v>132975</v>
      </c>
      <c r="L19" s="17" t="s">
        <v>32</v>
      </c>
    </row>
    <row r="20" spans="1:13" ht="15" customHeight="1" x14ac:dyDescent="0.25">
      <c r="A20" s="22" t="str">
        <f t="shared" si="0"/>
        <v>CUSTO PLATAFORMA - MAIO/26 - TACTICS - 106970</v>
      </c>
      <c r="B20" s="18">
        <v>46143</v>
      </c>
      <c r="C20" s="17">
        <v>817394</v>
      </c>
      <c r="D20" s="17" t="s">
        <v>18</v>
      </c>
      <c r="E20" s="67">
        <v>-171.2676578227408</v>
      </c>
      <c r="F20" s="17" t="s">
        <v>10</v>
      </c>
      <c r="G20" s="18">
        <v>46143</v>
      </c>
      <c r="H20" s="17">
        <v>1170</v>
      </c>
      <c r="J20" s="28">
        <v>106970</v>
      </c>
      <c r="K20" s="28">
        <v>122758</v>
      </c>
      <c r="L20" s="17" t="s">
        <v>18</v>
      </c>
      <c r="M20" s="29"/>
    </row>
    <row r="21" spans="1:13" ht="15" customHeight="1" x14ac:dyDescent="0.25">
      <c r="A21" s="21" t="str">
        <f t="shared" si="0"/>
        <v>CUSTO PLATAFORMA - MAIO/26 - TACTICS - 122758</v>
      </c>
      <c r="B21" s="9">
        <v>46143</v>
      </c>
      <c r="C21" s="8">
        <v>817394</v>
      </c>
      <c r="D21" s="8" t="s">
        <v>20</v>
      </c>
      <c r="E21" s="67">
        <v>-171.2676578227408</v>
      </c>
      <c r="F21" s="8" t="s">
        <v>10</v>
      </c>
      <c r="G21" s="9">
        <v>46143</v>
      </c>
      <c r="H21" s="8">
        <v>1170</v>
      </c>
      <c r="J21" s="37">
        <v>122758</v>
      </c>
      <c r="K21" s="37">
        <v>106970</v>
      </c>
      <c r="L21" s="8" t="s">
        <v>20</v>
      </c>
    </row>
    <row r="22" spans="1:13" ht="15" customHeight="1" x14ac:dyDescent="0.25">
      <c r="A22" s="21" t="str">
        <f t="shared" si="0"/>
        <v>CUSTO PLATAFORMA - MAIO/26 - TACTICS - 122758</v>
      </c>
      <c r="B22" s="9">
        <v>46143</v>
      </c>
      <c r="C22" s="8">
        <v>817394</v>
      </c>
      <c r="D22" s="8" t="s">
        <v>31</v>
      </c>
      <c r="E22" s="67">
        <v>-171.2676578227408</v>
      </c>
      <c r="F22" s="8" t="s">
        <v>10</v>
      </c>
      <c r="G22" s="9">
        <v>46143</v>
      </c>
      <c r="H22" s="8">
        <v>1170</v>
      </c>
      <c r="J22" s="37">
        <v>122758</v>
      </c>
      <c r="K22" s="37">
        <v>139345</v>
      </c>
      <c r="L22" s="8" t="s">
        <v>31</v>
      </c>
    </row>
    <row r="23" spans="1:13" ht="15" customHeight="1" x14ac:dyDescent="0.25">
      <c r="A23" s="21" t="str">
        <f t="shared" si="0"/>
        <v>CUSTO PLATAFORMA - MAIO/26 - TACTICS - 122758</v>
      </c>
      <c r="B23" s="9">
        <v>46143</v>
      </c>
      <c r="C23" s="8">
        <v>817394</v>
      </c>
      <c r="D23" s="8" t="s">
        <v>19</v>
      </c>
      <c r="E23" s="67">
        <v>-171.2676578227408</v>
      </c>
      <c r="F23" s="8" t="s">
        <v>10</v>
      </c>
      <c r="G23" s="9">
        <v>46143</v>
      </c>
      <c r="H23" s="8">
        <v>1170</v>
      </c>
      <c r="J23" s="37">
        <v>122758</v>
      </c>
      <c r="K23" s="37">
        <v>22361</v>
      </c>
      <c r="L23" s="8" t="s">
        <v>19</v>
      </c>
    </row>
    <row r="24" spans="1:13" ht="15" customHeight="1" x14ac:dyDescent="0.25">
      <c r="A24" s="21" t="str">
        <f t="shared" si="0"/>
        <v>CUSTO PLATAFORMA - MAIO/26 - TACTICS - 122758</v>
      </c>
      <c r="B24" s="9">
        <v>46143</v>
      </c>
      <c r="C24" s="8">
        <v>817394</v>
      </c>
      <c r="D24" s="8" t="s">
        <v>32</v>
      </c>
      <c r="E24" s="67">
        <v>-171.2676578227408</v>
      </c>
      <c r="F24" s="8" t="s">
        <v>10</v>
      </c>
      <c r="G24" s="9">
        <v>46143</v>
      </c>
      <c r="H24" s="8">
        <v>1170</v>
      </c>
      <c r="J24" s="37">
        <v>122758</v>
      </c>
      <c r="K24" s="37">
        <v>132975</v>
      </c>
      <c r="L24" s="8" t="s">
        <v>32</v>
      </c>
    </row>
    <row r="25" spans="1:13" ht="15" customHeight="1" x14ac:dyDescent="0.25">
      <c r="A25" s="21" t="str">
        <f t="shared" si="0"/>
        <v>CUSTO PLATAFORMA - MAIO/26 - TACTICS - 122758</v>
      </c>
      <c r="B25" s="9">
        <v>46143</v>
      </c>
      <c r="C25" s="8">
        <v>817394</v>
      </c>
      <c r="D25" s="8" t="s">
        <v>18</v>
      </c>
      <c r="E25" s="67">
        <v>-171.2676578227408</v>
      </c>
      <c r="F25" s="8" t="s">
        <v>10</v>
      </c>
      <c r="G25" s="9">
        <v>46143</v>
      </c>
      <c r="H25" s="8">
        <v>1170</v>
      </c>
      <c r="J25" s="37">
        <v>122758</v>
      </c>
      <c r="K25" s="37">
        <v>122758</v>
      </c>
      <c r="L25" s="8" t="s">
        <v>18</v>
      </c>
    </row>
    <row r="26" spans="1:13" ht="15" customHeight="1" x14ac:dyDescent="0.25">
      <c r="A26" s="22" t="str">
        <f t="shared" si="0"/>
        <v>CUSTO PLATAFORMA - MAIO/26 - TACTICS - 56258</v>
      </c>
      <c r="B26" s="18">
        <v>46143</v>
      </c>
      <c r="C26" s="17">
        <v>817394</v>
      </c>
      <c r="D26" s="17" t="s">
        <v>13</v>
      </c>
      <c r="E26" s="67">
        <v>-214.08457227842601</v>
      </c>
      <c r="F26" s="17" t="s">
        <v>10</v>
      </c>
      <c r="G26" s="18">
        <v>46143</v>
      </c>
      <c r="H26" s="17">
        <v>1170</v>
      </c>
      <c r="J26" s="28">
        <v>56258</v>
      </c>
      <c r="K26" s="28">
        <f>_xlfn.XLOOKUP(L26,[1]!Tabela33[BROKER],[1]!Tabela33[ID ORACLE],0,0,1)</f>
        <v>70461</v>
      </c>
      <c r="L26" s="17" t="s">
        <v>13</v>
      </c>
    </row>
    <row r="27" spans="1:13" ht="15" customHeight="1" x14ac:dyDescent="0.25">
      <c r="A27" s="22" t="str">
        <f t="shared" si="0"/>
        <v>CUSTO PLATAFORMA - MAIO/26 - TACTICS - 56258</v>
      </c>
      <c r="B27" s="18">
        <v>46143</v>
      </c>
      <c r="C27" s="17">
        <v>817394</v>
      </c>
      <c r="D27" s="17" t="s">
        <v>14</v>
      </c>
      <c r="E27" s="67">
        <v>-214.08457227842601</v>
      </c>
      <c r="F27" s="17" t="s">
        <v>10</v>
      </c>
      <c r="G27" s="18">
        <v>46143</v>
      </c>
      <c r="H27" s="17">
        <v>1170</v>
      </c>
      <c r="J27" s="28">
        <v>56258</v>
      </c>
      <c r="K27" s="28">
        <f>_xlfn.XLOOKUP(L27,[1]!Tabela33[BROKER],[1]!Tabela33[ID ORACLE],0,0,1)</f>
        <v>24140</v>
      </c>
      <c r="L27" s="17" t="s">
        <v>14</v>
      </c>
    </row>
    <row r="28" spans="1:13" ht="15" customHeight="1" x14ac:dyDescent="0.25">
      <c r="A28" s="22" t="str">
        <f t="shared" si="0"/>
        <v>CUSTO PLATAFORMA - MAIO/26 - TACTICS - 56258</v>
      </c>
      <c r="B28" s="18">
        <v>46143</v>
      </c>
      <c r="C28" s="17">
        <v>817394</v>
      </c>
      <c r="D28" s="17" t="s">
        <v>30</v>
      </c>
      <c r="E28" s="67">
        <v>-214.08457227842601</v>
      </c>
      <c r="F28" s="17" t="s">
        <v>10</v>
      </c>
      <c r="G28" s="18">
        <v>46143</v>
      </c>
      <c r="H28" s="17">
        <v>1170</v>
      </c>
      <c r="J28" s="28">
        <v>56258</v>
      </c>
      <c r="K28" s="28">
        <f>_xlfn.XLOOKUP(L28,[1]!Tabela33[BROKER],[1]!Tabela33[ID ORACLE],0,0,1)</f>
        <v>137478</v>
      </c>
      <c r="L28" s="17" t="s">
        <v>30</v>
      </c>
    </row>
    <row r="29" spans="1:13" ht="15" customHeight="1" x14ac:dyDescent="0.25">
      <c r="A29" s="22" t="str">
        <f t="shared" si="0"/>
        <v>CUSTO PLATAFORMA - MAIO/26 - TACTICS - 56258</v>
      </c>
      <c r="B29" s="18">
        <v>46143</v>
      </c>
      <c r="C29" s="17">
        <v>817394</v>
      </c>
      <c r="D29" s="17" t="s">
        <v>15</v>
      </c>
      <c r="E29" s="67">
        <v>-214.08457227842601</v>
      </c>
      <c r="F29" s="17" t="s">
        <v>10</v>
      </c>
      <c r="G29" s="18">
        <v>46143</v>
      </c>
      <c r="H29" s="17">
        <v>1170</v>
      </c>
      <c r="J29" s="28">
        <v>56258</v>
      </c>
      <c r="K29" s="28">
        <f>_xlfn.XLOOKUP(L29,[1]!Tabela33[BROKER],[1]!Tabela33[ID ORACLE],0,0,1)</f>
        <v>56258</v>
      </c>
      <c r="L29" s="17" t="s">
        <v>15</v>
      </c>
    </row>
    <row r="30" spans="1:13" ht="15" customHeight="1" x14ac:dyDescent="0.25">
      <c r="A30" s="21" t="str">
        <f t="shared" si="0"/>
        <v>CUSTO PLATAFORMA - MAIO/26 - TACTICS - 133842</v>
      </c>
      <c r="B30" s="9">
        <v>46143</v>
      </c>
      <c r="C30" s="8">
        <v>817394</v>
      </c>
      <c r="D30" s="8" t="s">
        <v>28</v>
      </c>
      <c r="E30" s="67">
        <v>-856.33828911370438</v>
      </c>
      <c r="F30" s="8" t="s">
        <v>10</v>
      </c>
      <c r="G30" s="9">
        <v>46143</v>
      </c>
      <c r="H30" s="8">
        <v>1170</v>
      </c>
      <c r="J30" s="37">
        <v>133842</v>
      </c>
      <c r="K30" s="37">
        <f>_xlfn.XLOOKUP(L30,[1]!Tabela33[BROKER],[1]!Tabela33[ID ORACLE],0,0,1)</f>
        <v>133842</v>
      </c>
      <c r="L30" s="8" t="s">
        <v>28</v>
      </c>
    </row>
    <row r="31" spans="1:13" ht="15" customHeight="1" x14ac:dyDescent="0.25">
      <c r="A31" s="21" t="str">
        <f t="shared" si="0"/>
        <v>CUSTO PLATAFORMA - MAIO/26 - TACTICS - 61086</v>
      </c>
      <c r="B31" s="9">
        <v>46143</v>
      </c>
      <c r="C31" s="8">
        <v>817394</v>
      </c>
      <c r="D31" s="8" t="s">
        <v>21</v>
      </c>
      <c r="E31" s="67">
        <v>-856.33828911370438</v>
      </c>
      <c r="F31" s="8" t="s">
        <v>10</v>
      </c>
      <c r="G31" s="9">
        <v>46143</v>
      </c>
      <c r="H31" s="8">
        <v>1170</v>
      </c>
      <c r="J31" s="37">
        <v>61086</v>
      </c>
      <c r="K31" s="37">
        <f>_xlfn.XLOOKUP(L31,[1]!Tabela33[BROKER],[1]!Tabela33[ID ORACLE],0,0,1)</f>
        <v>61086</v>
      </c>
      <c r="L31" s="8" t="s">
        <v>21</v>
      </c>
    </row>
    <row r="32" spans="1:13" ht="15" customHeight="1" x14ac:dyDescent="0.25">
      <c r="A32" s="21" t="str">
        <f t="shared" si="0"/>
        <v>CUSTO PLATAFORMA - MAIO/26 - TACTICS - 115154</v>
      </c>
      <c r="B32" s="9">
        <v>46143</v>
      </c>
      <c r="C32" s="8">
        <v>817394</v>
      </c>
      <c r="D32" s="8" t="s">
        <v>21</v>
      </c>
      <c r="E32" s="67">
        <v>-856.33828911370438</v>
      </c>
      <c r="F32" s="8" t="s">
        <v>10</v>
      </c>
      <c r="G32" s="9">
        <v>46143</v>
      </c>
      <c r="H32" s="8">
        <v>1170</v>
      </c>
      <c r="J32" s="37">
        <v>115154</v>
      </c>
      <c r="K32" s="37">
        <f>_xlfn.XLOOKUP(L32,[1]!Tabela33[BROKER],[1]!Tabela33[ID ORACLE],0,0,1)</f>
        <v>115154</v>
      </c>
      <c r="L32" s="8" t="s">
        <v>23</v>
      </c>
    </row>
    <row r="33" spans="1:12" ht="15" customHeight="1" x14ac:dyDescent="0.25">
      <c r="A33" s="21" t="str">
        <f t="shared" si="0"/>
        <v>CUSTO PLATAFORMA - MAIO/26 - TACTICS - 57036</v>
      </c>
      <c r="B33" s="9">
        <v>46143</v>
      </c>
      <c r="C33" s="8">
        <v>817394</v>
      </c>
      <c r="D33" s="8" t="s">
        <v>21</v>
      </c>
      <c r="E33" s="67">
        <v>-856.33828911370438</v>
      </c>
      <c r="F33" s="8" t="s">
        <v>10</v>
      </c>
      <c r="G33" s="9">
        <v>46143</v>
      </c>
      <c r="H33" s="8">
        <v>1170</v>
      </c>
      <c r="J33" s="37">
        <v>57036</v>
      </c>
      <c r="K33" s="37">
        <f>_xlfn.XLOOKUP(L33,[1]!Tabela33[BROKER],[1]!Tabela33[ID ORACLE],0,0,1)</f>
        <v>57036</v>
      </c>
      <c r="L33" s="8" t="s">
        <v>22</v>
      </c>
    </row>
    <row r="34" spans="1:12" ht="15" customHeight="1" x14ac:dyDescent="0.25">
      <c r="A34" s="21" t="str">
        <f t="shared" si="0"/>
        <v>CUSTO PLATAFORMA - MAIO/26 - TACTICS - 136668</v>
      </c>
      <c r="B34" s="9">
        <v>46143</v>
      </c>
      <c r="C34" s="8">
        <v>817394</v>
      </c>
      <c r="D34" s="8" t="s">
        <v>21</v>
      </c>
      <c r="E34" s="67">
        <v>-856.33828911370438</v>
      </c>
      <c r="F34" s="8" t="s">
        <v>10</v>
      </c>
      <c r="G34" s="9">
        <v>46143</v>
      </c>
      <c r="H34" s="8">
        <v>1170</v>
      </c>
      <c r="J34" s="37">
        <v>136668</v>
      </c>
      <c r="K34" s="37">
        <f>_xlfn.XLOOKUP(L34,[1]!Tabela33[BROKER],[1]!Tabela33[ID ORACLE],0,0,1)</f>
        <v>136668</v>
      </c>
      <c r="L34" s="8" t="s">
        <v>36</v>
      </c>
    </row>
    <row r="35" spans="1:12" ht="15" customHeight="1" x14ac:dyDescent="0.25">
      <c r="A35" s="21" t="str">
        <f t="shared" si="0"/>
        <v>CUSTO PLATAFORMA - MAIO/26 - TACTICS - 64098</v>
      </c>
      <c r="B35" s="9">
        <v>46143</v>
      </c>
      <c r="C35" s="8">
        <v>817394</v>
      </c>
      <c r="D35" s="8" t="s">
        <v>24</v>
      </c>
      <c r="E35" s="67">
        <v>-856.33828911370438</v>
      </c>
      <c r="F35" s="8" t="s">
        <v>10</v>
      </c>
      <c r="G35" s="9">
        <v>46143</v>
      </c>
      <c r="H35" s="8">
        <v>1170</v>
      </c>
      <c r="J35" s="37">
        <v>64098</v>
      </c>
      <c r="K35" s="37">
        <f>_xlfn.XLOOKUP(L35,[1]!Tabela33[BROKER],[1]!Tabela33[ID ORACLE],0,0,1)</f>
        <v>64098</v>
      </c>
      <c r="L35" s="8" t="s">
        <v>24</v>
      </c>
    </row>
    <row r="36" spans="1:12" ht="15" customHeight="1" x14ac:dyDescent="0.25">
      <c r="A36" s="21" t="str">
        <f t="shared" si="0"/>
        <v>CUSTO PLATAFORMA - MAIO/26 - TACTICS - 125412</v>
      </c>
      <c r="B36" s="9">
        <v>46143</v>
      </c>
      <c r="C36" s="8">
        <v>817394</v>
      </c>
      <c r="D36" s="8" t="s">
        <v>29</v>
      </c>
      <c r="E36" s="67">
        <v>-856.33828911370438</v>
      </c>
      <c r="F36" s="8" t="s">
        <v>10</v>
      </c>
      <c r="G36" s="9">
        <v>46143</v>
      </c>
      <c r="H36" s="8">
        <v>1170</v>
      </c>
      <c r="J36" s="37">
        <v>125412</v>
      </c>
      <c r="K36" s="37">
        <v>52340</v>
      </c>
      <c r="L36" s="8" t="s">
        <v>29</v>
      </c>
    </row>
    <row r="37" spans="1:12" s="36" customFormat="1" ht="15" customHeight="1" x14ac:dyDescent="0.25">
      <c r="A37" s="23" t="str">
        <f t="shared" si="0"/>
        <v>CUSTO PLATAFORMA - MAIO/26 - TACTICS - 127165</v>
      </c>
      <c r="B37" s="12">
        <v>46143</v>
      </c>
      <c r="C37" s="11">
        <v>817394</v>
      </c>
      <c r="D37" s="11" t="s">
        <v>17</v>
      </c>
      <c r="E37" s="49">
        <v>-856.33828911370438</v>
      </c>
      <c r="F37" s="11" t="s">
        <v>10</v>
      </c>
      <c r="G37" s="12">
        <v>46143</v>
      </c>
      <c r="H37" s="11">
        <v>1170</v>
      </c>
      <c r="J37" s="38">
        <v>127165</v>
      </c>
      <c r="K37" s="38">
        <f>_xlfn.XLOOKUP(L37,[1]!Tabela33[BROKER],[1]!Tabela33[ID ORACLE],0,0,1)</f>
        <v>127165</v>
      </c>
      <c r="L37" s="11" t="s">
        <v>17</v>
      </c>
    </row>
    <row r="38" spans="1:12" ht="15" customHeight="1" x14ac:dyDescent="0.25">
      <c r="A38" s="21" t="str">
        <f t="shared" si="0"/>
        <v>CUSTO PLATAFORMA - MAIO/26 - ATG - 115154</v>
      </c>
      <c r="B38" s="9">
        <v>46143</v>
      </c>
      <c r="C38" s="8">
        <v>817394</v>
      </c>
      <c r="D38" s="8" t="s">
        <v>21</v>
      </c>
      <c r="E38" s="50">
        <f>(4991.78+70)*-1</f>
        <v>-5061.78</v>
      </c>
      <c r="F38" s="8" t="s">
        <v>8</v>
      </c>
      <c r="G38" s="9">
        <v>46143</v>
      </c>
      <c r="H38" s="8">
        <v>1170</v>
      </c>
      <c r="J38" s="37">
        <v>115154</v>
      </c>
      <c r="K38" s="37">
        <f>_xlfn.XLOOKUP(L38,[1]!Tabela33[BROKER],[1]!Tabela33[ID ORACLE],0,0,1)</f>
        <v>115154</v>
      </c>
      <c r="L38" s="8" t="s">
        <v>23</v>
      </c>
    </row>
    <row r="39" spans="1:12" ht="15" customHeight="1" x14ac:dyDescent="0.25">
      <c r="A39" s="21" t="str">
        <f t="shared" si="0"/>
        <v>CUSTO PLATAFORMA - MAIO/26 - ATG - 57038</v>
      </c>
      <c r="B39" s="9">
        <v>46143</v>
      </c>
      <c r="C39" s="8">
        <v>817394</v>
      </c>
      <c r="D39" s="8" t="s">
        <v>21</v>
      </c>
      <c r="E39" s="50">
        <f>(4855.70471753864+70)*-1</f>
        <v>-4925.7047175386397</v>
      </c>
      <c r="F39" s="8" t="s">
        <v>8</v>
      </c>
      <c r="G39" s="9">
        <v>46143</v>
      </c>
      <c r="H39" s="8">
        <v>1170</v>
      </c>
      <c r="J39" s="37">
        <v>57038</v>
      </c>
      <c r="K39" s="37">
        <v>57036</v>
      </c>
      <c r="L39" s="8" t="s">
        <v>22</v>
      </c>
    </row>
    <row r="40" spans="1:12" ht="15" customHeight="1" x14ac:dyDescent="0.25">
      <c r="A40" s="21" t="str">
        <f t="shared" si="0"/>
        <v>CUSTO PLATAFORMA - MAIO/26 - ATG - 64098</v>
      </c>
      <c r="B40" s="9">
        <v>46143</v>
      </c>
      <c r="C40" s="8">
        <v>817394</v>
      </c>
      <c r="D40" s="8" t="s">
        <v>24</v>
      </c>
      <c r="E40" s="50">
        <f>(4855.70471753864+70)*-1</f>
        <v>-4925.7047175386397</v>
      </c>
      <c r="F40" s="8" t="s">
        <v>8</v>
      </c>
      <c r="G40" s="9">
        <v>46143</v>
      </c>
      <c r="H40" s="8">
        <v>1170</v>
      </c>
      <c r="J40" s="37">
        <v>64098</v>
      </c>
      <c r="K40" s="37">
        <v>64098</v>
      </c>
      <c r="L40" s="8" t="s">
        <v>24</v>
      </c>
    </row>
    <row r="41" spans="1:12" ht="15" customHeight="1" x14ac:dyDescent="0.25">
      <c r="A41" s="22" t="str">
        <f t="shared" si="0"/>
        <v>CUSTO PLATAFORMA - MAIO/26 - ATG - 132975</v>
      </c>
      <c r="B41" s="18">
        <v>46143</v>
      </c>
      <c r="C41" s="17">
        <v>817394</v>
      </c>
      <c r="D41" s="17" t="str">
        <f>IF(K41=57038,"ALEXANDRE DA COSTA SOARES",IF(K41=115154,"ALEXANDRE DA COSTA SOARES",IF(K41=57036,"ALEXANDRE DA COSTA SOARES",IF(K41=24157,"JOSE MAURICIO GOMES TEIXEIRA",IF(K41=24203,"JOSE MAURICIO GOMES TEIXEIRA",IF(K41=24149,"CHRISTIANO MARCONDES DE BARROS LIMA",IF(K41=24137,"CHRISTIANO MARCONDES DE BARROS LIMA",_xlfn.XLOOKUP(K41,[1]!Tabela33[ID ORACLE],[1]!Tabela33[BROKER],0,0,1))))))))</f>
        <v>CESAR MARIANO SCARAMBONE MENEZES</v>
      </c>
      <c r="E41" s="50">
        <f>(809.284119589774+(35/5))*-1</f>
        <v>-816.28411958977404</v>
      </c>
      <c r="F41" s="17" t="s">
        <v>8</v>
      </c>
      <c r="G41" s="18">
        <v>46143</v>
      </c>
      <c r="H41" s="17">
        <v>1170</v>
      </c>
      <c r="J41" s="28">
        <v>132975</v>
      </c>
      <c r="K41" s="28">
        <f>_xlfn.XLOOKUP(L41,[1]!Tabela33[BROKER],[1]!Tabela33[ID ORACLE],0,0,1)</f>
        <v>106970</v>
      </c>
      <c r="L41" s="17" t="s">
        <v>20</v>
      </c>
    </row>
    <row r="42" spans="1:12" ht="15" customHeight="1" x14ac:dyDescent="0.25">
      <c r="A42" s="22" t="str">
        <f t="shared" si="0"/>
        <v>CUSTO PLATAFORMA - MAIO/26 - ATG - 132975</v>
      </c>
      <c r="B42" s="18">
        <v>46143</v>
      </c>
      <c r="C42" s="17">
        <v>817394</v>
      </c>
      <c r="D42" s="17" t="str">
        <f>IF(K42=57038,"ALEXANDRE DA COSTA SOARES",IF(K42=115154,"ALEXANDRE DA COSTA SOARES",IF(K42=57036,"ALEXANDRE DA COSTA SOARES",IF(K42=24157,"JOSE MAURICIO GOMES TEIXEIRA",IF(K42=24203,"JOSE MAURICIO GOMES TEIXEIRA",IF(K42=24149,"CHRISTIANO MARCONDES DE BARROS LIMA",IF(K42=24137,"CHRISTIANO MARCONDES DE BARROS LIMA",_xlfn.XLOOKUP(K42,[1]!Tabela33[ID ORACLE],[1]!Tabela33[BROKER],0,0,1))))))))</f>
        <v>DANIEL TEIXEIRA SIQUEIRA GONÇALVES</v>
      </c>
      <c r="E42" s="50">
        <f>(809.284119589774+(35/5))*-1</f>
        <v>-816.28411958977404</v>
      </c>
      <c r="F42" s="17" t="s">
        <v>8</v>
      </c>
      <c r="G42" s="18">
        <v>46143</v>
      </c>
      <c r="H42" s="17">
        <v>1170</v>
      </c>
      <c r="J42" s="28">
        <v>132975</v>
      </c>
      <c r="K42" s="28">
        <f>_xlfn.XLOOKUP(L42,[1]!Tabela33[BROKER],[1]!Tabela33[ID ORACLE],0,0,1)</f>
        <v>22361</v>
      </c>
      <c r="L42" s="17" t="s">
        <v>19</v>
      </c>
    </row>
    <row r="43" spans="1:12" ht="15" customHeight="1" x14ac:dyDescent="0.25">
      <c r="A43" s="22" t="str">
        <f t="shared" si="0"/>
        <v>CUSTO PLATAFORMA - MAIO/26 - ATG - 132975</v>
      </c>
      <c r="B43" s="18">
        <v>46143</v>
      </c>
      <c r="C43" s="17">
        <v>817394</v>
      </c>
      <c r="D43" s="17" t="str">
        <f>IF(K43=57038,"ALEXANDRE DA COSTA SOARES",IF(K43=115154,"ALEXANDRE DA COSTA SOARES",IF(K43=57036,"ALEXANDRE DA COSTA SOARES",IF(K43=24157,"JOSE MAURICIO GOMES TEIXEIRA",IF(K43=24203,"JOSE MAURICIO GOMES TEIXEIRA",IF(K43=24149,"CHRISTIANO MARCONDES DE BARROS LIMA",IF(K43=24137,"CHRISTIANO MARCONDES DE BARROS LIMA",_xlfn.XLOOKUP(K43,[1]!Tabela33[ID ORACLE],[1]!Tabela33[BROKER],0,0,1))))))))</f>
        <v>FELIPE MEIRELLES RACCAH</v>
      </c>
      <c r="E43" s="50">
        <f>(809.284119589774+(35/5))*-1</f>
        <v>-816.28411958977404</v>
      </c>
      <c r="F43" s="17" t="s">
        <v>8</v>
      </c>
      <c r="G43" s="18">
        <v>46143</v>
      </c>
      <c r="H43" s="17">
        <v>1170</v>
      </c>
      <c r="J43" s="28">
        <v>132975</v>
      </c>
      <c r="K43" s="28">
        <f>_xlfn.XLOOKUP(L43,[1]!Tabela33[BROKER],[1]!Tabela33[ID ORACLE],0,0,1)</f>
        <v>139345</v>
      </c>
      <c r="L43" s="17" t="s">
        <v>31</v>
      </c>
    </row>
    <row r="44" spans="1:12" ht="15" customHeight="1" x14ac:dyDescent="0.25">
      <c r="A44" s="22" t="str">
        <f t="shared" si="0"/>
        <v>CUSTO PLATAFORMA - MAIO/26 - ATG - 132975</v>
      </c>
      <c r="B44" s="18">
        <v>46143</v>
      </c>
      <c r="C44" s="17">
        <v>817394</v>
      </c>
      <c r="D44" s="17" t="str">
        <f>IF(K44=57038,"ALEXANDRE DA COSTA SOARES",IF(K44=115154,"ALEXANDRE DA COSTA SOARES",IF(K44=57036,"ALEXANDRE DA COSTA SOARES",IF(K44=24157,"JOSE MAURICIO GOMES TEIXEIRA",IF(K44=24203,"JOSE MAURICIO GOMES TEIXEIRA",IF(K44=24149,"CHRISTIANO MARCONDES DE BARROS LIMA",IF(K44=24137,"CHRISTIANO MARCONDES DE BARROS LIMA",_xlfn.XLOOKUP(K44,[1]!Tabela33[ID ORACLE],[1]!Tabela33[BROKER],0,0,1))))))))</f>
        <v>MATHEUS NACIF NESRALLAH</v>
      </c>
      <c r="E44" s="50">
        <f>(809.284119589774+(35/5))*-1</f>
        <v>-816.28411958977404</v>
      </c>
      <c r="F44" s="17" t="s">
        <v>8</v>
      </c>
      <c r="G44" s="18">
        <v>46143</v>
      </c>
      <c r="H44" s="17">
        <v>1170</v>
      </c>
      <c r="J44" s="28">
        <v>132975</v>
      </c>
      <c r="K44" s="28">
        <f>_xlfn.XLOOKUP(L44,[1]!Tabela33[BROKER],[1]!Tabela33[ID ORACLE],0,0,1)</f>
        <v>132975</v>
      </c>
      <c r="L44" s="17" t="s">
        <v>32</v>
      </c>
    </row>
    <row r="45" spans="1:12" ht="15" customHeight="1" x14ac:dyDescent="0.25">
      <c r="A45" s="22" t="str">
        <f t="shared" si="0"/>
        <v>CUSTO PLATAFORMA - MAIO/26 - ATG - 132975</v>
      </c>
      <c r="B45" s="18">
        <v>46143</v>
      </c>
      <c r="C45" s="17">
        <v>817394</v>
      </c>
      <c r="D45" s="17" t="str">
        <f>IF(K45=57038,"ALEXANDRE DA COSTA SOARES",IF(K45=115154,"ALEXANDRE DA COSTA SOARES",IF(K45=57036,"ALEXANDRE DA COSTA SOARES",IF(K45=24157,"JOSE MAURICIO GOMES TEIXEIRA",IF(K45=24203,"JOSE MAURICIO GOMES TEIXEIRA",IF(K45=24149,"CHRISTIANO MARCONDES DE BARROS LIMA",IF(K45=24137,"CHRISTIANO MARCONDES DE BARROS LIMA",_xlfn.XLOOKUP(K45,[1]!Tabela33[ID ORACLE],[1]!Tabela33[BROKER],0,0,1))))))))</f>
        <v>ANDRE FERREIRA DOS SANTOS</v>
      </c>
      <c r="E45" s="50">
        <f>(809.284119589774+(35/5))*-1</f>
        <v>-816.28411958977404</v>
      </c>
      <c r="F45" s="17" t="s">
        <v>8</v>
      </c>
      <c r="G45" s="18">
        <v>46143</v>
      </c>
      <c r="H45" s="17">
        <v>1170</v>
      </c>
      <c r="J45" s="28">
        <v>132975</v>
      </c>
      <c r="K45" s="28">
        <f>_xlfn.XLOOKUP(L45,[1]!Tabela33[BROKER],[1]!Tabela33[ID ORACLE],0,0,1)</f>
        <v>122758</v>
      </c>
      <c r="L45" s="17" t="s">
        <v>18</v>
      </c>
    </row>
    <row r="46" spans="1:12" ht="15" customHeight="1" x14ac:dyDescent="0.25">
      <c r="A46" s="21" t="str">
        <f t="shared" si="0"/>
        <v>CUSTO PLATAFORMA - MAIO/26 - ATG - 158778</v>
      </c>
      <c r="B46" s="9">
        <v>46143</v>
      </c>
      <c r="C46" s="8">
        <v>817394</v>
      </c>
      <c r="D46" s="8" t="s">
        <v>64</v>
      </c>
      <c r="E46" s="50">
        <f>(6355.70471753864+70)*-1</f>
        <v>-6425.7047175386397</v>
      </c>
      <c r="F46" s="8" t="s">
        <v>8</v>
      </c>
      <c r="G46" s="9">
        <v>46143</v>
      </c>
      <c r="H46" s="8">
        <v>1170</v>
      </c>
      <c r="J46" s="37">
        <v>158778</v>
      </c>
      <c r="K46" s="37">
        <f>_xlfn.XLOOKUP(L46,[1]!Tabela33[BROKER],[1]!Tabela33[ID ORACLE],0,0,1)</f>
        <v>158778</v>
      </c>
      <c r="L46" s="8" t="s">
        <v>65</v>
      </c>
    </row>
    <row r="47" spans="1:12" ht="15" customHeight="1" x14ac:dyDescent="0.25">
      <c r="A47" s="21" t="str">
        <f t="shared" si="0"/>
        <v>CUSTO PLATAFORMA - MAIO/26 - ATG - 125412</v>
      </c>
      <c r="B47" s="9">
        <v>46143</v>
      </c>
      <c r="C47" s="8">
        <v>817394</v>
      </c>
      <c r="D47" s="8" t="s">
        <v>29</v>
      </c>
      <c r="E47" s="50">
        <f>(4855.70471753864+35)*-1</f>
        <v>-4890.7047175386397</v>
      </c>
      <c r="F47" s="8" t="s">
        <v>8</v>
      </c>
      <c r="G47" s="9">
        <v>46143</v>
      </c>
      <c r="H47" s="8">
        <v>1170</v>
      </c>
      <c r="J47" s="37">
        <v>125412</v>
      </c>
      <c r="K47" s="37">
        <v>52340</v>
      </c>
      <c r="L47" s="8" t="s">
        <v>29</v>
      </c>
    </row>
    <row r="48" spans="1:12" ht="15" customHeight="1" x14ac:dyDescent="0.25">
      <c r="A48" s="23" t="str">
        <f>_xlfn.CONCAT($L$1,$I$1,F48,$I$1,J48)</f>
        <v>CUSTO PLATAFORMA - MAIO/26 - ATG - 127165</v>
      </c>
      <c r="B48" s="12">
        <v>46143</v>
      </c>
      <c r="C48" s="11">
        <v>817394</v>
      </c>
      <c r="D48" s="11" t="s">
        <v>17</v>
      </c>
      <c r="E48" s="49">
        <f>(9592.84119589774+35)*-1</f>
        <v>-9627.8411958977395</v>
      </c>
      <c r="F48" s="11" t="s">
        <v>8</v>
      </c>
      <c r="G48" s="12">
        <v>46143</v>
      </c>
      <c r="H48" s="11">
        <v>1170</v>
      </c>
      <c r="I48" s="36"/>
      <c r="J48" s="38">
        <v>127165</v>
      </c>
      <c r="K48" s="38">
        <f>_xlfn.XLOOKUP(L48,[1]!Tabela33[BROKER],[1]!Tabela33[ID ORACLE],0,0,1)</f>
        <v>127165</v>
      </c>
      <c r="L48" s="11" t="s">
        <v>17</v>
      </c>
    </row>
    <row r="49" spans="1:12" ht="15" customHeight="1" x14ac:dyDescent="0.25">
      <c r="A49" s="22" t="str">
        <f t="shared" si="0"/>
        <v>CUSTO PLATAFORMA - MAIO/26 - TRADING TECHNOLOGIES - 22361</v>
      </c>
      <c r="B49" s="18">
        <v>46143</v>
      </c>
      <c r="C49" s="17">
        <v>817394</v>
      </c>
      <c r="D49" s="17" t="str">
        <f>IF(K49=57038,"ALEXANDRE DA COSTA SOARES",IF(K49=115154,"ALEXANDRE DA COSTA SOARES",IF(K49=57036,"ALEXANDRE DA COSTA SOARES",IF(K49=24157,"JOSE MAURICIO GOMES TEIXEIRA",IF(K49=24203,"JOSE MAURICIO GOMES TEIXEIRA",IF(K49=24149,"CHRISTIANO MARCONDES DE BARROS LIMA",IF(K49=24137,"CHRISTIANO MARCONDES DE BARROS LIMA",_xlfn.XLOOKUP(K49,[1]!Tabela33[ID ORACLE],[1]!Tabela33[BROKER],0,0,1))))))))</f>
        <v>CESAR MARIANO SCARAMBONE MENEZES</v>
      </c>
      <c r="E49" s="50">
        <v>-151.70699999999999</v>
      </c>
      <c r="F49" s="32" t="s">
        <v>11</v>
      </c>
      <c r="G49" s="18">
        <v>46143</v>
      </c>
      <c r="H49" s="17">
        <v>1170</v>
      </c>
      <c r="J49" s="28">
        <v>22361</v>
      </c>
      <c r="K49" s="28">
        <f>_xlfn.XLOOKUP(L49,[1]!Tabela33[BROKER],[1]!Tabela33[ID ORACLE],0,0,1)</f>
        <v>106970</v>
      </c>
      <c r="L49" s="17" t="s">
        <v>20</v>
      </c>
    </row>
    <row r="50" spans="1:12" ht="15" customHeight="1" x14ac:dyDescent="0.25">
      <c r="A50" s="22" t="str">
        <f t="shared" si="0"/>
        <v>CUSTO PLATAFORMA - MAIO/26 - TRADING TECHNOLOGIES - 22361</v>
      </c>
      <c r="B50" s="18">
        <v>46143</v>
      </c>
      <c r="C50" s="17">
        <v>817394</v>
      </c>
      <c r="D50" s="17" t="str">
        <f>IF(K50=57038,"ALEXANDRE DA COSTA SOARES",IF(K50=115154,"ALEXANDRE DA COSTA SOARES",IF(K50=57036,"ALEXANDRE DA COSTA SOARES",IF(K50=24157,"JOSE MAURICIO GOMES TEIXEIRA",IF(K50=24203,"JOSE MAURICIO GOMES TEIXEIRA",IF(K50=24149,"CHRISTIANO MARCONDES DE BARROS LIMA",IF(K50=24137,"CHRISTIANO MARCONDES DE BARROS LIMA",_xlfn.XLOOKUP(K50,[1]!Tabela33[ID ORACLE],[1]!Tabela33[BROKER],0,0,1))))))))</f>
        <v>FELIPE MEIRELLES RACCAH</v>
      </c>
      <c r="E50" s="50">
        <v>-151.70699999999999</v>
      </c>
      <c r="F50" s="32" t="s">
        <v>11</v>
      </c>
      <c r="G50" s="18">
        <v>46143</v>
      </c>
      <c r="H50" s="17">
        <v>1170</v>
      </c>
      <c r="J50" s="28">
        <v>22361</v>
      </c>
      <c r="K50" s="28">
        <f>_xlfn.XLOOKUP(L50,[1]!Tabela33[BROKER],[1]!Tabela33[ID ORACLE],0,0,1)</f>
        <v>139345</v>
      </c>
      <c r="L50" s="17" t="s">
        <v>31</v>
      </c>
    </row>
    <row r="51" spans="1:12" ht="15" customHeight="1" x14ac:dyDescent="0.25">
      <c r="A51" s="22" t="str">
        <f t="shared" si="0"/>
        <v>CUSTO PLATAFORMA - MAIO/26 - TRADING TECHNOLOGIES - 22361</v>
      </c>
      <c r="B51" s="18">
        <v>46143</v>
      </c>
      <c r="C51" s="17">
        <v>817394</v>
      </c>
      <c r="D51" s="17" t="str">
        <f>IF(K51=57038,"ALEXANDRE DA COSTA SOARES",IF(K51=115154,"ALEXANDRE DA COSTA SOARES",IF(K51=57036,"ALEXANDRE DA COSTA SOARES",IF(K51=24157,"JOSE MAURICIO GOMES TEIXEIRA",IF(K51=24203,"JOSE MAURICIO GOMES TEIXEIRA",IF(K51=24149,"CHRISTIANO MARCONDES DE BARROS LIMA",IF(K51=24137,"CHRISTIANO MARCONDES DE BARROS LIMA",_xlfn.XLOOKUP(K51,[1]!Tabela33[ID ORACLE],[1]!Tabela33[BROKER],0,0,1))))))))</f>
        <v>DANIEL TEIXEIRA SIQUEIRA GONÇALVES</v>
      </c>
      <c r="E51" s="50">
        <v>-151.70699999999999</v>
      </c>
      <c r="F51" s="32" t="s">
        <v>11</v>
      </c>
      <c r="G51" s="18">
        <v>46143</v>
      </c>
      <c r="H51" s="17">
        <v>1170</v>
      </c>
      <c r="J51" s="28">
        <v>22361</v>
      </c>
      <c r="K51" s="28">
        <f>_xlfn.XLOOKUP(L51,[1]!Tabela33[BROKER],[1]!Tabela33[ID ORACLE],0,0,1)</f>
        <v>22361</v>
      </c>
      <c r="L51" s="17" t="s">
        <v>19</v>
      </c>
    </row>
    <row r="52" spans="1:12" ht="15" customHeight="1" x14ac:dyDescent="0.25">
      <c r="A52" s="22" t="str">
        <f t="shared" si="0"/>
        <v>CUSTO PLATAFORMA - MAIO/26 - TRADING TECHNOLOGIES - 22361</v>
      </c>
      <c r="B52" s="18">
        <v>46143</v>
      </c>
      <c r="C52" s="17">
        <v>817394</v>
      </c>
      <c r="D52" s="17" t="str">
        <f>IF(K52=57038,"ALEXANDRE DA COSTA SOARES",IF(K52=115154,"ALEXANDRE DA COSTA SOARES",IF(K52=57036,"ALEXANDRE DA COSTA SOARES",IF(K52=24157,"JOSE MAURICIO GOMES TEIXEIRA",IF(K52=24203,"JOSE MAURICIO GOMES TEIXEIRA",IF(K52=24149,"CHRISTIANO MARCONDES DE BARROS LIMA",IF(K52=24137,"CHRISTIANO MARCONDES DE BARROS LIMA",_xlfn.XLOOKUP(K52,[1]!Tabela33[ID ORACLE],[1]!Tabela33[BROKER],0,0,1))))))))</f>
        <v>MATHEUS NACIF NESRALLAH</v>
      </c>
      <c r="E52" s="50">
        <v>-151.70699999999999</v>
      </c>
      <c r="F52" s="32" t="s">
        <v>11</v>
      </c>
      <c r="G52" s="18">
        <v>46143</v>
      </c>
      <c r="H52" s="17">
        <v>1170</v>
      </c>
      <c r="J52" s="28">
        <v>22361</v>
      </c>
      <c r="K52" s="28">
        <f>_xlfn.XLOOKUP(L52,[1]!Tabela33[BROKER],[1]!Tabela33[ID ORACLE],0,0,1)</f>
        <v>132975</v>
      </c>
      <c r="L52" s="17" t="s">
        <v>32</v>
      </c>
    </row>
    <row r="53" spans="1:12" ht="15" customHeight="1" x14ac:dyDescent="0.25">
      <c r="A53" s="24" t="str">
        <f t="shared" si="0"/>
        <v>CUSTO PLATAFORMA - MAIO/26 - TRADING TECHNOLOGIES - 22361</v>
      </c>
      <c r="B53" s="20">
        <v>46143</v>
      </c>
      <c r="C53" s="19">
        <v>817394</v>
      </c>
      <c r="D53" s="19" t="str">
        <f>IF(K53=57038,"ALEXANDRE DA COSTA SOARES",IF(K53=115154,"ALEXANDRE DA COSTA SOARES",IF(K53=57036,"ALEXANDRE DA COSTA SOARES",IF(K53=24157,"JOSE MAURICIO GOMES TEIXEIRA",IF(K53=24203,"JOSE MAURICIO GOMES TEIXEIRA",IF(K53=24149,"CHRISTIANO MARCONDES DE BARROS LIMA",IF(K53=24137,"CHRISTIANO MARCONDES DE BARROS LIMA",_xlfn.XLOOKUP(K53,[1]!Tabela33[ID ORACLE],[1]!Tabela33[BROKER],0,0,1))))))))</f>
        <v>ANDRE FERREIRA DOS SANTOS</v>
      </c>
      <c r="E53" s="49">
        <v>-151.70699999999999</v>
      </c>
      <c r="F53" s="34" t="s">
        <v>11</v>
      </c>
      <c r="G53" s="20">
        <v>46143</v>
      </c>
      <c r="H53" s="19">
        <v>1170</v>
      </c>
      <c r="I53" s="36"/>
      <c r="J53" s="35">
        <v>22361</v>
      </c>
      <c r="K53" s="35">
        <f>_xlfn.XLOOKUP(L53,[1]!Tabela33[BROKER],[1]!Tabela33[ID ORACLE],0,0,1)</f>
        <v>122758</v>
      </c>
      <c r="L53" s="19" t="s">
        <v>18</v>
      </c>
    </row>
    <row r="54" spans="1:12" ht="15" customHeight="1" x14ac:dyDescent="0.25">
      <c r="A54" s="61" t="str">
        <f t="shared" si="0"/>
        <v>CUSTO PLATAFORMA - MAIO/26 - TRADING TECHNOLOGIES - 61086</v>
      </c>
      <c r="B54" s="62">
        <v>46143</v>
      </c>
      <c r="C54" s="63">
        <v>817394</v>
      </c>
      <c r="D54" s="63" t="str">
        <f>IF(K54=57038,"ALEXANDRE DA COSTA SOARES",IF(K54=115154,"ALEXANDRE DA COSTA SOARES",IF(K54=57036,"ALEXANDRE DA COSTA SOARES",IF(K54=24157,"JOSE MAURICIO GOMES TEIXEIRA",IF(K54=24203,"JOSE MAURICIO GOMES TEIXEIRA",IF(K54=24149,"CHRISTIANO MARCONDES DE BARROS LIMA",IF(K54=24137,"CHRISTIANO MARCONDES DE BARROS LIMA",_xlfn.XLOOKUP(K54,[1]!Tabela33[ID ORACLE],[1]!Tabela33[BROKER],0,0,1))))))))</f>
        <v>ALEXANDRE DA COSTA SOARES</v>
      </c>
      <c r="E54" s="68">
        <v>-505.69</v>
      </c>
      <c r="F54" s="64" t="s">
        <v>11</v>
      </c>
      <c r="G54" s="62">
        <v>46143</v>
      </c>
      <c r="H54" s="63">
        <v>1170</v>
      </c>
      <c r="I54" s="65"/>
      <c r="J54" s="66">
        <v>61086</v>
      </c>
      <c r="K54" s="66">
        <v>61086</v>
      </c>
      <c r="L54" s="63" t="s">
        <v>21</v>
      </c>
    </row>
    <row r="55" spans="1:12" ht="15" customHeight="1" x14ac:dyDescent="0.25">
      <c r="A55" s="22" t="str">
        <f t="shared" si="0"/>
        <v>CUSTO PLATAFORMA - MAIO/26 - SILICON TRADER - 22361</v>
      </c>
      <c r="B55" s="18">
        <v>46143</v>
      </c>
      <c r="C55" s="17">
        <v>817394</v>
      </c>
      <c r="D55" s="32" t="str">
        <f>IF(K55=57038,"ALEXANDRE DA COSTA SOARES",IF(K55=115154,"ALEXANDRE DA COSTA SOARES",IF(K55=57036,"ALEXANDRE DA COSTA SOARES",IF(K55=24157,"JOSE MAURICIO GOMES TEIXEIRA",IF(K55=24203,"JOSE MAURICIO GOMES TEIXEIRA",IF(K55=24149,"CHRISTIANO MARCONDES DE BARROS LIMA",IF(K55=24137,"CHRISTIANO MARCONDES DE BARROS LIMA",_xlfn.XLOOKUP(K55,[1]!Tabela33[ID ORACLE],[1]!Tabela33[BROKER],0,0,1))))))))</f>
        <v>CESAR MARIANO SCARAMBONE MENEZES</v>
      </c>
      <c r="E55" s="50">
        <v>-736.78</v>
      </c>
      <c r="F55" s="32" t="s">
        <v>33</v>
      </c>
      <c r="G55" s="18">
        <v>46143</v>
      </c>
      <c r="H55" s="17">
        <v>1170</v>
      </c>
      <c r="J55" s="28">
        <v>22361</v>
      </c>
      <c r="K55" s="28">
        <f>_xlfn.XLOOKUP(L55,[1]!Tabela33[BROKER],[1]!Tabela33[ID ORACLE],0,0,1)</f>
        <v>106970</v>
      </c>
      <c r="L55" s="17" t="s">
        <v>20</v>
      </c>
    </row>
    <row r="56" spans="1:12" ht="15" customHeight="1" x14ac:dyDescent="0.25">
      <c r="A56" s="22" t="str">
        <f t="shared" si="0"/>
        <v>CUSTO PLATAFORMA - MAIO/26 - SILICON TRADER - 22361</v>
      </c>
      <c r="B56" s="18">
        <v>46143</v>
      </c>
      <c r="C56" s="17">
        <v>817394</v>
      </c>
      <c r="D56" s="32" t="str">
        <f>IF(K56=57038,"ALEXANDRE DA COSTA SOARES",IF(K56=115154,"ALEXANDRE DA COSTA SOARES",IF(K56=57036,"ALEXANDRE DA COSTA SOARES",IF(K56=24157,"JOSE MAURICIO GOMES TEIXEIRA",IF(K56=24203,"JOSE MAURICIO GOMES TEIXEIRA",IF(K56=24149,"CHRISTIANO MARCONDES DE BARROS LIMA",IF(K56=24137,"CHRISTIANO MARCONDES DE BARROS LIMA",_xlfn.XLOOKUP(K56,[1]!Tabela33[ID ORACLE],[1]!Tabela33[BROKER],0,0,1))))))))</f>
        <v>DANIEL TEIXEIRA SIQUEIRA GONÇALVES</v>
      </c>
      <c r="E56" s="50">
        <v>-736.78</v>
      </c>
      <c r="F56" s="32" t="s">
        <v>33</v>
      </c>
      <c r="G56" s="18">
        <v>46143</v>
      </c>
      <c r="H56" s="17">
        <v>1170</v>
      </c>
      <c r="J56" s="28">
        <v>22361</v>
      </c>
      <c r="K56" s="28">
        <f>_xlfn.XLOOKUP(L56,[1]!Tabela33[BROKER],[1]!Tabela33[ID ORACLE],0,0,1)</f>
        <v>22361</v>
      </c>
      <c r="L56" s="17" t="s">
        <v>19</v>
      </c>
    </row>
    <row r="57" spans="1:12" ht="15" customHeight="1" x14ac:dyDescent="0.25">
      <c r="A57" s="22" t="str">
        <f t="shared" si="0"/>
        <v>CUSTO PLATAFORMA - MAIO/26 - SILICON TRADER - 22361</v>
      </c>
      <c r="B57" s="18">
        <v>46143</v>
      </c>
      <c r="C57" s="17">
        <v>817394</v>
      </c>
      <c r="D57" s="32" t="str">
        <f>IF(K57=57038,"ALEXANDRE DA COSTA SOARES",IF(K57=115154,"ALEXANDRE DA COSTA SOARES",IF(K57=57036,"ALEXANDRE DA COSTA SOARES",IF(K57=24157,"JOSE MAURICIO GOMES TEIXEIRA",IF(K57=24203,"JOSE MAURICIO GOMES TEIXEIRA",IF(K57=24149,"CHRISTIANO MARCONDES DE BARROS LIMA",IF(K57=24137,"CHRISTIANO MARCONDES DE BARROS LIMA",_xlfn.XLOOKUP(K57,[1]!Tabela33[ID ORACLE],[1]!Tabela33[BROKER],0,0,1))))))))</f>
        <v>FELIPE MEIRELLES RACCAH</v>
      </c>
      <c r="E57" s="50">
        <v>-736.78</v>
      </c>
      <c r="F57" s="32" t="s">
        <v>33</v>
      </c>
      <c r="G57" s="18">
        <v>46143</v>
      </c>
      <c r="H57" s="17">
        <v>1170</v>
      </c>
      <c r="J57" s="28">
        <v>22361</v>
      </c>
      <c r="K57" s="28">
        <f>_xlfn.XLOOKUP(L57,[1]!Tabela33[BROKER],[1]!Tabela33[ID ORACLE],0,0,1)</f>
        <v>139345</v>
      </c>
      <c r="L57" s="17" t="s">
        <v>31</v>
      </c>
    </row>
    <row r="58" spans="1:12" ht="15" customHeight="1" x14ac:dyDescent="0.25">
      <c r="A58" s="22" t="str">
        <f t="shared" si="0"/>
        <v>CUSTO PLATAFORMA - MAIO/26 - SILICON TRADER - 22361</v>
      </c>
      <c r="B58" s="18">
        <v>46143</v>
      </c>
      <c r="C58" s="17">
        <v>817394</v>
      </c>
      <c r="D58" s="32" t="str">
        <f>IF(K58=57038,"ALEXANDRE DA COSTA SOARES",IF(K58=115154,"ALEXANDRE DA COSTA SOARES",IF(K58=57036,"ALEXANDRE DA COSTA SOARES",IF(K58=24157,"JOSE MAURICIO GOMES TEIXEIRA",IF(K58=24203,"JOSE MAURICIO GOMES TEIXEIRA",IF(K58=24149,"CHRISTIANO MARCONDES DE BARROS LIMA",IF(K58=24137,"CHRISTIANO MARCONDES DE BARROS LIMA",_xlfn.XLOOKUP(K58,[1]!Tabela33[ID ORACLE],[1]!Tabela33[BROKER],0,0,1))))))))</f>
        <v>MATHEUS NACIF NESRALLAH</v>
      </c>
      <c r="E58" s="50">
        <v>-736.78</v>
      </c>
      <c r="F58" s="32" t="s">
        <v>33</v>
      </c>
      <c r="G58" s="18">
        <v>46143</v>
      </c>
      <c r="H58" s="17">
        <v>1170</v>
      </c>
      <c r="J58" s="28">
        <v>22361</v>
      </c>
      <c r="K58" s="28">
        <f>_xlfn.XLOOKUP(L58,[1]!Tabela33[BROKER],[1]!Tabela33[ID ORACLE],0,0,1)</f>
        <v>132975</v>
      </c>
      <c r="L58" s="17" t="s">
        <v>32</v>
      </c>
    </row>
    <row r="59" spans="1:12" ht="15" customHeight="1" x14ac:dyDescent="0.25">
      <c r="A59" s="24" t="str">
        <f t="shared" si="0"/>
        <v>CUSTO PLATAFORMA - MAIO/26 - SILICON TRADER - 22361</v>
      </c>
      <c r="B59" s="20">
        <v>46143</v>
      </c>
      <c r="C59" s="19">
        <v>817394</v>
      </c>
      <c r="D59" s="34" t="str">
        <f>IF(K59=57038,"ALEXANDRE DA COSTA SOARES",IF(K59=115154,"ALEXANDRE DA COSTA SOARES",IF(K59=57036,"ALEXANDRE DA COSTA SOARES",IF(K59=24157,"JOSE MAURICIO GOMES TEIXEIRA",IF(K59=24203,"JOSE MAURICIO GOMES TEIXEIRA",IF(K59=24149,"CHRISTIANO MARCONDES DE BARROS LIMA",IF(K59=24137,"CHRISTIANO MARCONDES DE BARROS LIMA",_xlfn.XLOOKUP(K59,[1]!Tabela33[ID ORACLE],[1]!Tabela33[BROKER],0,0,1))))))))</f>
        <v>ANDRE FERREIRA DOS SANTOS</v>
      </c>
      <c r="E59" s="49">
        <v>-736.78</v>
      </c>
      <c r="F59" s="34" t="s">
        <v>33</v>
      </c>
      <c r="G59" s="20">
        <v>46143</v>
      </c>
      <c r="H59" s="19">
        <v>1170</v>
      </c>
      <c r="J59" s="35">
        <v>22361</v>
      </c>
      <c r="K59" s="35">
        <f>_xlfn.XLOOKUP(L59,[1]!Tabela33[BROKER],[1]!Tabela33[ID ORACLE],0,0,1)</f>
        <v>122758</v>
      </c>
      <c r="L59" s="19" t="s">
        <v>18</v>
      </c>
    </row>
    <row r="60" spans="1:12" ht="15" customHeight="1" x14ac:dyDescent="0.25">
      <c r="A60" s="22" t="str">
        <f t="shared" si="0"/>
        <v>CUSTO PLATAFORMA - MAIO/26 - SILICON TRADER - 122758</v>
      </c>
      <c r="B60" s="18">
        <v>46143</v>
      </c>
      <c r="C60" s="17">
        <v>817394</v>
      </c>
      <c r="D60" s="32" t="s">
        <v>20</v>
      </c>
      <c r="E60" s="50">
        <v>-728.61</v>
      </c>
      <c r="F60" s="32" t="s">
        <v>33</v>
      </c>
      <c r="G60" s="18">
        <v>46143</v>
      </c>
      <c r="H60" s="17">
        <v>1170</v>
      </c>
      <c r="J60" s="28">
        <v>122758</v>
      </c>
      <c r="K60" s="28">
        <v>106970</v>
      </c>
      <c r="L60" s="17" t="s">
        <v>20</v>
      </c>
    </row>
    <row r="61" spans="1:12" ht="15" customHeight="1" x14ac:dyDescent="0.25">
      <c r="A61" s="22" t="str">
        <f t="shared" si="0"/>
        <v>CUSTO PLATAFORMA - MAIO/26 - SILICON TRADER - 122758</v>
      </c>
      <c r="B61" s="18">
        <v>46143</v>
      </c>
      <c r="C61" s="17">
        <v>817394</v>
      </c>
      <c r="D61" s="32" t="s">
        <v>19</v>
      </c>
      <c r="E61" s="50">
        <v>-728.61</v>
      </c>
      <c r="F61" s="32" t="s">
        <v>33</v>
      </c>
      <c r="G61" s="18">
        <v>46143</v>
      </c>
      <c r="H61" s="17">
        <v>1170</v>
      </c>
      <c r="J61" s="28">
        <v>122758</v>
      </c>
      <c r="K61" s="28">
        <v>22361</v>
      </c>
      <c r="L61" s="17" t="s">
        <v>19</v>
      </c>
    </row>
    <row r="62" spans="1:12" ht="15" customHeight="1" x14ac:dyDescent="0.25">
      <c r="A62" s="22" t="str">
        <f t="shared" si="0"/>
        <v>CUSTO PLATAFORMA - MAIO/26 - SILICON TRADER - 122758</v>
      </c>
      <c r="B62" s="18">
        <v>46143</v>
      </c>
      <c r="C62" s="17">
        <v>817394</v>
      </c>
      <c r="D62" s="32" t="s">
        <v>31</v>
      </c>
      <c r="E62" s="50">
        <v>-728.61</v>
      </c>
      <c r="F62" s="32" t="s">
        <v>33</v>
      </c>
      <c r="G62" s="18">
        <v>46143</v>
      </c>
      <c r="H62" s="17">
        <v>1170</v>
      </c>
      <c r="J62" s="28">
        <v>122758</v>
      </c>
      <c r="K62" s="28">
        <v>139345</v>
      </c>
      <c r="L62" s="17" t="s">
        <v>31</v>
      </c>
    </row>
    <row r="63" spans="1:12" ht="15" customHeight="1" x14ac:dyDescent="0.25">
      <c r="A63" s="22" t="str">
        <f t="shared" si="0"/>
        <v>CUSTO PLATAFORMA - MAIO/26 - SILICON TRADER - 122758</v>
      </c>
      <c r="B63" s="18">
        <v>46143</v>
      </c>
      <c r="C63" s="17">
        <v>817394</v>
      </c>
      <c r="D63" s="32" t="s">
        <v>32</v>
      </c>
      <c r="E63" s="50">
        <v>-728.61</v>
      </c>
      <c r="F63" s="32" t="s">
        <v>33</v>
      </c>
      <c r="G63" s="18">
        <v>46143</v>
      </c>
      <c r="H63" s="17">
        <v>1170</v>
      </c>
      <c r="J63" s="28">
        <v>122758</v>
      </c>
      <c r="K63" s="28">
        <v>132975</v>
      </c>
      <c r="L63" s="17" t="s">
        <v>32</v>
      </c>
    </row>
    <row r="64" spans="1:12" ht="15" customHeight="1" x14ac:dyDescent="0.25">
      <c r="A64" s="24" t="str">
        <f t="shared" si="0"/>
        <v>CUSTO PLATAFORMA - MAIO/26 - SILICON TRADER - 122758</v>
      </c>
      <c r="B64" s="20">
        <v>46143</v>
      </c>
      <c r="C64" s="19">
        <v>817394</v>
      </c>
      <c r="D64" s="34" t="s">
        <v>18</v>
      </c>
      <c r="E64" s="49">
        <v>-728.61</v>
      </c>
      <c r="F64" s="34" t="s">
        <v>33</v>
      </c>
      <c r="G64" s="20">
        <v>46143</v>
      </c>
      <c r="H64" s="19">
        <v>1170</v>
      </c>
      <c r="J64" s="35">
        <v>122758</v>
      </c>
      <c r="K64" s="35">
        <v>122758</v>
      </c>
      <c r="L64" s="19" t="s">
        <v>18</v>
      </c>
    </row>
    <row r="65" spans="1:15" ht="15" customHeight="1" x14ac:dyDescent="0.25">
      <c r="A65" s="22" t="str">
        <f t="shared" si="0"/>
        <v>CUSTO PLATAFORMA - MAIO/26 - SILICON TRADER - 56258</v>
      </c>
      <c r="B65" s="18">
        <v>46143</v>
      </c>
      <c r="C65" s="17">
        <v>817394</v>
      </c>
      <c r="D65" s="17" t="s">
        <v>13</v>
      </c>
      <c r="E65" s="67">
        <v>-439.54500000000002</v>
      </c>
      <c r="F65" s="17" t="s">
        <v>33</v>
      </c>
      <c r="G65" s="18">
        <v>46143</v>
      </c>
      <c r="H65" s="17">
        <v>1170</v>
      </c>
      <c r="J65" s="28">
        <v>56258</v>
      </c>
      <c r="K65" s="28">
        <f>_xlfn.XLOOKUP(L65,[1]!Tabela33[BROKER],[1]!Tabela33[ID ORACLE],0,0,1)</f>
        <v>70461</v>
      </c>
      <c r="L65" s="17" t="s">
        <v>13</v>
      </c>
      <c r="N65" t="s">
        <v>47</v>
      </c>
      <c r="O65">
        <v>1.69</v>
      </c>
    </row>
    <row r="66" spans="1:15" ht="15" customHeight="1" x14ac:dyDescent="0.25">
      <c r="A66" s="22" t="str">
        <f t="shared" si="0"/>
        <v>CUSTO PLATAFORMA - MAIO/26 - SILICON TRADER - 56258</v>
      </c>
      <c r="B66" s="18">
        <v>46143</v>
      </c>
      <c r="C66" s="17">
        <v>817394</v>
      </c>
      <c r="D66" s="17" t="s">
        <v>14</v>
      </c>
      <c r="E66" s="67">
        <v>-439.54500000000002</v>
      </c>
      <c r="F66" s="17" t="s">
        <v>33</v>
      </c>
      <c r="G66" s="18">
        <v>46143</v>
      </c>
      <c r="H66" s="17">
        <v>1170</v>
      </c>
      <c r="J66" s="28">
        <v>56258</v>
      </c>
      <c r="K66" s="28">
        <f>_xlfn.XLOOKUP(L66,[1]!Tabela33[BROKER],[1]!Tabela33[ID ORACLE],0,0,1)</f>
        <v>24140</v>
      </c>
      <c r="L66" s="17" t="s">
        <v>14</v>
      </c>
    </row>
    <row r="67" spans="1:15" ht="15" customHeight="1" x14ac:dyDescent="0.25">
      <c r="A67" s="22" t="str">
        <f t="shared" si="0"/>
        <v>CUSTO PLATAFORMA - MAIO/26 - SILICON TRADER - 56258</v>
      </c>
      <c r="B67" s="18">
        <v>46143</v>
      </c>
      <c r="C67" s="17">
        <v>817394</v>
      </c>
      <c r="D67" s="17" t="s">
        <v>30</v>
      </c>
      <c r="E67" s="67">
        <v>-439.54500000000002</v>
      </c>
      <c r="F67" s="17" t="s">
        <v>33</v>
      </c>
      <c r="G67" s="18">
        <v>46143</v>
      </c>
      <c r="H67" s="17">
        <v>1170</v>
      </c>
      <c r="J67" s="28">
        <v>56258</v>
      </c>
      <c r="K67" s="28">
        <f>_xlfn.XLOOKUP(L67,[1]!Tabela33[BROKER],[1]!Tabela33[ID ORACLE],0,0,1)</f>
        <v>137478</v>
      </c>
      <c r="L67" s="17" t="s">
        <v>30</v>
      </c>
    </row>
    <row r="68" spans="1:15" ht="15" customHeight="1" x14ac:dyDescent="0.25">
      <c r="A68" s="24" t="str">
        <f t="shared" si="0"/>
        <v>CUSTO PLATAFORMA - MAIO/26 - SILICON TRADER - 56258</v>
      </c>
      <c r="B68" s="20">
        <v>46143</v>
      </c>
      <c r="C68" s="19">
        <v>817394</v>
      </c>
      <c r="D68" s="19" t="s">
        <v>15</v>
      </c>
      <c r="E68" s="49">
        <v>-439.54500000000002</v>
      </c>
      <c r="F68" s="19" t="s">
        <v>33</v>
      </c>
      <c r="G68" s="20">
        <v>46143</v>
      </c>
      <c r="H68" s="19">
        <v>1170</v>
      </c>
      <c r="J68" s="28">
        <v>56258</v>
      </c>
      <c r="K68" s="28">
        <f>_xlfn.XLOOKUP(L68,[1]!Tabela33[BROKER],[1]!Tabela33[ID ORACLE],0,0,1)</f>
        <v>56258</v>
      </c>
      <c r="L68" s="17" t="s">
        <v>15</v>
      </c>
    </row>
    <row r="69" spans="1:15" ht="15" customHeight="1" x14ac:dyDescent="0.25">
      <c r="A69" s="23" t="str">
        <f t="shared" si="0"/>
        <v>CUSTO PLATAFORMA - MAIO/26 - SILICON TRADER - 57036</v>
      </c>
      <c r="B69" s="12">
        <v>46143</v>
      </c>
      <c r="C69" s="11">
        <v>817394</v>
      </c>
      <c r="D69" s="33" t="s">
        <v>21</v>
      </c>
      <c r="E69" s="49">
        <v>-19211.023333333302</v>
      </c>
      <c r="F69" s="33" t="s">
        <v>33</v>
      </c>
      <c r="G69" s="12">
        <v>46143</v>
      </c>
      <c r="H69" s="11">
        <v>1170</v>
      </c>
      <c r="J69" s="39">
        <v>57036</v>
      </c>
      <c r="K69" s="39">
        <v>57036</v>
      </c>
      <c r="L69" s="46" t="s">
        <v>22</v>
      </c>
      <c r="N69" t="s">
        <v>47</v>
      </c>
      <c r="O69">
        <v>1.69</v>
      </c>
    </row>
    <row r="70" spans="1:15" ht="15" customHeight="1" x14ac:dyDescent="0.25">
      <c r="A70" s="23" t="str">
        <f t="shared" si="0"/>
        <v>CUSTO PLATAFORMA - MAIO/26 - SILICON TRADER - 133842</v>
      </c>
      <c r="B70" s="12">
        <v>46143</v>
      </c>
      <c r="C70" s="11">
        <v>817394</v>
      </c>
      <c r="D70" s="33" t="s">
        <v>28</v>
      </c>
      <c r="E70" s="49">
        <v>-13415.033333333329</v>
      </c>
      <c r="F70" s="33" t="s">
        <v>33</v>
      </c>
      <c r="G70" s="12">
        <v>46143</v>
      </c>
      <c r="H70" s="11">
        <v>1170</v>
      </c>
      <c r="J70" s="39">
        <v>133842</v>
      </c>
      <c r="K70" s="39">
        <f>_xlfn.XLOOKUP(L70,[1]!Tabela33[BROKER],[1]!Tabela33[ID ORACLE],0,0,1)</f>
        <v>133842</v>
      </c>
      <c r="L70" s="46" t="s">
        <v>28</v>
      </c>
      <c r="N70" t="s">
        <v>48</v>
      </c>
      <c r="O70">
        <v>256.38</v>
      </c>
    </row>
    <row r="71" spans="1:15" ht="15" customHeight="1" x14ac:dyDescent="0.25">
      <c r="A71" s="23" t="str">
        <f t="shared" si="0"/>
        <v>CUSTO PLATAFORMA - MAIO/26 - SILICON TRADER - 125412</v>
      </c>
      <c r="B71" s="12">
        <v>46143</v>
      </c>
      <c r="C71" s="11">
        <v>817394</v>
      </c>
      <c r="D71" s="11" t="s">
        <v>29</v>
      </c>
      <c r="E71" s="49">
        <v>-13415.0333333333</v>
      </c>
      <c r="F71" s="33" t="s">
        <v>33</v>
      </c>
      <c r="G71" s="12">
        <v>46143</v>
      </c>
      <c r="H71" s="11">
        <v>1170</v>
      </c>
      <c r="J71" s="38">
        <v>125412</v>
      </c>
      <c r="K71" s="38">
        <v>52340</v>
      </c>
      <c r="L71" s="11" t="s">
        <v>29</v>
      </c>
      <c r="N71" t="s">
        <v>49</v>
      </c>
      <c r="O71">
        <v>71.45</v>
      </c>
    </row>
    <row r="72" spans="1:15" ht="15" customHeight="1" x14ac:dyDescent="0.25">
      <c r="A72" s="23" t="str">
        <f t="shared" ref="A72" si="1">_xlfn.CONCAT($L$1,$I$1,F72,$I$1,J72)</f>
        <v>CUSTO PLATAFORMA - MAIO/26 - SILICON TRADER - 127165</v>
      </c>
      <c r="B72" s="12">
        <v>46143</v>
      </c>
      <c r="C72" s="11">
        <v>817394</v>
      </c>
      <c r="D72" s="11" t="s">
        <v>17</v>
      </c>
      <c r="E72" s="49">
        <v>-81.7</v>
      </c>
      <c r="F72" s="33" t="s">
        <v>33</v>
      </c>
      <c r="G72" s="12">
        <v>46143</v>
      </c>
      <c r="H72" s="11">
        <v>1170</v>
      </c>
      <c r="J72" s="38">
        <v>127165</v>
      </c>
      <c r="K72" s="38">
        <v>127165</v>
      </c>
      <c r="L72" s="11" t="s">
        <v>17</v>
      </c>
      <c r="N72" t="s">
        <v>49</v>
      </c>
      <c r="O72">
        <v>71.45</v>
      </c>
    </row>
    <row r="73" spans="1:15" ht="15" customHeight="1" x14ac:dyDescent="0.25">
      <c r="A73" s="11" t="str">
        <f t="shared" ref="A73:A75" si="2">_xlfn.CONCAT($L$1,$I$1,F73,$I$1,J73)</f>
        <v>CUSTO PLATAFORMA - MAIO/26 - PARAMITA - 135064</v>
      </c>
      <c r="B73" s="12">
        <v>46143</v>
      </c>
      <c r="C73" s="11">
        <v>817394</v>
      </c>
      <c r="D73" s="11" t="s">
        <v>34</v>
      </c>
      <c r="E73" s="49">
        <v>-3740</v>
      </c>
      <c r="F73" s="11" t="s">
        <v>62</v>
      </c>
      <c r="G73" s="12">
        <v>46143</v>
      </c>
      <c r="H73" s="11">
        <v>1170</v>
      </c>
      <c r="J73" s="39">
        <v>135064</v>
      </c>
      <c r="K73" s="39">
        <f>_xlfn.XLOOKUP(L73,[1]!Tabela33[BROKER],[1]!Tabela33[ID ORACLE],0,0,1)</f>
        <v>135064</v>
      </c>
      <c r="L73" s="40" t="s">
        <v>34</v>
      </c>
      <c r="N73" s="42"/>
    </row>
    <row r="74" spans="1:15" ht="15" customHeight="1" x14ac:dyDescent="0.25">
      <c r="A74" s="11" t="str">
        <f t="shared" si="2"/>
        <v>CUSTO PLATAFORMA - MAIO/26 - CETIP - 135064</v>
      </c>
      <c r="B74" s="12">
        <v>46143</v>
      </c>
      <c r="C74" s="11">
        <v>817394</v>
      </c>
      <c r="D74" s="11" t="s">
        <v>34</v>
      </c>
      <c r="E74" s="49">
        <v>-85063.01</v>
      </c>
      <c r="F74" s="33" t="s">
        <v>39</v>
      </c>
      <c r="G74" s="12">
        <v>46143</v>
      </c>
      <c r="H74" s="11">
        <v>1170</v>
      </c>
      <c r="J74" s="39">
        <v>135064</v>
      </c>
      <c r="K74" s="39">
        <f>_xlfn.XLOOKUP(L74,[1]!Tabela33[BROKER],[1]!Tabela33[ID ORACLE],0,0,1)</f>
        <v>135064</v>
      </c>
      <c r="L74" s="40" t="s">
        <v>34</v>
      </c>
      <c r="M74" t="s">
        <v>50</v>
      </c>
    </row>
    <row r="75" spans="1:15" ht="15" customHeight="1" x14ac:dyDescent="0.25">
      <c r="A75" s="11" t="str">
        <f t="shared" si="2"/>
        <v>CUSTO PLATAFORMA - MAIO/26 - TERMO - 24140</v>
      </c>
      <c r="B75" s="12">
        <v>46143</v>
      </c>
      <c r="C75" s="11">
        <v>817394</v>
      </c>
      <c r="D75" s="11" t="s">
        <v>14</v>
      </c>
      <c r="E75" s="49">
        <v>-17882.34</v>
      </c>
      <c r="F75" s="33" t="s">
        <v>35</v>
      </c>
      <c r="G75" s="12">
        <v>46143</v>
      </c>
      <c r="H75" s="11">
        <v>80101</v>
      </c>
      <c r="J75" s="39">
        <v>24140</v>
      </c>
      <c r="K75" s="39">
        <f>_xlfn.XLOOKUP(L75,[1]!Tabela33[BROKER],[1]!Tabela33[ID ORACLE],0,0,1)</f>
        <v>24140</v>
      </c>
      <c r="L75" s="40" t="s">
        <v>14</v>
      </c>
      <c r="M75" t="s">
        <v>41</v>
      </c>
    </row>
    <row r="76" spans="1:15" ht="15" customHeight="1" x14ac:dyDescent="0.25">
      <c r="A76" s="60" t="str">
        <f>_xlfn.CONCAT($L$1,$I$1,F76)</f>
        <v>CUSTO PLATAFORMA - MAIO/26 - TRADEMATE</v>
      </c>
      <c r="B76" s="18">
        <v>46143</v>
      </c>
      <c r="C76" s="17">
        <v>817394</v>
      </c>
      <c r="D76" s="17" t="s">
        <v>51</v>
      </c>
      <c r="E76" s="50">
        <v>-122.71963119811478</v>
      </c>
      <c r="F76" s="32" t="s">
        <v>60</v>
      </c>
      <c r="G76" s="18">
        <v>46143</v>
      </c>
      <c r="H76" s="17">
        <v>1170</v>
      </c>
      <c r="J76" s="28"/>
      <c r="K76" s="28"/>
      <c r="L76" s="47"/>
    </row>
    <row r="77" spans="1:15" ht="15" customHeight="1" x14ac:dyDescent="0.25">
      <c r="A77" s="17" t="str">
        <f t="shared" ref="A77:A91" si="3">_xlfn.CONCAT($L$1,$I$1,F77)</f>
        <v>CUSTO PLATAFORMA - MAIO/26 - TRADEMATE</v>
      </c>
      <c r="B77" s="18">
        <v>46143</v>
      </c>
      <c r="C77" s="17">
        <v>817394</v>
      </c>
      <c r="D77" s="17" t="s">
        <v>74</v>
      </c>
      <c r="E77" s="50">
        <v>-12760.328725668393</v>
      </c>
      <c r="F77" s="32" t="s">
        <v>60</v>
      </c>
      <c r="G77" s="18">
        <v>46143</v>
      </c>
      <c r="H77" s="17">
        <v>1170</v>
      </c>
      <c r="J77" s="28"/>
      <c r="K77" s="28"/>
      <c r="L77" s="47"/>
    </row>
    <row r="78" spans="1:15" ht="15" customHeight="1" x14ac:dyDescent="0.25">
      <c r="A78" s="17" t="str">
        <f t="shared" si="3"/>
        <v>CUSTO PLATAFORMA - MAIO/26 - TRADEMATE</v>
      </c>
      <c r="B78" s="18">
        <v>46143</v>
      </c>
      <c r="C78" s="17">
        <v>817394</v>
      </c>
      <c r="D78" s="17" t="s">
        <v>52</v>
      </c>
      <c r="E78" s="50">
        <v>-46.900797958910722</v>
      </c>
      <c r="F78" s="32" t="s">
        <v>60</v>
      </c>
      <c r="G78" s="18">
        <v>46143</v>
      </c>
      <c r="H78" s="17">
        <v>1170</v>
      </c>
      <c r="J78" s="28"/>
      <c r="K78" s="28"/>
      <c r="L78" s="47"/>
    </row>
    <row r="79" spans="1:15" ht="15" customHeight="1" x14ac:dyDescent="0.25">
      <c r="A79" s="17" t="str">
        <f t="shared" si="3"/>
        <v>CUSTO PLATAFORMA - MAIO/26 - TRADEMATE</v>
      </c>
      <c r="B79" s="18">
        <v>46143</v>
      </c>
      <c r="C79" s="17">
        <v>817394</v>
      </c>
      <c r="D79" s="17" t="s">
        <v>43</v>
      </c>
      <c r="E79" s="50">
        <v>-2823.8286647857253</v>
      </c>
      <c r="F79" s="32" t="s">
        <v>60</v>
      </c>
      <c r="G79" s="18">
        <v>46143</v>
      </c>
      <c r="H79" s="17">
        <v>1170</v>
      </c>
      <c r="J79" s="28"/>
      <c r="K79" s="28"/>
      <c r="L79" s="47"/>
    </row>
    <row r="80" spans="1:15" ht="15" customHeight="1" x14ac:dyDescent="0.25">
      <c r="A80" s="17" t="str">
        <f t="shared" si="3"/>
        <v>CUSTO PLATAFORMA - MAIO/26 - TRADEMATE</v>
      </c>
      <c r="B80" s="18">
        <v>46143</v>
      </c>
      <c r="C80" s="17">
        <v>817394</v>
      </c>
      <c r="D80" s="17" t="s">
        <v>53</v>
      </c>
      <c r="E80" s="50">
        <v>-10105.839095794845</v>
      </c>
      <c r="F80" s="32" t="s">
        <v>60</v>
      </c>
      <c r="G80" s="18">
        <v>46143</v>
      </c>
      <c r="H80" s="17">
        <v>1170</v>
      </c>
      <c r="J80" s="28"/>
      <c r="K80" s="28"/>
      <c r="L80" s="47"/>
      <c r="M80">
        <v>-1</v>
      </c>
    </row>
    <row r="81" spans="1:18" ht="15" customHeight="1" x14ac:dyDescent="0.25">
      <c r="A81" s="17" t="str">
        <f t="shared" si="3"/>
        <v>CUSTO PLATAFORMA - MAIO/26 - TRADEMATE</v>
      </c>
      <c r="B81" s="18">
        <v>46143</v>
      </c>
      <c r="C81" s="17">
        <v>817394</v>
      </c>
      <c r="D81" s="17" t="s">
        <v>38</v>
      </c>
      <c r="E81" s="50">
        <v>-3070.0232226425314</v>
      </c>
      <c r="F81" s="32" t="s">
        <v>60</v>
      </c>
      <c r="G81" s="18">
        <v>46143</v>
      </c>
      <c r="H81" s="17">
        <v>1170</v>
      </c>
      <c r="J81" s="28"/>
      <c r="K81" s="28"/>
      <c r="L81" s="47"/>
    </row>
    <row r="82" spans="1:18" ht="15" customHeight="1" x14ac:dyDescent="0.25">
      <c r="A82" s="17" t="str">
        <f t="shared" si="3"/>
        <v>CUSTO PLATAFORMA - MAIO/26 - TRADEMATE</v>
      </c>
      <c r="B82" s="18">
        <v>46143</v>
      </c>
      <c r="C82" s="17">
        <v>817394</v>
      </c>
      <c r="D82" s="17" t="s">
        <v>59</v>
      </c>
      <c r="E82" s="50">
        <v>-4998.0326701922922</v>
      </c>
      <c r="F82" s="32" t="s">
        <v>60</v>
      </c>
      <c r="G82" s="18">
        <v>46143</v>
      </c>
      <c r="H82" s="17">
        <v>1170</v>
      </c>
      <c r="J82" s="28"/>
      <c r="K82" s="28"/>
      <c r="L82" s="47"/>
    </row>
    <row r="83" spans="1:18" ht="15" customHeight="1" x14ac:dyDescent="0.25">
      <c r="A83" s="17" t="str">
        <f t="shared" si="3"/>
        <v>CUSTO PLATAFORMA - MAIO/26 - TRADEMATE</v>
      </c>
      <c r="B83" s="18">
        <v>46143</v>
      </c>
      <c r="C83" s="17">
        <v>817394</v>
      </c>
      <c r="D83" s="17" t="s">
        <v>75</v>
      </c>
      <c r="E83" s="50">
        <v>-66.613007305107047</v>
      </c>
      <c r="F83" s="32" t="s">
        <v>60</v>
      </c>
      <c r="G83" s="18">
        <v>46143</v>
      </c>
      <c r="H83" s="17">
        <v>1170</v>
      </c>
      <c r="J83" s="28"/>
      <c r="K83" s="28"/>
      <c r="L83" s="47"/>
    </row>
    <row r="84" spans="1:18" ht="15" customHeight="1" x14ac:dyDescent="0.25">
      <c r="A84" s="17" t="str">
        <f t="shared" si="3"/>
        <v>CUSTO PLATAFORMA - MAIO/26 - TRADEMATE</v>
      </c>
      <c r="B84" s="18">
        <v>46143</v>
      </c>
      <c r="C84" s="17">
        <v>817394</v>
      </c>
      <c r="D84" s="17" t="s">
        <v>54</v>
      </c>
      <c r="E84" s="50">
        <v>-435.72422496379841</v>
      </c>
      <c r="F84" s="32" t="s">
        <v>60</v>
      </c>
      <c r="G84" s="18">
        <v>46143</v>
      </c>
      <c r="H84" s="17">
        <v>1170</v>
      </c>
      <c r="J84" s="28"/>
      <c r="K84" s="28"/>
      <c r="L84" s="47"/>
    </row>
    <row r="85" spans="1:18" ht="15" customHeight="1" x14ac:dyDescent="0.25">
      <c r="A85" s="17" t="str">
        <f t="shared" si="3"/>
        <v>CUSTO PLATAFORMA - MAIO/26 - TRADEMATE</v>
      </c>
      <c r="B85" s="18">
        <v>46143</v>
      </c>
      <c r="C85" s="17">
        <v>817394</v>
      </c>
      <c r="D85" s="17" t="s">
        <v>73</v>
      </c>
      <c r="E85" s="50">
        <v>-259.21779182051523</v>
      </c>
      <c r="F85" s="32" t="s">
        <v>60</v>
      </c>
      <c r="G85" s="18">
        <v>46143</v>
      </c>
      <c r="H85" s="17">
        <v>1170</v>
      </c>
      <c r="J85" s="28"/>
      <c r="K85" s="28"/>
      <c r="L85" s="47"/>
    </row>
    <row r="86" spans="1:18" ht="15" customHeight="1" x14ac:dyDescent="0.25">
      <c r="A86" s="17" t="str">
        <f t="shared" si="3"/>
        <v>CUSTO PLATAFORMA - MAIO/26 - TRADEMATE</v>
      </c>
      <c r="B86" s="18">
        <v>46143</v>
      </c>
      <c r="C86" s="17">
        <v>817394</v>
      </c>
      <c r="D86" s="17" t="s">
        <v>72</v>
      </c>
      <c r="E86" s="50">
        <v>-935.04438624568661</v>
      </c>
      <c r="F86" s="32" t="s">
        <v>60</v>
      </c>
      <c r="G86" s="18">
        <v>46143</v>
      </c>
      <c r="H86" s="17">
        <v>1170</v>
      </c>
      <c r="J86" s="28"/>
      <c r="K86" s="28"/>
      <c r="L86" s="47"/>
    </row>
    <row r="87" spans="1:18" ht="15" customHeight="1" x14ac:dyDescent="0.25">
      <c r="A87" s="17" t="str">
        <f t="shared" si="3"/>
        <v>CUSTO PLATAFORMA - MAIO/26 - TRADEMATE</v>
      </c>
      <c r="B87" s="18">
        <v>46143</v>
      </c>
      <c r="C87" s="17">
        <v>817394</v>
      </c>
      <c r="D87" s="17" t="s">
        <v>76</v>
      </c>
      <c r="E87" s="50">
        <v>-1607.6865471645926</v>
      </c>
      <c r="F87" s="32" t="s">
        <v>60</v>
      </c>
      <c r="G87" s="18">
        <v>46143</v>
      </c>
      <c r="H87" s="17">
        <v>1170</v>
      </c>
      <c r="J87" s="28"/>
      <c r="K87" s="28"/>
      <c r="L87" s="47"/>
    </row>
    <row r="88" spans="1:18" ht="15" customHeight="1" x14ac:dyDescent="0.25">
      <c r="A88" s="17" t="str">
        <f t="shared" si="3"/>
        <v>CUSTO PLATAFORMA - MAIO/26 - TRADEMATE</v>
      </c>
      <c r="B88" s="18">
        <v>46143</v>
      </c>
      <c r="C88" s="17">
        <v>817394</v>
      </c>
      <c r="D88" s="17" t="s">
        <v>61</v>
      </c>
      <c r="E88" s="50">
        <v>-2525.6871635924995</v>
      </c>
      <c r="F88" s="32" t="s">
        <v>60</v>
      </c>
      <c r="G88" s="18">
        <v>46143</v>
      </c>
      <c r="H88" s="17">
        <v>1170</v>
      </c>
      <c r="J88" s="28"/>
      <c r="K88" s="28"/>
      <c r="L88" s="47"/>
    </row>
    <row r="89" spans="1:18" ht="15" customHeight="1" x14ac:dyDescent="0.25">
      <c r="A89" s="17" t="str">
        <f t="shared" si="3"/>
        <v>CUSTO PLATAFORMA - MAIO/26 - TRADEMATE</v>
      </c>
      <c r="B89" s="18">
        <v>46143</v>
      </c>
      <c r="C89" s="17">
        <v>817394</v>
      </c>
      <c r="D89" s="17" t="s">
        <v>55</v>
      </c>
      <c r="E89" s="50">
        <v>-585.51200001838265</v>
      </c>
      <c r="F89" s="32" t="s">
        <v>60</v>
      </c>
      <c r="G89" s="18">
        <v>46143</v>
      </c>
      <c r="H89" s="17">
        <v>1170</v>
      </c>
      <c r="J89" s="28"/>
      <c r="K89" s="28"/>
      <c r="L89" s="47"/>
    </row>
    <row r="90" spans="1:18" ht="15" customHeight="1" x14ac:dyDescent="0.25">
      <c r="A90" s="17" t="str">
        <f t="shared" si="3"/>
        <v>CUSTO PLATAFORMA - MAIO/26 - TRADEMATE</v>
      </c>
      <c r="B90" s="18">
        <v>46143</v>
      </c>
      <c r="C90" s="17">
        <v>817394</v>
      </c>
      <c r="D90" s="17" t="s">
        <v>77</v>
      </c>
      <c r="E90" s="50">
        <v>-412.09571059920762</v>
      </c>
      <c r="F90" s="32" t="s">
        <v>60</v>
      </c>
      <c r="G90" s="18">
        <v>46143</v>
      </c>
      <c r="H90" s="17">
        <v>1170</v>
      </c>
      <c r="J90" s="28"/>
      <c r="K90" s="28"/>
      <c r="L90" s="47"/>
    </row>
    <row r="91" spans="1:18" ht="15" customHeight="1" x14ac:dyDescent="0.25">
      <c r="A91" s="17" t="str">
        <f t="shared" si="3"/>
        <v>CUSTO PLATAFORMA - MAIO/26 - TRADEMATE</v>
      </c>
      <c r="B91" s="18">
        <v>46143</v>
      </c>
      <c r="C91" s="17">
        <v>817394</v>
      </c>
      <c r="D91" s="17" t="s">
        <v>57</v>
      </c>
      <c r="E91" s="50">
        <v>-305.92516229244245</v>
      </c>
      <c r="F91" s="32" t="s">
        <v>60</v>
      </c>
      <c r="G91" s="18">
        <v>46143</v>
      </c>
      <c r="H91" s="17">
        <v>1170</v>
      </c>
      <c r="J91" s="28"/>
      <c r="K91" s="28"/>
      <c r="L91" s="47"/>
    </row>
    <row r="92" spans="1:18" s="36" customFormat="1" ht="15" customHeight="1" x14ac:dyDescent="0.25">
      <c r="A92" s="19" t="str">
        <f t="shared" ref="A92" si="4">_xlfn.CONCAT($L$1,$I$1,F92)</f>
        <v>CUSTO PLATAFORMA - MAIO/26 - TRADEMATE</v>
      </c>
      <c r="B92" s="20">
        <v>46143</v>
      </c>
      <c r="C92" s="19">
        <v>817394</v>
      </c>
      <c r="D92" s="19" t="s">
        <v>56</v>
      </c>
      <c r="E92" s="49">
        <v>-140.66119775695256</v>
      </c>
      <c r="F92" s="34" t="s">
        <v>60</v>
      </c>
      <c r="G92" s="20">
        <v>46143</v>
      </c>
      <c r="H92" s="19">
        <v>1170</v>
      </c>
      <c r="J92" s="35"/>
      <c r="K92" s="35"/>
      <c r="L92" s="48"/>
    </row>
    <row r="93" spans="1:18" ht="15" customHeight="1" x14ac:dyDescent="0.25">
      <c r="A93" s="22" t="str">
        <f>_xlfn.CONCAT($L$1,$I$1,F93)</f>
        <v>CUSTO PLATAFORMA - MAIO/26 - BLOOMBERG SINGAPURA</v>
      </c>
      <c r="B93" s="18">
        <v>46143</v>
      </c>
      <c r="C93" s="17">
        <v>817394</v>
      </c>
      <c r="D93" s="32" t="s">
        <v>38</v>
      </c>
      <c r="E93" s="50"/>
      <c r="F93" s="17" t="s">
        <v>37</v>
      </c>
      <c r="G93" s="18">
        <v>46143</v>
      </c>
      <c r="H93" s="17">
        <v>1170</v>
      </c>
      <c r="J93" s="28"/>
      <c r="K93" s="28"/>
      <c r="L93" s="17"/>
      <c r="N93" s="43"/>
      <c r="R93" s="41"/>
    </row>
    <row r="94" spans="1:18" ht="15" customHeight="1" x14ac:dyDescent="0.25">
      <c r="A94" s="22" t="str">
        <f>_xlfn.CONCAT($L$1,$I$1,F94)</f>
        <v>CUSTO PLATAFORMA - MAIO/26 - BLOOMBERG SINGAPURA</v>
      </c>
      <c r="B94" s="18">
        <v>46143</v>
      </c>
      <c r="C94" s="17">
        <v>817394</v>
      </c>
      <c r="D94" s="17" t="s">
        <v>72</v>
      </c>
      <c r="E94" s="50"/>
      <c r="F94" s="17" t="s">
        <v>37</v>
      </c>
      <c r="G94" s="18">
        <v>46143</v>
      </c>
      <c r="H94" s="17">
        <v>1170</v>
      </c>
      <c r="J94" s="28"/>
      <c r="K94" s="28"/>
      <c r="L94" s="17"/>
      <c r="N94" t="s">
        <v>79</v>
      </c>
    </row>
    <row r="95" spans="1:18" ht="15" customHeight="1" x14ac:dyDescent="0.25">
      <c r="A95" s="22" t="str">
        <f>_xlfn.CONCAT($L$1,$I$1,F95)</f>
        <v>CUSTO PLATAFORMA - MAIO/26 - BLOOMBERG SINGAPURA</v>
      </c>
      <c r="B95" s="18">
        <v>46143</v>
      </c>
      <c r="C95" s="17">
        <v>817394</v>
      </c>
      <c r="D95" s="17" t="s">
        <v>73</v>
      </c>
      <c r="E95" s="50"/>
      <c r="F95" s="17" t="s">
        <v>37</v>
      </c>
      <c r="G95" s="18">
        <v>46143</v>
      </c>
      <c r="H95" s="17">
        <v>1170</v>
      </c>
      <c r="J95" s="28"/>
      <c r="K95" s="28"/>
      <c r="L95" s="17"/>
      <c r="N95" s="69">
        <v>2438.0811150498275</v>
      </c>
      <c r="O95" s="59">
        <v>1</v>
      </c>
      <c r="Q95" s="45">
        <f>Q96+Q97</f>
        <v>205</v>
      </c>
      <c r="R95" s="59">
        <v>1</v>
      </c>
    </row>
    <row r="96" spans="1:18" ht="15" customHeight="1" x14ac:dyDescent="0.25">
      <c r="A96" s="22"/>
      <c r="B96" s="18"/>
      <c r="C96" s="17"/>
      <c r="D96" s="17"/>
      <c r="E96" s="54"/>
      <c r="F96" s="17"/>
      <c r="G96" s="18"/>
      <c r="H96" s="17"/>
      <c r="J96" s="28"/>
      <c r="K96" s="28"/>
      <c r="L96" s="17"/>
      <c r="M96" t="s">
        <v>71</v>
      </c>
      <c r="N96" s="58">
        <f>N95*O96</f>
        <v>1080.0104685740237</v>
      </c>
      <c r="O96" s="55">
        <f>R96</f>
        <v>0.44297560975609757</v>
      </c>
      <c r="Q96" s="45">
        <v>90.81</v>
      </c>
      <c r="R96" s="56">
        <f>Q96*R95/Q95</f>
        <v>0.44297560975609757</v>
      </c>
    </row>
    <row r="97" spans="1:18" ht="15" customHeight="1" x14ac:dyDescent="0.25">
      <c r="A97" s="25"/>
      <c r="B97" s="6"/>
      <c r="C97" s="1"/>
      <c r="D97" s="1"/>
      <c r="E97" s="2"/>
      <c r="F97" s="44"/>
      <c r="G97" s="6"/>
      <c r="H97" s="1"/>
      <c r="N97" s="58">
        <f>N95*O97</f>
        <v>1358.0706464758039</v>
      </c>
      <c r="O97" s="55">
        <f t="shared" ref="O97" si="5">R97</f>
        <v>0.55702439024390238</v>
      </c>
      <c r="P97" s="43"/>
      <c r="Q97" s="45">
        <f>205-Q96</f>
        <v>114.19</v>
      </c>
      <c r="R97" s="57">
        <f>Q97*R95/Q95</f>
        <v>0.55702439024390238</v>
      </c>
    </row>
    <row r="98" spans="1:18" ht="15" customHeight="1" x14ac:dyDescent="0.25">
      <c r="A98" s="25"/>
      <c r="B98" s="6"/>
      <c r="C98" s="1"/>
      <c r="D98" s="1"/>
      <c r="E98" s="2"/>
      <c r="F98" s="1"/>
      <c r="G98" s="6"/>
      <c r="H98" s="1"/>
      <c r="M98" t="s">
        <v>46</v>
      </c>
      <c r="R98" t="s">
        <v>45</v>
      </c>
    </row>
    <row r="99" spans="1:18" ht="15" customHeight="1" x14ac:dyDescent="0.25">
      <c r="A99" s="25"/>
      <c r="B99" s="6"/>
      <c r="C99" s="1"/>
      <c r="D99" s="1"/>
      <c r="E99" s="2"/>
      <c r="F99" s="1"/>
      <c r="G99" s="6"/>
      <c r="H99" s="1"/>
    </row>
    <row r="100" spans="1:18" ht="15" customHeight="1" x14ac:dyDescent="0.25">
      <c r="A100" s="25"/>
      <c r="B100" s="6"/>
      <c r="C100" s="1"/>
      <c r="D100" s="1"/>
      <c r="E100" s="2"/>
      <c r="F100" s="1"/>
      <c r="G100" s="6"/>
      <c r="H100" s="1"/>
    </row>
    <row r="101" spans="1:18" ht="15" customHeight="1" x14ac:dyDescent="0.25">
      <c r="A101" s="25"/>
      <c r="B101" s="6"/>
      <c r="C101" s="1"/>
      <c r="D101" s="1"/>
      <c r="E101" s="2"/>
      <c r="F101" s="1"/>
      <c r="G101" s="6"/>
      <c r="H101" s="1"/>
    </row>
    <row r="102" spans="1:18" ht="15" customHeight="1" x14ac:dyDescent="0.25">
      <c r="A102" s="25"/>
      <c r="B102" s="6"/>
      <c r="C102" s="1"/>
      <c r="D102" s="1"/>
      <c r="E102" s="2"/>
      <c r="F102" s="1"/>
      <c r="G102" s="6"/>
      <c r="H102" s="1"/>
    </row>
    <row r="103" spans="1:18" ht="15" customHeight="1" x14ac:dyDescent="0.25">
      <c r="A103" s="25"/>
      <c r="B103" s="6"/>
      <c r="C103" s="1"/>
      <c r="D103" s="1"/>
      <c r="E103" s="2"/>
      <c r="F103" s="1"/>
      <c r="G103" s="6"/>
      <c r="H103" s="1"/>
    </row>
    <row r="104" spans="1:18" ht="15" customHeight="1" x14ac:dyDescent="0.25">
      <c r="A104" s="25"/>
      <c r="B104" s="6"/>
      <c r="C104" s="1"/>
      <c r="D104" s="1"/>
      <c r="E104" s="2"/>
      <c r="F104" s="1"/>
      <c r="G104" s="6"/>
      <c r="H104" s="1"/>
    </row>
    <row r="105" spans="1:18" ht="15" customHeight="1" x14ac:dyDescent="0.25">
      <c r="A105" s="25"/>
      <c r="B105" s="6"/>
      <c r="C105" s="1"/>
      <c r="D105" s="1"/>
      <c r="E105" s="2"/>
      <c r="F105" s="1"/>
      <c r="G105" s="6"/>
      <c r="H105" s="1"/>
    </row>
    <row r="106" spans="1:18" ht="15" customHeight="1" x14ac:dyDescent="0.25">
      <c r="A106" s="25"/>
      <c r="B106" s="6"/>
      <c r="C106" s="1"/>
      <c r="D106" s="1"/>
      <c r="E106" s="2"/>
      <c r="F106" s="1"/>
      <c r="G106" s="6"/>
      <c r="H106" s="1"/>
    </row>
    <row r="107" spans="1:18" ht="15" customHeight="1" x14ac:dyDescent="0.25">
      <c r="A107" s="25"/>
      <c r="B107" s="6"/>
      <c r="C107" s="1"/>
      <c r="D107" s="1"/>
      <c r="E107" s="2"/>
      <c r="F107" s="1"/>
      <c r="G107" s="6"/>
      <c r="H107" s="1"/>
    </row>
    <row r="108" spans="1:18" ht="15" customHeight="1" x14ac:dyDescent="0.25">
      <c r="A108" s="25"/>
      <c r="B108" s="6"/>
      <c r="C108" s="1"/>
      <c r="D108" s="1"/>
      <c r="E108" s="2"/>
      <c r="F108" s="1"/>
      <c r="G108" s="6"/>
      <c r="H108" s="1"/>
    </row>
    <row r="109" spans="1:18" ht="15" customHeight="1" x14ac:dyDescent="0.25">
      <c r="A109" s="25"/>
      <c r="B109" s="6"/>
      <c r="C109" s="1"/>
      <c r="D109" s="1"/>
      <c r="E109" s="2"/>
      <c r="F109" s="1"/>
      <c r="G109" s="6"/>
      <c r="H109" s="1"/>
    </row>
    <row r="110" spans="1:18" ht="15" customHeight="1" x14ac:dyDescent="0.25">
      <c r="A110" s="25"/>
      <c r="B110" s="6"/>
      <c r="C110" s="1"/>
      <c r="D110" s="1"/>
      <c r="E110" s="2"/>
      <c r="F110" s="1"/>
      <c r="G110" s="6"/>
      <c r="H110" s="1"/>
    </row>
    <row r="111" spans="1:18" ht="15" customHeight="1" x14ac:dyDescent="0.25">
      <c r="A111" s="25"/>
      <c r="B111" s="6"/>
      <c r="C111" s="1"/>
      <c r="D111" s="1"/>
      <c r="E111" s="2"/>
      <c r="F111" s="1"/>
      <c r="G111" s="6"/>
      <c r="H111" s="1"/>
    </row>
    <row r="112" spans="1:18" ht="15" customHeight="1" x14ac:dyDescent="0.25">
      <c r="A112" s="25"/>
      <c r="B112" s="6"/>
      <c r="C112" s="1"/>
      <c r="D112" s="1"/>
      <c r="E112" s="2"/>
      <c r="F112" s="1"/>
      <c r="G112" s="6"/>
      <c r="H112" s="1"/>
    </row>
    <row r="113" spans="1:8" ht="15" customHeight="1" x14ac:dyDescent="0.25">
      <c r="A113" s="25"/>
      <c r="B113" s="6"/>
      <c r="C113" s="1"/>
      <c r="D113" s="1"/>
      <c r="E113" s="2"/>
      <c r="F113" s="1"/>
      <c r="G113" s="6"/>
      <c r="H113" s="1"/>
    </row>
    <row r="114" spans="1:8" ht="15" customHeight="1" x14ac:dyDescent="0.25">
      <c r="A114" s="25"/>
      <c r="B114" s="6"/>
      <c r="C114" s="1"/>
      <c r="D114" s="1"/>
      <c r="E114" s="2"/>
      <c r="F114" s="1"/>
      <c r="G114" s="6"/>
      <c r="H114" s="1"/>
    </row>
    <row r="115" spans="1:8" ht="15" customHeight="1" x14ac:dyDescent="0.25">
      <c r="A115" s="25"/>
      <c r="B115" s="6"/>
      <c r="C115" s="1"/>
      <c r="D115" s="1"/>
      <c r="E115" s="2"/>
      <c r="F115" s="1"/>
      <c r="G115" s="6"/>
      <c r="H115" s="1"/>
    </row>
    <row r="116" spans="1:8" ht="15" customHeight="1" x14ac:dyDescent="0.25">
      <c r="A116" s="25"/>
      <c r="B116" s="6"/>
      <c r="C116" s="1"/>
      <c r="D116" s="1"/>
      <c r="E116" s="2"/>
      <c r="F116" s="1"/>
      <c r="G116" s="6"/>
      <c r="H116" s="1"/>
    </row>
    <row r="117" spans="1:8" ht="15" customHeight="1" x14ac:dyDescent="0.25">
      <c r="A117" s="25"/>
      <c r="B117" s="6"/>
      <c r="C117" s="1"/>
      <c r="D117" s="1"/>
      <c r="E117" s="2"/>
      <c r="F117" s="1"/>
      <c r="G117" s="6"/>
      <c r="H117" s="1"/>
    </row>
    <row r="118" spans="1:8" ht="15" customHeight="1" x14ac:dyDescent="0.25">
      <c r="A118" s="25"/>
      <c r="B118" s="6"/>
      <c r="C118" s="1"/>
      <c r="D118" s="1"/>
      <c r="E118" s="2"/>
      <c r="F118" s="1"/>
      <c r="G118" s="6"/>
      <c r="H118" s="1"/>
    </row>
    <row r="119" spans="1:8" ht="15" customHeight="1" x14ac:dyDescent="0.25">
      <c r="A119" s="25"/>
      <c r="B119" s="6"/>
      <c r="C119" s="1"/>
      <c r="D119" s="1"/>
      <c r="E119" s="2"/>
      <c r="F119" s="1"/>
      <c r="G119" s="6"/>
      <c r="H119" s="1"/>
    </row>
    <row r="120" spans="1:8" ht="15" customHeight="1" x14ac:dyDescent="0.25">
      <c r="A120" s="25"/>
      <c r="B120" s="6"/>
      <c r="C120" s="1"/>
      <c r="D120" s="1"/>
      <c r="E120" s="2"/>
      <c r="F120" s="1"/>
      <c r="G120" s="6"/>
      <c r="H120" s="1"/>
    </row>
    <row r="121" spans="1:8" ht="15" customHeight="1" x14ac:dyDescent="0.25">
      <c r="A121" s="25"/>
      <c r="B121" s="6"/>
      <c r="C121" s="1"/>
      <c r="D121" s="1"/>
      <c r="E121" s="2"/>
      <c r="F121" s="1"/>
      <c r="G121" s="6"/>
      <c r="H121" s="1"/>
    </row>
    <row r="122" spans="1:8" ht="15" customHeight="1" x14ac:dyDescent="0.25">
      <c r="A122" s="25"/>
      <c r="B122" s="6"/>
      <c r="C122" s="1"/>
      <c r="D122" s="1"/>
      <c r="E122" s="2"/>
      <c r="F122" s="1"/>
      <c r="G122" s="6"/>
      <c r="H122" s="1"/>
    </row>
    <row r="123" spans="1:8" ht="15" customHeight="1" x14ac:dyDescent="0.25">
      <c r="A123" s="25"/>
      <c r="B123" s="6"/>
      <c r="C123" s="1"/>
      <c r="D123" s="1"/>
      <c r="E123" s="2"/>
      <c r="F123" s="1"/>
      <c r="G123" s="6"/>
      <c r="H123" s="1"/>
    </row>
    <row r="124" spans="1:8" ht="15" customHeight="1" x14ac:dyDescent="0.25">
      <c r="A124" s="25"/>
      <c r="B124" s="6"/>
      <c r="C124" s="1"/>
      <c r="D124" s="1"/>
      <c r="E124" s="2"/>
      <c r="F124" s="1"/>
      <c r="G124" s="6"/>
      <c r="H124" s="1"/>
    </row>
    <row r="125" spans="1:8" ht="15" customHeight="1" x14ac:dyDescent="0.25">
      <c r="A125" s="25"/>
      <c r="B125" s="6"/>
      <c r="C125" s="1"/>
      <c r="D125" s="1"/>
      <c r="E125" s="2"/>
      <c r="F125" s="1"/>
      <c r="G125" s="6"/>
      <c r="H125" s="1"/>
    </row>
    <row r="126" spans="1:8" ht="15" customHeight="1" x14ac:dyDescent="0.25">
      <c r="A126" s="25"/>
      <c r="B126" s="6"/>
      <c r="C126" s="1"/>
      <c r="D126" s="1"/>
      <c r="E126" s="2"/>
      <c r="F126" s="1"/>
      <c r="G126" s="6"/>
      <c r="H126" s="1"/>
    </row>
    <row r="127" spans="1:8" ht="15" customHeight="1" x14ac:dyDescent="0.25">
      <c r="A127" s="25"/>
      <c r="B127" s="6"/>
      <c r="C127" s="1"/>
      <c r="D127" s="1"/>
      <c r="E127" s="2"/>
      <c r="F127" s="1"/>
      <c r="G127" s="6"/>
      <c r="H127" s="1"/>
    </row>
    <row r="128" spans="1:8" ht="15" customHeight="1" x14ac:dyDescent="0.25">
      <c r="A128" s="25"/>
      <c r="B128" s="6"/>
      <c r="C128" s="1"/>
      <c r="D128" s="1"/>
      <c r="E128" s="2"/>
      <c r="F128" s="1"/>
      <c r="G128" s="6"/>
      <c r="H128" s="1"/>
    </row>
    <row r="129" spans="1:8" ht="15" customHeight="1" x14ac:dyDescent="0.25">
      <c r="A129" s="25"/>
      <c r="B129" s="6"/>
      <c r="C129" s="1"/>
      <c r="D129" s="1"/>
      <c r="E129" s="2"/>
      <c r="F129" s="1"/>
      <c r="G129" s="6"/>
      <c r="H129" s="1"/>
    </row>
    <row r="130" spans="1:8" ht="15" customHeight="1" x14ac:dyDescent="0.25">
      <c r="A130" s="25"/>
      <c r="B130" s="6"/>
      <c r="C130" s="1"/>
      <c r="D130" s="1"/>
      <c r="E130" s="2"/>
      <c r="F130" s="1"/>
      <c r="G130" s="6"/>
      <c r="H130" s="1"/>
    </row>
    <row r="131" spans="1:8" ht="15" customHeight="1" x14ac:dyDescent="0.25">
      <c r="A131" s="25"/>
      <c r="B131" s="6"/>
      <c r="C131" s="1"/>
      <c r="D131" s="1"/>
      <c r="E131" s="2"/>
      <c r="F131" s="1"/>
      <c r="G131" s="6"/>
      <c r="H131" s="1"/>
    </row>
    <row r="132" spans="1:8" ht="15" customHeight="1" x14ac:dyDescent="0.25">
      <c r="A132" s="25"/>
      <c r="B132" s="6"/>
      <c r="C132" s="1"/>
      <c r="D132" s="1"/>
      <c r="E132" s="2"/>
      <c r="F132" s="1"/>
      <c r="G132" s="6"/>
      <c r="H132" s="1"/>
    </row>
    <row r="133" spans="1:8" ht="15" customHeight="1" x14ac:dyDescent="0.25">
      <c r="A133" s="25"/>
      <c r="B133" s="6"/>
      <c r="C133" s="1"/>
      <c r="D133" s="1"/>
      <c r="E133" s="2"/>
      <c r="F133" s="1"/>
      <c r="G133" s="6"/>
      <c r="H133" s="1"/>
    </row>
    <row r="134" spans="1:8" ht="15" customHeight="1" x14ac:dyDescent="0.25">
      <c r="A134" s="25"/>
      <c r="B134" s="6"/>
      <c r="C134" s="1"/>
      <c r="D134" s="1"/>
      <c r="E134" s="2"/>
      <c r="F134" s="1"/>
      <c r="G134" s="6"/>
      <c r="H134" s="1"/>
    </row>
    <row r="135" spans="1:8" ht="15" customHeight="1" x14ac:dyDescent="0.25">
      <c r="A135" s="25"/>
      <c r="B135" s="6"/>
      <c r="C135" s="1"/>
      <c r="D135" s="1"/>
      <c r="E135" s="2"/>
      <c r="F135" s="1"/>
      <c r="G135" s="6"/>
      <c r="H135" s="1"/>
    </row>
    <row r="136" spans="1:8" ht="15" customHeight="1" x14ac:dyDescent="0.25">
      <c r="A136" s="25"/>
      <c r="B136" s="6"/>
      <c r="C136" s="1"/>
      <c r="D136" s="1"/>
      <c r="E136" s="2"/>
      <c r="F136" s="1"/>
      <c r="G136" s="6"/>
      <c r="H136" s="1"/>
    </row>
    <row r="137" spans="1:8" ht="15" customHeight="1" x14ac:dyDescent="0.25">
      <c r="A137" s="25"/>
      <c r="B137" s="6"/>
      <c r="C137" s="1"/>
      <c r="D137" s="1"/>
      <c r="E137" s="2"/>
      <c r="F137" s="1"/>
      <c r="G137" s="6"/>
      <c r="H137" s="1"/>
    </row>
    <row r="138" spans="1:8" ht="15" customHeight="1" x14ac:dyDescent="0.25">
      <c r="A138" s="25"/>
      <c r="B138" s="6"/>
      <c r="C138" s="1"/>
      <c r="D138" s="1"/>
      <c r="E138" s="2"/>
      <c r="F138" s="1"/>
      <c r="G138" s="6"/>
      <c r="H138" s="1"/>
    </row>
    <row r="139" spans="1:8" ht="15" customHeight="1" x14ac:dyDescent="0.25">
      <c r="A139" s="25"/>
      <c r="B139" s="6"/>
      <c r="C139" s="1"/>
      <c r="D139" s="1"/>
      <c r="E139" s="2"/>
      <c r="F139" s="1"/>
      <c r="G139" s="6"/>
      <c r="H139" s="1"/>
    </row>
    <row r="140" spans="1:8" ht="15" customHeight="1" x14ac:dyDescent="0.25">
      <c r="A140" s="25"/>
      <c r="B140" s="6"/>
      <c r="C140" s="1"/>
      <c r="D140" s="1"/>
      <c r="E140" s="2"/>
      <c r="F140" s="1"/>
      <c r="G140" s="6"/>
      <c r="H140" s="1"/>
    </row>
    <row r="141" spans="1:8" ht="15" customHeight="1" x14ac:dyDescent="0.25">
      <c r="A141" s="25"/>
      <c r="B141" s="6"/>
      <c r="C141" s="1"/>
      <c r="D141" s="1"/>
      <c r="E141" s="2"/>
      <c r="F141" s="1"/>
      <c r="G141" s="6"/>
      <c r="H141" s="1"/>
    </row>
    <row r="142" spans="1:8" ht="15" customHeight="1" x14ac:dyDescent="0.25">
      <c r="A142" s="25"/>
      <c r="B142" s="6"/>
      <c r="C142" s="1"/>
      <c r="D142" s="1"/>
      <c r="E142" s="2"/>
      <c r="F142" s="1"/>
      <c r="G142" s="6"/>
      <c r="H142" s="1"/>
    </row>
    <row r="143" spans="1:8" ht="15" customHeight="1" x14ac:dyDescent="0.25">
      <c r="A143" s="25"/>
      <c r="B143" s="6"/>
      <c r="C143" s="1"/>
      <c r="D143" s="1"/>
      <c r="E143" s="2"/>
      <c r="F143" s="1"/>
      <c r="G143" s="6"/>
      <c r="H143" s="1"/>
    </row>
    <row r="144" spans="1:8" ht="15" customHeight="1" x14ac:dyDescent="0.25">
      <c r="A144" s="25"/>
      <c r="B144" s="6"/>
      <c r="C144" s="1"/>
      <c r="D144" s="1"/>
      <c r="E144" s="2"/>
      <c r="F144" s="1"/>
      <c r="G144" s="6"/>
      <c r="H144" s="1"/>
    </row>
    <row r="145" spans="1:8" ht="15" customHeight="1" x14ac:dyDescent="0.25">
      <c r="A145" s="25"/>
      <c r="B145" s="6"/>
      <c r="C145" s="1"/>
      <c r="D145" s="1"/>
      <c r="E145" s="2"/>
      <c r="F145" s="1"/>
      <c r="G145" s="6"/>
      <c r="H145" s="1"/>
    </row>
    <row r="146" spans="1:8" ht="15" customHeight="1" x14ac:dyDescent="0.25">
      <c r="A146" s="25"/>
      <c r="B146" s="6"/>
      <c r="C146" s="1"/>
      <c r="D146" s="1"/>
      <c r="E146" s="2"/>
      <c r="F146" s="1"/>
      <c r="G146" s="6"/>
      <c r="H146" s="1"/>
    </row>
    <row r="147" spans="1:8" ht="15" customHeight="1" x14ac:dyDescent="0.25">
      <c r="A147" s="25"/>
      <c r="B147" s="6"/>
      <c r="C147" s="1"/>
      <c r="D147" s="1"/>
      <c r="E147" s="2"/>
      <c r="F147" s="1"/>
      <c r="G147" s="6"/>
      <c r="H147" s="1"/>
    </row>
    <row r="148" spans="1:8" ht="15" customHeight="1" x14ac:dyDescent="0.25">
      <c r="A148" s="25"/>
      <c r="B148" s="6"/>
      <c r="C148" s="1"/>
      <c r="D148" s="1"/>
      <c r="E148" s="2"/>
      <c r="F148" s="1"/>
      <c r="G148" s="6"/>
      <c r="H148" s="1"/>
    </row>
    <row r="149" spans="1:8" ht="15" customHeight="1" x14ac:dyDescent="0.25">
      <c r="A149" s="25"/>
      <c r="B149" s="6"/>
      <c r="C149" s="1"/>
      <c r="D149" s="1"/>
      <c r="E149" s="2"/>
      <c r="F149" s="1"/>
      <c r="G149" s="6"/>
      <c r="H149" s="1"/>
    </row>
    <row r="150" spans="1:8" ht="15" customHeight="1" x14ac:dyDescent="0.25">
      <c r="A150" s="25"/>
      <c r="B150" s="6"/>
      <c r="C150" s="1"/>
      <c r="D150" s="1"/>
      <c r="E150" s="2"/>
      <c r="F150" s="1"/>
      <c r="G150" s="6"/>
      <c r="H150" s="1"/>
    </row>
    <row r="151" spans="1:8" ht="15" customHeight="1" x14ac:dyDescent="0.25">
      <c r="A151" s="25"/>
      <c r="B151" s="6"/>
      <c r="C151" s="1"/>
      <c r="D151" s="1"/>
      <c r="E151" s="2"/>
      <c r="F151" s="1"/>
      <c r="G151" s="6"/>
      <c r="H151" s="1"/>
    </row>
    <row r="152" spans="1:8" ht="15" customHeight="1" x14ac:dyDescent="0.25">
      <c r="A152" s="25"/>
      <c r="B152" s="6"/>
      <c r="C152" s="1"/>
      <c r="D152" s="1"/>
      <c r="E152" s="2"/>
      <c r="F152" s="1"/>
      <c r="G152" s="6"/>
      <c r="H152" s="1"/>
    </row>
    <row r="153" spans="1:8" ht="15" customHeight="1" x14ac:dyDescent="0.25">
      <c r="A153" s="25"/>
      <c r="B153" s="6"/>
      <c r="C153" s="1"/>
      <c r="D153" s="1"/>
      <c r="E153" s="2"/>
      <c r="F153" s="1"/>
      <c r="G153" s="6"/>
      <c r="H153" s="1"/>
    </row>
    <row r="154" spans="1:8" ht="15" customHeight="1" x14ac:dyDescent="0.25">
      <c r="A154" s="25"/>
      <c r="B154" s="6"/>
      <c r="C154" s="1"/>
      <c r="D154" s="1"/>
      <c r="E154" s="2"/>
      <c r="F154" s="1"/>
      <c r="G154" s="6"/>
      <c r="H154" s="1"/>
    </row>
    <row r="155" spans="1:8" ht="15" customHeight="1" x14ac:dyDescent="0.25">
      <c r="A155" s="25"/>
      <c r="B155" s="6"/>
      <c r="C155" s="1"/>
      <c r="D155" s="1"/>
      <c r="E155" s="2"/>
      <c r="F155" s="1"/>
      <c r="G155" s="6"/>
      <c r="H155" s="1"/>
    </row>
    <row r="156" spans="1:8" ht="15" customHeight="1" x14ac:dyDescent="0.25">
      <c r="A156" s="25"/>
      <c r="B156" s="6"/>
      <c r="C156" s="1"/>
      <c r="D156" s="1"/>
      <c r="E156" s="2"/>
      <c r="F156" s="1"/>
      <c r="G156" s="6"/>
      <c r="H156" s="1"/>
    </row>
    <row r="157" spans="1:8" ht="15" customHeight="1" x14ac:dyDescent="0.25">
      <c r="A157" s="25"/>
      <c r="B157" s="6"/>
      <c r="C157" s="1"/>
      <c r="D157" s="1"/>
      <c r="E157" s="2"/>
      <c r="F157" s="1"/>
      <c r="G157" s="6"/>
      <c r="H157" s="1"/>
    </row>
    <row r="158" spans="1:8" ht="15" customHeight="1" x14ac:dyDescent="0.25">
      <c r="A158" s="25"/>
      <c r="B158" s="6"/>
      <c r="C158" s="1"/>
      <c r="D158" s="1"/>
      <c r="E158" s="2"/>
      <c r="F158" s="1"/>
      <c r="G158" s="6"/>
      <c r="H158" s="1"/>
    </row>
    <row r="159" spans="1:8" ht="15" customHeight="1" x14ac:dyDescent="0.25">
      <c r="A159" s="25"/>
      <c r="B159" s="6"/>
      <c r="C159" s="1"/>
      <c r="D159" s="1"/>
      <c r="E159" s="2"/>
      <c r="F159" s="1"/>
      <c r="G159" s="6"/>
      <c r="H159" s="1"/>
    </row>
    <row r="160" spans="1:8" ht="15" customHeight="1" x14ac:dyDescent="0.25">
      <c r="A160" s="25"/>
      <c r="B160" s="6"/>
      <c r="C160" s="1"/>
      <c r="D160" s="1"/>
      <c r="E160" s="2"/>
      <c r="F160" s="1"/>
      <c r="G160" s="6"/>
      <c r="H160" s="1"/>
    </row>
    <row r="161" spans="1:8" ht="15" customHeight="1" x14ac:dyDescent="0.25">
      <c r="A161" s="25"/>
      <c r="B161" s="6"/>
      <c r="C161" s="1"/>
      <c r="D161" s="1"/>
      <c r="E161" s="2"/>
      <c r="F161" s="1"/>
      <c r="G161" s="6"/>
      <c r="H161" s="1"/>
    </row>
    <row r="162" spans="1:8" ht="15" customHeight="1" x14ac:dyDescent="0.25">
      <c r="A162" s="25"/>
      <c r="B162" s="6"/>
      <c r="C162" s="1"/>
      <c r="D162" s="1"/>
      <c r="E162" s="2"/>
      <c r="F162" s="1"/>
      <c r="G162" s="6"/>
      <c r="H162" s="1"/>
    </row>
    <row r="163" spans="1:8" ht="15" customHeight="1" x14ac:dyDescent="0.25">
      <c r="A163" s="25"/>
      <c r="B163" s="6"/>
      <c r="C163" s="1"/>
      <c r="D163" s="1"/>
      <c r="E163" s="2"/>
      <c r="F163" s="1"/>
      <c r="G163" s="6"/>
      <c r="H163" s="1"/>
    </row>
    <row r="164" spans="1:8" ht="15" customHeight="1" x14ac:dyDescent="0.25">
      <c r="A164" s="25"/>
      <c r="B164" s="6"/>
      <c r="C164" s="1"/>
      <c r="D164" s="1"/>
      <c r="E164" s="2"/>
      <c r="F164" s="1"/>
      <c r="G164" s="6"/>
      <c r="H164" s="1"/>
    </row>
    <row r="165" spans="1:8" ht="15" customHeight="1" x14ac:dyDescent="0.25">
      <c r="A165" s="25"/>
      <c r="B165" s="6"/>
      <c r="C165" s="1"/>
      <c r="D165" s="1"/>
      <c r="E165" s="2"/>
      <c r="F165" s="1"/>
      <c r="G165" s="6"/>
      <c r="H165" s="1"/>
    </row>
    <row r="166" spans="1:8" ht="15" customHeight="1" x14ac:dyDescent="0.25">
      <c r="A166" s="25"/>
      <c r="B166" s="6"/>
      <c r="C166" s="1"/>
      <c r="D166" s="1"/>
      <c r="E166" s="2"/>
      <c r="F166" s="1"/>
      <c r="G166" s="6"/>
      <c r="H166" s="1"/>
    </row>
    <row r="167" spans="1:8" ht="15" customHeight="1" x14ac:dyDescent="0.25">
      <c r="A167" s="25"/>
      <c r="B167" s="6"/>
      <c r="C167" s="1"/>
      <c r="D167" s="1"/>
      <c r="E167" s="2"/>
      <c r="F167" s="1"/>
      <c r="G167" s="6"/>
      <c r="H167" s="1"/>
    </row>
    <row r="168" spans="1:8" ht="15" customHeight="1" x14ac:dyDescent="0.25">
      <c r="A168" s="25"/>
      <c r="B168" s="6"/>
      <c r="C168" s="1"/>
      <c r="D168" s="1"/>
      <c r="E168" s="2"/>
      <c r="F168" s="1"/>
      <c r="G168" s="6"/>
      <c r="H168" s="1"/>
    </row>
    <row r="169" spans="1:8" ht="15" customHeight="1" x14ac:dyDescent="0.25">
      <c r="A169" s="25"/>
      <c r="B169" s="6"/>
      <c r="C169" s="1"/>
      <c r="D169" s="1"/>
      <c r="E169" s="2"/>
      <c r="F169" s="1"/>
      <c r="G169" s="6"/>
      <c r="H169" s="1"/>
    </row>
    <row r="170" spans="1:8" ht="15" customHeight="1" x14ac:dyDescent="0.25">
      <c r="A170" s="25"/>
      <c r="B170" s="6"/>
      <c r="C170" s="1"/>
      <c r="D170" s="1"/>
      <c r="E170" s="2"/>
      <c r="F170" s="1"/>
      <c r="G170" s="6"/>
      <c r="H170" s="1"/>
    </row>
    <row r="171" spans="1:8" ht="15" customHeight="1" x14ac:dyDescent="0.25">
      <c r="A171" s="25"/>
      <c r="B171" s="6"/>
      <c r="C171" s="1"/>
      <c r="D171" s="1"/>
      <c r="E171" s="2"/>
      <c r="F171" s="1"/>
      <c r="G171" s="6"/>
      <c r="H171" s="1"/>
    </row>
    <row r="172" spans="1:8" ht="15" customHeight="1" x14ac:dyDescent="0.25">
      <c r="A172" s="25"/>
      <c r="B172" s="6"/>
      <c r="C172" s="1"/>
      <c r="D172" s="1"/>
      <c r="E172" s="2"/>
      <c r="F172" s="1"/>
      <c r="G172" s="6"/>
      <c r="H172" s="1"/>
    </row>
    <row r="173" spans="1:8" ht="15" customHeight="1" x14ac:dyDescent="0.25">
      <c r="A173" s="25"/>
      <c r="B173" s="6"/>
      <c r="C173" s="1"/>
      <c r="D173" s="1"/>
      <c r="E173" s="2"/>
      <c r="F173" s="1"/>
      <c r="G173" s="6"/>
      <c r="H173" s="1"/>
    </row>
    <row r="174" spans="1:8" ht="15" customHeight="1" x14ac:dyDescent="0.25">
      <c r="A174" s="25"/>
      <c r="B174" s="6"/>
      <c r="C174" s="1"/>
      <c r="D174" s="1"/>
      <c r="E174" s="2"/>
      <c r="F174" s="1"/>
      <c r="G174" s="6"/>
      <c r="H174" s="1"/>
    </row>
    <row r="175" spans="1:8" ht="15" customHeight="1" x14ac:dyDescent="0.25">
      <c r="A175" s="25"/>
      <c r="B175" s="6"/>
      <c r="C175" s="1"/>
      <c r="D175" s="1"/>
      <c r="E175" s="2"/>
      <c r="F175" s="1"/>
      <c r="G175" s="6"/>
      <c r="H175" s="1"/>
    </row>
    <row r="176" spans="1:8" ht="15" customHeight="1" x14ac:dyDescent="0.25">
      <c r="A176" s="25"/>
      <c r="B176" s="6"/>
      <c r="C176" s="1"/>
      <c r="D176" s="1"/>
      <c r="E176" s="2"/>
      <c r="F176" s="1"/>
      <c r="G176" s="6"/>
      <c r="H176" s="1"/>
    </row>
    <row r="177" spans="1:8" ht="15" customHeight="1" x14ac:dyDescent="0.25">
      <c r="A177" s="25"/>
      <c r="B177" s="6"/>
      <c r="C177" s="1"/>
      <c r="D177" s="1"/>
      <c r="E177" s="2"/>
      <c r="F177" s="1"/>
      <c r="G177" s="6"/>
      <c r="H177" s="1"/>
    </row>
    <row r="178" spans="1:8" ht="15" customHeight="1" x14ac:dyDescent="0.25">
      <c r="A178" s="25"/>
      <c r="B178" s="6"/>
      <c r="C178" s="1"/>
      <c r="D178" s="1"/>
      <c r="E178" s="2"/>
      <c r="F178" s="1"/>
      <c r="G178" s="6"/>
      <c r="H178" s="1"/>
    </row>
    <row r="179" spans="1:8" ht="15" customHeight="1" x14ac:dyDescent="0.25">
      <c r="A179" s="25"/>
      <c r="B179" s="6"/>
      <c r="C179" s="1"/>
      <c r="D179" s="1"/>
      <c r="E179" s="2"/>
      <c r="F179" s="1"/>
      <c r="G179" s="6"/>
      <c r="H179" s="1"/>
    </row>
    <row r="180" spans="1:8" ht="15" customHeight="1" x14ac:dyDescent="0.25">
      <c r="A180" s="25"/>
      <c r="B180" s="6"/>
      <c r="C180" s="1"/>
      <c r="D180" s="1"/>
      <c r="E180" s="2"/>
      <c r="F180" s="1"/>
      <c r="G180" s="6"/>
      <c r="H180" s="1"/>
    </row>
    <row r="181" spans="1:8" ht="15" customHeight="1" x14ac:dyDescent="0.25">
      <c r="A181" s="25"/>
      <c r="B181" s="6"/>
      <c r="C181" s="1"/>
      <c r="D181" s="1"/>
      <c r="E181" s="2"/>
      <c r="F181" s="1"/>
      <c r="G181" s="6"/>
      <c r="H181" s="1"/>
    </row>
    <row r="182" spans="1:8" ht="15" customHeight="1" x14ac:dyDescent="0.25">
      <c r="A182" s="25"/>
      <c r="B182" s="6"/>
      <c r="C182" s="1"/>
      <c r="D182" s="1"/>
      <c r="E182" s="2"/>
      <c r="F182" s="1"/>
      <c r="G182" s="6"/>
      <c r="H182" s="1"/>
    </row>
    <row r="183" spans="1:8" ht="15" customHeight="1" x14ac:dyDescent="0.25">
      <c r="A183" s="25"/>
      <c r="B183" s="6"/>
      <c r="C183" s="1"/>
      <c r="D183" s="1"/>
      <c r="E183" s="2"/>
      <c r="F183" s="1"/>
      <c r="G183" s="6"/>
      <c r="H183" s="1"/>
    </row>
    <row r="184" spans="1:8" ht="15" customHeight="1" x14ac:dyDescent="0.25">
      <c r="A184" s="25"/>
      <c r="B184" s="6"/>
      <c r="C184" s="1"/>
      <c r="D184" s="1"/>
      <c r="E184" s="2"/>
      <c r="F184" s="1"/>
      <c r="G184" s="6"/>
      <c r="H184" s="1"/>
    </row>
    <row r="185" spans="1:8" ht="15" customHeight="1" x14ac:dyDescent="0.25">
      <c r="A185" s="25"/>
      <c r="B185" s="6"/>
      <c r="C185" s="1"/>
      <c r="D185" s="1"/>
      <c r="E185" s="2"/>
      <c r="F185" s="1"/>
      <c r="G185" s="6"/>
      <c r="H185" s="1"/>
    </row>
    <row r="186" spans="1:8" ht="15" customHeight="1" x14ac:dyDescent="0.25">
      <c r="A186" s="25"/>
      <c r="B186" s="6"/>
      <c r="C186" s="1"/>
      <c r="D186" s="1"/>
      <c r="E186" s="2"/>
      <c r="F186" s="1"/>
      <c r="G186" s="6"/>
      <c r="H186" s="1"/>
    </row>
    <row r="187" spans="1:8" ht="15" customHeight="1" x14ac:dyDescent="0.25">
      <c r="A187" s="25"/>
      <c r="B187" s="6"/>
      <c r="C187" s="1"/>
      <c r="D187" s="1"/>
      <c r="E187" s="2"/>
      <c r="F187" s="1"/>
      <c r="G187" s="6"/>
      <c r="H187" s="1"/>
    </row>
    <row r="188" spans="1:8" ht="15" customHeight="1" x14ac:dyDescent="0.25">
      <c r="A188" s="25"/>
      <c r="B188" s="6"/>
      <c r="C188" s="1"/>
      <c r="D188" s="1"/>
      <c r="E188" s="2"/>
      <c r="F188" s="1"/>
      <c r="G188" s="6"/>
      <c r="H188" s="1"/>
    </row>
    <row r="189" spans="1:8" ht="15" customHeight="1" x14ac:dyDescent="0.25">
      <c r="A189" s="25"/>
      <c r="B189" s="6"/>
      <c r="C189" s="1"/>
      <c r="D189" s="1"/>
      <c r="E189" s="2"/>
      <c r="F189" s="1"/>
      <c r="G189" s="6"/>
      <c r="H189" s="1"/>
    </row>
    <row r="190" spans="1:8" ht="15" customHeight="1" x14ac:dyDescent="0.25">
      <c r="A190" s="25"/>
      <c r="B190" s="6"/>
      <c r="C190" s="1"/>
      <c r="D190" s="1"/>
      <c r="E190" s="2"/>
      <c r="F190" s="1"/>
      <c r="G190" s="6"/>
      <c r="H190" s="1"/>
    </row>
    <row r="191" spans="1:8" ht="15" customHeight="1" x14ac:dyDescent="0.25">
      <c r="A191" s="25"/>
      <c r="B191" s="6"/>
      <c r="C191" s="1"/>
      <c r="D191" s="1"/>
      <c r="E191" s="2"/>
      <c r="F191" s="1"/>
      <c r="G191" s="6"/>
      <c r="H191" s="1"/>
    </row>
    <row r="192" spans="1:8" ht="15" customHeight="1" x14ac:dyDescent="0.25">
      <c r="A192" s="25"/>
      <c r="B192" s="6"/>
      <c r="C192" s="1"/>
      <c r="D192" s="1"/>
      <c r="E192" s="2"/>
      <c r="F192" s="1"/>
      <c r="G192" s="6"/>
      <c r="H192" s="1"/>
    </row>
    <row r="193" spans="1:8" ht="15" customHeight="1" x14ac:dyDescent="0.25">
      <c r="A193" s="25"/>
      <c r="B193" s="6"/>
      <c r="C193" s="1"/>
      <c r="D193" s="1"/>
      <c r="E193" s="2"/>
      <c r="F193" s="1"/>
      <c r="G193" s="6"/>
      <c r="H193" s="1"/>
    </row>
    <row r="194" spans="1:8" ht="15" customHeight="1" x14ac:dyDescent="0.25">
      <c r="A194" s="25"/>
      <c r="B194" s="6"/>
      <c r="C194" s="1"/>
      <c r="D194" s="1"/>
      <c r="E194" s="2"/>
      <c r="F194" s="1"/>
      <c r="G194" s="6"/>
      <c r="H194" s="1"/>
    </row>
    <row r="195" spans="1:8" ht="15" customHeight="1" x14ac:dyDescent="0.25">
      <c r="A195" s="25"/>
      <c r="B195" s="6"/>
      <c r="C195" s="1"/>
      <c r="D195" s="1"/>
      <c r="E195" s="2"/>
      <c r="F195" s="1"/>
      <c r="G195" s="6"/>
      <c r="H195" s="1"/>
    </row>
    <row r="196" spans="1:8" ht="15" customHeight="1" x14ac:dyDescent="0.25">
      <c r="A196" s="25"/>
      <c r="B196" s="6"/>
      <c r="C196" s="1"/>
      <c r="D196" s="1"/>
      <c r="E196" s="2"/>
      <c r="F196" s="1"/>
      <c r="G196" s="6"/>
      <c r="H196" s="1"/>
    </row>
    <row r="197" spans="1:8" ht="15" customHeight="1" x14ac:dyDescent="0.25">
      <c r="A197" s="25"/>
      <c r="B197" s="6"/>
      <c r="C197" s="1"/>
      <c r="D197" s="1"/>
      <c r="E197" s="2"/>
      <c r="F197" s="1"/>
      <c r="G197" s="6"/>
      <c r="H197" s="1"/>
    </row>
    <row r="198" spans="1:8" ht="15" customHeight="1" x14ac:dyDescent="0.25">
      <c r="A198" s="25"/>
      <c r="B198" s="6"/>
      <c r="C198" s="1"/>
      <c r="D198" s="1"/>
      <c r="E198" s="2"/>
      <c r="F198" s="1"/>
      <c r="G198" s="6"/>
      <c r="H198" s="1"/>
    </row>
    <row r="199" spans="1:8" ht="15" customHeight="1" x14ac:dyDescent="0.25">
      <c r="A199" s="25"/>
      <c r="B199" s="6"/>
      <c r="C199" s="1"/>
      <c r="D199" s="1"/>
      <c r="E199" s="2"/>
      <c r="F199" s="1"/>
      <c r="G199" s="6"/>
      <c r="H199" s="1"/>
    </row>
    <row r="200" spans="1:8" ht="15" customHeight="1" x14ac:dyDescent="0.25">
      <c r="A200" s="25"/>
      <c r="B200" s="6"/>
      <c r="C200" s="1"/>
      <c r="D200" s="1"/>
      <c r="E200" s="2"/>
      <c r="F200" s="1"/>
      <c r="G200" s="6"/>
      <c r="H200" s="1"/>
    </row>
    <row r="201" spans="1:8" ht="15" customHeight="1" x14ac:dyDescent="0.25">
      <c r="A201" s="25"/>
      <c r="B201" s="6"/>
      <c r="C201" s="1"/>
      <c r="D201" s="1"/>
      <c r="E201" s="2"/>
      <c r="F201" s="1"/>
      <c r="G201" s="6"/>
      <c r="H201" s="1"/>
    </row>
    <row r="202" spans="1:8" ht="15" customHeight="1" x14ac:dyDescent="0.25">
      <c r="A202" s="25"/>
      <c r="B202" s="6"/>
      <c r="C202" s="1"/>
      <c r="D202" s="1"/>
      <c r="E202" s="2"/>
      <c r="F202" s="1"/>
      <c r="G202" s="6"/>
      <c r="H202" s="1"/>
    </row>
    <row r="203" spans="1:8" ht="15" customHeight="1" x14ac:dyDescent="0.25">
      <c r="A203" s="25"/>
      <c r="B203" s="6"/>
      <c r="C203" s="1"/>
      <c r="D203" s="1"/>
      <c r="E203" s="2"/>
      <c r="F203" s="1"/>
      <c r="G203" s="6"/>
      <c r="H203" s="1"/>
    </row>
    <row r="204" spans="1:8" ht="15" customHeight="1" x14ac:dyDescent="0.25">
      <c r="A204" s="25"/>
      <c r="B204" s="6"/>
      <c r="C204" s="1"/>
      <c r="D204" s="1"/>
      <c r="E204" s="2"/>
      <c r="F204" s="1"/>
      <c r="G204" s="6"/>
      <c r="H204" s="1"/>
    </row>
    <row r="205" spans="1:8" ht="15" customHeight="1" x14ac:dyDescent="0.25">
      <c r="A205" s="25"/>
      <c r="B205" s="6"/>
      <c r="C205" s="1"/>
      <c r="D205" s="1"/>
      <c r="E205" s="2"/>
      <c r="F205" s="1"/>
      <c r="G205" s="6"/>
      <c r="H205" s="1"/>
    </row>
    <row r="206" spans="1:8" ht="15" customHeight="1" x14ac:dyDescent="0.25">
      <c r="A206" s="25"/>
      <c r="B206" s="6"/>
      <c r="C206" s="1"/>
      <c r="D206" s="1"/>
      <c r="E206" s="2"/>
      <c r="F206" s="1"/>
      <c r="G206" s="6"/>
      <c r="H206" s="1"/>
    </row>
    <row r="207" spans="1:8" ht="15" customHeight="1" x14ac:dyDescent="0.25">
      <c r="A207" s="25"/>
      <c r="B207" s="6"/>
      <c r="C207" s="1"/>
      <c r="D207" s="1"/>
      <c r="E207" s="2"/>
      <c r="F207" s="1"/>
      <c r="G207" s="6"/>
      <c r="H207" s="1"/>
    </row>
    <row r="208" spans="1:8" ht="15" customHeight="1" x14ac:dyDescent="0.25">
      <c r="A208" s="25"/>
      <c r="B208" s="6"/>
      <c r="C208" s="1"/>
      <c r="D208" s="1"/>
      <c r="E208" s="2"/>
      <c r="F208" s="1"/>
      <c r="G208" s="6"/>
      <c r="H208" s="1"/>
    </row>
    <row r="209" spans="1:8" ht="15" customHeight="1" x14ac:dyDescent="0.25">
      <c r="A209" s="25"/>
      <c r="B209" s="6"/>
      <c r="C209" s="1"/>
      <c r="D209" s="1"/>
      <c r="E209" s="2"/>
      <c r="F209" s="1"/>
      <c r="G209" s="6"/>
      <c r="H209" s="1"/>
    </row>
    <row r="210" spans="1:8" ht="15" customHeight="1" x14ac:dyDescent="0.25">
      <c r="A210" s="25"/>
      <c r="B210" s="6"/>
      <c r="C210" s="1"/>
      <c r="D210" s="1"/>
      <c r="E210" s="2"/>
      <c r="F210" s="1"/>
      <c r="G210" s="6"/>
      <c r="H210" s="1"/>
    </row>
    <row r="211" spans="1:8" ht="15" customHeight="1" x14ac:dyDescent="0.25">
      <c r="A211" s="25"/>
      <c r="B211" s="6"/>
      <c r="C211" s="1"/>
      <c r="D211" s="1"/>
      <c r="E211" s="2"/>
      <c r="F211" s="1"/>
      <c r="G211" s="6"/>
      <c r="H211" s="1"/>
    </row>
    <row r="212" spans="1:8" ht="15" customHeight="1" x14ac:dyDescent="0.25">
      <c r="A212" s="25"/>
      <c r="B212" s="6"/>
      <c r="C212" s="1"/>
      <c r="D212" s="1"/>
      <c r="E212" s="2"/>
      <c r="F212" s="1"/>
      <c r="G212" s="6"/>
      <c r="H212" s="1"/>
    </row>
    <row r="213" spans="1:8" ht="15" customHeight="1" x14ac:dyDescent="0.25">
      <c r="A213" s="25"/>
      <c r="B213" s="6"/>
      <c r="C213" s="1"/>
      <c r="D213" s="1"/>
      <c r="E213" s="2"/>
      <c r="F213" s="1"/>
      <c r="G213" s="6"/>
      <c r="H213" s="1"/>
    </row>
    <row r="214" spans="1:8" ht="15" customHeight="1" x14ac:dyDescent="0.25">
      <c r="A214" s="25"/>
      <c r="B214" s="6"/>
      <c r="C214" s="1"/>
      <c r="D214" s="1"/>
      <c r="E214" s="2"/>
      <c r="F214" s="1"/>
      <c r="G214" s="6"/>
      <c r="H214" s="1"/>
    </row>
    <row r="215" spans="1:8" ht="15" customHeight="1" x14ac:dyDescent="0.25">
      <c r="A215" s="25"/>
      <c r="B215" s="6"/>
      <c r="C215" s="1"/>
      <c r="D215" s="1"/>
      <c r="E215" s="2"/>
      <c r="F215" s="1"/>
      <c r="G215" s="6"/>
      <c r="H215" s="1"/>
    </row>
    <row r="216" spans="1:8" ht="15" customHeight="1" x14ac:dyDescent="0.25">
      <c r="A216" s="25"/>
      <c r="B216" s="6"/>
      <c r="C216" s="1"/>
      <c r="D216" s="1"/>
      <c r="E216" s="2"/>
      <c r="F216" s="1"/>
      <c r="G216" s="6"/>
      <c r="H216" s="1"/>
    </row>
    <row r="217" spans="1:8" ht="15" customHeight="1" x14ac:dyDescent="0.25">
      <c r="A217" s="25"/>
      <c r="B217" s="6"/>
      <c r="C217" s="1"/>
      <c r="D217" s="1"/>
      <c r="E217" s="2"/>
      <c r="F217" s="1"/>
      <c r="G217" s="6"/>
      <c r="H217" s="1"/>
    </row>
    <row r="218" spans="1:8" ht="15" customHeight="1" x14ac:dyDescent="0.25">
      <c r="A218" s="25"/>
      <c r="B218" s="6"/>
      <c r="C218" s="1"/>
      <c r="D218" s="1"/>
      <c r="E218" s="2"/>
      <c r="F218" s="1"/>
      <c r="G218" s="6"/>
      <c r="H218" s="1"/>
    </row>
    <row r="219" spans="1:8" ht="15" customHeight="1" x14ac:dyDescent="0.25">
      <c r="A219" s="25"/>
      <c r="B219" s="6"/>
      <c r="C219" s="1"/>
      <c r="D219" s="1"/>
      <c r="E219" s="2"/>
      <c r="F219" s="1"/>
      <c r="G219" s="6"/>
      <c r="H219" s="1"/>
    </row>
    <row r="220" spans="1:8" ht="15" customHeight="1" x14ac:dyDescent="0.25">
      <c r="A220" s="25"/>
      <c r="B220" s="6"/>
      <c r="C220" s="1"/>
      <c r="D220" s="1"/>
      <c r="E220" s="2"/>
      <c r="F220" s="1"/>
      <c r="G220" s="6"/>
      <c r="H220" s="1"/>
    </row>
    <row r="221" spans="1:8" ht="15" customHeight="1" x14ac:dyDescent="0.25">
      <c r="A221" s="25"/>
      <c r="B221" s="6"/>
      <c r="C221" s="1"/>
      <c r="D221" s="1"/>
      <c r="E221" s="2"/>
      <c r="F221" s="1"/>
      <c r="G221" s="6"/>
      <c r="H221" s="1"/>
    </row>
    <row r="222" spans="1:8" ht="15" customHeight="1" x14ac:dyDescent="0.25">
      <c r="A222" s="25"/>
      <c r="B222" s="6"/>
      <c r="C222" s="1"/>
      <c r="D222" s="1"/>
      <c r="E222" s="2"/>
      <c r="F222" s="1"/>
      <c r="G222" s="6"/>
      <c r="H222" s="1"/>
    </row>
    <row r="223" spans="1:8" ht="15" customHeight="1" x14ac:dyDescent="0.25">
      <c r="A223" s="25"/>
      <c r="B223" s="6"/>
      <c r="C223" s="1"/>
      <c r="D223" s="1"/>
      <c r="E223" s="2"/>
      <c r="F223" s="1"/>
      <c r="G223" s="6"/>
      <c r="H223" s="1"/>
    </row>
    <row r="224" spans="1:8" ht="15" customHeight="1" x14ac:dyDescent="0.25">
      <c r="A224" s="25"/>
      <c r="B224" s="6"/>
      <c r="C224" s="1"/>
      <c r="D224" s="1"/>
      <c r="E224" s="2"/>
      <c r="F224" s="1"/>
      <c r="G224" s="6"/>
      <c r="H224" s="1"/>
    </row>
    <row r="225" spans="1:8" ht="15" customHeight="1" x14ac:dyDescent="0.25">
      <c r="A225" s="25"/>
      <c r="B225" s="6"/>
      <c r="C225" s="1"/>
      <c r="D225" s="1"/>
      <c r="E225" s="2"/>
      <c r="F225" s="1"/>
      <c r="G225" s="6"/>
      <c r="H225" s="1"/>
    </row>
    <row r="226" spans="1:8" ht="15" customHeight="1" x14ac:dyDescent="0.25">
      <c r="A226" s="25"/>
      <c r="B226" s="6"/>
      <c r="C226" s="1"/>
      <c r="D226" s="1"/>
      <c r="E226" s="2"/>
      <c r="F226" s="1"/>
      <c r="G226" s="6"/>
      <c r="H226" s="1"/>
    </row>
    <row r="227" spans="1:8" ht="15" customHeight="1" x14ac:dyDescent="0.25">
      <c r="A227" s="25"/>
      <c r="B227" s="6"/>
      <c r="C227" s="1"/>
      <c r="D227" s="1"/>
      <c r="E227" s="2"/>
      <c r="F227" s="1"/>
      <c r="G227" s="6"/>
      <c r="H227" s="1"/>
    </row>
    <row r="228" spans="1:8" ht="15" customHeight="1" x14ac:dyDescent="0.25">
      <c r="A228" s="25"/>
      <c r="B228" s="6"/>
      <c r="C228" s="1"/>
      <c r="D228" s="1"/>
      <c r="E228" s="2"/>
      <c r="F228" s="1"/>
      <c r="G228" s="6"/>
      <c r="H228" s="1"/>
    </row>
    <row r="229" spans="1:8" ht="15" customHeight="1" x14ac:dyDescent="0.25">
      <c r="A229" s="25"/>
      <c r="B229" s="6"/>
      <c r="C229" s="1"/>
      <c r="D229" s="1"/>
      <c r="E229" s="2"/>
      <c r="F229" s="1"/>
      <c r="G229" s="6"/>
      <c r="H229" s="1"/>
    </row>
    <row r="230" spans="1:8" ht="15" customHeight="1" x14ac:dyDescent="0.25">
      <c r="A230" s="25"/>
      <c r="B230" s="6"/>
      <c r="C230" s="1"/>
      <c r="D230" s="1"/>
      <c r="E230" s="2"/>
      <c r="F230" s="1"/>
      <c r="G230" s="6"/>
      <c r="H230" s="1"/>
    </row>
    <row r="231" spans="1:8" ht="15" customHeight="1" x14ac:dyDescent="0.25">
      <c r="A231" s="25"/>
      <c r="B231" s="6"/>
      <c r="C231" s="1"/>
      <c r="D231" s="1"/>
      <c r="E231" s="2"/>
      <c r="F231" s="1"/>
      <c r="G231" s="6"/>
      <c r="H231" s="1"/>
    </row>
    <row r="232" spans="1:8" ht="15" customHeight="1" x14ac:dyDescent="0.25">
      <c r="A232" s="25"/>
      <c r="B232" s="6"/>
      <c r="C232" s="1"/>
      <c r="D232" s="1"/>
      <c r="E232" s="2"/>
      <c r="F232" s="1"/>
      <c r="G232" s="6"/>
      <c r="H232" s="1"/>
    </row>
    <row r="233" spans="1:8" ht="15" customHeight="1" x14ac:dyDescent="0.25">
      <c r="A233" s="25"/>
      <c r="B233" s="6"/>
      <c r="C233" s="1"/>
      <c r="D233" s="1"/>
      <c r="E233" s="2"/>
      <c r="F233" s="1"/>
      <c r="G233" s="6"/>
      <c r="H233" s="1"/>
    </row>
    <row r="234" spans="1:8" ht="15" customHeight="1" x14ac:dyDescent="0.25">
      <c r="A234" s="25"/>
      <c r="B234" s="6"/>
      <c r="C234" s="1"/>
      <c r="D234" s="1"/>
      <c r="E234" s="2"/>
      <c r="F234" s="1"/>
      <c r="G234" s="6"/>
      <c r="H234" s="1"/>
    </row>
    <row r="235" spans="1:8" ht="15" customHeight="1" x14ac:dyDescent="0.25">
      <c r="A235" s="25"/>
      <c r="B235" s="6"/>
      <c r="C235" s="1"/>
      <c r="D235" s="1"/>
      <c r="E235" s="2"/>
      <c r="F235" s="1"/>
      <c r="G235" s="6"/>
      <c r="H235" s="1"/>
    </row>
    <row r="236" spans="1:8" ht="15" customHeight="1" x14ac:dyDescent="0.25">
      <c r="A236" s="25"/>
      <c r="B236" s="6"/>
      <c r="C236" s="1"/>
      <c r="D236" s="1"/>
      <c r="E236" s="2"/>
      <c r="F236" s="1"/>
      <c r="G236" s="6"/>
      <c r="H236" s="1"/>
    </row>
    <row r="237" spans="1:8" ht="15" customHeight="1" x14ac:dyDescent="0.25">
      <c r="A237" s="25"/>
      <c r="B237" s="6"/>
      <c r="C237" s="1"/>
      <c r="D237" s="1"/>
      <c r="E237" s="2"/>
      <c r="F237" s="1"/>
      <c r="G237" s="6"/>
      <c r="H237" s="1"/>
    </row>
    <row r="238" spans="1:8" ht="15" customHeight="1" x14ac:dyDescent="0.25">
      <c r="A238" s="25"/>
      <c r="B238" s="6"/>
      <c r="C238" s="1"/>
      <c r="D238" s="1"/>
      <c r="E238" s="2"/>
      <c r="F238" s="1"/>
      <c r="G238" s="6"/>
      <c r="H238" s="1"/>
    </row>
    <row r="239" spans="1:8" ht="15" customHeight="1" x14ac:dyDescent="0.25">
      <c r="A239" s="25"/>
      <c r="B239" s="6"/>
      <c r="C239" s="1"/>
      <c r="D239" s="1"/>
      <c r="E239" s="2"/>
      <c r="F239" s="1"/>
      <c r="G239" s="6"/>
      <c r="H239" s="1"/>
    </row>
    <row r="240" spans="1:8" ht="15" customHeight="1" x14ac:dyDescent="0.25">
      <c r="A240" s="25"/>
      <c r="B240" s="6"/>
      <c r="C240" s="1"/>
      <c r="D240" s="1"/>
      <c r="E240" s="2"/>
      <c r="F240" s="1"/>
      <c r="G240" s="6"/>
      <c r="H240" s="1"/>
    </row>
    <row r="241" spans="1:8" ht="15" customHeight="1" x14ac:dyDescent="0.25">
      <c r="A241" s="25"/>
      <c r="B241" s="6"/>
      <c r="C241" s="1"/>
      <c r="D241" s="1"/>
      <c r="E241" s="2"/>
      <c r="F241" s="1"/>
      <c r="G241" s="6"/>
      <c r="H241" s="1"/>
    </row>
    <row r="242" spans="1:8" ht="15" customHeight="1" x14ac:dyDescent="0.25">
      <c r="A242" s="25"/>
      <c r="B242" s="6"/>
      <c r="C242" s="1"/>
      <c r="D242" s="1"/>
      <c r="E242" s="2"/>
      <c r="F242" s="1"/>
      <c r="G242" s="6"/>
      <c r="H242" s="1"/>
    </row>
    <row r="243" spans="1:8" ht="15" customHeight="1" x14ac:dyDescent="0.25">
      <c r="A243" s="25"/>
      <c r="B243" s="6"/>
      <c r="C243" s="1"/>
      <c r="D243" s="1"/>
      <c r="E243" s="2"/>
      <c r="F243" s="1"/>
      <c r="G243" s="6"/>
      <c r="H243" s="1"/>
    </row>
    <row r="244" spans="1:8" ht="15" customHeight="1" x14ac:dyDescent="0.25">
      <c r="A244" s="25"/>
      <c r="B244" s="6"/>
      <c r="C244" s="1"/>
      <c r="D244" s="1"/>
      <c r="E244" s="2"/>
      <c r="F244" s="1"/>
      <c r="G244" s="6"/>
      <c r="H244" s="1"/>
    </row>
    <row r="245" spans="1:8" ht="15" customHeight="1" x14ac:dyDescent="0.25">
      <c r="A245" s="25"/>
      <c r="B245" s="6"/>
      <c r="C245" s="1"/>
      <c r="D245" s="1"/>
      <c r="E245" s="2"/>
      <c r="F245" s="1"/>
      <c r="G245" s="6"/>
      <c r="H245" s="1"/>
    </row>
    <row r="246" spans="1:8" ht="15" customHeight="1" x14ac:dyDescent="0.25">
      <c r="A246" s="25"/>
      <c r="B246" s="6"/>
      <c r="C246" s="1"/>
      <c r="D246" s="1"/>
      <c r="E246" s="2"/>
      <c r="F246" s="1"/>
      <c r="G246" s="6"/>
      <c r="H246" s="1"/>
    </row>
    <row r="247" spans="1:8" ht="15" customHeight="1" x14ac:dyDescent="0.25">
      <c r="A247" s="25"/>
      <c r="B247" s="6"/>
      <c r="C247" s="1"/>
      <c r="D247" s="1"/>
      <c r="E247" s="2"/>
      <c r="F247" s="1"/>
      <c r="G247" s="6"/>
      <c r="H247" s="1"/>
    </row>
    <row r="248" spans="1:8" ht="15" customHeight="1" x14ac:dyDescent="0.25">
      <c r="A248" s="25"/>
      <c r="B248" s="6"/>
      <c r="C248" s="1"/>
      <c r="D248" s="1"/>
      <c r="E248" s="2"/>
      <c r="F248" s="1"/>
      <c r="G248" s="6"/>
      <c r="H248" s="1"/>
    </row>
    <row r="249" spans="1:8" ht="15" customHeight="1" x14ac:dyDescent="0.25">
      <c r="A249" s="25"/>
      <c r="B249" s="6"/>
      <c r="C249" s="1"/>
      <c r="D249" s="1"/>
      <c r="E249" s="2"/>
      <c r="F249" s="1"/>
      <c r="G249" s="6"/>
      <c r="H249" s="1"/>
    </row>
    <row r="250" spans="1:8" ht="15" customHeight="1" x14ac:dyDescent="0.25">
      <c r="A250" s="25"/>
      <c r="B250" s="6"/>
      <c r="C250" s="1"/>
      <c r="D250" s="1"/>
      <c r="E250" s="2"/>
      <c r="F250" s="1"/>
      <c r="G250" s="6"/>
      <c r="H250" s="1"/>
    </row>
    <row r="251" spans="1:8" ht="15" customHeight="1" x14ac:dyDescent="0.25">
      <c r="A251" s="25"/>
      <c r="B251" s="6"/>
      <c r="C251" s="1"/>
      <c r="D251" s="1"/>
      <c r="E251" s="2"/>
      <c r="F251" s="1"/>
      <c r="G251" s="6"/>
      <c r="H251" s="1"/>
    </row>
    <row r="252" spans="1:8" ht="15" customHeight="1" x14ac:dyDescent="0.25">
      <c r="A252" s="25"/>
      <c r="B252" s="6"/>
      <c r="C252" s="1"/>
      <c r="D252" s="1"/>
      <c r="E252" s="2"/>
      <c r="F252" s="1"/>
      <c r="G252" s="6"/>
      <c r="H252" s="1"/>
    </row>
    <row r="253" spans="1:8" ht="15" customHeight="1" x14ac:dyDescent="0.25">
      <c r="A253" s="25"/>
      <c r="B253" s="6"/>
      <c r="C253" s="1"/>
      <c r="D253" s="1"/>
      <c r="E253" s="2"/>
      <c r="F253" s="1"/>
      <c r="G253" s="6"/>
      <c r="H253" s="1"/>
    </row>
    <row r="254" spans="1:8" ht="15" customHeight="1" x14ac:dyDescent="0.25">
      <c r="A254" s="25"/>
      <c r="B254" s="6"/>
      <c r="C254" s="1"/>
      <c r="D254" s="1"/>
      <c r="E254" s="2"/>
      <c r="F254" s="1"/>
      <c r="G254" s="6"/>
      <c r="H254" s="1"/>
    </row>
    <row r="255" spans="1:8" ht="15" customHeight="1" x14ac:dyDescent="0.25">
      <c r="A255" s="25"/>
      <c r="B255" s="6"/>
      <c r="C255" s="1"/>
      <c r="D255" s="1"/>
      <c r="E255" s="2"/>
      <c r="F255" s="1"/>
      <c r="G255" s="6"/>
      <c r="H255" s="1"/>
    </row>
    <row r="256" spans="1:8" ht="15" customHeight="1" x14ac:dyDescent="0.25">
      <c r="A256" s="25"/>
      <c r="B256" s="6"/>
      <c r="C256" s="1"/>
      <c r="D256" s="1"/>
      <c r="E256" s="2"/>
      <c r="F256" s="1"/>
      <c r="G256" s="6"/>
      <c r="H256" s="1"/>
    </row>
    <row r="257" spans="1:8" ht="15" customHeight="1" x14ac:dyDescent="0.25">
      <c r="A257" s="25"/>
      <c r="B257" s="6"/>
      <c r="C257" s="1"/>
      <c r="D257" s="1"/>
      <c r="E257" s="2"/>
      <c r="F257" s="1"/>
      <c r="G257" s="6"/>
      <c r="H257" s="1"/>
    </row>
    <row r="258" spans="1:8" ht="15" customHeight="1" x14ac:dyDescent="0.25">
      <c r="A258" s="25"/>
      <c r="B258" s="6"/>
      <c r="C258" s="1"/>
      <c r="D258" s="1"/>
      <c r="E258" s="2"/>
      <c r="F258" s="1"/>
      <c r="G258" s="6"/>
      <c r="H258" s="1"/>
    </row>
    <row r="259" spans="1:8" ht="15" customHeight="1" x14ac:dyDescent="0.25">
      <c r="A259" s="25"/>
      <c r="B259" s="6"/>
      <c r="C259" s="1"/>
      <c r="D259" s="1"/>
      <c r="E259" s="2"/>
      <c r="F259" s="1"/>
      <c r="G259" s="6"/>
      <c r="H259" s="1"/>
    </row>
    <row r="260" spans="1:8" ht="15" customHeight="1" x14ac:dyDescent="0.25">
      <c r="A260" s="25"/>
      <c r="B260" s="6"/>
      <c r="C260" s="1"/>
      <c r="D260" s="1"/>
      <c r="E260" s="2"/>
      <c r="F260" s="1"/>
      <c r="G260" s="6"/>
      <c r="H260" s="1"/>
    </row>
    <row r="261" spans="1:8" ht="15" customHeight="1" x14ac:dyDescent="0.25">
      <c r="A261" s="25"/>
      <c r="B261" s="6"/>
      <c r="C261" s="1"/>
      <c r="D261" s="1"/>
      <c r="E261" s="2"/>
      <c r="F261" s="1"/>
      <c r="G261" s="6"/>
      <c r="H261" s="1"/>
    </row>
    <row r="262" spans="1:8" ht="15" customHeight="1" x14ac:dyDescent="0.25">
      <c r="A262" s="25"/>
      <c r="B262" s="6"/>
      <c r="C262" s="1"/>
      <c r="D262" s="1"/>
      <c r="E262" s="2"/>
      <c r="F262" s="1"/>
      <c r="G262" s="6"/>
      <c r="H262" s="1"/>
    </row>
    <row r="263" spans="1:8" ht="15" customHeight="1" x14ac:dyDescent="0.25">
      <c r="A263" s="25"/>
      <c r="B263" s="6"/>
      <c r="C263" s="1"/>
      <c r="D263" s="1"/>
      <c r="E263" s="2"/>
      <c r="F263" s="1"/>
      <c r="G263" s="6"/>
      <c r="H263" s="1"/>
    </row>
    <row r="264" spans="1:8" ht="15" customHeight="1" x14ac:dyDescent="0.25">
      <c r="A264" s="25"/>
      <c r="B264" s="6"/>
      <c r="C264" s="1"/>
      <c r="D264" s="1"/>
      <c r="E264" s="2"/>
      <c r="F264" s="1"/>
      <c r="G264" s="6"/>
      <c r="H264" s="1"/>
    </row>
    <row r="265" spans="1:8" ht="15" customHeight="1" x14ac:dyDescent="0.25">
      <c r="A265" s="25"/>
      <c r="B265" s="6"/>
      <c r="C265" s="1"/>
      <c r="D265" s="1"/>
      <c r="E265" s="2"/>
      <c r="F265" s="1"/>
      <c r="G265" s="6"/>
      <c r="H265" s="1"/>
    </row>
    <row r="266" spans="1:8" ht="15" customHeight="1" x14ac:dyDescent="0.25">
      <c r="A266" s="25"/>
      <c r="B266" s="6"/>
      <c r="C266" s="1"/>
      <c r="D266" s="1"/>
      <c r="E266" s="2"/>
      <c r="F266" s="1"/>
      <c r="G266" s="6"/>
      <c r="H266" s="1"/>
    </row>
    <row r="267" spans="1:8" ht="15" customHeight="1" x14ac:dyDescent="0.25">
      <c r="A267" s="25"/>
      <c r="B267" s="6"/>
      <c r="C267" s="1"/>
      <c r="D267" s="1"/>
      <c r="E267" s="2"/>
      <c r="F267" s="1"/>
      <c r="G267" s="6"/>
      <c r="H267" s="1"/>
    </row>
    <row r="268" spans="1:8" ht="15" customHeight="1" x14ac:dyDescent="0.25">
      <c r="A268" s="25"/>
      <c r="B268" s="6"/>
      <c r="C268" s="1"/>
      <c r="D268" s="1"/>
      <c r="E268" s="2"/>
      <c r="F268" s="1"/>
      <c r="G268" s="6"/>
      <c r="H268" s="1"/>
    </row>
    <row r="269" spans="1:8" ht="15" customHeight="1" x14ac:dyDescent="0.25">
      <c r="A269" s="25"/>
      <c r="B269" s="6"/>
      <c r="C269" s="1"/>
      <c r="D269" s="1"/>
      <c r="E269" s="2"/>
      <c r="F269" s="1"/>
      <c r="G269" s="6"/>
      <c r="H269" s="1"/>
    </row>
    <row r="270" spans="1:8" ht="15" customHeight="1" x14ac:dyDescent="0.25">
      <c r="A270" s="25"/>
      <c r="B270" s="6"/>
      <c r="C270" s="1"/>
      <c r="D270" s="1"/>
      <c r="E270" s="2"/>
      <c r="F270" s="1"/>
      <c r="G270" s="6"/>
      <c r="H270" s="1"/>
    </row>
    <row r="271" spans="1:8" ht="15" customHeight="1" x14ac:dyDescent="0.25">
      <c r="A271" s="25"/>
      <c r="B271" s="6"/>
      <c r="C271" s="1"/>
      <c r="D271" s="1"/>
      <c r="E271" s="2"/>
      <c r="F271" s="1"/>
      <c r="G271" s="6"/>
      <c r="H271" s="1"/>
    </row>
    <row r="272" spans="1:8" ht="15" customHeight="1" x14ac:dyDescent="0.25">
      <c r="A272" s="25"/>
      <c r="B272" s="6"/>
      <c r="C272" s="1"/>
      <c r="D272" s="1"/>
      <c r="E272" s="2"/>
      <c r="F272" s="1"/>
      <c r="G272" s="6"/>
      <c r="H272" s="1"/>
    </row>
    <row r="273" spans="1:8" ht="15" customHeight="1" x14ac:dyDescent="0.25">
      <c r="A273" s="25"/>
      <c r="B273" s="6"/>
      <c r="C273" s="1"/>
      <c r="D273" s="1"/>
      <c r="E273" s="2"/>
      <c r="F273" s="1"/>
      <c r="G273" s="6"/>
      <c r="H273" s="1"/>
    </row>
    <row r="274" spans="1:8" ht="15" customHeight="1" x14ac:dyDescent="0.25">
      <c r="A274" s="25"/>
      <c r="B274" s="6"/>
      <c r="C274" s="1"/>
      <c r="D274" s="1"/>
      <c r="E274" s="2"/>
      <c r="F274" s="1"/>
      <c r="G274" s="6"/>
      <c r="H274" s="1"/>
    </row>
    <row r="275" spans="1:8" ht="15" customHeight="1" x14ac:dyDescent="0.25">
      <c r="A275" s="25"/>
      <c r="B275" s="6"/>
      <c r="C275" s="1"/>
      <c r="D275" s="1"/>
      <c r="E275" s="2"/>
      <c r="F275" s="1"/>
      <c r="G275" s="6"/>
      <c r="H275" s="1"/>
    </row>
    <row r="276" spans="1:8" ht="15" customHeight="1" x14ac:dyDescent="0.25">
      <c r="A276" s="25"/>
      <c r="B276" s="6"/>
      <c r="C276" s="1"/>
      <c r="D276" s="1"/>
      <c r="E276" s="2"/>
      <c r="F276" s="1"/>
      <c r="G276" s="6"/>
      <c r="H276" s="1"/>
    </row>
    <row r="277" spans="1:8" ht="15" customHeight="1" x14ac:dyDescent="0.25">
      <c r="A277" s="25"/>
      <c r="B277" s="6"/>
      <c r="C277" s="1"/>
      <c r="D277" s="1"/>
      <c r="E277" s="2"/>
      <c r="F277" s="1"/>
      <c r="G277" s="6"/>
      <c r="H277" s="1"/>
    </row>
    <row r="278" spans="1:8" ht="15" customHeight="1" x14ac:dyDescent="0.25">
      <c r="A278" s="25"/>
      <c r="B278" s="6"/>
      <c r="C278" s="1"/>
      <c r="D278" s="1"/>
      <c r="E278" s="2"/>
      <c r="F278" s="1"/>
      <c r="G278" s="6"/>
      <c r="H278" s="1"/>
    </row>
    <row r="279" spans="1:8" ht="15" customHeight="1" x14ac:dyDescent="0.25">
      <c r="A279" s="25"/>
      <c r="B279" s="6"/>
      <c r="C279" s="1"/>
      <c r="D279" s="1"/>
      <c r="E279" s="2"/>
      <c r="F279" s="1"/>
      <c r="G279" s="6"/>
      <c r="H279" s="1"/>
    </row>
    <row r="280" spans="1:8" ht="15" customHeight="1" x14ac:dyDescent="0.25">
      <c r="A280" s="25"/>
      <c r="B280" s="6"/>
      <c r="C280" s="1"/>
      <c r="D280" s="1"/>
      <c r="E280" s="2"/>
      <c r="F280" s="1"/>
      <c r="G280" s="6"/>
      <c r="H280" s="1"/>
    </row>
    <row r="281" spans="1:8" ht="15" customHeight="1" x14ac:dyDescent="0.25">
      <c r="A281" s="25"/>
      <c r="B281" s="6"/>
      <c r="C281" s="1"/>
      <c r="D281" s="1"/>
      <c r="E281" s="2"/>
      <c r="F281" s="1"/>
      <c r="G281" s="6"/>
      <c r="H281" s="1"/>
    </row>
    <row r="282" spans="1:8" ht="15" customHeight="1" x14ac:dyDescent="0.25">
      <c r="A282" s="25"/>
      <c r="B282" s="6"/>
      <c r="C282" s="1"/>
      <c r="D282" s="1"/>
      <c r="E282" s="2"/>
      <c r="F282" s="1"/>
      <c r="G282" s="6"/>
      <c r="H282" s="1"/>
    </row>
    <row r="283" spans="1:8" ht="15" customHeight="1" x14ac:dyDescent="0.25">
      <c r="A283" s="25"/>
      <c r="B283" s="6"/>
      <c r="C283" s="1"/>
      <c r="D283" s="1"/>
      <c r="E283" s="2"/>
      <c r="F283" s="1"/>
      <c r="G283" s="6"/>
      <c r="H283" s="1"/>
    </row>
    <row r="284" spans="1:8" ht="15" customHeight="1" x14ac:dyDescent="0.25">
      <c r="A284" s="25"/>
      <c r="B284" s="6"/>
      <c r="C284" s="1"/>
      <c r="D284" s="1"/>
      <c r="E284" s="2"/>
      <c r="F284" s="1"/>
      <c r="G284" s="6"/>
      <c r="H284" s="1"/>
    </row>
    <row r="285" spans="1:8" ht="15" customHeight="1" x14ac:dyDescent="0.25">
      <c r="A285" s="25"/>
      <c r="B285" s="6"/>
      <c r="C285" s="1"/>
      <c r="D285" s="1"/>
      <c r="E285" s="2"/>
      <c r="F285" s="1"/>
      <c r="G285" s="6"/>
      <c r="H285" s="1"/>
    </row>
    <row r="286" spans="1:8" ht="15" customHeight="1" x14ac:dyDescent="0.25">
      <c r="A286" s="25"/>
      <c r="B286" s="6"/>
      <c r="C286" s="1"/>
      <c r="D286" s="1"/>
      <c r="E286" s="2"/>
      <c r="F286" s="1"/>
      <c r="G286" s="6"/>
      <c r="H286" s="1"/>
    </row>
    <row r="287" spans="1:8" ht="15" customHeight="1" x14ac:dyDescent="0.25">
      <c r="A287" s="25"/>
      <c r="B287" s="6"/>
      <c r="C287" s="1"/>
      <c r="D287" s="1"/>
      <c r="E287" s="2"/>
      <c r="F287" s="1"/>
      <c r="G287" s="6"/>
      <c r="H287" s="1"/>
    </row>
    <row r="288" spans="1:8" ht="15" customHeight="1" x14ac:dyDescent="0.25">
      <c r="A288" s="25"/>
      <c r="B288" s="6"/>
      <c r="C288" s="1"/>
      <c r="D288" s="1"/>
      <c r="E288" s="2"/>
      <c r="F288" s="1"/>
      <c r="G288" s="6"/>
      <c r="H288" s="1"/>
    </row>
    <row r="289" spans="1:8" ht="15" customHeight="1" x14ac:dyDescent="0.25">
      <c r="A289" s="25"/>
      <c r="B289" s="6"/>
      <c r="C289" s="1"/>
      <c r="D289" s="1"/>
      <c r="E289" s="2"/>
      <c r="F289" s="1"/>
      <c r="G289" s="6"/>
      <c r="H289" s="1"/>
    </row>
    <row r="290" spans="1:8" ht="15" customHeight="1" x14ac:dyDescent="0.25">
      <c r="A290" s="25"/>
      <c r="B290" s="6"/>
      <c r="C290" s="1"/>
      <c r="D290" s="1"/>
      <c r="E290" s="2"/>
      <c r="F290" s="1"/>
      <c r="G290" s="6"/>
      <c r="H290" s="1"/>
    </row>
    <row r="291" spans="1:8" ht="15" customHeight="1" x14ac:dyDescent="0.25">
      <c r="A291" s="25"/>
      <c r="B291" s="6"/>
      <c r="C291" s="1"/>
      <c r="D291" s="1"/>
      <c r="E291" s="2"/>
      <c r="F291" s="1"/>
      <c r="G291" s="6"/>
      <c r="H291" s="1"/>
    </row>
    <row r="292" spans="1:8" ht="15" customHeight="1" x14ac:dyDescent="0.25">
      <c r="A292" s="25"/>
      <c r="B292" s="6"/>
      <c r="C292" s="1"/>
      <c r="D292" s="1"/>
      <c r="E292" s="2"/>
      <c r="F292" s="1"/>
      <c r="G292" s="6"/>
      <c r="H292" s="1"/>
    </row>
    <row r="293" spans="1:8" ht="15" customHeight="1" x14ac:dyDescent="0.25">
      <c r="A293" s="25"/>
      <c r="B293" s="6"/>
      <c r="C293" s="1"/>
      <c r="D293" s="1"/>
      <c r="E293" s="2"/>
      <c r="F293" s="1"/>
      <c r="G293" s="6"/>
      <c r="H293" s="1"/>
    </row>
    <row r="294" spans="1:8" ht="15" customHeight="1" x14ac:dyDescent="0.25">
      <c r="A294" s="25"/>
      <c r="B294" s="6"/>
      <c r="C294" s="1"/>
      <c r="D294" s="1"/>
      <c r="E294" s="2"/>
      <c r="F294" s="1"/>
      <c r="G294" s="6"/>
      <c r="H294" s="1"/>
    </row>
    <row r="295" spans="1:8" ht="15" customHeight="1" x14ac:dyDescent="0.25">
      <c r="A295" s="25"/>
      <c r="B295" s="6"/>
      <c r="C295" s="1"/>
      <c r="D295" s="1"/>
      <c r="E295" s="2"/>
      <c r="F295" s="1"/>
      <c r="G295" s="6"/>
      <c r="H295" s="1"/>
    </row>
    <row r="296" spans="1:8" ht="15" customHeight="1" x14ac:dyDescent="0.25">
      <c r="A296" s="25"/>
      <c r="B296" s="6"/>
      <c r="C296" s="1"/>
      <c r="D296" s="1"/>
      <c r="E296" s="2"/>
      <c r="F296" s="1"/>
      <c r="G296" s="6"/>
      <c r="H296" s="1"/>
    </row>
    <row r="297" spans="1:8" ht="15" customHeight="1" x14ac:dyDescent="0.25">
      <c r="A297" s="25"/>
      <c r="B297" s="6"/>
      <c r="C297" s="1"/>
      <c r="D297" s="1"/>
      <c r="E297" s="2"/>
      <c r="F297" s="1"/>
      <c r="G297" s="6"/>
      <c r="H297" s="1"/>
    </row>
    <row r="298" spans="1:8" ht="15" customHeight="1" x14ac:dyDescent="0.25">
      <c r="A298" s="25"/>
      <c r="B298" s="6"/>
      <c r="C298" s="1"/>
      <c r="D298" s="1"/>
      <c r="E298" s="2"/>
      <c r="F298" s="1"/>
      <c r="G298" s="6"/>
      <c r="H298" s="1"/>
    </row>
    <row r="299" spans="1:8" ht="15" customHeight="1" x14ac:dyDescent="0.25">
      <c r="A299" s="25"/>
      <c r="B299" s="6"/>
      <c r="C299" s="1"/>
      <c r="D299" s="1"/>
      <c r="E299" s="2"/>
      <c r="F299" s="1"/>
      <c r="G299" s="6"/>
      <c r="H299" s="1"/>
    </row>
    <row r="300" spans="1:8" ht="15" customHeight="1" x14ac:dyDescent="0.25">
      <c r="A300" s="25"/>
      <c r="B300" s="6"/>
      <c r="C300" s="1"/>
      <c r="D300" s="1"/>
      <c r="E300" s="2"/>
      <c r="F300" s="1"/>
      <c r="G300" s="6"/>
      <c r="H300" s="1"/>
    </row>
    <row r="301" spans="1:8" ht="15" customHeight="1" x14ac:dyDescent="0.25">
      <c r="A301" s="25"/>
      <c r="B301" s="6"/>
      <c r="C301" s="1"/>
      <c r="D301" s="1"/>
      <c r="E301" s="2"/>
      <c r="F301" s="1"/>
      <c r="G301" s="6"/>
      <c r="H301" s="1"/>
    </row>
    <row r="302" spans="1:8" ht="15" customHeight="1" x14ac:dyDescent="0.25">
      <c r="A302" s="25"/>
      <c r="B302" s="6"/>
      <c r="C302" s="1"/>
      <c r="D302" s="1"/>
      <c r="E302" s="2"/>
      <c r="F302" s="1"/>
      <c r="G302" s="6"/>
      <c r="H302" s="1"/>
    </row>
    <row r="303" spans="1:8" ht="15" customHeight="1" x14ac:dyDescent="0.25">
      <c r="A303" s="25"/>
      <c r="B303" s="6"/>
      <c r="C303" s="1"/>
      <c r="D303" s="1"/>
      <c r="E303" s="2"/>
      <c r="F303" s="1"/>
      <c r="G303" s="6"/>
      <c r="H303" s="1"/>
    </row>
    <row r="304" spans="1:8" ht="15" customHeight="1" x14ac:dyDescent="0.25">
      <c r="A304" s="25"/>
      <c r="B304" s="6"/>
      <c r="C304" s="1"/>
      <c r="D304" s="1"/>
      <c r="E304" s="2"/>
      <c r="F304" s="1"/>
      <c r="G304" s="6"/>
      <c r="H304" s="1"/>
    </row>
    <row r="305" spans="1:8" ht="15" customHeight="1" x14ac:dyDescent="0.25">
      <c r="A305" s="25"/>
      <c r="B305" s="6"/>
      <c r="C305" s="1"/>
      <c r="D305" s="1"/>
      <c r="E305" s="2"/>
      <c r="F305" s="1"/>
      <c r="G305" s="6"/>
      <c r="H305" s="1"/>
    </row>
    <row r="306" spans="1:8" ht="15" customHeight="1" x14ac:dyDescent="0.25">
      <c r="A306" s="25"/>
      <c r="B306" s="6"/>
      <c r="C306" s="1"/>
      <c r="D306" s="1"/>
      <c r="E306" s="2"/>
      <c r="F306" s="1"/>
      <c r="G306" s="6"/>
      <c r="H306" s="1"/>
    </row>
    <row r="307" spans="1:8" ht="15" customHeight="1" x14ac:dyDescent="0.25">
      <c r="A307" s="25"/>
      <c r="B307" s="6"/>
      <c r="C307" s="1"/>
      <c r="D307" s="1"/>
      <c r="E307" s="2"/>
      <c r="F307" s="1"/>
      <c r="G307" s="6"/>
      <c r="H307" s="1"/>
    </row>
    <row r="308" spans="1:8" ht="15" customHeight="1" x14ac:dyDescent="0.25">
      <c r="A308" s="25"/>
      <c r="B308" s="6"/>
      <c r="C308" s="1"/>
      <c r="D308" s="1"/>
      <c r="E308" s="2"/>
      <c r="F308" s="1"/>
      <c r="G308" s="6"/>
      <c r="H308" s="1"/>
    </row>
    <row r="309" spans="1:8" ht="15" customHeight="1" x14ac:dyDescent="0.25">
      <c r="A309" s="25"/>
      <c r="B309" s="6"/>
      <c r="C309" s="1"/>
      <c r="D309" s="1"/>
      <c r="E309" s="2"/>
      <c r="F309" s="1"/>
      <c r="G309" s="6"/>
      <c r="H309" s="1"/>
    </row>
    <row r="310" spans="1:8" ht="15" customHeight="1" x14ac:dyDescent="0.25">
      <c r="A310" s="25"/>
      <c r="B310" s="6"/>
      <c r="C310" s="1"/>
      <c r="D310" s="1"/>
      <c r="E310" s="2"/>
      <c r="F310" s="1"/>
      <c r="G310" s="6"/>
      <c r="H310" s="1"/>
    </row>
    <row r="311" spans="1:8" ht="15" customHeight="1" x14ac:dyDescent="0.25">
      <c r="A311" s="25"/>
      <c r="B311" s="6"/>
      <c r="C311" s="1"/>
      <c r="D311" s="1"/>
      <c r="E311" s="2"/>
      <c r="F311" s="1"/>
      <c r="G311" s="6"/>
      <c r="H311" s="1"/>
    </row>
  </sheetData>
  <autoFilter ref="A1:L98" xr:uid="{C07DA694-33CE-490A-BD2E-756A2F2C5AA1}"/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CC799-E829-416F-B6F3-4E3AEFC356D7}">
  <dimension ref="A1:R313"/>
  <sheetViews>
    <sheetView showGridLines="0" tabSelected="1" zoomScaleNormal="100" workbookViewId="0"/>
  </sheetViews>
  <sheetFormatPr defaultRowHeight="15" customHeight="1" x14ac:dyDescent="0.25"/>
  <cols>
    <col min="1" max="1" width="49" style="26" customWidth="1"/>
    <col min="2" max="2" width="19.28515625" style="7" bestFit="1" customWidth="1"/>
    <col min="3" max="3" width="12.42578125" style="5" bestFit="1" customWidth="1"/>
    <col min="4" max="4" width="30" style="3" bestFit="1" customWidth="1"/>
    <col min="5" max="5" width="11" style="4" bestFit="1" customWidth="1"/>
    <col min="6" max="6" width="17.28515625" style="3" bestFit="1" customWidth="1"/>
    <col min="7" max="7" width="19.140625" style="7" bestFit="1" customWidth="1"/>
    <col min="8" max="8" width="16.28515625" style="3" bestFit="1" customWidth="1"/>
    <col min="9" max="9" width="2" bestFit="1" customWidth="1"/>
    <col min="10" max="10" width="17" style="5" bestFit="1" customWidth="1"/>
    <col min="11" max="11" width="18" style="27" bestFit="1" customWidth="1"/>
    <col min="12" max="12" width="30" bestFit="1" customWidth="1"/>
    <col min="13" max="13" width="11.140625" bestFit="1" customWidth="1"/>
    <col min="14" max="14" width="10.5703125" bestFit="1" customWidth="1"/>
    <col min="16" max="17" width="9.5703125" bestFit="1" customWidth="1"/>
  </cols>
  <sheetData>
    <row r="1" spans="1:14" ht="14.25" customHeight="1" x14ac:dyDescent="0.25">
      <c r="A1" s="10" t="s">
        <v>0</v>
      </c>
      <c r="B1" s="10" t="s">
        <v>7</v>
      </c>
      <c r="C1" s="13" t="s">
        <v>1</v>
      </c>
      <c r="D1" s="13" t="s">
        <v>2</v>
      </c>
      <c r="E1" s="14" t="s">
        <v>3</v>
      </c>
      <c r="F1" s="13" t="s">
        <v>4</v>
      </c>
      <c r="G1" s="10" t="s">
        <v>5</v>
      </c>
      <c r="H1" s="13" t="s">
        <v>6</v>
      </c>
      <c r="I1" s="15" t="s">
        <v>12</v>
      </c>
      <c r="J1" s="16" t="s">
        <v>26</v>
      </c>
      <c r="K1" s="16" t="s">
        <v>27</v>
      </c>
      <c r="L1" s="15" t="s">
        <v>82</v>
      </c>
    </row>
    <row r="2" spans="1:14" ht="15" customHeight="1" x14ac:dyDescent="0.25">
      <c r="A2" s="21" t="str">
        <f>_xlfn.CONCAT($L$1,$I$1,F2,$I$1,J2)</f>
        <v>CUSTO PLATAFORMA - JUNHO/26 - OMS CARE ORDER - 61086</v>
      </c>
      <c r="B2" s="9">
        <v>46174</v>
      </c>
      <c r="C2" s="8">
        <v>817394</v>
      </c>
      <c r="D2" s="8" t="s">
        <v>21</v>
      </c>
      <c r="E2" s="67">
        <v>-1855.814873650058</v>
      </c>
      <c r="F2" s="8" t="s">
        <v>9</v>
      </c>
      <c r="G2" s="9">
        <v>46174</v>
      </c>
      <c r="H2" s="8">
        <v>1170</v>
      </c>
      <c r="J2" s="37">
        <v>61086</v>
      </c>
      <c r="K2" s="37">
        <f>_xlfn.XLOOKUP(L2,[1]!Tabela33[BROKER],[1]!Tabela33[ID ORACLE],0,0,1)</f>
        <v>61086</v>
      </c>
      <c r="L2" s="8" t="s">
        <v>21</v>
      </c>
    </row>
    <row r="3" spans="1:14" ht="15" customHeight="1" x14ac:dyDescent="0.25">
      <c r="A3" s="21" t="str">
        <f t="shared" ref="A3:A72" si="0">_xlfn.CONCAT($L$1,$I$1,F3,$I$1,J3)</f>
        <v>CUSTO PLATAFORMA - JUNHO/26 - OMS CARE ORDER - 57036</v>
      </c>
      <c r="B3" s="9">
        <v>46174</v>
      </c>
      <c r="C3" s="8">
        <v>817394</v>
      </c>
      <c r="D3" s="8" t="s">
        <v>21</v>
      </c>
      <c r="E3" s="67">
        <v>-1855.814873650058</v>
      </c>
      <c r="F3" s="8" t="s">
        <v>9</v>
      </c>
      <c r="G3" s="9">
        <v>46174</v>
      </c>
      <c r="H3" s="8">
        <v>1170</v>
      </c>
      <c r="J3" s="37">
        <v>57036</v>
      </c>
      <c r="K3" s="37">
        <f>_xlfn.XLOOKUP(L3,[1]!Tabela33[BROKER],[1]!Tabela33[ID ORACLE],0,0,1)</f>
        <v>57036</v>
      </c>
      <c r="L3" s="8" t="s">
        <v>22</v>
      </c>
      <c r="N3" s="29"/>
    </row>
    <row r="4" spans="1:14" ht="15" customHeight="1" x14ac:dyDescent="0.25">
      <c r="A4" s="21" t="str">
        <f t="shared" si="0"/>
        <v>CUSTO PLATAFORMA - JUNHO/26 - OMS CARE ORDER - 115154</v>
      </c>
      <c r="B4" s="9">
        <v>46174</v>
      </c>
      <c r="C4" s="8">
        <v>817394</v>
      </c>
      <c r="D4" s="8" t="s">
        <v>21</v>
      </c>
      <c r="E4" s="67">
        <v>-1855.814873650058</v>
      </c>
      <c r="F4" s="8" t="s">
        <v>9</v>
      </c>
      <c r="G4" s="9">
        <v>46174</v>
      </c>
      <c r="H4" s="8">
        <v>1170</v>
      </c>
      <c r="J4" s="37">
        <v>115154</v>
      </c>
      <c r="K4" s="37">
        <f>_xlfn.XLOOKUP(L4,[1]!Tabela33[BROKER],[1]!Tabela33[ID ORACLE],0,0,1)</f>
        <v>115154</v>
      </c>
      <c r="L4" s="8" t="s">
        <v>23</v>
      </c>
      <c r="M4" s="30"/>
      <c r="N4" s="29"/>
    </row>
    <row r="5" spans="1:14" ht="15" customHeight="1" x14ac:dyDescent="0.25">
      <c r="A5" s="21" t="str">
        <f t="shared" si="0"/>
        <v>CUSTO PLATAFORMA - JUNHO/26 - OMS CARE ORDER - 136668</v>
      </c>
      <c r="B5" s="9">
        <v>46174</v>
      </c>
      <c r="C5" s="8">
        <v>817394</v>
      </c>
      <c r="D5" s="8" t="s">
        <v>21</v>
      </c>
      <c r="E5" s="67">
        <v>-1855.814873650058</v>
      </c>
      <c r="F5" s="8" t="s">
        <v>9</v>
      </c>
      <c r="G5" s="9">
        <v>46174</v>
      </c>
      <c r="H5" s="8">
        <v>1170</v>
      </c>
      <c r="J5" s="37">
        <v>136668</v>
      </c>
      <c r="K5" s="37">
        <f>_xlfn.XLOOKUP(L5,[1]!Tabela33[BROKER],[1]!Tabela33[ID ORACLE],0,0,1)</f>
        <v>136668</v>
      </c>
      <c r="L5" s="8" t="s">
        <v>36</v>
      </c>
      <c r="M5" s="30"/>
      <c r="N5" s="29"/>
    </row>
    <row r="6" spans="1:14" ht="15" customHeight="1" x14ac:dyDescent="0.25">
      <c r="A6" s="21" t="str">
        <f t="shared" si="0"/>
        <v>CUSTO PLATAFORMA - JUNHO/26 - OMS CARE ORDER - 64098</v>
      </c>
      <c r="B6" s="9">
        <v>46174</v>
      </c>
      <c r="C6" s="8">
        <v>817394</v>
      </c>
      <c r="D6" s="8" t="s">
        <v>24</v>
      </c>
      <c r="E6" s="67">
        <v>-1855.814873650058</v>
      </c>
      <c r="F6" s="8" t="s">
        <v>9</v>
      </c>
      <c r="G6" s="9">
        <v>46174</v>
      </c>
      <c r="H6" s="8">
        <v>1170</v>
      </c>
      <c r="J6" s="37">
        <v>64098</v>
      </c>
      <c r="K6" s="37">
        <f>_xlfn.XLOOKUP(L6,[1]!Tabela33[BROKER],[1]!Tabela33[ID ORACLE],0,0,1)</f>
        <v>64098</v>
      </c>
      <c r="L6" s="8" t="s">
        <v>24</v>
      </c>
      <c r="N6" s="30"/>
    </row>
    <row r="7" spans="1:14" ht="15" customHeight="1" x14ac:dyDescent="0.25">
      <c r="A7" s="21" t="str">
        <f t="shared" si="0"/>
        <v>CUSTO PLATAFORMA - JUNHO/26 - OMS CARE ORDER - 36554</v>
      </c>
      <c r="B7" s="9">
        <v>46174</v>
      </c>
      <c r="C7" s="8">
        <v>817394</v>
      </c>
      <c r="D7" s="8" t="s">
        <v>40</v>
      </c>
      <c r="E7" s="67">
        <v>-1855.814873650058</v>
      </c>
      <c r="F7" s="8" t="s">
        <v>9</v>
      </c>
      <c r="G7" s="9">
        <v>46174</v>
      </c>
      <c r="H7" s="8">
        <v>1170</v>
      </c>
      <c r="J7" s="37">
        <v>36554</v>
      </c>
      <c r="K7" s="37">
        <f>_xlfn.XLOOKUP(L7,[1]!Tabela33[BROKER],[1]!Tabela33[ID ORACLE],0,0,1)</f>
        <v>0</v>
      </c>
      <c r="L7" s="8" t="s">
        <v>16</v>
      </c>
    </row>
    <row r="8" spans="1:14" ht="15" customHeight="1" x14ac:dyDescent="0.25">
      <c r="A8" s="22" t="str">
        <f t="shared" si="0"/>
        <v>CUSTO PLATAFORMA - JUNHO/26 - OMS CARE ORDER - 122758</v>
      </c>
      <c r="B8" s="18">
        <v>46174</v>
      </c>
      <c r="C8" s="17">
        <v>817394</v>
      </c>
      <c r="D8" s="17" t="s">
        <v>20</v>
      </c>
      <c r="E8" s="67">
        <v>-371.16297473001202</v>
      </c>
      <c r="F8" s="17" t="s">
        <v>9</v>
      </c>
      <c r="G8" s="18">
        <v>46174</v>
      </c>
      <c r="H8" s="17">
        <v>1170</v>
      </c>
      <c r="J8" s="28">
        <v>122758</v>
      </c>
      <c r="K8" s="28">
        <f>_xlfn.XLOOKUP(L8,[1]!Tabela33[BROKER],[1]!Tabela33[ID ORACLE],0,0,1)</f>
        <v>106970</v>
      </c>
      <c r="L8" s="17" t="s">
        <v>20</v>
      </c>
    </row>
    <row r="9" spans="1:14" ht="15" customHeight="1" x14ac:dyDescent="0.25">
      <c r="A9" s="22" t="str">
        <f t="shared" si="0"/>
        <v>CUSTO PLATAFORMA - JUNHO/26 - OMS CARE ORDER - 122758</v>
      </c>
      <c r="B9" s="18">
        <v>46174</v>
      </c>
      <c r="C9" s="17">
        <v>817394</v>
      </c>
      <c r="D9" s="17" t="s">
        <v>31</v>
      </c>
      <c r="E9" s="67">
        <v>-371.16297473001202</v>
      </c>
      <c r="F9" s="17" t="s">
        <v>9</v>
      </c>
      <c r="G9" s="18">
        <v>46174</v>
      </c>
      <c r="H9" s="17">
        <v>1170</v>
      </c>
      <c r="J9" s="28">
        <v>122758</v>
      </c>
      <c r="K9" s="28">
        <f>_xlfn.XLOOKUP(L9,[1]!Tabela33[BROKER],[1]!Tabela33[ID ORACLE],0,0,1)</f>
        <v>139345</v>
      </c>
      <c r="L9" s="17" t="s">
        <v>31</v>
      </c>
    </row>
    <row r="10" spans="1:14" ht="15" customHeight="1" x14ac:dyDescent="0.25">
      <c r="A10" s="22" t="str">
        <f t="shared" si="0"/>
        <v>CUSTO PLATAFORMA - JUNHO/26 - OMS CARE ORDER - 122758</v>
      </c>
      <c r="B10" s="18">
        <v>46174</v>
      </c>
      <c r="C10" s="17">
        <v>817394</v>
      </c>
      <c r="D10" s="17" t="s">
        <v>19</v>
      </c>
      <c r="E10" s="67">
        <v>-371.16297473001202</v>
      </c>
      <c r="F10" s="17" t="s">
        <v>9</v>
      </c>
      <c r="G10" s="18">
        <v>46174</v>
      </c>
      <c r="H10" s="17">
        <v>1170</v>
      </c>
      <c r="J10" s="28">
        <v>122758</v>
      </c>
      <c r="K10" s="28">
        <f>_xlfn.XLOOKUP(L10,[1]!Tabela33[BROKER],[1]!Tabela33[ID ORACLE],0,0,1)</f>
        <v>22361</v>
      </c>
      <c r="L10" s="17" t="s">
        <v>19</v>
      </c>
    </row>
    <row r="11" spans="1:14" ht="15" customHeight="1" x14ac:dyDescent="0.25">
      <c r="A11" s="22" t="str">
        <f t="shared" si="0"/>
        <v>CUSTO PLATAFORMA - JUNHO/26 - OMS CARE ORDER - 122758</v>
      </c>
      <c r="B11" s="18">
        <v>46174</v>
      </c>
      <c r="C11" s="17">
        <v>817394</v>
      </c>
      <c r="D11" s="17" t="s">
        <v>32</v>
      </c>
      <c r="E11" s="67">
        <v>-371.16297473001202</v>
      </c>
      <c r="F11" s="17" t="s">
        <v>9</v>
      </c>
      <c r="G11" s="18">
        <v>46174</v>
      </c>
      <c r="H11" s="17">
        <v>1170</v>
      </c>
      <c r="J11" s="28">
        <v>122758</v>
      </c>
      <c r="K11" s="28">
        <f>_xlfn.XLOOKUP(L11,[1]!Tabela33[BROKER],[1]!Tabela33[ID ORACLE],0,0,1)</f>
        <v>132975</v>
      </c>
      <c r="L11" s="17" t="s">
        <v>32</v>
      </c>
    </row>
    <row r="12" spans="1:14" ht="15" customHeight="1" x14ac:dyDescent="0.25">
      <c r="A12" s="22" t="str">
        <f t="shared" si="0"/>
        <v>CUSTO PLATAFORMA - JUNHO/26 - OMS CARE ORDER - 122758</v>
      </c>
      <c r="B12" s="18">
        <v>46174</v>
      </c>
      <c r="C12" s="17">
        <v>817394</v>
      </c>
      <c r="D12" s="17" t="s">
        <v>18</v>
      </c>
      <c r="E12" s="67">
        <v>-371.16297473001202</v>
      </c>
      <c r="F12" s="17" t="s">
        <v>9</v>
      </c>
      <c r="G12" s="18">
        <v>46174</v>
      </c>
      <c r="H12" s="17">
        <v>1170</v>
      </c>
      <c r="J12" s="28">
        <v>122758</v>
      </c>
      <c r="K12" s="28">
        <f>_xlfn.XLOOKUP(L12,[1]!Tabela33[BROKER],[1]!Tabela33[ID ORACLE],0,0,1)</f>
        <v>122758</v>
      </c>
      <c r="L12" s="17" t="s">
        <v>18</v>
      </c>
      <c r="M12" s="29"/>
    </row>
    <row r="13" spans="1:14" ht="15" customHeight="1" x14ac:dyDescent="0.25">
      <c r="A13" s="21" t="str">
        <f t="shared" si="0"/>
        <v>CUSTO PLATAFORMA - JUNHO/26 - OMS CARE ORDER - 125412</v>
      </c>
      <c r="B13" s="9">
        <v>46174</v>
      </c>
      <c r="C13" s="8">
        <v>817394</v>
      </c>
      <c r="D13" s="8" t="s">
        <v>29</v>
      </c>
      <c r="E13" s="67">
        <v>-1855.814873650058</v>
      </c>
      <c r="F13" s="8" t="s">
        <v>9</v>
      </c>
      <c r="G13" s="9">
        <v>46174</v>
      </c>
      <c r="H13" s="8">
        <v>1170</v>
      </c>
      <c r="J13" s="37">
        <v>125412</v>
      </c>
      <c r="K13" s="37">
        <v>52340</v>
      </c>
      <c r="L13" s="8" t="s">
        <v>29</v>
      </c>
      <c r="M13" s="30"/>
    </row>
    <row r="14" spans="1:14" ht="15" customHeight="1" x14ac:dyDescent="0.25">
      <c r="A14" s="21" t="str">
        <f t="shared" si="0"/>
        <v>CUSTO PLATAFORMA - JUNHO/26 - OMS CARE ORDER - 127165</v>
      </c>
      <c r="B14" s="9">
        <v>46174</v>
      </c>
      <c r="C14" s="8">
        <v>817394</v>
      </c>
      <c r="D14" s="8" t="s">
        <v>17</v>
      </c>
      <c r="E14" s="67">
        <v>-1855.814873650058</v>
      </c>
      <c r="F14" s="8" t="s">
        <v>9</v>
      </c>
      <c r="G14" s="9">
        <v>46174</v>
      </c>
      <c r="H14" s="8">
        <v>1170</v>
      </c>
      <c r="J14" s="37">
        <v>127165</v>
      </c>
      <c r="K14" s="37">
        <f>_xlfn.XLOOKUP(L14,[1]!Tabela33[BROKER],[1]!Tabela33[ID ORACLE],0,0,1)</f>
        <v>127165</v>
      </c>
      <c r="L14" s="8" t="s">
        <v>17</v>
      </c>
    </row>
    <row r="15" spans="1:14" ht="15" customHeight="1" x14ac:dyDescent="0.25">
      <c r="A15" s="23" t="str">
        <f>_xlfn.CONCAT($L$1,$I$1,F15,$I$1,J15)</f>
        <v>CUSTO PLATAFORMA - JUNHO/26 - OMS CARE ORDER - 133842</v>
      </c>
      <c r="B15" s="12">
        <v>46174</v>
      </c>
      <c r="C15" s="11">
        <v>817394</v>
      </c>
      <c r="D15" s="11" t="s">
        <v>28</v>
      </c>
      <c r="E15" s="49">
        <v>-1855.814873650058</v>
      </c>
      <c r="F15" s="11" t="s">
        <v>9</v>
      </c>
      <c r="G15" s="12">
        <v>46174</v>
      </c>
      <c r="H15" s="11">
        <v>1170</v>
      </c>
      <c r="J15" s="38">
        <v>133842</v>
      </c>
      <c r="K15" s="38">
        <f>_xlfn.XLOOKUP(L15,[1]!Tabela33[BROKER],[1]!Tabela33[ID ORACLE],0,0,1)</f>
        <v>133842</v>
      </c>
      <c r="L15" s="11" t="s">
        <v>28</v>
      </c>
    </row>
    <row r="16" spans="1:14" ht="15" customHeight="1" x14ac:dyDescent="0.25">
      <c r="A16" s="22" t="str">
        <f t="shared" si="0"/>
        <v>CUSTO PLATAFORMA - JUNHO/26 - TACTICS - 106970</v>
      </c>
      <c r="B16" s="18">
        <v>46174</v>
      </c>
      <c r="C16" s="17">
        <v>817394</v>
      </c>
      <c r="D16" s="17" t="s">
        <v>20</v>
      </c>
      <c r="E16" s="67">
        <v>-171.2676578227408</v>
      </c>
      <c r="F16" s="17" t="s">
        <v>10</v>
      </c>
      <c r="G16" s="18">
        <v>46174</v>
      </c>
      <c r="H16" s="17">
        <v>1170</v>
      </c>
      <c r="J16" s="28">
        <v>106970</v>
      </c>
      <c r="K16" s="28">
        <v>106970</v>
      </c>
      <c r="L16" s="17" t="s">
        <v>20</v>
      </c>
    </row>
    <row r="17" spans="1:13" ht="15" customHeight="1" x14ac:dyDescent="0.25">
      <c r="A17" s="22" t="str">
        <f t="shared" si="0"/>
        <v>CUSTO PLATAFORMA - JUNHO/26 - TACTICS - 106970</v>
      </c>
      <c r="B17" s="18">
        <v>46174</v>
      </c>
      <c r="C17" s="17">
        <v>817394</v>
      </c>
      <c r="D17" s="17" t="s">
        <v>31</v>
      </c>
      <c r="E17" s="67">
        <v>-171.2676578227408</v>
      </c>
      <c r="F17" s="17" t="s">
        <v>10</v>
      </c>
      <c r="G17" s="18">
        <v>46174</v>
      </c>
      <c r="H17" s="17">
        <v>1170</v>
      </c>
      <c r="J17" s="28">
        <v>106970</v>
      </c>
      <c r="K17" s="28">
        <v>139345</v>
      </c>
      <c r="L17" s="17" t="s">
        <v>31</v>
      </c>
    </row>
    <row r="18" spans="1:13" ht="15" customHeight="1" x14ac:dyDescent="0.25">
      <c r="A18" s="22" t="str">
        <f t="shared" si="0"/>
        <v>CUSTO PLATAFORMA - JUNHO/26 - TACTICS - 106970</v>
      </c>
      <c r="B18" s="18">
        <v>46174</v>
      </c>
      <c r="C18" s="17">
        <v>817394</v>
      </c>
      <c r="D18" s="17" t="s">
        <v>19</v>
      </c>
      <c r="E18" s="67">
        <v>-171.2676578227408</v>
      </c>
      <c r="F18" s="17" t="s">
        <v>10</v>
      </c>
      <c r="G18" s="18">
        <v>46174</v>
      </c>
      <c r="H18" s="17">
        <v>1170</v>
      </c>
      <c r="J18" s="28">
        <v>106970</v>
      </c>
      <c r="K18" s="28">
        <v>22361</v>
      </c>
      <c r="L18" s="17" t="s">
        <v>19</v>
      </c>
    </row>
    <row r="19" spans="1:13" ht="15" customHeight="1" x14ac:dyDescent="0.25">
      <c r="A19" s="22" t="str">
        <f t="shared" si="0"/>
        <v>CUSTO PLATAFORMA - JUNHO/26 - TACTICS - 106970</v>
      </c>
      <c r="B19" s="18">
        <v>46174</v>
      </c>
      <c r="C19" s="17">
        <v>817394</v>
      </c>
      <c r="D19" s="17" t="s">
        <v>32</v>
      </c>
      <c r="E19" s="67">
        <v>-171.2676578227408</v>
      </c>
      <c r="F19" s="17" t="s">
        <v>10</v>
      </c>
      <c r="G19" s="18">
        <v>46174</v>
      </c>
      <c r="H19" s="17">
        <v>1170</v>
      </c>
      <c r="J19" s="28">
        <v>106970</v>
      </c>
      <c r="K19" s="28">
        <v>132975</v>
      </c>
      <c r="L19" s="17" t="s">
        <v>32</v>
      </c>
    </row>
    <row r="20" spans="1:13" ht="15" customHeight="1" x14ac:dyDescent="0.25">
      <c r="A20" s="22" t="str">
        <f t="shared" si="0"/>
        <v>CUSTO PLATAFORMA - JUNHO/26 - TACTICS - 106970</v>
      </c>
      <c r="B20" s="18">
        <v>46174</v>
      </c>
      <c r="C20" s="17">
        <v>817394</v>
      </c>
      <c r="D20" s="17" t="s">
        <v>18</v>
      </c>
      <c r="E20" s="67">
        <v>-171.2676578227408</v>
      </c>
      <c r="F20" s="17" t="s">
        <v>10</v>
      </c>
      <c r="G20" s="18">
        <v>46174</v>
      </c>
      <c r="H20" s="17">
        <v>1170</v>
      </c>
      <c r="J20" s="28">
        <v>106970</v>
      </c>
      <c r="K20" s="28">
        <v>122758</v>
      </c>
      <c r="L20" s="17" t="s">
        <v>18</v>
      </c>
      <c r="M20" s="29"/>
    </row>
    <row r="21" spans="1:13" ht="15" customHeight="1" x14ac:dyDescent="0.25">
      <c r="A21" s="21" t="str">
        <f t="shared" si="0"/>
        <v>CUSTO PLATAFORMA - JUNHO/26 - TACTICS - 122758</v>
      </c>
      <c r="B21" s="9">
        <v>46174</v>
      </c>
      <c r="C21" s="8">
        <v>817394</v>
      </c>
      <c r="D21" s="8" t="s">
        <v>20</v>
      </c>
      <c r="E21" s="67">
        <v>-171.2676578227408</v>
      </c>
      <c r="F21" s="8" t="s">
        <v>10</v>
      </c>
      <c r="G21" s="9">
        <v>46174</v>
      </c>
      <c r="H21" s="8">
        <v>1170</v>
      </c>
      <c r="J21" s="37">
        <v>122758</v>
      </c>
      <c r="K21" s="37">
        <v>106970</v>
      </c>
      <c r="L21" s="8" t="s">
        <v>20</v>
      </c>
    </row>
    <row r="22" spans="1:13" ht="15" customHeight="1" x14ac:dyDescent="0.25">
      <c r="A22" s="21" t="str">
        <f t="shared" si="0"/>
        <v>CUSTO PLATAFORMA - JUNHO/26 - TACTICS - 122758</v>
      </c>
      <c r="B22" s="9">
        <v>46174</v>
      </c>
      <c r="C22" s="8">
        <v>817394</v>
      </c>
      <c r="D22" s="8" t="s">
        <v>31</v>
      </c>
      <c r="E22" s="67">
        <v>-171.2676578227408</v>
      </c>
      <c r="F22" s="8" t="s">
        <v>10</v>
      </c>
      <c r="G22" s="9">
        <v>46174</v>
      </c>
      <c r="H22" s="8">
        <v>1170</v>
      </c>
      <c r="J22" s="37">
        <v>122758</v>
      </c>
      <c r="K22" s="37">
        <v>139345</v>
      </c>
      <c r="L22" s="8" t="s">
        <v>31</v>
      </c>
    </row>
    <row r="23" spans="1:13" ht="15" customHeight="1" x14ac:dyDescent="0.25">
      <c r="A23" s="21" t="str">
        <f t="shared" si="0"/>
        <v>CUSTO PLATAFORMA - JUNHO/26 - TACTICS - 122758</v>
      </c>
      <c r="B23" s="9">
        <v>46174</v>
      </c>
      <c r="C23" s="8">
        <v>817394</v>
      </c>
      <c r="D23" s="8" t="s">
        <v>19</v>
      </c>
      <c r="E23" s="67">
        <v>-171.2676578227408</v>
      </c>
      <c r="F23" s="8" t="s">
        <v>10</v>
      </c>
      <c r="G23" s="9">
        <v>46174</v>
      </c>
      <c r="H23" s="8">
        <v>1170</v>
      </c>
      <c r="J23" s="37">
        <v>122758</v>
      </c>
      <c r="K23" s="37">
        <v>22361</v>
      </c>
      <c r="L23" s="8" t="s">
        <v>19</v>
      </c>
    </row>
    <row r="24" spans="1:13" ht="15" customHeight="1" x14ac:dyDescent="0.25">
      <c r="A24" s="21" t="str">
        <f t="shared" si="0"/>
        <v>CUSTO PLATAFORMA - JUNHO/26 - TACTICS - 122758</v>
      </c>
      <c r="B24" s="9">
        <v>46174</v>
      </c>
      <c r="C24" s="8">
        <v>817394</v>
      </c>
      <c r="D24" s="8" t="s">
        <v>32</v>
      </c>
      <c r="E24" s="67">
        <v>-171.2676578227408</v>
      </c>
      <c r="F24" s="8" t="s">
        <v>10</v>
      </c>
      <c r="G24" s="9">
        <v>46174</v>
      </c>
      <c r="H24" s="8">
        <v>1170</v>
      </c>
      <c r="J24" s="37">
        <v>122758</v>
      </c>
      <c r="K24" s="37">
        <v>132975</v>
      </c>
      <c r="L24" s="8" t="s">
        <v>32</v>
      </c>
    </row>
    <row r="25" spans="1:13" ht="15" customHeight="1" x14ac:dyDescent="0.25">
      <c r="A25" s="21" t="str">
        <f t="shared" si="0"/>
        <v>CUSTO PLATAFORMA - JUNHO/26 - TACTICS - 122758</v>
      </c>
      <c r="B25" s="9">
        <v>46174</v>
      </c>
      <c r="C25" s="8">
        <v>817394</v>
      </c>
      <c r="D25" s="8" t="s">
        <v>18</v>
      </c>
      <c r="E25" s="67">
        <v>-171.2676578227408</v>
      </c>
      <c r="F25" s="8" t="s">
        <v>10</v>
      </c>
      <c r="G25" s="9">
        <v>46174</v>
      </c>
      <c r="H25" s="8">
        <v>1170</v>
      </c>
      <c r="J25" s="37">
        <v>122758</v>
      </c>
      <c r="K25" s="37">
        <v>122758</v>
      </c>
      <c r="L25" s="8" t="s">
        <v>18</v>
      </c>
    </row>
    <row r="26" spans="1:13" ht="15" customHeight="1" x14ac:dyDescent="0.25">
      <c r="A26" s="22" t="str">
        <f t="shared" si="0"/>
        <v>CUSTO PLATAFORMA - JUNHO/26 - TACTICS - 56258</v>
      </c>
      <c r="B26" s="18">
        <v>46174</v>
      </c>
      <c r="C26" s="17">
        <v>817394</v>
      </c>
      <c r="D26" s="17" t="s">
        <v>13</v>
      </c>
      <c r="E26" s="67">
        <v>-214.08500000000001</v>
      </c>
      <c r="F26" s="17" t="s">
        <v>10</v>
      </c>
      <c r="G26" s="18">
        <v>46174</v>
      </c>
      <c r="H26" s="17">
        <v>1170</v>
      </c>
      <c r="J26" s="28">
        <v>56258</v>
      </c>
      <c r="K26" s="28">
        <f>_xlfn.XLOOKUP(L26,[1]!Tabela33[BROKER],[1]!Tabela33[ID ORACLE],0,0,1)</f>
        <v>70461</v>
      </c>
      <c r="L26" s="17" t="s">
        <v>13</v>
      </c>
    </row>
    <row r="27" spans="1:13" ht="15" customHeight="1" x14ac:dyDescent="0.25">
      <c r="A27" s="22" t="str">
        <f t="shared" si="0"/>
        <v>CUSTO PLATAFORMA - JUNHO/26 - TACTICS - 56258</v>
      </c>
      <c r="B27" s="18">
        <v>46174</v>
      </c>
      <c r="C27" s="17">
        <v>817394</v>
      </c>
      <c r="D27" s="17" t="s">
        <v>14</v>
      </c>
      <c r="E27" s="67">
        <v>-214.08500000000001</v>
      </c>
      <c r="F27" s="17" t="s">
        <v>10</v>
      </c>
      <c r="G27" s="18">
        <v>46174</v>
      </c>
      <c r="H27" s="17">
        <v>1170</v>
      </c>
      <c r="J27" s="28">
        <v>56258</v>
      </c>
      <c r="K27" s="28">
        <f>_xlfn.XLOOKUP(L27,[1]!Tabela33[BROKER],[1]!Tabela33[ID ORACLE],0,0,1)</f>
        <v>24140</v>
      </c>
      <c r="L27" s="17" t="s">
        <v>14</v>
      </c>
    </row>
    <row r="28" spans="1:13" ht="15" customHeight="1" x14ac:dyDescent="0.25">
      <c r="A28" s="22" t="str">
        <f t="shared" si="0"/>
        <v>CUSTO PLATAFORMA - JUNHO/26 - TACTICS - 56258</v>
      </c>
      <c r="B28" s="18">
        <v>46174</v>
      </c>
      <c r="C28" s="17">
        <v>817394</v>
      </c>
      <c r="D28" s="17" t="s">
        <v>30</v>
      </c>
      <c r="E28" s="67">
        <v>-214.08500000000001</v>
      </c>
      <c r="F28" s="17" t="s">
        <v>10</v>
      </c>
      <c r="G28" s="18">
        <v>46174</v>
      </c>
      <c r="H28" s="17">
        <v>1170</v>
      </c>
      <c r="J28" s="28">
        <v>56258</v>
      </c>
      <c r="K28" s="28">
        <f>_xlfn.XLOOKUP(L28,[1]!Tabela33[BROKER],[1]!Tabela33[ID ORACLE],0,0,1)</f>
        <v>137478</v>
      </c>
      <c r="L28" s="17" t="s">
        <v>30</v>
      </c>
    </row>
    <row r="29" spans="1:13" ht="15" customHeight="1" x14ac:dyDescent="0.25">
      <c r="A29" s="22" t="str">
        <f t="shared" si="0"/>
        <v>CUSTO PLATAFORMA - JUNHO/26 - TACTICS - 56258</v>
      </c>
      <c r="B29" s="18">
        <v>46174</v>
      </c>
      <c r="C29" s="17">
        <v>817394</v>
      </c>
      <c r="D29" s="17" t="s">
        <v>15</v>
      </c>
      <c r="E29" s="67">
        <v>-214.08500000000001</v>
      </c>
      <c r="F29" s="17" t="s">
        <v>10</v>
      </c>
      <c r="G29" s="18">
        <v>46174</v>
      </c>
      <c r="H29" s="17">
        <v>1170</v>
      </c>
      <c r="J29" s="28">
        <v>56258</v>
      </c>
      <c r="K29" s="28">
        <f>_xlfn.XLOOKUP(L29,[1]!Tabela33[BROKER],[1]!Tabela33[ID ORACLE],0,0,1)</f>
        <v>56258</v>
      </c>
      <c r="L29" s="17" t="s">
        <v>15</v>
      </c>
    </row>
    <row r="30" spans="1:13" ht="15" customHeight="1" x14ac:dyDescent="0.25">
      <c r="A30" s="21" t="str">
        <f t="shared" si="0"/>
        <v>CUSTO PLATAFORMA - JUNHO/26 - TACTICS - 133842</v>
      </c>
      <c r="B30" s="9">
        <v>46174</v>
      </c>
      <c r="C30" s="8">
        <v>817394</v>
      </c>
      <c r="D30" s="8" t="s">
        <v>28</v>
      </c>
      <c r="E30" s="67">
        <v>-856.33828911370438</v>
      </c>
      <c r="F30" s="8" t="s">
        <v>10</v>
      </c>
      <c r="G30" s="9">
        <v>46174</v>
      </c>
      <c r="H30" s="8">
        <v>1170</v>
      </c>
      <c r="J30" s="37">
        <v>133842</v>
      </c>
      <c r="K30" s="37">
        <f>_xlfn.XLOOKUP(L30,[1]!Tabela33[BROKER],[1]!Tabela33[ID ORACLE],0,0,1)</f>
        <v>133842</v>
      </c>
      <c r="L30" s="8" t="s">
        <v>28</v>
      </c>
    </row>
    <row r="31" spans="1:13" ht="15" customHeight="1" x14ac:dyDescent="0.25">
      <c r="A31" s="21" t="str">
        <f t="shared" si="0"/>
        <v>CUSTO PLATAFORMA - JUNHO/26 - TACTICS - 61086</v>
      </c>
      <c r="B31" s="9">
        <v>46174</v>
      </c>
      <c r="C31" s="8">
        <v>817394</v>
      </c>
      <c r="D31" s="8" t="s">
        <v>21</v>
      </c>
      <c r="E31" s="67">
        <v>-856.33828911370438</v>
      </c>
      <c r="F31" s="8" t="s">
        <v>10</v>
      </c>
      <c r="G31" s="9">
        <v>46174</v>
      </c>
      <c r="H31" s="8">
        <v>1170</v>
      </c>
      <c r="J31" s="37">
        <v>61086</v>
      </c>
      <c r="K31" s="37">
        <f>_xlfn.XLOOKUP(L31,[1]!Tabela33[BROKER],[1]!Tabela33[ID ORACLE],0,0,1)</f>
        <v>61086</v>
      </c>
      <c r="L31" s="8" t="s">
        <v>21</v>
      </c>
    </row>
    <row r="32" spans="1:13" ht="15" customHeight="1" x14ac:dyDescent="0.25">
      <c r="A32" s="21" t="str">
        <f t="shared" si="0"/>
        <v>CUSTO PLATAFORMA - JUNHO/26 - TACTICS - 115154</v>
      </c>
      <c r="B32" s="9">
        <v>46174</v>
      </c>
      <c r="C32" s="8">
        <v>817394</v>
      </c>
      <c r="D32" s="8" t="s">
        <v>21</v>
      </c>
      <c r="E32" s="67">
        <v>-856.33828911370438</v>
      </c>
      <c r="F32" s="8" t="s">
        <v>10</v>
      </c>
      <c r="G32" s="9">
        <v>46174</v>
      </c>
      <c r="H32" s="8">
        <v>1170</v>
      </c>
      <c r="J32" s="37">
        <v>115154</v>
      </c>
      <c r="K32" s="37">
        <f>_xlfn.XLOOKUP(L32,[1]!Tabela33[BROKER],[1]!Tabela33[ID ORACLE],0,0,1)</f>
        <v>115154</v>
      </c>
      <c r="L32" s="8" t="s">
        <v>23</v>
      </c>
    </row>
    <row r="33" spans="1:12" ht="15" customHeight="1" x14ac:dyDescent="0.25">
      <c r="A33" s="21" t="str">
        <f t="shared" si="0"/>
        <v>CUSTO PLATAFORMA - JUNHO/26 - TACTICS - 57036</v>
      </c>
      <c r="B33" s="9">
        <v>46174</v>
      </c>
      <c r="C33" s="8">
        <v>817394</v>
      </c>
      <c r="D33" s="8" t="s">
        <v>21</v>
      </c>
      <c r="E33" s="67">
        <v>-856.33828911370438</v>
      </c>
      <c r="F33" s="8" t="s">
        <v>10</v>
      </c>
      <c r="G33" s="9">
        <v>46174</v>
      </c>
      <c r="H33" s="8">
        <v>1170</v>
      </c>
      <c r="J33" s="37">
        <v>57036</v>
      </c>
      <c r="K33" s="37">
        <f>_xlfn.XLOOKUP(L33,[1]!Tabela33[BROKER],[1]!Tabela33[ID ORACLE],0,0,1)</f>
        <v>57036</v>
      </c>
      <c r="L33" s="8" t="s">
        <v>22</v>
      </c>
    </row>
    <row r="34" spans="1:12" ht="15" customHeight="1" x14ac:dyDescent="0.25">
      <c r="A34" s="21" t="str">
        <f t="shared" si="0"/>
        <v>CUSTO PLATAFORMA - JUNHO/26 - TACTICS - 136668</v>
      </c>
      <c r="B34" s="9">
        <v>46174</v>
      </c>
      <c r="C34" s="8">
        <v>817394</v>
      </c>
      <c r="D34" s="8" t="s">
        <v>21</v>
      </c>
      <c r="E34" s="67">
        <v>-856.33828911370438</v>
      </c>
      <c r="F34" s="8" t="s">
        <v>10</v>
      </c>
      <c r="G34" s="9">
        <v>46174</v>
      </c>
      <c r="H34" s="8">
        <v>1170</v>
      </c>
      <c r="J34" s="37">
        <v>136668</v>
      </c>
      <c r="K34" s="37">
        <f>_xlfn.XLOOKUP(L34,[1]!Tabela33[BROKER],[1]!Tabela33[ID ORACLE],0,0,1)</f>
        <v>136668</v>
      </c>
      <c r="L34" s="8" t="s">
        <v>36</v>
      </c>
    </row>
    <row r="35" spans="1:12" ht="15" customHeight="1" x14ac:dyDescent="0.25">
      <c r="A35" s="21" t="str">
        <f t="shared" si="0"/>
        <v>CUSTO PLATAFORMA - JUNHO/26 - TACTICS - 64098</v>
      </c>
      <c r="B35" s="9">
        <v>46174</v>
      </c>
      <c r="C35" s="8">
        <v>817394</v>
      </c>
      <c r="D35" s="8" t="s">
        <v>24</v>
      </c>
      <c r="E35" s="67">
        <v>-856.33828911370438</v>
      </c>
      <c r="F35" s="8" t="s">
        <v>10</v>
      </c>
      <c r="G35" s="9">
        <v>46174</v>
      </c>
      <c r="H35" s="8">
        <v>1170</v>
      </c>
      <c r="J35" s="37">
        <v>64098</v>
      </c>
      <c r="K35" s="37">
        <f>_xlfn.XLOOKUP(L35,[1]!Tabela33[BROKER],[1]!Tabela33[ID ORACLE],0,0,1)</f>
        <v>64098</v>
      </c>
      <c r="L35" s="8" t="s">
        <v>24</v>
      </c>
    </row>
    <row r="36" spans="1:12" ht="15" customHeight="1" x14ac:dyDescent="0.25">
      <c r="A36" s="21" t="str">
        <f t="shared" si="0"/>
        <v>CUSTO PLATAFORMA - JUNHO/26 - TACTICS - 125412</v>
      </c>
      <c r="B36" s="9">
        <v>46174</v>
      </c>
      <c r="C36" s="8">
        <v>817394</v>
      </c>
      <c r="D36" s="8" t="s">
        <v>29</v>
      </c>
      <c r="E36" s="67">
        <v>-856.33828911370438</v>
      </c>
      <c r="F36" s="8" t="s">
        <v>10</v>
      </c>
      <c r="G36" s="9">
        <v>46174</v>
      </c>
      <c r="H36" s="8">
        <v>1170</v>
      </c>
      <c r="J36" s="37">
        <v>125412</v>
      </c>
      <c r="K36" s="37">
        <v>52340</v>
      </c>
      <c r="L36" s="8" t="s">
        <v>29</v>
      </c>
    </row>
    <row r="37" spans="1:12" ht="15" customHeight="1" x14ac:dyDescent="0.25">
      <c r="A37" s="23" t="str">
        <f t="shared" si="0"/>
        <v>CUSTO PLATAFORMA - JUNHO/26 - TACTICS - 127165</v>
      </c>
      <c r="B37" s="12">
        <v>46174</v>
      </c>
      <c r="C37" s="11">
        <v>817394</v>
      </c>
      <c r="D37" s="11" t="s">
        <v>17</v>
      </c>
      <c r="E37" s="49">
        <v>-856.33828911370438</v>
      </c>
      <c r="F37" s="11" t="s">
        <v>10</v>
      </c>
      <c r="G37" s="12">
        <v>46174</v>
      </c>
      <c r="H37" s="11">
        <v>1170</v>
      </c>
      <c r="J37" s="38">
        <v>127165</v>
      </c>
      <c r="K37" s="38">
        <f>_xlfn.XLOOKUP(L37,[1]!Tabela33[BROKER],[1]!Tabela33[ID ORACLE],0,0,1)</f>
        <v>127165</v>
      </c>
      <c r="L37" s="11" t="s">
        <v>17</v>
      </c>
    </row>
    <row r="38" spans="1:12" ht="15" customHeight="1" x14ac:dyDescent="0.25">
      <c r="A38" s="21" t="str">
        <f t="shared" si="0"/>
        <v>CUSTO PLATAFORMA - JUNHO/26 - ATG - 115154</v>
      </c>
      <c r="B38" s="9">
        <v>46174</v>
      </c>
      <c r="C38" s="8">
        <v>817394</v>
      </c>
      <c r="D38" s="8" t="s">
        <v>21</v>
      </c>
      <c r="E38" s="50">
        <f>-8092.84119589774-105</f>
        <v>-8197.8411958977413</v>
      </c>
      <c r="F38" s="8" t="s">
        <v>8</v>
      </c>
      <c r="G38" s="9">
        <v>46174</v>
      </c>
      <c r="H38" s="8">
        <v>1170</v>
      </c>
      <c r="J38" s="37">
        <v>115154</v>
      </c>
      <c r="K38" s="37">
        <f>_xlfn.XLOOKUP(L38,[1]!Tabela33[BROKER],[1]!Tabela33[ID ORACLE],0,0,1)</f>
        <v>115154</v>
      </c>
      <c r="L38" s="8" t="s">
        <v>23</v>
      </c>
    </row>
    <row r="39" spans="1:12" ht="15" customHeight="1" x14ac:dyDescent="0.25">
      <c r="A39" s="21" t="str">
        <f t="shared" si="0"/>
        <v>CUSTO PLATAFORMA - JUNHO/26 - ATG - 57038</v>
      </c>
      <c r="B39" s="9">
        <v>46174</v>
      </c>
      <c r="C39" s="8">
        <v>817394</v>
      </c>
      <c r="D39" s="8" t="s">
        <v>21</v>
      </c>
      <c r="E39" s="50">
        <f>-4855.70471753864-105</f>
        <v>-4960.7047175386397</v>
      </c>
      <c r="F39" s="8" t="s">
        <v>8</v>
      </c>
      <c r="G39" s="9">
        <v>46174</v>
      </c>
      <c r="H39" s="8">
        <v>1170</v>
      </c>
      <c r="J39" s="37">
        <v>57038</v>
      </c>
      <c r="K39" s="37">
        <v>57036</v>
      </c>
      <c r="L39" s="8" t="s">
        <v>22</v>
      </c>
    </row>
    <row r="40" spans="1:12" ht="15" customHeight="1" x14ac:dyDescent="0.25">
      <c r="A40" s="21" t="str">
        <f t="shared" si="0"/>
        <v>CUSTO PLATAFORMA - JUNHO/26 - ATG - 111439</v>
      </c>
      <c r="B40" s="9">
        <v>46174</v>
      </c>
      <c r="C40" s="8">
        <v>817394</v>
      </c>
      <c r="D40" s="8" t="s">
        <v>24</v>
      </c>
      <c r="E40" s="50">
        <f>-4855.70471753864-35</f>
        <v>-4890.7047175386397</v>
      </c>
      <c r="F40" s="8" t="s">
        <v>8</v>
      </c>
      <c r="G40" s="9">
        <v>46174</v>
      </c>
      <c r="H40" s="8">
        <v>1170</v>
      </c>
      <c r="J40" s="37">
        <v>111439</v>
      </c>
      <c r="K40" s="37">
        <v>111439</v>
      </c>
      <c r="L40" s="8" t="s">
        <v>25</v>
      </c>
    </row>
    <row r="41" spans="1:12" ht="15" customHeight="1" x14ac:dyDescent="0.25">
      <c r="A41" s="22" t="str">
        <f t="shared" si="0"/>
        <v>CUSTO PLATAFORMA - JUNHO/26 - ATG - 132975</v>
      </c>
      <c r="B41" s="18">
        <v>46174</v>
      </c>
      <c r="C41" s="17">
        <v>817394</v>
      </c>
      <c r="D41" s="17" t="str">
        <f>IF(K41=57038,"ALEXANDRE DA COSTA SOARES",IF(K41=115154,"ALEXANDRE DA COSTA SOARES",IF(K41=57036,"ALEXANDRE DA COSTA SOARES",IF(K41=24157,"JOSE MAURICIO GOMES TEIXEIRA",IF(K41=24203,"JOSE MAURICIO GOMES TEIXEIRA",IF(K41=24149,"CHRISTIANO MARCONDES DE BARROS LIMA",IF(K41=24137,"CHRISTIANO MARCONDES DE BARROS LIMA",_xlfn.XLOOKUP(K41,[1]!Tabela33[ID ORACLE],[1]!Tabela33[BROKER],0,0,1))))))))</f>
        <v>CESAR MARIANO SCARAMBONE MENEZES</v>
      </c>
      <c r="E41" s="50">
        <v>-809.28411958977404</v>
      </c>
      <c r="F41" s="17" t="s">
        <v>8</v>
      </c>
      <c r="G41" s="18">
        <v>46174</v>
      </c>
      <c r="H41" s="17">
        <v>1170</v>
      </c>
      <c r="J41" s="28">
        <v>132975</v>
      </c>
      <c r="K41" s="28">
        <f>_xlfn.XLOOKUP(L41,[1]!Tabela33[BROKER],[1]!Tabela33[ID ORACLE],0,0,1)</f>
        <v>106970</v>
      </c>
      <c r="L41" s="17" t="s">
        <v>20</v>
      </c>
    </row>
    <row r="42" spans="1:12" ht="15" customHeight="1" x14ac:dyDescent="0.25">
      <c r="A42" s="22" t="str">
        <f t="shared" si="0"/>
        <v>CUSTO PLATAFORMA - JUNHO/26 - ATG - 132975</v>
      </c>
      <c r="B42" s="18">
        <v>46174</v>
      </c>
      <c r="C42" s="17">
        <v>817394</v>
      </c>
      <c r="D42" s="17" t="str">
        <f>IF(K42=57038,"ALEXANDRE DA COSTA SOARES",IF(K42=115154,"ALEXANDRE DA COSTA SOARES",IF(K42=57036,"ALEXANDRE DA COSTA SOARES",IF(K42=24157,"JOSE MAURICIO GOMES TEIXEIRA",IF(K42=24203,"JOSE MAURICIO GOMES TEIXEIRA",IF(K42=24149,"CHRISTIANO MARCONDES DE BARROS LIMA",IF(K42=24137,"CHRISTIANO MARCONDES DE BARROS LIMA",_xlfn.XLOOKUP(K42,[1]!Tabela33[ID ORACLE],[1]!Tabela33[BROKER],0,0,1))))))))</f>
        <v>DANIEL TEIXEIRA SIQUEIRA GONÇALVES</v>
      </c>
      <c r="E42" s="50">
        <v>-809.28411958977404</v>
      </c>
      <c r="F42" s="17" t="s">
        <v>8</v>
      </c>
      <c r="G42" s="18">
        <v>46174</v>
      </c>
      <c r="H42" s="17">
        <v>1170</v>
      </c>
      <c r="J42" s="28">
        <v>132975</v>
      </c>
      <c r="K42" s="28">
        <f>_xlfn.XLOOKUP(L42,[1]!Tabela33[BROKER],[1]!Tabela33[ID ORACLE],0,0,1)</f>
        <v>22361</v>
      </c>
      <c r="L42" s="17" t="s">
        <v>19</v>
      </c>
    </row>
    <row r="43" spans="1:12" ht="15" customHeight="1" x14ac:dyDescent="0.25">
      <c r="A43" s="22" t="str">
        <f t="shared" si="0"/>
        <v>CUSTO PLATAFORMA - JUNHO/26 - ATG - 132975</v>
      </c>
      <c r="B43" s="18">
        <v>46174</v>
      </c>
      <c r="C43" s="17">
        <v>817394</v>
      </c>
      <c r="D43" s="17" t="str">
        <f>IF(K43=57038,"ALEXANDRE DA COSTA SOARES",IF(K43=115154,"ALEXANDRE DA COSTA SOARES",IF(K43=57036,"ALEXANDRE DA COSTA SOARES",IF(K43=24157,"JOSE MAURICIO GOMES TEIXEIRA",IF(K43=24203,"JOSE MAURICIO GOMES TEIXEIRA",IF(K43=24149,"CHRISTIANO MARCONDES DE BARROS LIMA",IF(K43=24137,"CHRISTIANO MARCONDES DE BARROS LIMA",_xlfn.XLOOKUP(K43,[1]!Tabela33[ID ORACLE],[1]!Tabela33[BROKER],0,0,1))))))))</f>
        <v>FELIPE MEIRELLES RACCAH</v>
      </c>
      <c r="E43" s="50">
        <v>-809.28411958977404</v>
      </c>
      <c r="F43" s="17" t="s">
        <v>8</v>
      </c>
      <c r="G43" s="18">
        <v>46174</v>
      </c>
      <c r="H43" s="17">
        <v>1170</v>
      </c>
      <c r="J43" s="28">
        <v>132975</v>
      </c>
      <c r="K43" s="28">
        <f>_xlfn.XLOOKUP(L43,[1]!Tabela33[BROKER],[1]!Tabela33[ID ORACLE],0,0,1)</f>
        <v>139345</v>
      </c>
      <c r="L43" s="17" t="s">
        <v>31</v>
      </c>
    </row>
    <row r="44" spans="1:12" ht="15" customHeight="1" x14ac:dyDescent="0.25">
      <c r="A44" s="22" t="str">
        <f t="shared" si="0"/>
        <v>CUSTO PLATAFORMA - JUNHO/26 - ATG - 132975</v>
      </c>
      <c r="B44" s="18">
        <v>46174</v>
      </c>
      <c r="C44" s="17">
        <v>817394</v>
      </c>
      <c r="D44" s="17" t="str">
        <f>IF(K44=57038,"ALEXANDRE DA COSTA SOARES",IF(K44=115154,"ALEXANDRE DA COSTA SOARES",IF(K44=57036,"ALEXANDRE DA COSTA SOARES",IF(K44=24157,"JOSE MAURICIO GOMES TEIXEIRA",IF(K44=24203,"JOSE MAURICIO GOMES TEIXEIRA",IF(K44=24149,"CHRISTIANO MARCONDES DE BARROS LIMA",IF(K44=24137,"CHRISTIANO MARCONDES DE BARROS LIMA",_xlfn.XLOOKUP(K44,[1]!Tabela33[ID ORACLE],[1]!Tabela33[BROKER],0,0,1))))))))</f>
        <v>MATHEUS NACIF NESRALLAH</v>
      </c>
      <c r="E44" s="50">
        <v>-809.28411958977404</v>
      </c>
      <c r="F44" s="17" t="s">
        <v>8</v>
      </c>
      <c r="G44" s="18">
        <v>46174</v>
      </c>
      <c r="H44" s="17">
        <v>1170</v>
      </c>
      <c r="J44" s="28">
        <v>132975</v>
      </c>
      <c r="K44" s="28">
        <f>_xlfn.XLOOKUP(L44,[1]!Tabela33[BROKER],[1]!Tabela33[ID ORACLE],0,0,1)</f>
        <v>132975</v>
      </c>
      <c r="L44" s="17" t="s">
        <v>32</v>
      </c>
    </row>
    <row r="45" spans="1:12" ht="15" customHeight="1" x14ac:dyDescent="0.25">
      <c r="A45" s="22" t="str">
        <f t="shared" si="0"/>
        <v>CUSTO PLATAFORMA - JUNHO/26 - ATG - 132975</v>
      </c>
      <c r="B45" s="18">
        <v>46174</v>
      </c>
      <c r="C45" s="17">
        <v>817394</v>
      </c>
      <c r="D45" s="17" t="str">
        <f>IF(K45=57038,"ALEXANDRE DA COSTA SOARES",IF(K45=115154,"ALEXANDRE DA COSTA SOARES",IF(K45=57036,"ALEXANDRE DA COSTA SOARES",IF(K45=24157,"JOSE MAURICIO GOMES TEIXEIRA",IF(K45=24203,"JOSE MAURICIO GOMES TEIXEIRA",IF(K45=24149,"CHRISTIANO MARCONDES DE BARROS LIMA",IF(K45=24137,"CHRISTIANO MARCONDES DE BARROS LIMA",_xlfn.XLOOKUP(K45,[1]!Tabela33[ID ORACLE],[1]!Tabela33[BROKER],0,0,1))))))))</f>
        <v>ANDRE FERREIRA DOS SANTOS</v>
      </c>
      <c r="E45" s="50">
        <v>-809.28411958977404</v>
      </c>
      <c r="F45" s="17" t="s">
        <v>8</v>
      </c>
      <c r="G45" s="18">
        <v>46174</v>
      </c>
      <c r="H45" s="17">
        <v>1170</v>
      </c>
      <c r="J45" s="28">
        <v>132975</v>
      </c>
      <c r="K45" s="28">
        <f>_xlfn.XLOOKUP(L45,[1]!Tabela33[BROKER],[1]!Tabela33[ID ORACLE],0,0,1)</f>
        <v>122758</v>
      </c>
      <c r="L45" s="17" t="s">
        <v>18</v>
      </c>
    </row>
    <row r="46" spans="1:12" ht="15" customHeight="1" x14ac:dyDescent="0.25">
      <c r="A46" s="21" t="str">
        <f t="shared" si="0"/>
        <v>CUSTO PLATAFORMA - JUNHO/26 - ATG - 158778</v>
      </c>
      <c r="B46" s="9">
        <v>46174</v>
      </c>
      <c r="C46" s="8">
        <v>817394</v>
      </c>
      <c r="D46" s="8" t="s">
        <v>64</v>
      </c>
      <c r="E46" s="50">
        <f>-6403.37021753864-35</f>
        <v>-6438.3702175386397</v>
      </c>
      <c r="F46" s="8" t="s">
        <v>8</v>
      </c>
      <c r="G46" s="9">
        <v>46174</v>
      </c>
      <c r="H46" s="8">
        <v>1170</v>
      </c>
      <c r="J46" s="37">
        <v>158778</v>
      </c>
      <c r="K46" s="37">
        <f>_xlfn.XLOOKUP(L46,[1]!Tabela33[BROKER],[1]!Tabela33[ID ORACLE],0,0,1)</f>
        <v>158778</v>
      </c>
      <c r="L46" s="8" t="s">
        <v>65</v>
      </c>
    </row>
    <row r="47" spans="1:12" ht="15" customHeight="1" x14ac:dyDescent="0.25">
      <c r="A47" s="21" t="str">
        <f t="shared" si="0"/>
        <v>CUSTO PLATAFORMA - JUNHO/26 - ATG - 125412</v>
      </c>
      <c r="B47" s="9">
        <v>46174</v>
      </c>
      <c r="C47" s="8">
        <v>817394</v>
      </c>
      <c r="D47" s="8" t="s">
        <v>29</v>
      </c>
      <c r="E47" s="50">
        <v>-4855.7047175386433</v>
      </c>
      <c r="F47" s="8" t="s">
        <v>8</v>
      </c>
      <c r="G47" s="9">
        <v>46174</v>
      </c>
      <c r="H47" s="8">
        <v>1170</v>
      </c>
      <c r="J47" s="37">
        <v>125412</v>
      </c>
      <c r="K47" s="37">
        <v>52340</v>
      </c>
      <c r="L47" s="8" t="s">
        <v>29</v>
      </c>
    </row>
    <row r="48" spans="1:12" ht="15" customHeight="1" x14ac:dyDescent="0.25">
      <c r="A48" s="23" t="str">
        <f>_xlfn.CONCAT($L$1,$I$1,F48,$I$1,J48)</f>
        <v>CUSTO PLATAFORMA - JUNHO/26 - ATG - 127165</v>
      </c>
      <c r="B48" s="12">
        <v>46174</v>
      </c>
      <c r="C48" s="11">
        <v>817394</v>
      </c>
      <c r="D48" s="11" t="s">
        <v>17</v>
      </c>
      <c r="E48" s="49">
        <f>-9640.50669589774-35</f>
        <v>-9675.5066958977404</v>
      </c>
      <c r="F48" s="11" t="s">
        <v>8</v>
      </c>
      <c r="G48" s="12">
        <v>46174</v>
      </c>
      <c r="H48" s="11">
        <v>1170</v>
      </c>
      <c r="I48" s="36"/>
      <c r="J48" s="38">
        <v>127165</v>
      </c>
      <c r="K48" s="38">
        <f>_xlfn.XLOOKUP(L48,[1]!Tabela33[BROKER],[1]!Tabela33[ID ORACLE],0,0,1)</f>
        <v>127165</v>
      </c>
      <c r="L48" s="11" t="s">
        <v>17</v>
      </c>
    </row>
    <row r="49" spans="1:12" ht="15" customHeight="1" x14ac:dyDescent="0.25">
      <c r="A49" s="22" t="str">
        <f t="shared" si="0"/>
        <v>CUSTO PLATAFORMA - JUNHO/26 - TRADING TECHNOLOGIES - 22361</v>
      </c>
      <c r="B49" s="18">
        <v>46174</v>
      </c>
      <c r="C49" s="17">
        <v>817394</v>
      </c>
      <c r="D49" s="17" t="str">
        <f>IF(K49=57038,"ALEXANDRE DA COSTA SOARES",IF(K49=115154,"ALEXANDRE DA COSTA SOARES",IF(K49=57036,"ALEXANDRE DA COSTA SOARES",IF(K49=24157,"JOSE MAURICIO GOMES TEIXEIRA",IF(K49=24203,"JOSE MAURICIO GOMES TEIXEIRA",IF(K49=24149,"CHRISTIANO MARCONDES DE BARROS LIMA",IF(K49=24137,"CHRISTIANO MARCONDES DE BARROS LIMA",_xlfn.XLOOKUP(K49,[1]!Tabela33[ID ORACLE],[1]!Tabela33[BROKER],0,0,1))))))))</f>
        <v>CESAR MARIANO SCARAMBONE MENEZES</v>
      </c>
      <c r="E49" s="50">
        <v>-176.0044</v>
      </c>
      <c r="F49" s="32" t="s">
        <v>11</v>
      </c>
      <c r="G49" s="18">
        <v>46174</v>
      </c>
      <c r="H49" s="17">
        <v>1170</v>
      </c>
      <c r="J49" s="28">
        <v>22361</v>
      </c>
      <c r="K49" s="28">
        <f>_xlfn.XLOOKUP(L49,[1]!Tabela33[BROKER],[1]!Tabela33[ID ORACLE],0,0,1)</f>
        <v>106970</v>
      </c>
      <c r="L49" s="17" t="s">
        <v>20</v>
      </c>
    </row>
    <row r="50" spans="1:12" ht="15" customHeight="1" x14ac:dyDescent="0.25">
      <c r="A50" s="22" t="str">
        <f t="shared" si="0"/>
        <v>CUSTO PLATAFORMA - JUNHO/26 - TRADING TECHNOLOGIES - 22361</v>
      </c>
      <c r="B50" s="18">
        <v>46174</v>
      </c>
      <c r="C50" s="17">
        <v>817394</v>
      </c>
      <c r="D50" s="17" t="str">
        <f>IF(K50=57038,"ALEXANDRE DA COSTA SOARES",IF(K50=115154,"ALEXANDRE DA COSTA SOARES",IF(K50=57036,"ALEXANDRE DA COSTA SOARES",IF(K50=24157,"JOSE MAURICIO GOMES TEIXEIRA",IF(K50=24203,"JOSE MAURICIO GOMES TEIXEIRA",IF(K50=24149,"CHRISTIANO MARCONDES DE BARROS LIMA",IF(K50=24137,"CHRISTIANO MARCONDES DE BARROS LIMA",_xlfn.XLOOKUP(K50,[1]!Tabela33[ID ORACLE],[1]!Tabela33[BROKER],0,0,1))))))))</f>
        <v>FELIPE MEIRELLES RACCAH</v>
      </c>
      <c r="E50" s="50">
        <v>-176.0044</v>
      </c>
      <c r="F50" s="32" t="s">
        <v>11</v>
      </c>
      <c r="G50" s="18">
        <v>46174</v>
      </c>
      <c r="H50" s="17">
        <v>1170</v>
      </c>
      <c r="J50" s="28">
        <v>22361</v>
      </c>
      <c r="K50" s="28">
        <f>_xlfn.XLOOKUP(L50,[1]!Tabela33[BROKER],[1]!Tabela33[ID ORACLE],0,0,1)</f>
        <v>139345</v>
      </c>
      <c r="L50" s="17" t="s">
        <v>31</v>
      </c>
    </row>
    <row r="51" spans="1:12" ht="15" customHeight="1" x14ac:dyDescent="0.25">
      <c r="A51" s="22" t="str">
        <f t="shared" si="0"/>
        <v>CUSTO PLATAFORMA - JUNHO/26 - TRADING TECHNOLOGIES - 22361</v>
      </c>
      <c r="B51" s="18">
        <v>46174</v>
      </c>
      <c r="C51" s="17">
        <v>817394</v>
      </c>
      <c r="D51" s="17" t="str">
        <f>IF(K51=57038,"ALEXANDRE DA COSTA SOARES",IF(K51=115154,"ALEXANDRE DA COSTA SOARES",IF(K51=57036,"ALEXANDRE DA COSTA SOARES",IF(K51=24157,"JOSE MAURICIO GOMES TEIXEIRA",IF(K51=24203,"JOSE MAURICIO GOMES TEIXEIRA",IF(K51=24149,"CHRISTIANO MARCONDES DE BARROS LIMA",IF(K51=24137,"CHRISTIANO MARCONDES DE BARROS LIMA",_xlfn.XLOOKUP(K51,[1]!Tabela33[ID ORACLE],[1]!Tabela33[BROKER],0,0,1))))))))</f>
        <v>DANIEL TEIXEIRA SIQUEIRA GONÇALVES</v>
      </c>
      <c r="E51" s="50">
        <v>-176.0044</v>
      </c>
      <c r="F51" s="32" t="s">
        <v>11</v>
      </c>
      <c r="G51" s="18">
        <v>46174</v>
      </c>
      <c r="H51" s="17">
        <v>1170</v>
      </c>
      <c r="J51" s="28">
        <v>22361</v>
      </c>
      <c r="K51" s="28">
        <f>_xlfn.XLOOKUP(L51,[1]!Tabela33[BROKER],[1]!Tabela33[ID ORACLE],0,0,1)</f>
        <v>22361</v>
      </c>
      <c r="L51" s="17" t="s">
        <v>19</v>
      </c>
    </row>
    <row r="52" spans="1:12" ht="15" customHeight="1" x14ac:dyDescent="0.25">
      <c r="A52" s="22" t="str">
        <f t="shared" si="0"/>
        <v>CUSTO PLATAFORMA - JUNHO/26 - TRADING TECHNOLOGIES - 22361</v>
      </c>
      <c r="B52" s="18">
        <v>46174</v>
      </c>
      <c r="C52" s="17">
        <v>817394</v>
      </c>
      <c r="D52" s="17" t="str">
        <f>IF(K52=57038,"ALEXANDRE DA COSTA SOARES",IF(K52=115154,"ALEXANDRE DA COSTA SOARES",IF(K52=57036,"ALEXANDRE DA COSTA SOARES",IF(K52=24157,"JOSE MAURICIO GOMES TEIXEIRA",IF(K52=24203,"JOSE MAURICIO GOMES TEIXEIRA",IF(K52=24149,"CHRISTIANO MARCONDES DE BARROS LIMA",IF(K52=24137,"CHRISTIANO MARCONDES DE BARROS LIMA",_xlfn.XLOOKUP(K52,[1]!Tabela33[ID ORACLE],[1]!Tabela33[BROKER],0,0,1))))))))</f>
        <v>MATHEUS NACIF NESRALLAH</v>
      </c>
      <c r="E52" s="50">
        <v>-176.0044</v>
      </c>
      <c r="F52" s="32" t="s">
        <v>11</v>
      </c>
      <c r="G52" s="18">
        <v>46174</v>
      </c>
      <c r="H52" s="17">
        <v>1170</v>
      </c>
      <c r="J52" s="28">
        <v>22361</v>
      </c>
      <c r="K52" s="28">
        <f>_xlfn.XLOOKUP(L52,[1]!Tabela33[BROKER],[1]!Tabela33[ID ORACLE],0,0,1)</f>
        <v>132975</v>
      </c>
      <c r="L52" s="17" t="s">
        <v>32</v>
      </c>
    </row>
    <row r="53" spans="1:12" ht="15" customHeight="1" x14ac:dyDescent="0.25">
      <c r="A53" s="24" t="str">
        <f t="shared" si="0"/>
        <v>CUSTO PLATAFORMA - JUNHO/26 - TRADING TECHNOLOGIES - 22361</v>
      </c>
      <c r="B53" s="20">
        <v>46174</v>
      </c>
      <c r="C53" s="19">
        <v>817394</v>
      </c>
      <c r="D53" s="19" t="str">
        <f>IF(K53=57038,"ALEXANDRE DA COSTA SOARES",IF(K53=115154,"ALEXANDRE DA COSTA SOARES",IF(K53=57036,"ALEXANDRE DA COSTA SOARES",IF(K53=24157,"JOSE MAURICIO GOMES TEIXEIRA",IF(K53=24203,"JOSE MAURICIO GOMES TEIXEIRA",IF(K53=24149,"CHRISTIANO MARCONDES DE BARROS LIMA",IF(K53=24137,"CHRISTIANO MARCONDES DE BARROS LIMA",_xlfn.XLOOKUP(K53,[1]!Tabela33[ID ORACLE],[1]!Tabela33[BROKER],0,0,1))))))))</f>
        <v>ANDRE FERREIRA DOS SANTOS</v>
      </c>
      <c r="E53" s="49">
        <v>-176.0044</v>
      </c>
      <c r="F53" s="34" t="s">
        <v>11</v>
      </c>
      <c r="G53" s="20">
        <v>46174</v>
      </c>
      <c r="H53" s="19">
        <v>1170</v>
      </c>
      <c r="I53" s="36"/>
      <c r="J53" s="35">
        <v>22361</v>
      </c>
      <c r="K53" s="35">
        <f>_xlfn.XLOOKUP(L53,[1]!Tabela33[BROKER],[1]!Tabela33[ID ORACLE],0,0,1)</f>
        <v>122758</v>
      </c>
      <c r="L53" s="19" t="s">
        <v>18</v>
      </c>
    </row>
    <row r="54" spans="1:12" ht="15" customHeight="1" x14ac:dyDescent="0.25">
      <c r="A54" s="61" t="str">
        <f t="shared" si="0"/>
        <v>CUSTO PLATAFORMA - JUNHO/26 - TRADING TECHNOLOGIES - 61086</v>
      </c>
      <c r="B54" s="62">
        <v>46174</v>
      </c>
      <c r="C54" s="63">
        <v>817394</v>
      </c>
      <c r="D54" s="63" t="str">
        <f>IF(K54=57038,"ALEXANDRE DA COSTA SOARES",IF(K54=115154,"ALEXANDRE DA COSTA SOARES",IF(K54=57036,"ALEXANDRE DA COSTA SOARES",IF(K54=24157,"JOSE MAURICIO GOMES TEIXEIRA",IF(K54=24203,"JOSE MAURICIO GOMES TEIXEIRA",IF(K54=24149,"CHRISTIANO MARCONDES DE BARROS LIMA",IF(K54=24137,"CHRISTIANO MARCONDES DE BARROS LIMA",_xlfn.XLOOKUP(K54,[1]!Tabela33[ID ORACLE],[1]!Tabela33[BROKER],0,0,1))))))))</f>
        <v>ALEXANDRE DA COSTA SOARES</v>
      </c>
      <c r="E54" s="68">
        <v>-621.19200000000001</v>
      </c>
      <c r="F54" s="64" t="s">
        <v>11</v>
      </c>
      <c r="G54" s="62">
        <v>46174</v>
      </c>
      <c r="H54" s="63">
        <v>1170</v>
      </c>
      <c r="I54" s="65"/>
      <c r="J54" s="66">
        <v>61086</v>
      </c>
      <c r="K54" s="66">
        <v>61086</v>
      </c>
      <c r="L54" s="63" t="s">
        <v>21</v>
      </c>
    </row>
    <row r="55" spans="1:12" ht="15" customHeight="1" x14ac:dyDescent="0.25">
      <c r="A55" s="22" t="str">
        <f t="shared" si="0"/>
        <v>CUSTO PLATAFORMA - JUNHO/26 - SILICON TRADER - 22361</v>
      </c>
      <c r="B55" s="18">
        <v>46174</v>
      </c>
      <c r="C55" s="17">
        <v>817394</v>
      </c>
      <c r="D55" s="32" t="str">
        <f>IF(K55=57038,"ALEXANDRE DA COSTA SOARES",IF(K55=115154,"ALEXANDRE DA COSTA SOARES",IF(K55=57036,"ALEXANDRE DA COSTA SOARES",IF(K55=24157,"JOSE MAURICIO GOMES TEIXEIRA",IF(K55=24203,"JOSE MAURICIO GOMES TEIXEIRA",IF(K55=24149,"CHRISTIANO MARCONDES DE BARROS LIMA",IF(K55=24137,"CHRISTIANO MARCONDES DE BARROS LIMA",_xlfn.XLOOKUP(K55,[1]!Tabela33[ID ORACLE],[1]!Tabela33[BROKER],0,0,1))))))))</f>
        <v>CESAR MARIANO SCARAMBONE MENEZES</v>
      </c>
      <c r="E55" s="50">
        <v>-736.78</v>
      </c>
      <c r="F55" s="32" t="s">
        <v>33</v>
      </c>
      <c r="G55" s="18">
        <v>46174</v>
      </c>
      <c r="H55" s="17">
        <v>1170</v>
      </c>
      <c r="J55" s="28">
        <v>22361</v>
      </c>
      <c r="K55" s="28">
        <f>_xlfn.XLOOKUP(L55,[1]!Tabela33[BROKER],[1]!Tabela33[ID ORACLE],0,0,1)</f>
        <v>106970</v>
      </c>
      <c r="L55" s="17" t="s">
        <v>20</v>
      </c>
    </row>
    <row r="56" spans="1:12" ht="15" customHeight="1" x14ac:dyDescent="0.25">
      <c r="A56" s="22" t="str">
        <f t="shared" si="0"/>
        <v>CUSTO PLATAFORMA - JUNHO/26 - SILICON TRADER - 22361</v>
      </c>
      <c r="B56" s="18">
        <v>46174</v>
      </c>
      <c r="C56" s="17">
        <v>817394</v>
      </c>
      <c r="D56" s="32" t="str">
        <f>IF(K56=57038,"ALEXANDRE DA COSTA SOARES",IF(K56=115154,"ALEXANDRE DA COSTA SOARES",IF(K56=57036,"ALEXANDRE DA COSTA SOARES",IF(K56=24157,"JOSE MAURICIO GOMES TEIXEIRA",IF(K56=24203,"JOSE MAURICIO GOMES TEIXEIRA",IF(K56=24149,"CHRISTIANO MARCONDES DE BARROS LIMA",IF(K56=24137,"CHRISTIANO MARCONDES DE BARROS LIMA",_xlfn.XLOOKUP(K56,[1]!Tabela33[ID ORACLE],[1]!Tabela33[BROKER],0,0,1))))))))</f>
        <v>DANIEL TEIXEIRA SIQUEIRA GONÇALVES</v>
      </c>
      <c r="E56" s="50">
        <v>-736.78</v>
      </c>
      <c r="F56" s="32" t="s">
        <v>33</v>
      </c>
      <c r="G56" s="18">
        <v>46174</v>
      </c>
      <c r="H56" s="17">
        <v>1170</v>
      </c>
      <c r="J56" s="28">
        <v>22361</v>
      </c>
      <c r="K56" s="28">
        <f>_xlfn.XLOOKUP(L56,[1]!Tabela33[BROKER],[1]!Tabela33[ID ORACLE],0,0,1)</f>
        <v>22361</v>
      </c>
      <c r="L56" s="17" t="s">
        <v>19</v>
      </c>
    </row>
    <row r="57" spans="1:12" ht="15" customHeight="1" x14ac:dyDescent="0.25">
      <c r="A57" s="22" t="str">
        <f t="shared" si="0"/>
        <v>CUSTO PLATAFORMA - JUNHO/26 - SILICON TRADER - 22361</v>
      </c>
      <c r="B57" s="18">
        <v>46174</v>
      </c>
      <c r="C57" s="17">
        <v>817394</v>
      </c>
      <c r="D57" s="32" t="str">
        <f>IF(K57=57038,"ALEXANDRE DA COSTA SOARES",IF(K57=115154,"ALEXANDRE DA COSTA SOARES",IF(K57=57036,"ALEXANDRE DA COSTA SOARES",IF(K57=24157,"JOSE MAURICIO GOMES TEIXEIRA",IF(K57=24203,"JOSE MAURICIO GOMES TEIXEIRA",IF(K57=24149,"CHRISTIANO MARCONDES DE BARROS LIMA",IF(K57=24137,"CHRISTIANO MARCONDES DE BARROS LIMA",_xlfn.XLOOKUP(K57,[1]!Tabela33[ID ORACLE],[1]!Tabela33[BROKER],0,0,1))))))))</f>
        <v>FELIPE MEIRELLES RACCAH</v>
      </c>
      <c r="E57" s="50">
        <v>-736.78</v>
      </c>
      <c r="F57" s="32" t="s">
        <v>33</v>
      </c>
      <c r="G57" s="18">
        <v>46174</v>
      </c>
      <c r="H57" s="17">
        <v>1170</v>
      </c>
      <c r="J57" s="28">
        <v>22361</v>
      </c>
      <c r="K57" s="28">
        <f>_xlfn.XLOOKUP(L57,[1]!Tabela33[BROKER],[1]!Tabela33[ID ORACLE],0,0,1)</f>
        <v>139345</v>
      </c>
      <c r="L57" s="17" t="s">
        <v>31</v>
      </c>
    </row>
    <row r="58" spans="1:12" ht="15" customHeight="1" x14ac:dyDescent="0.25">
      <c r="A58" s="22" t="str">
        <f t="shared" si="0"/>
        <v>CUSTO PLATAFORMA - JUNHO/26 - SILICON TRADER - 22361</v>
      </c>
      <c r="B58" s="18">
        <v>46174</v>
      </c>
      <c r="C58" s="17">
        <v>817394</v>
      </c>
      <c r="D58" s="32" t="str">
        <f>IF(K58=57038,"ALEXANDRE DA COSTA SOARES",IF(K58=115154,"ALEXANDRE DA COSTA SOARES",IF(K58=57036,"ALEXANDRE DA COSTA SOARES",IF(K58=24157,"JOSE MAURICIO GOMES TEIXEIRA",IF(K58=24203,"JOSE MAURICIO GOMES TEIXEIRA",IF(K58=24149,"CHRISTIANO MARCONDES DE BARROS LIMA",IF(K58=24137,"CHRISTIANO MARCONDES DE BARROS LIMA",_xlfn.XLOOKUP(K58,[1]!Tabela33[ID ORACLE],[1]!Tabela33[BROKER],0,0,1))))))))</f>
        <v>MATHEUS NACIF NESRALLAH</v>
      </c>
      <c r="E58" s="50">
        <v>-736.78</v>
      </c>
      <c r="F58" s="32" t="s">
        <v>33</v>
      </c>
      <c r="G58" s="18">
        <v>46174</v>
      </c>
      <c r="H58" s="17">
        <v>1170</v>
      </c>
      <c r="J58" s="28">
        <v>22361</v>
      </c>
      <c r="K58" s="28">
        <f>_xlfn.XLOOKUP(L58,[1]!Tabela33[BROKER],[1]!Tabela33[ID ORACLE],0,0,1)</f>
        <v>132975</v>
      </c>
      <c r="L58" s="17" t="s">
        <v>32</v>
      </c>
    </row>
    <row r="59" spans="1:12" ht="15" customHeight="1" x14ac:dyDescent="0.25">
      <c r="A59" s="24" t="str">
        <f t="shared" si="0"/>
        <v>CUSTO PLATAFORMA - JUNHO/26 - SILICON TRADER - 22361</v>
      </c>
      <c r="B59" s="20">
        <v>46174</v>
      </c>
      <c r="C59" s="19">
        <v>817394</v>
      </c>
      <c r="D59" s="34" t="str">
        <f>IF(K59=57038,"ALEXANDRE DA COSTA SOARES",IF(K59=115154,"ALEXANDRE DA COSTA SOARES",IF(K59=57036,"ALEXANDRE DA COSTA SOARES",IF(K59=24157,"JOSE MAURICIO GOMES TEIXEIRA",IF(K59=24203,"JOSE MAURICIO GOMES TEIXEIRA",IF(K59=24149,"CHRISTIANO MARCONDES DE BARROS LIMA",IF(K59=24137,"CHRISTIANO MARCONDES DE BARROS LIMA",_xlfn.XLOOKUP(K59,[1]!Tabela33[ID ORACLE],[1]!Tabela33[BROKER],0,0,1))))))))</f>
        <v>ANDRE FERREIRA DOS SANTOS</v>
      </c>
      <c r="E59" s="49">
        <v>-736.78</v>
      </c>
      <c r="F59" s="34" t="s">
        <v>33</v>
      </c>
      <c r="G59" s="20">
        <v>46174</v>
      </c>
      <c r="H59" s="19">
        <v>1170</v>
      </c>
      <c r="J59" s="35">
        <v>22361</v>
      </c>
      <c r="K59" s="35">
        <f>_xlfn.XLOOKUP(L59,[1]!Tabela33[BROKER],[1]!Tabela33[ID ORACLE],0,0,1)</f>
        <v>122758</v>
      </c>
      <c r="L59" s="19" t="s">
        <v>18</v>
      </c>
    </row>
    <row r="60" spans="1:12" ht="15" customHeight="1" x14ac:dyDescent="0.25">
      <c r="A60" s="22" t="str">
        <f t="shared" si="0"/>
        <v>CUSTO PLATAFORMA - JUNHO/26 - SILICON TRADER - 122758</v>
      </c>
      <c r="B60" s="18">
        <v>46174</v>
      </c>
      <c r="C60" s="17">
        <v>817394</v>
      </c>
      <c r="D60" s="32" t="s">
        <v>20</v>
      </c>
      <c r="E60" s="50">
        <v>-728.61</v>
      </c>
      <c r="F60" s="32" t="s">
        <v>33</v>
      </c>
      <c r="G60" s="18">
        <v>46174</v>
      </c>
      <c r="H60" s="17">
        <v>1170</v>
      </c>
      <c r="J60" s="28">
        <v>122758</v>
      </c>
      <c r="K60" s="28">
        <v>106970</v>
      </c>
      <c r="L60" s="17" t="s">
        <v>20</v>
      </c>
    </row>
    <row r="61" spans="1:12" ht="15" customHeight="1" x14ac:dyDescent="0.25">
      <c r="A61" s="22" t="str">
        <f t="shared" si="0"/>
        <v>CUSTO PLATAFORMA - JUNHO/26 - SILICON TRADER - 122758</v>
      </c>
      <c r="B61" s="18">
        <v>46174</v>
      </c>
      <c r="C61" s="17">
        <v>817394</v>
      </c>
      <c r="D61" s="32" t="s">
        <v>19</v>
      </c>
      <c r="E61" s="50">
        <v>-728.61</v>
      </c>
      <c r="F61" s="32" t="s">
        <v>33</v>
      </c>
      <c r="G61" s="18">
        <v>46174</v>
      </c>
      <c r="H61" s="17">
        <v>1170</v>
      </c>
      <c r="J61" s="28">
        <v>122758</v>
      </c>
      <c r="K61" s="28">
        <v>22361</v>
      </c>
      <c r="L61" s="17" t="s">
        <v>19</v>
      </c>
    </row>
    <row r="62" spans="1:12" ht="15" customHeight="1" x14ac:dyDescent="0.25">
      <c r="A62" s="22" t="str">
        <f t="shared" si="0"/>
        <v>CUSTO PLATAFORMA - JUNHO/26 - SILICON TRADER - 122758</v>
      </c>
      <c r="B62" s="18">
        <v>46174</v>
      </c>
      <c r="C62" s="17">
        <v>817394</v>
      </c>
      <c r="D62" s="32" t="s">
        <v>31</v>
      </c>
      <c r="E62" s="50">
        <v>-728.61</v>
      </c>
      <c r="F62" s="32" t="s">
        <v>33</v>
      </c>
      <c r="G62" s="18">
        <v>46174</v>
      </c>
      <c r="H62" s="17">
        <v>1170</v>
      </c>
      <c r="J62" s="28">
        <v>122758</v>
      </c>
      <c r="K62" s="28">
        <v>139345</v>
      </c>
      <c r="L62" s="17" t="s">
        <v>31</v>
      </c>
    </row>
    <row r="63" spans="1:12" ht="15" customHeight="1" x14ac:dyDescent="0.25">
      <c r="A63" s="22" t="str">
        <f t="shared" si="0"/>
        <v>CUSTO PLATAFORMA - JUNHO/26 - SILICON TRADER - 122758</v>
      </c>
      <c r="B63" s="18">
        <v>46174</v>
      </c>
      <c r="C63" s="17">
        <v>817394</v>
      </c>
      <c r="D63" s="32" t="s">
        <v>32</v>
      </c>
      <c r="E63" s="50">
        <v>-728.61</v>
      </c>
      <c r="F63" s="32" t="s">
        <v>33</v>
      </c>
      <c r="G63" s="18">
        <v>46174</v>
      </c>
      <c r="H63" s="17">
        <v>1170</v>
      </c>
      <c r="J63" s="28">
        <v>122758</v>
      </c>
      <c r="K63" s="28">
        <v>132975</v>
      </c>
      <c r="L63" s="17" t="s">
        <v>32</v>
      </c>
    </row>
    <row r="64" spans="1:12" ht="15" customHeight="1" x14ac:dyDescent="0.25">
      <c r="A64" s="24" t="str">
        <f t="shared" si="0"/>
        <v>CUSTO PLATAFORMA - JUNHO/26 - SILICON TRADER - 122758</v>
      </c>
      <c r="B64" s="20">
        <v>46174</v>
      </c>
      <c r="C64" s="19">
        <v>817394</v>
      </c>
      <c r="D64" s="34" t="s">
        <v>18</v>
      </c>
      <c r="E64" s="49">
        <v>-728.61</v>
      </c>
      <c r="F64" s="34" t="s">
        <v>33</v>
      </c>
      <c r="G64" s="20">
        <v>46174</v>
      </c>
      <c r="H64" s="19">
        <v>1170</v>
      </c>
      <c r="J64" s="35">
        <v>122758</v>
      </c>
      <c r="K64" s="35">
        <v>122758</v>
      </c>
      <c r="L64" s="19" t="s">
        <v>18</v>
      </c>
    </row>
    <row r="65" spans="1:15" ht="15" customHeight="1" x14ac:dyDescent="0.25">
      <c r="A65" s="22" t="str">
        <f t="shared" si="0"/>
        <v>CUSTO PLATAFORMA - JUNHO/26 - SILICON TRADER - 56258</v>
      </c>
      <c r="B65" s="18">
        <v>46174</v>
      </c>
      <c r="C65" s="17">
        <v>817394</v>
      </c>
      <c r="D65" s="17" t="s">
        <v>13</v>
      </c>
      <c r="E65" s="67">
        <v>-61.225000000000001</v>
      </c>
      <c r="F65" s="17" t="s">
        <v>33</v>
      </c>
      <c r="G65" s="18">
        <v>46174</v>
      </c>
      <c r="H65" s="17">
        <v>1170</v>
      </c>
      <c r="J65" s="28">
        <v>56258</v>
      </c>
      <c r="K65" s="28">
        <f>_xlfn.XLOOKUP(L65,[1]!Tabela33[BROKER],[1]!Tabela33[ID ORACLE],0,0,1)</f>
        <v>70461</v>
      </c>
      <c r="L65" s="17" t="s">
        <v>13</v>
      </c>
      <c r="N65" t="s">
        <v>47</v>
      </c>
      <c r="O65">
        <v>1.69</v>
      </c>
    </row>
    <row r="66" spans="1:15" ht="15" customHeight="1" x14ac:dyDescent="0.25">
      <c r="A66" s="22" t="str">
        <f t="shared" si="0"/>
        <v>CUSTO PLATAFORMA - JUNHO/26 - SILICON TRADER - 56258</v>
      </c>
      <c r="B66" s="18">
        <v>46174</v>
      </c>
      <c r="C66" s="17">
        <v>817394</v>
      </c>
      <c r="D66" s="17" t="s">
        <v>14</v>
      </c>
      <c r="E66" s="67">
        <v>-61.225000000000001</v>
      </c>
      <c r="F66" s="17" t="s">
        <v>33</v>
      </c>
      <c r="G66" s="18">
        <v>46174</v>
      </c>
      <c r="H66" s="17">
        <v>1170</v>
      </c>
      <c r="J66" s="28">
        <v>56258</v>
      </c>
      <c r="K66" s="28">
        <f>_xlfn.XLOOKUP(L66,[1]!Tabela33[BROKER],[1]!Tabela33[ID ORACLE],0,0,1)</f>
        <v>24140</v>
      </c>
      <c r="L66" s="17" t="s">
        <v>14</v>
      </c>
    </row>
    <row r="67" spans="1:15" ht="15" customHeight="1" x14ac:dyDescent="0.25">
      <c r="A67" s="22" t="str">
        <f t="shared" si="0"/>
        <v>CUSTO PLATAFORMA - JUNHO/26 - SILICON TRADER - 56258</v>
      </c>
      <c r="B67" s="18">
        <v>46174</v>
      </c>
      <c r="C67" s="17">
        <v>817394</v>
      </c>
      <c r="D67" s="17" t="s">
        <v>30</v>
      </c>
      <c r="E67" s="67">
        <v>-61.225000000000001</v>
      </c>
      <c r="F67" s="17" t="s">
        <v>33</v>
      </c>
      <c r="G67" s="18">
        <v>46174</v>
      </c>
      <c r="H67" s="17">
        <v>1170</v>
      </c>
      <c r="J67" s="28">
        <v>56258</v>
      </c>
      <c r="K67" s="28">
        <f>_xlfn.XLOOKUP(L67,[1]!Tabela33[BROKER],[1]!Tabela33[ID ORACLE],0,0,1)</f>
        <v>137478</v>
      </c>
      <c r="L67" s="17" t="s">
        <v>30</v>
      </c>
    </row>
    <row r="68" spans="1:15" ht="15" customHeight="1" x14ac:dyDescent="0.25">
      <c r="A68" s="24" t="str">
        <f t="shared" si="0"/>
        <v>CUSTO PLATAFORMA - JUNHO/26 - SILICON TRADER - 56258</v>
      </c>
      <c r="B68" s="20">
        <v>46174</v>
      </c>
      <c r="C68" s="19">
        <v>817394</v>
      </c>
      <c r="D68" s="19" t="s">
        <v>15</v>
      </c>
      <c r="E68" s="49">
        <v>-61.225000000000001</v>
      </c>
      <c r="F68" s="19" t="s">
        <v>33</v>
      </c>
      <c r="G68" s="20">
        <v>46174</v>
      </c>
      <c r="H68" s="19">
        <v>1170</v>
      </c>
      <c r="J68" s="28">
        <v>56258</v>
      </c>
      <c r="K68" s="28">
        <f>_xlfn.XLOOKUP(L68,[1]!Tabela33[BROKER],[1]!Tabela33[ID ORACLE],0,0,1)</f>
        <v>56258</v>
      </c>
      <c r="L68" s="17" t="s">
        <v>15</v>
      </c>
    </row>
    <row r="69" spans="1:15" ht="15" customHeight="1" x14ac:dyDescent="0.25">
      <c r="A69" s="23" t="str">
        <f t="shared" si="0"/>
        <v>CUSTO PLATAFORMA - JUNHO/26 - SILICON TRADER - 57036</v>
      </c>
      <c r="B69" s="12">
        <v>46174</v>
      </c>
      <c r="C69" s="11">
        <v>817394</v>
      </c>
      <c r="D69" s="33" t="s">
        <v>21</v>
      </c>
      <c r="E69" s="70">
        <v>-5877.59</v>
      </c>
      <c r="F69" s="33" t="s">
        <v>33</v>
      </c>
      <c r="G69" s="12">
        <v>46174</v>
      </c>
      <c r="H69" s="11">
        <v>1170</v>
      </c>
      <c r="J69" s="39">
        <v>57036</v>
      </c>
      <c r="K69" s="39">
        <v>57036</v>
      </c>
      <c r="L69" s="46" t="s">
        <v>22</v>
      </c>
      <c r="N69" t="s">
        <v>47</v>
      </c>
      <c r="O69">
        <v>1.69</v>
      </c>
    </row>
    <row r="70" spans="1:15" ht="15" customHeight="1" x14ac:dyDescent="0.25">
      <c r="A70" s="23" t="str">
        <f t="shared" ref="A70" si="1">_xlfn.CONCAT($L$1,$I$1,F70,$I$1,J70)</f>
        <v>CUSTO PLATAFORMA - JUNHO/26 - SILICON TRADER - 61086</v>
      </c>
      <c r="B70" s="12">
        <v>46174</v>
      </c>
      <c r="C70" s="11">
        <v>817394</v>
      </c>
      <c r="D70" s="33" t="s">
        <v>21</v>
      </c>
      <c r="E70" s="70">
        <v>-13414.933333333331</v>
      </c>
      <c r="F70" s="33" t="s">
        <v>33</v>
      </c>
      <c r="G70" s="12">
        <v>46174</v>
      </c>
      <c r="H70" s="11">
        <v>1170</v>
      </c>
      <c r="J70" s="39">
        <v>61086</v>
      </c>
      <c r="K70" s="39">
        <v>61086</v>
      </c>
      <c r="L70" s="46" t="s">
        <v>21</v>
      </c>
      <c r="N70" t="s">
        <v>47</v>
      </c>
      <c r="O70">
        <v>1.69</v>
      </c>
    </row>
    <row r="71" spans="1:15" ht="15" customHeight="1" x14ac:dyDescent="0.25">
      <c r="A71" s="23" t="str">
        <f t="shared" si="0"/>
        <v>CUSTO PLATAFORMA - JUNHO/26 - SILICON TRADER - 133842</v>
      </c>
      <c r="B71" s="12">
        <v>46174</v>
      </c>
      <c r="C71" s="11">
        <v>817394</v>
      </c>
      <c r="D71" s="33" t="s">
        <v>28</v>
      </c>
      <c r="E71" s="49">
        <v>-13414.933333333331</v>
      </c>
      <c r="F71" s="33" t="s">
        <v>33</v>
      </c>
      <c r="G71" s="12">
        <v>46174</v>
      </c>
      <c r="H71" s="11">
        <v>1170</v>
      </c>
      <c r="J71" s="39">
        <v>133842</v>
      </c>
      <c r="K71" s="39">
        <f>_xlfn.XLOOKUP(L71,[1]!Tabela33[BROKER],[1]!Tabela33[ID ORACLE],0,0,1)</f>
        <v>133842</v>
      </c>
      <c r="L71" s="46" t="s">
        <v>28</v>
      </c>
      <c r="N71" t="s">
        <v>48</v>
      </c>
      <c r="O71">
        <v>256.38</v>
      </c>
    </row>
    <row r="72" spans="1:15" ht="15" customHeight="1" x14ac:dyDescent="0.25">
      <c r="A72" s="23" t="str">
        <f t="shared" si="0"/>
        <v>CUSTO PLATAFORMA - JUNHO/26 - SILICON TRADER - 125412</v>
      </c>
      <c r="B72" s="12">
        <v>46174</v>
      </c>
      <c r="C72" s="11">
        <v>817394</v>
      </c>
      <c r="D72" s="11" t="s">
        <v>29</v>
      </c>
      <c r="E72" s="49">
        <v>-13414.933333333331</v>
      </c>
      <c r="F72" s="33" t="s">
        <v>33</v>
      </c>
      <c r="G72" s="12">
        <v>46174</v>
      </c>
      <c r="H72" s="11">
        <v>1170</v>
      </c>
      <c r="J72" s="38">
        <v>125412</v>
      </c>
      <c r="K72" s="38">
        <v>52340</v>
      </c>
      <c r="L72" s="11" t="s">
        <v>29</v>
      </c>
      <c r="N72" t="s">
        <v>49</v>
      </c>
      <c r="O72">
        <v>71.45</v>
      </c>
    </row>
    <row r="73" spans="1:15" ht="15" customHeight="1" x14ac:dyDescent="0.25">
      <c r="A73" s="23" t="str">
        <f t="shared" ref="A73" si="2">_xlfn.CONCAT($L$1,$I$1,F73,$I$1,J73)</f>
        <v>CUSTO PLATAFORMA - JUNHO/26 - SILICON TRADER - 127165</v>
      </c>
      <c r="B73" s="12">
        <v>46174</v>
      </c>
      <c r="C73" s="11">
        <v>817394</v>
      </c>
      <c r="D73" s="11" t="s">
        <v>17</v>
      </c>
      <c r="E73" s="49">
        <v>-81.599999999999994</v>
      </c>
      <c r="F73" s="33" t="s">
        <v>33</v>
      </c>
      <c r="G73" s="12">
        <v>46174</v>
      </c>
      <c r="H73" s="11">
        <v>1170</v>
      </c>
      <c r="J73" s="38">
        <v>127165</v>
      </c>
      <c r="K73" s="38">
        <v>127165</v>
      </c>
      <c r="L73" s="11" t="s">
        <v>17</v>
      </c>
      <c r="N73" t="s">
        <v>49</v>
      </c>
      <c r="O73">
        <v>71.45</v>
      </c>
    </row>
    <row r="74" spans="1:15" ht="15" customHeight="1" x14ac:dyDescent="0.25">
      <c r="A74" s="11" t="str">
        <f t="shared" ref="A74:A76" si="3">_xlfn.CONCAT($L$1,$I$1,F74,$I$1,J74)</f>
        <v>CUSTO PLATAFORMA - JUNHO/26 - PARAMITA - 135064</v>
      </c>
      <c r="B74" s="12">
        <v>46174</v>
      </c>
      <c r="C74" s="11">
        <v>817394</v>
      </c>
      <c r="D74" s="11" t="s">
        <v>34</v>
      </c>
      <c r="E74" s="49">
        <v>-3740</v>
      </c>
      <c r="F74" s="11" t="s">
        <v>62</v>
      </c>
      <c r="G74" s="12">
        <v>46174</v>
      </c>
      <c r="H74" s="11">
        <v>1170</v>
      </c>
      <c r="J74" s="39">
        <v>135064</v>
      </c>
      <c r="K74" s="39">
        <f>_xlfn.XLOOKUP(L74,[1]!Tabela33[BROKER],[1]!Tabela33[ID ORACLE],0,0,1)</f>
        <v>135064</v>
      </c>
      <c r="L74" s="40" t="s">
        <v>34</v>
      </c>
      <c r="N74" s="42"/>
    </row>
    <row r="75" spans="1:15" ht="15" customHeight="1" x14ac:dyDescent="0.25">
      <c r="A75" s="11" t="str">
        <f t="shared" si="3"/>
        <v>CUSTO PLATAFORMA - JUNHO/26 - CETIP - 135064</v>
      </c>
      <c r="B75" s="12">
        <v>46174</v>
      </c>
      <c r="C75" s="11">
        <v>817394</v>
      </c>
      <c r="D75" s="11" t="s">
        <v>34</v>
      </c>
      <c r="E75" s="49">
        <v>-113445.01</v>
      </c>
      <c r="F75" s="33" t="s">
        <v>39</v>
      </c>
      <c r="G75" s="12">
        <v>46174</v>
      </c>
      <c r="H75" s="11">
        <v>1170</v>
      </c>
      <c r="J75" s="39">
        <v>135064</v>
      </c>
      <c r="K75" s="39">
        <f>_xlfn.XLOOKUP(L75,[1]!Tabela33[BROKER],[1]!Tabela33[ID ORACLE],0,0,1)</f>
        <v>135064</v>
      </c>
      <c r="L75" s="40" t="s">
        <v>34</v>
      </c>
      <c r="M75" t="s">
        <v>50</v>
      </c>
    </row>
    <row r="76" spans="1:15" ht="15" customHeight="1" x14ac:dyDescent="0.25">
      <c r="A76" s="11" t="str">
        <f t="shared" si="3"/>
        <v>CUSTO PLATAFORMA - JUNHO/26 - TERMO - 24140</v>
      </c>
      <c r="B76" s="12">
        <v>46174</v>
      </c>
      <c r="C76" s="11">
        <v>817394</v>
      </c>
      <c r="D76" s="11" t="s">
        <v>14</v>
      </c>
      <c r="E76" s="49">
        <v>-20501.66</v>
      </c>
      <c r="F76" s="33" t="s">
        <v>35</v>
      </c>
      <c r="G76" s="12">
        <v>46174</v>
      </c>
      <c r="H76" s="11">
        <v>80101</v>
      </c>
      <c r="J76" s="39">
        <v>24140</v>
      </c>
      <c r="K76" s="39">
        <f>_xlfn.XLOOKUP(L76,[1]!Tabela33[BROKER],[1]!Tabela33[ID ORACLE],0,0,1)</f>
        <v>24140</v>
      </c>
      <c r="L76" s="40" t="s">
        <v>14</v>
      </c>
      <c r="M76" t="s">
        <v>41</v>
      </c>
    </row>
    <row r="77" spans="1:15" ht="15" customHeight="1" x14ac:dyDescent="0.25">
      <c r="A77" s="60" t="str">
        <f>_xlfn.CONCAT($L$1,$I$1,F77)</f>
        <v>CUSTO PLATAFORMA - JUNHO/26 - TRADEMATE</v>
      </c>
      <c r="B77" s="18">
        <v>46174</v>
      </c>
      <c r="C77" s="17">
        <v>817394</v>
      </c>
      <c r="D77" s="17" t="s">
        <v>51</v>
      </c>
      <c r="E77" s="50">
        <v>-1801.2624107692839</v>
      </c>
      <c r="F77" s="32" t="s">
        <v>60</v>
      </c>
      <c r="G77" s="18">
        <v>46174</v>
      </c>
      <c r="H77" s="17">
        <v>1170</v>
      </c>
      <c r="J77" s="28"/>
      <c r="K77" s="28"/>
      <c r="L77" s="47"/>
    </row>
    <row r="78" spans="1:15" ht="15" customHeight="1" x14ac:dyDescent="0.25">
      <c r="A78" s="17" t="str">
        <f t="shared" ref="A78:A92" si="4">_xlfn.CONCAT($L$1,$I$1,F78)</f>
        <v>CUSTO PLATAFORMA - JUNHO/26 - TRADEMATE</v>
      </c>
      <c r="B78" s="18">
        <v>46174</v>
      </c>
      <c r="C78" s="17">
        <v>817394</v>
      </c>
      <c r="D78" s="17" t="s">
        <v>74</v>
      </c>
      <c r="E78" s="50">
        <v>-4456.8213617859828</v>
      </c>
      <c r="F78" s="32" t="s">
        <v>60</v>
      </c>
      <c r="G78" s="18">
        <v>46174</v>
      </c>
      <c r="H78" s="17">
        <v>1170</v>
      </c>
      <c r="J78" s="28"/>
      <c r="K78" s="28"/>
      <c r="L78" s="47"/>
    </row>
    <row r="79" spans="1:15" ht="15" customHeight="1" x14ac:dyDescent="0.25">
      <c r="A79" s="17" t="str">
        <f t="shared" si="4"/>
        <v>CUSTO PLATAFORMA - JUNHO/26 - TRADEMATE</v>
      </c>
      <c r="B79" s="18">
        <v>46174</v>
      </c>
      <c r="C79" s="17">
        <v>817394</v>
      </c>
      <c r="D79" s="17" t="s">
        <v>52</v>
      </c>
      <c r="E79" s="50">
        <v>-154.521363416789</v>
      </c>
      <c r="F79" s="32" t="s">
        <v>60</v>
      </c>
      <c r="G79" s="18">
        <v>46174</v>
      </c>
      <c r="H79" s="17">
        <v>1170</v>
      </c>
      <c r="J79" s="28"/>
      <c r="K79" s="28"/>
      <c r="L79" s="47"/>
    </row>
    <row r="80" spans="1:15" ht="15" customHeight="1" x14ac:dyDescent="0.25">
      <c r="A80" s="17" t="str">
        <f t="shared" si="4"/>
        <v>CUSTO PLATAFORMA - JUNHO/26 - TRADEMATE</v>
      </c>
      <c r="B80" s="18">
        <v>46174</v>
      </c>
      <c r="C80" s="17">
        <v>817394</v>
      </c>
      <c r="D80" s="17" t="s">
        <v>43</v>
      </c>
      <c r="E80" s="50">
        <v>-5537.5304078709814</v>
      </c>
      <c r="F80" s="32" t="s">
        <v>60</v>
      </c>
      <c r="G80" s="18">
        <v>46174</v>
      </c>
      <c r="H80" s="17">
        <v>1170</v>
      </c>
      <c r="J80" s="28"/>
      <c r="K80" s="28"/>
      <c r="L80" s="47"/>
    </row>
    <row r="81" spans="1:18" ht="15" customHeight="1" x14ac:dyDescent="0.25">
      <c r="A81" s="17" t="str">
        <f t="shared" si="4"/>
        <v>CUSTO PLATAFORMA - JUNHO/26 - TRADEMATE</v>
      </c>
      <c r="B81" s="18">
        <v>46174</v>
      </c>
      <c r="C81" s="17">
        <v>817394</v>
      </c>
      <c r="D81" s="17" t="s">
        <v>53</v>
      </c>
      <c r="E81" s="50">
        <v>-6045.8033823147889</v>
      </c>
      <c r="F81" s="32" t="s">
        <v>60</v>
      </c>
      <c r="G81" s="18">
        <v>46174</v>
      </c>
      <c r="H81" s="17">
        <v>1170</v>
      </c>
      <c r="J81" s="28"/>
      <c r="K81" s="28"/>
      <c r="L81" s="47"/>
    </row>
    <row r="82" spans="1:18" ht="15" customHeight="1" x14ac:dyDescent="0.25">
      <c r="A82" s="17" t="str">
        <f t="shared" si="4"/>
        <v>CUSTO PLATAFORMA - JUNHO/26 - TRADEMATE</v>
      </c>
      <c r="B82" s="18">
        <v>46174</v>
      </c>
      <c r="C82" s="17">
        <v>817394</v>
      </c>
      <c r="D82" s="17" t="s">
        <v>38</v>
      </c>
      <c r="E82" s="50">
        <v>-4589.6430661002669</v>
      </c>
      <c r="F82" s="32" t="s">
        <v>60</v>
      </c>
      <c r="G82" s="18">
        <v>46174</v>
      </c>
      <c r="H82" s="17">
        <v>1170</v>
      </c>
      <c r="J82" s="28"/>
      <c r="K82" s="28"/>
      <c r="L82" s="47"/>
    </row>
    <row r="83" spans="1:18" ht="15" customHeight="1" x14ac:dyDescent="0.25">
      <c r="A83" s="17" t="str">
        <f t="shared" si="4"/>
        <v>CUSTO PLATAFORMA - JUNHO/26 - TRADEMATE</v>
      </c>
      <c r="B83" s="18">
        <v>46174</v>
      </c>
      <c r="C83" s="17">
        <v>817394</v>
      </c>
      <c r="D83" s="17" t="s">
        <v>59</v>
      </c>
      <c r="E83" s="50">
        <v>-11378.814828343593</v>
      </c>
      <c r="F83" s="32" t="s">
        <v>60</v>
      </c>
      <c r="G83" s="18">
        <v>46174</v>
      </c>
      <c r="H83" s="17">
        <v>1170</v>
      </c>
      <c r="J83" s="28"/>
      <c r="K83" s="28"/>
      <c r="L83" s="47"/>
    </row>
    <row r="84" spans="1:18" ht="15" customHeight="1" x14ac:dyDescent="0.25">
      <c r="A84" s="17" t="str">
        <f t="shared" si="4"/>
        <v>CUSTO PLATAFORMA - JUNHO/26 - TRADEMATE</v>
      </c>
      <c r="B84" s="18">
        <v>46174</v>
      </c>
      <c r="C84" s="17">
        <v>817394</v>
      </c>
      <c r="D84" s="17" t="s">
        <v>75</v>
      </c>
      <c r="E84" s="50">
        <v>-226.64395424290049</v>
      </c>
      <c r="F84" s="32" t="s">
        <v>60</v>
      </c>
      <c r="G84" s="18">
        <v>46174</v>
      </c>
      <c r="H84" s="17">
        <v>1170</v>
      </c>
      <c r="J84" s="28"/>
      <c r="K84" s="28"/>
      <c r="L84" s="47"/>
    </row>
    <row r="85" spans="1:18" ht="15" customHeight="1" x14ac:dyDescent="0.25">
      <c r="A85" s="17" t="str">
        <f t="shared" si="4"/>
        <v>CUSTO PLATAFORMA - JUNHO/26 - TRADEMATE</v>
      </c>
      <c r="B85" s="18">
        <v>46174</v>
      </c>
      <c r="C85" s="17">
        <v>817394</v>
      </c>
      <c r="D85" s="17" t="s">
        <v>54</v>
      </c>
      <c r="E85" s="50">
        <v>-1225.5387893249442</v>
      </c>
      <c r="F85" s="32" t="s">
        <v>60</v>
      </c>
      <c r="G85" s="18">
        <v>46174</v>
      </c>
      <c r="H85" s="17">
        <v>1170</v>
      </c>
      <c r="J85" s="28"/>
      <c r="K85" s="28"/>
      <c r="L85" s="47"/>
    </row>
    <row r="86" spans="1:18" ht="15" customHeight="1" x14ac:dyDescent="0.25">
      <c r="A86" s="17" t="str">
        <f t="shared" si="4"/>
        <v>CUSTO PLATAFORMA - JUNHO/26 - TRADEMATE</v>
      </c>
      <c r="B86" s="18">
        <v>46174</v>
      </c>
      <c r="C86" s="17">
        <v>817394</v>
      </c>
      <c r="D86" s="17" t="s">
        <v>73</v>
      </c>
      <c r="E86" s="50">
        <v>-96.406908379842733</v>
      </c>
      <c r="F86" s="32" t="s">
        <v>60</v>
      </c>
      <c r="G86" s="18">
        <v>46174</v>
      </c>
      <c r="H86" s="17">
        <v>1170</v>
      </c>
      <c r="J86" s="28"/>
      <c r="K86" s="28"/>
      <c r="L86" s="47"/>
    </row>
    <row r="87" spans="1:18" ht="15" customHeight="1" x14ac:dyDescent="0.25">
      <c r="A87" s="17" t="str">
        <f t="shared" si="4"/>
        <v>CUSTO PLATAFORMA - JUNHO/26 - TRADEMATE</v>
      </c>
      <c r="B87" s="18">
        <v>46174</v>
      </c>
      <c r="C87" s="17">
        <v>817394</v>
      </c>
      <c r="D87" s="17" t="s">
        <v>72</v>
      </c>
      <c r="E87" s="50">
        <v>-265.85341193829754</v>
      </c>
      <c r="F87" s="32" t="s">
        <v>60</v>
      </c>
      <c r="G87" s="18">
        <v>46174</v>
      </c>
      <c r="H87" s="17">
        <v>1170</v>
      </c>
      <c r="J87" s="28"/>
      <c r="K87" s="28"/>
      <c r="L87" s="47"/>
    </row>
    <row r="88" spans="1:18" ht="15" customHeight="1" x14ac:dyDescent="0.25">
      <c r="A88" s="17" t="str">
        <f t="shared" si="4"/>
        <v>CUSTO PLATAFORMA - JUNHO/26 - TRADEMATE</v>
      </c>
      <c r="B88" s="18">
        <v>46174</v>
      </c>
      <c r="C88" s="17">
        <v>817394</v>
      </c>
      <c r="D88" s="17" t="s">
        <v>76</v>
      </c>
      <c r="E88" s="50">
        <v>-1458.1785223530983</v>
      </c>
      <c r="F88" s="32" t="s">
        <v>60</v>
      </c>
      <c r="G88" s="18">
        <v>46174</v>
      </c>
      <c r="H88" s="17">
        <v>1170</v>
      </c>
      <c r="J88" s="28"/>
      <c r="K88" s="28"/>
      <c r="L88" s="47"/>
    </row>
    <row r="89" spans="1:18" ht="15" customHeight="1" x14ac:dyDescent="0.25">
      <c r="A89" s="17" t="str">
        <f t="shared" si="4"/>
        <v>CUSTO PLATAFORMA - JUNHO/26 - TRADEMATE</v>
      </c>
      <c r="B89" s="18">
        <v>46174</v>
      </c>
      <c r="C89" s="17">
        <v>817394</v>
      </c>
      <c r="D89" s="17" t="s">
        <v>61</v>
      </c>
      <c r="E89" s="50">
        <v>-2489.8399266956649</v>
      </c>
      <c r="F89" s="32" t="s">
        <v>60</v>
      </c>
      <c r="G89" s="18">
        <v>46174</v>
      </c>
      <c r="H89" s="17">
        <v>1170</v>
      </c>
      <c r="J89" s="28"/>
      <c r="K89" s="28"/>
      <c r="L89" s="47"/>
    </row>
    <row r="90" spans="1:18" ht="15" customHeight="1" x14ac:dyDescent="0.25">
      <c r="A90" s="17" t="str">
        <f t="shared" si="4"/>
        <v>CUSTO PLATAFORMA - JUNHO/26 - TRADEMATE</v>
      </c>
      <c r="B90" s="18">
        <v>46174</v>
      </c>
      <c r="C90" s="17">
        <v>817394</v>
      </c>
      <c r="D90" s="17" t="s">
        <v>55</v>
      </c>
      <c r="E90" s="50">
        <v>-3158.7380769935744</v>
      </c>
      <c r="F90" s="32" t="s">
        <v>60</v>
      </c>
      <c r="G90" s="18">
        <v>46174</v>
      </c>
      <c r="H90" s="17">
        <v>1170</v>
      </c>
      <c r="J90" s="28"/>
      <c r="K90" s="28"/>
      <c r="L90" s="47"/>
    </row>
    <row r="91" spans="1:18" ht="15" customHeight="1" x14ac:dyDescent="0.25">
      <c r="A91" s="17" t="str">
        <f t="shared" si="4"/>
        <v>CUSTO PLATAFORMA - JUNHO/26 - TRADEMATE</v>
      </c>
      <c r="B91" s="18">
        <v>46174</v>
      </c>
      <c r="C91" s="17">
        <v>817394</v>
      </c>
      <c r="D91" s="17" t="s">
        <v>77</v>
      </c>
      <c r="E91" s="50">
        <v>-1467.1685760954601</v>
      </c>
      <c r="F91" s="32" t="s">
        <v>60</v>
      </c>
      <c r="G91" s="18">
        <v>46174</v>
      </c>
      <c r="H91" s="17">
        <v>1170</v>
      </c>
      <c r="J91" s="28"/>
      <c r="K91" s="28"/>
      <c r="L91" s="47"/>
    </row>
    <row r="92" spans="1:18" ht="15" customHeight="1" x14ac:dyDescent="0.25">
      <c r="A92" s="17" t="str">
        <f t="shared" si="4"/>
        <v>CUSTO PLATAFORMA - JUNHO/26 - TRADEMATE</v>
      </c>
      <c r="B92" s="18">
        <v>46174</v>
      </c>
      <c r="C92" s="17">
        <v>817394</v>
      </c>
      <c r="D92" s="17" t="s">
        <v>57</v>
      </c>
      <c r="E92" s="50">
        <v>-887.16685100044367</v>
      </c>
      <c r="F92" s="32" t="s">
        <v>60</v>
      </c>
      <c r="G92" s="18">
        <v>46174</v>
      </c>
      <c r="H92" s="17">
        <v>1170</v>
      </c>
      <c r="J92" s="28"/>
      <c r="K92" s="28"/>
      <c r="L92" s="47"/>
    </row>
    <row r="93" spans="1:18" s="36" customFormat="1" ht="15" customHeight="1" x14ac:dyDescent="0.25">
      <c r="A93" s="19" t="str">
        <f t="shared" ref="A93" si="5">_xlfn.CONCAT($L$1,$I$1,F93)</f>
        <v>CUSTO PLATAFORMA - JUNHO/26 - TRADEMATE</v>
      </c>
      <c r="B93" s="20">
        <v>46174</v>
      </c>
      <c r="C93" s="19">
        <v>817394</v>
      </c>
      <c r="D93" s="19" t="s">
        <v>56</v>
      </c>
      <c r="E93" s="49">
        <v>-19.368162374093519</v>
      </c>
      <c r="F93" s="34" t="s">
        <v>60</v>
      </c>
      <c r="G93" s="20">
        <v>46174</v>
      </c>
      <c r="H93" s="19">
        <v>1170</v>
      </c>
      <c r="J93" s="35"/>
      <c r="K93" s="35"/>
      <c r="L93" s="48"/>
    </row>
    <row r="94" spans="1:18" ht="15" customHeight="1" x14ac:dyDescent="0.25">
      <c r="A94" s="22" t="str">
        <f>_xlfn.CONCAT($L$1,$I$1,F94)</f>
        <v>CUSTO PLATAFORMA - JUNHO/26 - BLOOMBERG SINGAPURA</v>
      </c>
      <c r="B94" s="18">
        <v>46174</v>
      </c>
      <c r="C94" s="17">
        <v>817394</v>
      </c>
      <c r="D94" s="32" t="s">
        <v>43</v>
      </c>
      <c r="E94" s="50">
        <f>-N97</f>
        <v>-299.91585237451017</v>
      </c>
      <c r="F94" s="17" t="s">
        <v>37</v>
      </c>
      <c r="G94" s="18">
        <v>46174</v>
      </c>
      <c r="H94" s="17">
        <v>1170</v>
      </c>
      <c r="J94" s="28"/>
      <c r="K94" s="28"/>
      <c r="L94" s="17"/>
      <c r="N94" s="43"/>
      <c r="R94" s="41"/>
    </row>
    <row r="95" spans="1:18" ht="15" customHeight="1" x14ac:dyDescent="0.25">
      <c r="A95" s="22" t="str">
        <f>_xlfn.CONCAT($L$1,$I$1,F95)</f>
        <v>CUSTO PLATAFORMA - JUNHO/26 - BLOOMBERG SINGAPURA</v>
      </c>
      <c r="B95" s="18">
        <v>46174</v>
      </c>
      <c r="C95" s="17">
        <v>817394</v>
      </c>
      <c r="D95" s="17" t="s">
        <v>38</v>
      </c>
      <c r="E95" s="50">
        <f>-N98</f>
        <v>-109.00368466363297</v>
      </c>
      <c r="F95" s="17" t="s">
        <v>37</v>
      </c>
      <c r="G95" s="18">
        <v>46174</v>
      </c>
      <c r="H95" s="17">
        <v>1170</v>
      </c>
      <c r="J95" s="28"/>
      <c r="K95" s="28"/>
      <c r="L95" s="17"/>
      <c r="N95" t="s">
        <v>79</v>
      </c>
    </row>
    <row r="96" spans="1:18" ht="15" customHeight="1" x14ac:dyDescent="0.25">
      <c r="A96" s="22" t="str">
        <f>_xlfn.CONCAT($L$1,$I$1,F96)</f>
        <v>CUSTO PLATAFORMA - JUNHO/26 - BLOOMBERG SINGAPURA</v>
      </c>
      <c r="B96" s="18">
        <v>46174</v>
      </c>
      <c r="C96" s="17">
        <v>817394</v>
      </c>
      <c r="D96" s="17" t="s">
        <v>61</v>
      </c>
      <c r="E96" s="50">
        <f>-N99</f>
        <v>-7317.9364166347459</v>
      </c>
      <c r="F96" s="17" t="s">
        <v>37</v>
      </c>
      <c r="G96" s="18">
        <v>46174</v>
      </c>
      <c r="H96" s="17">
        <v>1170</v>
      </c>
      <c r="J96" s="28"/>
      <c r="K96" s="28"/>
      <c r="L96" s="17"/>
      <c r="N96" s="69">
        <v>7617.8522690092559</v>
      </c>
      <c r="O96" s="59">
        <v>1</v>
      </c>
      <c r="Q96" s="45">
        <f>Q97+Q99</f>
        <v>1467.61</v>
      </c>
      <c r="R96" s="59">
        <v>1</v>
      </c>
    </row>
    <row r="97" spans="1:18" ht="15" customHeight="1" x14ac:dyDescent="0.25">
      <c r="A97" s="22"/>
      <c r="B97" s="18"/>
      <c r="C97" s="17"/>
      <c r="D97" s="17"/>
      <c r="E97" s="54"/>
      <c r="F97" s="17"/>
      <c r="G97" s="18"/>
      <c r="H97" s="17"/>
      <c r="J97" s="28"/>
      <c r="K97" s="28"/>
      <c r="L97" s="17"/>
      <c r="M97" t="s">
        <v>70</v>
      </c>
      <c r="N97" s="58">
        <f>N96*O97</f>
        <v>299.91585237451017</v>
      </c>
      <c r="O97" s="55">
        <f>R97</f>
        <v>3.9370132392120526E-2</v>
      </c>
      <c r="Q97" s="45">
        <v>57.78</v>
      </c>
      <c r="R97" s="56">
        <f>Q97*$R$96/$Q$96</f>
        <v>3.9370132392120526E-2</v>
      </c>
    </row>
    <row r="98" spans="1:18" ht="15" customHeight="1" x14ac:dyDescent="0.25">
      <c r="A98" s="22"/>
      <c r="B98" s="18"/>
      <c r="C98" s="17"/>
      <c r="D98" s="17"/>
      <c r="E98" s="54"/>
      <c r="F98" s="17"/>
      <c r="G98" s="18"/>
      <c r="H98" s="17"/>
      <c r="J98" s="28"/>
      <c r="K98" s="28"/>
      <c r="L98" s="17"/>
      <c r="M98" t="s">
        <v>71</v>
      </c>
      <c r="N98" s="58">
        <f>N96*O98</f>
        <v>109.00368466363297</v>
      </c>
      <c r="O98" s="55">
        <f>R98</f>
        <v>1.4308978543345984E-2</v>
      </c>
      <c r="Q98" s="45">
        <v>21</v>
      </c>
      <c r="R98" s="56">
        <f>Q98*$R$96/$Q$96</f>
        <v>1.4308978543345984E-2</v>
      </c>
    </row>
    <row r="99" spans="1:18" ht="15" customHeight="1" x14ac:dyDescent="0.25">
      <c r="A99" s="25"/>
      <c r="B99" s="6"/>
      <c r="C99" s="1"/>
      <c r="D99" s="1"/>
      <c r="E99" s="2"/>
      <c r="F99" s="44"/>
      <c r="G99" s="6"/>
      <c r="H99" s="1"/>
      <c r="M99" t="s">
        <v>69</v>
      </c>
      <c r="N99" s="58">
        <f>N96*O99</f>
        <v>7317.9364166347459</v>
      </c>
      <c r="O99" s="55">
        <f>R99</f>
        <v>0.9606298676078795</v>
      </c>
      <c r="P99" s="43"/>
      <c r="Q99" s="45">
        <v>1409.83</v>
      </c>
      <c r="R99" s="56">
        <f>Q99*$R$96/$Q$96</f>
        <v>0.9606298676078795</v>
      </c>
    </row>
    <row r="100" spans="1:18" ht="15" customHeight="1" x14ac:dyDescent="0.25">
      <c r="A100" s="25"/>
      <c r="B100" s="6"/>
      <c r="C100" s="1"/>
      <c r="D100" s="1"/>
      <c r="E100" s="2"/>
      <c r="F100" s="1"/>
      <c r="G100" s="6"/>
      <c r="H100" s="1"/>
      <c r="M100" t="s">
        <v>46</v>
      </c>
      <c r="R100" t="s">
        <v>45</v>
      </c>
    </row>
    <row r="101" spans="1:18" ht="15" customHeight="1" x14ac:dyDescent="0.25">
      <c r="A101" s="25"/>
      <c r="B101" s="6"/>
      <c r="C101" s="1"/>
      <c r="D101" s="1"/>
      <c r="E101" s="2"/>
      <c r="F101" s="1"/>
      <c r="G101" s="6"/>
      <c r="H101" s="1"/>
    </row>
    <row r="102" spans="1:18" ht="15" customHeight="1" x14ac:dyDescent="0.25">
      <c r="A102" s="25"/>
      <c r="B102" s="6"/>
      <c r="C102" s="1"/>
      <c r="D102" s="1"/>
      <c r="E102" s="2"/>
      <c r="F102" s="1"/>
      <c r="G102" s="6"/>
      <c r="H102" s="1"/>
    </row>
    <row r="103" spans="1:18" ht="15" customHeight="1" x14ac:dyDescent="0.25">
      <c r="A103" s="25"/>
      <c r="B103" s="6"/>
      <c r="C103" s="1"/>
      <c r="D103" s="1"/>
      <c r="E103" s="2"/>
      <c r="F103" s="1"/>
      <c r="G103" s="6"/>
      <c r="H103" s="1"/>
    </row>
    <row r="104" spans="1:18" ht="15" customHeight="1" x14ac:dyDescent="0.25">
      <c r="A104" s="25"/>
      <c r="B104" s="6"/>
      <c r="C104" s="1"/>
      <c r="D104" s="1"/>
      <c r="E104" s="2"/>
      <c r="F104" s="1"/>
      <c r="G104" s="6"/>
      <c r="H104" s="1"/>
    </row>
    <row r="105" spans="1:18" ht="15" customHeight="1" x14ac:dyDescent="0.25">
      <c r="A105" s="25"/>
      <c r="B105" s="6"/>
      <c r="C105" s="1"/>
      <c r="D105" s="1"/>
      <c r="E105" s="2"/>
      <c r="F105" s="1"/>
      <c r="G105" s="6"/>
      <c r="H105" s="1"/>
    </row>
    <row r="106" spans="1:18" ht="15" customHeight="1" x14ac:dyDescent="0.25">
      <c r="A106" s="25"/>
      <c r="B106" s="6"/>
      <c r="C106" s="1"/>
      <c r="D106" s="1"/>
      <c r="E106" s="2"/>
      <c r="F106" s="1"/>
      <c r="G106" s="6"/>
      <c r="H106" s="1"/>
    </row>
    <row r="107" spans="1:18" ht="15" customHeight="1" x14ac:dyDescent="0.25">
      <c r="A107" s="25"/>
      <c r="B107" s="6"/>
      <c r="C107" s="1"/>
      <c r="D107" s="1"/>
      <c r="E107" s="2"/>
      <c r="F107" s="1"/>
      <c r="G107" s="6"/>
      <c r="H107" s="1"/>
    </row>
    <row r="108" spans="1:18" ht="15" customHeight="1" x14ac:dyDescent="0.25">
      <c r="A108" s="25"/>
      <c r="B108" s="6"/>
      <c r="C108" s="1"/>
      <c r="D108" s="1"/>
      <c r="E108" s="2"/>
      <c r="F108" s="1"/>
      <c r="G108" s="6"/>
      <c r="H108" s="1"/>
    </row>
    <row r="109" spans="1:18" ht="15" customHeight="1" x14ac:dyDescent="0.25">
      <c r="A109" s="25"/>
      <c r="B109" s="6"/>
      <c r="C109" s="1"/>
      <c r="D109" s="1"/>
      <c r="E109" s="2"/>
      <c r="F109" s="1"/>
      <c r="G109" s="6"/>
      <c r="H109" s="1"/>
    </row>
    <row r="110" spans="1:18" ht="15" customHeight="1" x14ac:dyDescent="0.25">
      <c r="A110" s="25"/>
      <c r="B110" s="6"/>
      <c r="C110" s="1"/>
      <c r="D110" s="1"/>
      <c r="E110" s="2"/>
      <c r="F110" s="1"/>
      <c r="G110" s="6"/>
      <c r="H110" s="1"/>
    </row>
    <row r="111" spans="1:18" ht="15" customHeight="1" x14ac:dyDescent="0.25">
      <c r="A111" s="25"/>
      <c r="B111" s="6"/>
      <c r="C111" s="1"/>
      <c r="D111" s="1"/>
      <c r="E111" s="2"/>
      <c r="F111" s="1"/>
      <c r="G111" s="6"/>
      <c r="H111" s="1"/>
    </row>
    <row r="112" spans="1:18" ht="15" customHeight="1" x14ac:dyDescent="0.25">
      <c r="A112" s="25"/>
      <c r="B112" s="6"/>
      <c r="C112" s="1"/>
      <c r="D112" s="1"/>
      <c r="E112" s="2"/>
      <c r="F112" s="1"/>
      <c r="G112" s="6"/>
      <c r="H112" s="1"/>
    </row>
    <row r="113" spans="1:8" ht="15" customHeight="1" x14ac:dyDescent="0.25">
      <c r="A113" s="25"/>
      <c r="B113" s="6"/>
      <c r="C113" s="1"/>
      <c r="D113" s="1"/>
      <c r="E113" s="2"/>
      <c r="F113" s="1"/>
      <c r="G113" s="6"/>
      <c r="H113" s="1"/>
    </row>
    <row r="114" spans="1:8" ht="15" customHeight="1" x14ac:dyDescent="0.25">
      <c r="A114" s="25"/>
      <c r="B114" s="6"/>
      <c r="C114" s="1"/>
      <c r="D114" s="1"/>
      <c r="E114" s="2"/>
      <c r="F114" s="1"/>
      <c r="G114" s="6"/>
      <c r="H114" s="1"/>
    </row>
    <row r="115" spans="1:8" ht="15" customHeight="1" x14ac:dyDescent="0.25">
      <c r="A115" s="25"/>
      <c r="B115" s="6"/>
      <c r="C115" s="1"/>
      <c r="D115" s="1"/>
      <c r="E115" s="2"/>
      <c r="F115" s="1"/>
      <c r="G115" s="6"/>
      <c r="H115" s="1"/>
    </row>
    <row r="116" spans="1:8" ht="15" customHeight="1" x14ac:dyDescent="0.25">
      <c r="A116" s="25"/>
      <c r="B116" s="6"/>
      <c r="C116" s="1"/>
      <c r="D116" s="1"/>
      <c r="E116" s="2"/>
      <c r="F116" s="1"/>
      <c r="G116" s="6"/>
      <c r="H116" s="1"/>
    </row>
    <row r="117" spans="1:8" ht="15" customHeight="1" x14ac:dyDescent="0.25">
      <c r="A117" s="25"/>
      <c r="B117" s="6"/>
      <c r="C117" s="1"/>
      <c r="D117" s="1"/>
      <c r="E117" s="2"/>
      <c r="F117" s="1"/>
      <c r="G117" s="6"/>
      <c r="H117" s="1"/>
    </row>
    <row r="118" spans="1:8" ht="15" customHeight="1" x14ac:dyDescent="0.25">
      <c r="A118" s="25"/>
      <c r="B118" s="6"/>
      <c r="C118" s="1"/>
      <c r="D118" s="1"/>
      <c r="E118" s="2"/>
      <c r="F118" s="1"/>
      <c r="G118" s="6"/>
      <c r="H118" s="1"/>
    </row>
    <row r="119" spans="1:8" ht="15" customHeight="1" x14ac:dyDescent="0.25">
      <c r="A119" s="25"/>
      <c r="B119" s="6"/>
      <c r="C119" s="1"/>
      <c r="D119" s="1"/>
      <c r="E119" s="2"/>
      <c r="F119" s="1"/>
      <c r="G119" s="6"/>
      <c r="H119" s="1"/>
    </row>
    <row r="120" spans="1:8" ht="15" customHeight="1" x14ac:dyDescent="0.25">
      <c r="A120" s="25"/>
      <c r="B120" s="6"/>
      <c r="C120" s="1"/>
      <c r="D120" s="1"/>
      <c r="E120" s="2"/>
      <c r="F120" s="1"/>
      <c r="G120" s="6"/>
      <c r="H120" s="1"/>
    </row>
    <row r="121" spans="1:8" ht="15" customHeight="1" x14ac:dyDescent="0.25">
      <c r="A121" s="25"/>
      <c r="B121" s="6"/>
      <c r="C121" s="1"/>
      <c r="D121" s="1"/>
      <c r="E121" s="2"/>
      <c r="F121" s="1"/>
      <c r="G121" s="6"/>
      <c r="H121" s="1"/>
    </row>
    <row r="122" spans="1:8" ht="15" customHeight="1" x14ac:dyDescent="0.25">
      <c r="A122" s="25"/>
      <c r="B122" s="6"/>
      <c r="C122" s="1"/>
      <c r="D122" s="1"/>
      <c r="E122" s="2"/>
      <c r="F122" s="1"/>
      <c r="G122" s="6"/>
      <c r="H122" s="1"/>
    </row>
    <row r="123" spans="1:8" ht="15" customHeight="1" x14ac:dyDescent="0.25">
      <c r="A123" s="25"/>
      <c r="B123" s="6"/>
      <c r="C123" s="1"/>
      <c r="D123" s="1"/>
      <c r="E123" s="2"/>
      <c r="F123" s="1"/>
      <c r="G123" s="6"/>
      <c r="H123" s="1"/>
    </row>
    <row r="124" spans="1:8" ht="15" customHeight="1" x14ac:dyDescent="0.25">
      <c r="A124" s="25"/>
      <c r="B124" s="6"/>
      <c r="C124" s="1"/>
      <c r="D124" s="1"/>
      <c r="E124" s="2"/>
      <c r="F124" s="1"/>
      <c r="G124" s="6"/>
      <c r="H124" s="1"/>
    </row>
    <row r="125" spans="1:8" ht="15" customHeight="1" x14ac:dyDescent="0.25">
      <c r="A125" s="25"/>
      <c r="B125" s="6"/>
      <c r="C125" s="1"/>
      <c r="D125" s="1"/>
      <c r="E125" s="2"/>
      <c r="F125" s="1"/>
      <c r="G125" s="6"/>
      <c r="H125" s="1"/>
    </row>
    <row r="126" spans="1:8" ht="15" customHeight="1" x14ac:dyDescent="0.25">
      <c r="A126" s="25"/>
      <c r="B126" s="6"/>
      <c r="C126" s="1"/>
      <c r="D126" s="1"/>
      <c r="E126" s="2"/>
      <c r="F126" s="1"/>
      <c r="G126" s="6"/>
      <c r="H126" s="1"/>
    </row>
    <row r="127" spans="1:8" ht="15" customHeight="1" x14ac:dyDescent="0.25">
      <c r="A127" s="25"/>
      <c r="B127" s="6"/>
      <c r="C127" s="1"/>
      <c r="D127" s="1"/>
      <c r="E127" s="2"/>
      <c r="F127" s="1"/>
      <c r="G127" s="6"/>
      <c r="H127" s="1"/>
    </row>
    <row r="128" spans="1:8" ht="15" customHeight="1" x14ac:dyDescent="0.25">
      <c r="A128" s="25"/>
      <c r="B128" s="6"/>
      <c r="C128" s="1"/>
      <c r="D128" s="1"/>
      <c r="E128" s="2"/>
      <c r="F128" s="1"/>
      <c r="G128" s="6"/>
      <c r="H128" s="1"/>
    </row>
    <row r="129" spans="1:8" ht="15" customHeight="1" x14ac:dyDescent="0.25">
      <c r="A129" s="25"/>
      <c r="B129" s="6"/>
      <c r="C129" s="1"/>
      <c r="D129" s="1"/>
      <c r="E129" s="2"/>
      <c r="F129" s="1"/>
      <c r="G129" s="6"/>
      <c r="H129" s="1"/>
    </row>
    <row r="130" spans="1:8" ht="15" customHeight="1" x14ac:dyDescent="0.25">
      <c r="A130" s="25"/>
      <c r="B130" s="6"/>
      <c r="C130" s="1"/>
      <c r="D130" s="1"/>
      <c r="E130" s="2"/>
      <c r="F130" s="1"/>
      <c r="G130" s="6"/>
      <c r="H130" s="1"/>
    </row>
    <row r="131" spans="1:8" ht="15" customHeight="1" x14ac:dyDescent="0.25">
      <c r="A131" s="25"/>
      <c r="B131" s="6"/>
      <c r="C131" s="1"/>
      <c r="D131" s="1"/>
      <c r="E131" s="2"/>
      <c r="F131" s="1"/>
      <c r="G131" s="6"/>
      <c r="H131" s="1"/>
    </row>
    <row r="132" spans="1:8" ht="15" customHeight="1" x14ac:dyDescent="0.25">
      <c r="A132" s="25"/>
      <c r="B132" s="6"/>
      <c r="C132" s="1"/>
      <c r="D132" s="1"/>
      <c r="E132" s="2"/>
      <c r="F132" s="1"/>
      <c r="G132" s="6"/>
      <c r="H132" s="1"/>
    </row>
    <row r="133" spans="1:8" ht="15" customHeight="1" x14ac:dyDescent="0.25">
      <c r="A133" s="25"/>
      <c r="B133" s="6"/>
      <c r="C133" s="1"/>
      <c r="D133" s="1"/>
      <c r="E133" s="2"/>
      <c r="F133" s="1"/>
      <c r="G133" s="6"/>
      <c r="H133" s="1"/>
    </row>
    <row r="134" spans="1:8" ht="15" customHeight="1" x14ac:dyDescent="0.25">
      <c r="A134" s="25"/>
      <c r="B134" s="6"/>
      <c r="C134" s="1"/>
      <c r="D134" s="1"/>
      <c r="E134" s="2"/>
      <c r="F134" s="1"/>
      <c r="G134" s="6"/>
      <c r="H134" s="1"/>
    </row>
    <row r="135" spans="1:8" ht="15" customHeight="1" x14ac:dyDescent="0.25">
      <c r="A135" s="25"/>
      <c r="B135" s="6"/>
      <c r="C135" s="1"/>
      <c r="D135" s="1"/>
      <c r="E135" s="2"/>
      <c r="F135" s="1"/>
      <c r="G135" s="6"/>
      <c r="H135" s="1"/>
    </row>
    <row r="136" spans="1:8" ht="15" customHeight="1" x14ac:dyDescent="0.25">
      <c r="A136" s="25"/>
      <c r="B136" s="6"/>
      <c r="C136" s="1"/>
      <c r="D136" s="1"/>
      <c r="E136" s="2"/>
      <c r="F136" s="1"/>
      <c r="G136" s="6"/>
      <c r="H136" s="1"/>
    </row>
    <row r="137" spans="1:8" ht="15" customHeight="1" x14ac:dyDescent="0.25">
      <c r="A137" s="25"/>
      <c r="B137" s="6"/>
      <c r="C137" s="1"/>
      <c r="D137" s="1"/>
      <c r="E137" s="2"/>
      <c r="F137" s="1"/>
      <c r="G137" s="6"/>
      <c r="H137" s="1"/>
    </row>
    <row r="138" spans="1:8" ht="15" customHeight="1" x14ac:dyDescent="0.25">
      <c r="A138" s="25"/>
      <c r="B138" s="6"/>
      <c r="C138" s="1"/>
      <c r="D138" s="1"/>
      <c r="E138" s="2"/>
      <c r="F138" s="1"/>
      <c r="G138" s="6"/>
      <c r="H138" s="1"/>
    </row>
    <row r="139" spans="1:8" ht="15" customHeight="1" x14ac:dyDescent="0.25">
      <c r="A139" s="25"/>
      <c r="B139" s="6"/>
      <c r="C139" s="1"/>
      <c r="D139" s="1"/>
      <c r="E139" s="2"/>
      <c r="F139" s="1"/>
      <c r="G139" s="6"/>
      <c r="H139" s="1"/>
    </row>
    <row r="140" spans="1:8" ht="15" customHeight="1" x14ac:dyDescent="0.25">
      <c r="A140" s="25"/>
      <c r="B140" s="6"/>
      <c r="C140" s="1"/>
      <c r="D140" s="1"/>
      <c r="E140" s="2"/>
      <c r="F140" s="1"/>
      <c r="G140" s="6"/>
      <c r="H140" s="1"/>
    </row>
    <row r="141" spans="1:8" ht="15" customHeight="1" x14ac:dyDescent="0.25">
      <c r="A141" s="25"/>
      <c r="B141" s="6"/>
      <c r="C141" s="1"/>
      <c r="D141" s="1"/>
      <c r="E141" s="2"/>
      <c r="F141" s="1"/>
      <c r="G141" s="6"/>
      <c r="H141" s="1"/>
    </row>
    <row r="142" spans="1:8" ht="15" customHeight="1" x14ac:dyDescent="0.25">
      <c r="A142" s="25"/>
      <c r="B142" s="6"/>
      <c r="C142" s="1"/>
      <c r="D142" s="1"/>
      <c r="E142" s="2"/>
      <c r="F142" s="1"/>
      <c r="G142" s="6"/>
      <c r="H142" s="1"/>
    </row>
    <row r="143" spans="1:8" ht="15" customHeight="1" x14ac:dyDescent="0.25">
      <c r="A143" s="25"/>
      <c r="B143" s="6"/>
      <c r="C143" s="1"/>
      <c r="D143" s="1"/>
      <c r="E143" s="2"/>
      <c r="F143" s="1"/>
      <c r="G143" s="6"/>
      <c r="H143" s="1"/>
    </row>
    <row r="144" spans="1:8" ht="15" customHeight="1" x14ac:dyDescent="0.25">
      <c r="A144" s="25"/>
      <c r="B144" s="6"/>
      <c r="C144" s="1"/>
      <c r="D144" s="1"/>
      <c r="E144" s="2"/>
      <c r="F144" s="1"/>
      <c r="G144" s="6"/>
      <c r="H144" s="1"/>
    </row>
    <row r="145" spans="1:8" ht="15" customHeight="1" x14ac:dyDescent="0.25">
      <c r="A145" s="25"/>
      <c r="B145" s="6"/>
      <c r="C145" s="1"/>
      <c r="D145" s="1"/>
      <c r="E145" s="2"/>
      <c r="F145" s="1"/>
      <c r="G145" s="6"/>
      <c r="H145" s="1"/>
    </row>
    <row r="146" spans="1:8" ht="15" customHeight="1" x14ac:dyDescent="0.25">
      <c r="A146" s="25"/>
      <c r="B146" s="6"/>
      <c r="C146" s="1"/>
      <c r="D146" s="1"/>
      <c r="E146" s="2"/>
      <c r="F146" s="1"/>
      <c r="G146" s="6"/>
      <c r="H146" s="1"/>
    </row>
    <row r="147" spans="1:8" ht="15" customHeight="1" x14ac:dyDescent="0.25">
      <c r="A147" s="25"/>
      <c r="B147" s="6"/>
      <c r="C147" s="1"/>
      <c r="D147" s="1"/>
      <c r="E147" s="2"/>
      <c r="F147" s="1"/>
      <c r="G147" s="6"/>
      <c r="H147" s="1"/>
    </row>
    <row r="148" spans="1:8" ht="15" customHeight="1" x14ac:dyDescent="0.25">
      <c r="A148" s="25"/>
      <c r="B148" s="6"/>
      <c r="C148" s="1"/>
      <c r="D148" s="1"/>
      <c r="E148" s="2"/>
      <c r="F148" s="1"/>
      <c r="G148" s="6"/>
      <c r="H148" s="1"/>
    </row>
    <row r="149" spans="1:8" ht="15" customHeight="1" x14ac:dyDescent="0.25">
      <c r="A149" s="25"/>
      <c r="B149" s="6"/>
      <c r="C149" s="1"/>
      <c r="D149" s="1"/>
      <c r="E149" s="2"/>
      <c r="F149" s="1"/>
      <c r="G149" s="6"/>
      <c r="H149" s="1"/>
    </row>
    <row r="150" spans="1:8" ht="15" customHeight="1" x14ac:dyDescent="0.25">
      <c r="A150" s="25"/>
      <c r="B150" s="6"/>
      <c r="C150" s="1"/>
      <c r="D150" s="1"/>
      <c r="E150" s="2"/>
      <c r="F150" s="1"/>
      <c r="G150" s="6"/>
      <c r="H150" s="1"/>
    </row>
    <row r="151" spans="1:8" ht="15" customHeight="1" x14ac:dyDescent="0.25">
      <c r="A151" s="25"/>
      <c r="B151" s="6"/>
      <c r="C151" s="1"/>
      <c r="D151" s="1"/>
      <c r="E151" s="2"/>
      <c r="F151" s="1"/>
      <c r="G151" s="6"/>
      <c r="H151" s="1"/>
    </row>
    <row r="152" spans="1:8" ht="15" customHeight="1" x14ac:dyDescent="0.25">
      <c r="A152" s="25"/>
      <c r="B152" s="6"/>
      <c r="C152" s="1"/>
      <c r="D152" s="1"/>
      <c r="E152" s="2"/>
      <c r="F152" s="1"/>
      <c r="G152" s="6"/>
      <c r="H152" s="1"/>
    </row>
    <row r="153" spans="1:8" ht="15" customHeight="1" x14ac:dyDescent="0.25">
      <c r="A153" s="25"/>
      <c r="B153" s="6"/>
      <c r="C153" s="1"/>
      <c r="D153" s="1"/>
      <c r="E153" s="2"/>
      <c r="F153" s="1"/>
      <c r="G153" s="6"/>
      <c r="H153" s="1"/>
    </row>
    <row r="154" spans="1:8" ht="15" customHeight="1" x14ac:dyDescent="0.25">
      <c r="A154" s="25"/>
      <c r="B154" s="6"/>
      <c r="C154" s="1"/>
      <c r="D154" s="1"/>
      <c r="E154" s="2"/>
      <c r="F154" s="1"/>
      <c r="G154" s="6"/>
      <c r="H154" s="1"/>
    </row>
    <row r="155" spans="1:8" ht="15" customHeight="1" x14ac:dyDescent="0.25">
      <c r="A155" s="25"/>
      <c r="B155" s="6"/>
      <c r="C155" s="1"/>
      <c r="D155" s="1"/>
      <c r="E155" s="2"/>
      <c r="F155" s="1"/>
      <c r="G155" s="6"/>
      <c r="H155" s="1"/>
    </row>
    <row r="156" spans="1:8" ht="15" customHeight="1" x14ac:dyDescent="0.25">
      <c r="A156" s="25"/>
      <c r="B156" s="6"/>
      <c r="C156" s="1"/>
      <c r="D156" s="1"/>
      <c r="E156" s="2"/>
      <c r="F156" s="1"/>
      <c r="G156" s="6"/>
      <c r="H156" s="1"/>
    </row>
    <row r="157" spans="1:8" ht="15" customHeight="1" x14ac:dyDescent="0.25">
      <c r="A157" s="25"/>
      <c r="B157" s="6"/>
      <c r="C157" s="1"/>
      <c r="D157" s="1"/>
      <c r="E157" s="2"/>
      <c r="F157" s="1"/>
      <c r="G157" s="6"/>
      <c r="H157" s="1"/>
    </row>
    <row r="158" spans="1:8" ht="15" customHeight="1" x14ac:dyDescent="0.25">
      <c r="A158" s="25"/>
      <c r="B158" s="6"/>
      <c r="C158" s="1"/>
      <c r="D158" s="1"/>
      <c r="E158" s="2"/>
      <c r="F158" s="1"/>
      <c r="G158" s="6"/>
      <c r="H158" s="1"/>
    </row>
    <row r="159" spans="1:8" ht="15" customHeight="1" x14ac:dyDescent="0.25">
      <c r="A159" s="25"/>
      <c r="B159" s="6"/>
      <c r="C159" s="1"/>
      <c r="D159" s="1"/>
      <c r="E159" s="2"/>
      <c r="F159" s="1"/>
      <c r="G159" s="6"/>
      <c r="H159" s="1"/>
    </row>
    <row r="160" spans="1:8" ht="15" customHeight="1" x14ac:dyDescent="0.25">
      <c r="A160" s="25"/>
      <c r="B160" s="6"/>
      <c r="C160" s="1"/>
      <c r="D160" s="1"/>
      <c r="E160" s="2"/>
      <c r="F160" s="1"/>
      <c r="G160" s="6"/>
      <c r="H160" s="1"/>
    </row>
    <row r="161" spans="1:8" ht="15" customHeight="1" x14ac:dyDescent="0.25">
      <c r="A161" s="25"/>
      <c r="B161" s="6"/>
      <c r="C161" s="1"/>
      <c r="D161" s="1"/>
      <c r="E161" s="2"/>
      <c r="F161" s="1"/>
      <c r="G161" s="6"/>
      <c r="H161" s="1"/>
    </row>
    <row r="162" spans="1:8" ht="15" customHeight="1" x14ac:dyDescent="0.25">
      <c r="A162" s="25"/>
      <c r="B162" s="6"/>
      <c r="C162" s="1"/>
      <c r="D162" s="1"/>
      <c r="E162" s="2"/>
      <c r="F162" s="1"/>
      <c r="G162" s="6"/>
      <c r="H162" s="1"/>
    </row>
    <row r="163" spans="1:8" ht="15" customHeight="1" x14ac:dyDescent="0.25">
      <c r="A163" s="25"/>
      <c r="B163" s="6"/>
      <c r="C163" s="1"/>
      <c r="D163" s="1"/>
      <c r="E163" s="2"/>
      <c r="F163" s="1"/>
      <c r="G163" s="6"/>
      <c r="H163" s="1"/>
    </row>
    <row r="164" spans="1:8" ht="15" customHeight="1" x14ac:dyDescent="0.25">
      <c r="A164" s="25"/>
      <c r="B164" s="6"/>
      <c r="C164" s="1"/>
      <c r="D164" s="1"/>
      <c r="E164" s="2"/>
      <c r="F164" s="1"/>
      <c r="G164" s="6"/>
      <c r="H164" s="1"/>
    </row>
    <row r="165" spans="1:8" ht="15" customHeight="1" x14ac:dyDescent="0.25">
      <c r="A165" s="25"/>
      <c r="B165" s="6"/>
      <c r="C165" s="1"/>
      <c r="D165" s="1"/>
      <c r="E165" s="2"/>
      <c r="F165" s="1"/>
      <c r="G165" s="6"/>
      <c r="H165" s="1"/>
    </row>
    <row r="166" spans="1:8" ht="15" customHeight="1" x14ac:dyDescent="0.25">
      <c r="A166" s="25"/>
      <c r="B166" s="6"/>
      <c r="C166" s="1"/>
      <c r="D166" s="1"/>
      <c r="E166" s="2"/>
      <c r="F166" s="1"/>
      <c r="G166" s="6"/>
      <c r="H166" s="1"/>
    </row>
    <row r="167" spans="1:8" ht="15" customHeight="1" x14ac:dyDescent="0.25">
      <c r="A167" s="25"/>
      <c r="B167" s="6"/>
      <c r="C167" s="1"/>
      <c r="D167" s="1"/>
      <c r="E167" s="2"/>
      <c r="F167" s="1"/>
      <c r="G167" s="6"/>
      <c r="H167" s="1"/>
    </row>
    <row r="168" spans="1:8" ht="15" customHeight="1" x14ac:dyDescent="0.25">
      <c r="A168" s="25"/>
      <c r="B168" s="6"/>
      <c r="C168" s="1"/>
      <c r="D168" s="1"/>
      <c r="E168" s="2"/>
      <c r="F168" s="1"/>
      <c r="G168" s="6"/>
      <c r="H168" s="1"/>
    </row>
    <row r="169" spans="1:8" ht="15" customHeight="1" x14ac:dyDescent="0.25">
      <c r="A169" s="25"/>
      <c r="B169" s="6"/>
      <c r="C169" s="1"/>
      <c r="D169" s="1"/>
      <c r="E169" s="2"/>
      <c r="F169" s="1"/>
      <c r="G169" s="6"/>
      <c r="H169" s="1"/>
    </row>
    <row r="170" spans="1:8" ht="15" customHeight="1" x14ac:dyDescent="0.25">
      <c r="A170" s="25"/>
      <c r="B170" s="6"/>
      <c r="C170" s="1"/>
      <c r="D170" s="1"/>
      <c r="E170" s="2"/>
      <c r="F170" s="1"/>
      <c r="G170" s="6"/>
      <c r="H170" s="1"/>
    </row>
    <row r="171" spans="1:8" ht="15" customHeight="1" x14ac:dyDescent="0.25">
      <c r="A171" s="25"/>
      <c r="B171" s="6"/>
      <c r="C171" s="1"/>
      <c r="D171" s="1"/>
      <c r="E171" s="2"/>
      <c r="F171" s="1"/>
      <c r="G171" s="6"/>
      <c r="H171" s="1"/>
    </row>
    <row r="172" spans="1:8" ht="15" customHeight="1" x14ac:dyDescent="0.25">
      <c r="A172" s="25"/>
      <c r="B172" s="6"/>
      <c r="C172" s="1"/>
      <c r="D172" s="1"/>
      <c r="E172" s="2"/>
      <c r="F172" s="1"/>
      <c r="G172" s="6"/>
      <c r="H172" s="1"/>
    </row>
    <row r="173" spans="1:8" ht="15" customHeight="1" x14ac:dyDescent="0.25">
      <c r="A173" s="25"/>
      <c r="B173" s="6"/>
      <c r="C173" s="1"/>
      <c r="D173" s="1"/>
      <c r="E173" s="2"/>
      <c r="F173" s="1"/>
      <c r="G173" s="6"/>
      <c r="H173" s="1"/>
    </row>
    <row r="174" spans="1:8" ht="15" customHeight="1" x14ac:dyDescent="0.25">
      <c r="A174" s="25"/>
      <c r="B174" s="6"/>
      <c r="C174" s="1"/>
      <c r="D174" s="1"/>
      <c r="E174" s="2"/>
      <c r="F174" s="1"/>
      <c r="G174" s="6"/>
      <c r="H174" s="1"/>
    </row>
    <row r="175" spans="1:8" ht="15" customHeight="1" x14ac:dyDescent="0.25">
      <c r="A175" s="25"/>
      <c r="B175" s="6"/>
      <c r="C175" s="1"/>
      <c r="D175" s="1"/>
      <c r="E175" s="2"/>
      <c r="F175" s="1"/>
      <c r="G175" s="6"/>
      <c r="H175" s="1"/>
    </row>
    <row r="176" spans="1:8" ht="15" customHeight="1" x14ac:dyDescent="0.25">
      <c r="A176" s="25"/>
      <c r="B176" s="6"/>
      <c r="C176" s="1"/>
      <c r="D176" s="1"/>
      <c r="E176" s="2"/>
      <c r="F176" s="1"/>
      <c r="G176" s="6"/>
      <c r="H176" s="1"/>
    </row>
    <row r="177" spans="1:8" ht="15" customHeight="1" x14ac:dyDescent="0.25">
      <c r="A177" s="25"/>
      <c r="B177" s="6"/>
      <c r="C177" s="1"/>
      <c r="D177" s="1"/>
      <c r="E177" s="2"/>
      <c r="F177" s="1"/>
      <c r="G177" s="6"/>
      <c r="H177" s="1"/>
    </row>
    <row r="178" spans="1:8" ht="15" customHeight="1" x14ac:dyDescent="0.25">
      <c r="A178" s="25"/>
      <c r="B178" s="6"/>
      <c r="C178" s="1"/>
      <c r="D178" s="1"/>
      <c r="E178" s="2"/>
      <c r="F178" s="1"/>
      <c r="G178" s="6"/>
      <c r="H178" s="1"/>
    </row>
    <row r="179" spans="1:8" ht="15" customHeight="1" x14ac:dyDescent="0.25">
      <c r="A179" s="25"/>
      <c r="B179" s="6"/>
      <c r="C179" s="1"/>
      <c r="D179" s="1"/>
      <c r="E179" s="2"/>
      <c r="F179" s="1"/>
      <c r="G179" s="6"/>
      <c r="H179" s="1"/>
    </row>
    <row r="180" spans="1:8" ht="15" customHeight="1" x14ac:dyDescent="0.25">
      <c r="A180" s="25"/>
      <c r="B180" s="6"/>
      <c r="C180" s="1"/>
      <c r="D180" s="1"/>
      <c r="E180" s="2"/>
      <c r="F180" s="1"/>
      <c r="G180" s="6"/>
      <c r="H180" s="1"/>
    </row>
    <row r="181" spans="1:8" ht="15" customHeight="1" x14ac:dyDescent="0.25">
      <c r="A181" s="25"/>
      <c r="B181" s="6"/>
      <c r="C181" s="1"/>
      <c r="D181" s="1"/>
      <c r="E181" s="2"/>
      <c r="F181" s="1"/>
      <c r="G181" s="6"/>
      <c r="H181" s="1"/>
    </row>
    <row r="182" spans="1:8" ht="15" customHeight="1" x14ac:dyDescent="0.25">
      <c r="A182" s="25"/>
      <c r="B182" s="6"/>
      <c r="C182" s="1"/>
      <c r="D182" s="1"/>
      <c r="E182" s="2"/>
      <c r="F182" s="1"/>
      <c r="G182" s="6"/>
      <c r="H182" s="1"/>
    </row>
    <row r="183" spans="1:8" ht="15" customHeight="1" x14ac:dyDescent="0.25">
      <c r="A183" s="25"/>
      <c r="B183" s="6"/>
      <c r="C183" s="1"/>
      <c r="D183" s="1"/>
      <c r="E183" s="2"/>
      <c r="F183" s="1"/>
      <c r="G183" s="6"/>
      <c r="H183" s="1"/>
    </row>
    <row r="184" spans="1:8" ht="15" customHeight="1" x14ac:dyDescent="0.25">
      <c r="A184" s="25"/>
      <c r="B184" s="6"/>
      <c r="C184" s="1"/>
      <c r="D184" s="1"/>
      <c r="E184" s="2"/>
      <c r="F184" s="1"/>
      <c r="G184" s="6"/>
      <c r="H184" s="1"/>
    </row>
    <row r="185" spans="1:8" ht="15" customHeight="1" x14ac:dyDescent="0.25">
      <c r="A185" s="25"/>
      <c r="B185" s="6"/>
      <c r="C185" s="1"/>
      <c r="D185" s="1"/>
      <c r="E185" s="2"/>
      <c r="F185" s="1"/>
      <c r="G185" s="6"/>
      <c r="H185" s="1"/>
    </row>
    <row r="186" spans="1:8" ht="15" customHeight="1" x14ac:dyDescent="0.25">
      <c r="A186" s="25"/>
      <c r="B186" s="6"/>
      <c r="C186" s="1"/>
      <c r="D186" s="1"/>
      <c r="E186" s="2"/>
      <c r="F186" s="1"/>
      <c r="G186" s="6"/>
      <c r="H186" s="1"/>
    </row>
    <row r="187" spans="1:8" ht="15" customHeight="1" x14ac:dyDescent="0.25">
      <c r="A187" s="25"/>
      <c r="B187" s="6"/>
      <c r="C187" s="1"/>
      <c r="D187" s="1"/>
      <c r="E187" s="2"/>
      <c r="F187" s="1"/>
      <c r="G187" s="6"/>
      <c r="H187" s="1"/>
    </row>
    <row r="188" spans="1:8" ht="15" customHeight="1" x14ac:dyDescent="0.25">
      <c r="A188" s="25"/>
      <c r="B188" s="6"/>
      <c r="C188" s="1"/>
      <c r="D188" s="1"/>
      <c r="E188" s="2"/>
      <c r="F188" s="1"/>
      <c r="G188" s="6"/>
      <c r="H188" s="1"/>
    </row>
    <row r="189" spans="1:8" ht="15" customHeight="1" x14ac:dyDescent="0.25">
      <c r="A189" s="25"/>
      <c r="B189" s="6"/>
      <c r="C189" s="1"/>
      <c r="D189" s="1"/>
      <c r="E189" s="2"/>
      <c r="F189" s="1"/>
      <c r="G189" s="6"/>
      <c r="H189" s="1"/>
    </row>
    <row r="190" spans="1:8" ht="15" customHeight="1" x14ac:dyDescent="0.25">
      <c r="A190" s="25"/>
      <c r="B190" s="6"/>
      <c r="C190" s="1"/>
      <c r="D190" s="1"/>
      <c r="E190" s="2"/>
      <c r="F190" s="1"/>
      <c r="G190" s="6"/>
      <c r="H190" s="1"/>
    </row>
    <row r="191" spans="1:8" ht="15" customHeight="1" x14ac:dyDescent="0.25">
      <c r="A191" s="25"/>
      <c r="B191" s="6"/>
      <c r="C191" s="1"/>
      <c r="D191" s="1"/>
      <c r="E191" s="2"/>
      <c r="F191" s="1"/>
      <c r="G191" s="6"/>
      <c r="H191" s="1"/>
    </row>
    <row r="192" spans="1:8" ht="15" customHeight="1" x14ac:dyDescent="0.25">
      <c r="A192" s="25"/>
      <c r="B192" s="6"/>
      <c r="C192" s="1"/>
      <c r="D192" s="1"/>
      <c r="E192" s="2"/>
      <c r="F192" s="1"/>
      <c r="G192" s="6"/>
      <c r="H192" s="1"/>
    </row>
    <row r="193" spans="1:8" ht="15" customHeight="1" x14ac:dyDescent="0.25">
      <c r="A193" s="25"/>
      <c r="B193" s="6"/>
      <c r="C193" s="1"/>
      <c r="D193" s="1"/>
      <c r="E193" s="2"/>
      <c r="F193" s="1"/>
      <c r="G193" s="6"/>
      <c r="H193" s="1"/>
    </row>
    <row r="194" spans="1:8" ht="15" customHeight="1" x14ac:dyDescent="0.25">
      <c r="A194" s="25"/>
      <c r="B194" s="6"/>
      <c r="C194" s="1"/>
      <c r="D194" s="1"/>
      <c r="E194" s="2"/>
      <c r="F194" s="1"/>
      <c r="G194" s="6"/>
      <c r="H194" s="1"/>
    </row>
    <row r="195" spans="1:8" ht="15" customHeight="1" x14ac:dyDescent="0.25">
      <c r="A195" s="25"/>
      <c r="B195" s="6"/>
      <c r="C195" s="1"/>
      <c r="D195" s="1"/>
      <c r="E195" s="2"/>
      <c r="F195" s="1"/>
      <c r="G195" s="6"/>
      <c r="H195" s="1"/>
    </row>
    <row r="196" spans="1:8" ht="15" customHeight="1" x14ac:dyDescent="0.25">
      <c r="A196" s="25"/>
      <c r="B196" s="6"/>
      <c r="C196" s="1"/>
      <c r="D196" s="1"/>
      <c r="E196" s="2"/>
      <c r="F196" s="1"/>
      <c r="G196" s="6"/>
      <c r="H196" s="1"/>
    </row>
    <row r="197" spans="1:8" ht="15" customHeight="1" x14ac:dyDescent="0.25">
      <c r="A197" s="25"/>
      <c r="B197" s="6"/>
      <c r="C197" s="1"/>
      <c r="D197" s="1"/>
      <c r="E197" s="2"/>
      <c r="F197" s="1"/>
      <c r="G197" s="6"/>
      <c r="H197" s="1"/>
    </row>
    <row r="198" spans="1:8" ht="15" customHeight="1" x14ac:dyDescent="0.25">
      <c r="A198" s="25"/>
      <c r="B198" s="6"/>
      <c r="C198" s="1"/>
      <c r="D198" s="1"/>
      <c r="E198" s="2"/>
      <c r="F198" s="1"/>
      <c r="G198" s="6"/>
      <c r="H198" s="1"/>
    </row>
    <row r="199" spans="1:8" ht="15" customHeight="1" x14ac:dyDescent="0.25">
      <c r="A199" s="25"/>
      <c r="B199" s="6"/>
      <c r="C199" s="1"/>
      <c r="D199" s="1"/>
      <c r="E199" s="2"/>
      <c r="F199" s="1"/>
      <c r="G199" s="6"/>
      <c r="H199" s="1"/>
    </row>
    <row r="200" spans="1:8" ht="15" customHeight="1" x14ac:dyDescent="0.25">
      <c r="A200" s="25"/>
      <c r="B200" s="6"/>
      <c r="C200" s="1"/>
      <c r="D200" s="1"/>
      <c r="E200" s="2"/>
      <c r="F200" s="1"/>
      <c r="G200" s="6"/>
      <c r="H200" s="1"/>
    </row>
    <row r="201" spans="1:8" ht="15" customHeight="1" x14ac:dyDescent="0.25">
      <c r="A201" s="25"/>
      <c r="B201" s="6"/>
      <c r="C201" s="1"/>
      <c r="D201" s="1"/>
      <c r="E201" s="2"/>
      <c r="F201" s="1"/>
      <c r="G201" s="6"/>
      <c r="H201" s="1"/>
    </row>
    <row r="202" spans="1:8" ht="15" customHeight="1" x14ac:dyDescent="0.25">
      <c r="A202" s="25"/>
      <c r="B202" s="6"/>
      <c r="C202" s="1"/>
      <c r="D202" s="1"/>
      <c r="E202" s="2"/>
      <c r="F202" s="1"/>
      <c r="G202" s="6"/>
      <c r="H202" s="1"/>
    </row>
    <row r="203" spans="1:8" ht="15" customHeight="1" x14ac:dyDescent="0.25">
      <c r="A203" s="25"/>
      <c r="B203" s="6"/>
      <c r="C203" s="1"/>
      <c r="D203" s="1"/>
      <c r="E203" s="2"/>
      <c r="F203" s="1"/>
      <c r="G203" s="6"/>
      <c r="H203" s="1"/>
    </row>
    <row r="204" spans="1:8" ht="15" customHeight="1" x14ac:dyDescent="0.25">
      <c r="A204" s="25"/>
      <c r="B204" s="6"/>
      <c r="C204" s="1"/>
      <c r="D204" s="1"/>
      <c r="E204" s="2"/>
      <c r="F204" s="1"/>
      <c r="G204" s="6"/>
      <c r="H204" s="1"/>
    </row>
    <row r="205" spans="1:8" ht="15" customHeight="1" x14ac:dyDescent="0.25">
      <c r="A205" s="25"/>
      <c r="B205" s="6"/>
      <c r="C205" s="1"/>
      <c r="D205" s="1"/>
      <c r="E205" s="2"/>
      <c r="F205" s="1"/>
      <c r="G205" s="6"/>
      <c r="H205" s="1"/>
    </row>
    <row r="206" spans="1:8" ht="15" customHeight="1" x14ac:dyDescent="0.25">
      <c r="A206" s="25"/>
      <c r="B206" s="6"/>
      <c r="C206" s="1"/>
      <c r="D206" s="1"/>
      <c r="E206" s="2"/>
      <c r="F206" s="1"/>
      <c r="G206" s="6"/>
      <c r="H206" s="1"/>
    </row>
    <row r="207" spans="1:8" ht="15" customHeight="1" x14ac:dyDescent="0.25">
      <c r="A207" s="25"/>
      <c r="B207" s="6"/>
      <c r="C207" s="1"/>
      <c r="D207" s="1"/>
      <c r="E207" s="2"/>
      <c r="F207" s="1"/>
      <c r="G207" s="6"/>
      <c r="H207" s="1"/>
    </row>
    <row r="208" spans="1:8" ht="15" customHeight="1" x14ac:dyDescent="0.25">
      <c r="A208" s="25"/>
      <c r="B208" s="6"/>
      <c r="C208" s="1"/>
      <c r="D208" s="1"/>
      <c r="E208" s="2"/>
      <c r="F208" s="1"/>
      <c r="G208" s="6"/>
      <c r="H208" s="1"/>
    </row>
    <row r="209" spans="1:8" ht="15" customHeight="1" x14ac:dyDescent="0.25">
      <c r="A209" s="25"/>
      <c r="B209" s="6"/>
      <c r="C209" s="1"/>
      <c r="D209" s="1"/>
      <c r="E209" s="2"/>
      <c r="F209" s="1"/>
      <c r="G209" s="6"/>
      <c r="H209" s="1"/>
    </row>
    <row r="210" spans="1:8" ht="15" customHeight="1" x14ac:dyDescent="0.25">
      <c r="A210" s="25"/>
      <c r="B210" s="6"/>
      <c r="C210" s="1"/>
      <c r="D210" s="1"/>
      <c r="E210" s="2"/>
      <c r="F210" s="1"/>
      <c r="G210" s="6"/>
      <c r="H210" s="1"/>
    </row>
    <row r="211" spans="1:8" ht="15" customHeight="1" x14ac:dyDescent="0.25">
      <c r="A211" s="25"/>
      <c r="B211" s="6"/>
      <c r="C211" s="1"/>
      <c r="D211" s="1"/>
      <c r="E211" s="2"/>
      <c r="F211" s="1"/>
      <c r="G211" s="6"/>
      <c r="H211" s="1"/>
    </row>
    <row r="212" spans="1:8" ht="15" customHeight="1" x14ac:dyDescent="0.25">
      <c r="A212" s="25"/>
      <c r="B212" s="6"/>
      <c r="C212" s="1"/>
      <c r="D212" s="1"/>
      <c r="E212" s="2"/>
      <c r="F212" s="1"/>
      <c r="G212" s="6"/>
      <c r="H212" s="1"/>
    </row>
    <row r="213" spans="1:8" ht="15" customHeight="1" x14ac:dyDescent="0.25">
      <c r="A213" s="25"/>
      <c r="B213" s="6"/>
      <c r="C213" s="1"/>
      <c r="D213" s="1"/>
      <c r="E213" s="2"/>
      <c r="F213" s="1"/>
      <c r="G213" s="6"/>
      <c r="H213" s="1"/>
    </row>
    <row r="214" spans="1:8" ht="15" customHeight="1" x14ac:dyDescent="0.25">
      <c r="A214" s="25"/>
      <c r="B214" s="6"/>
      <c r="C214" s="1"/>
      <c r="D214" s="1"/>
      <c r="E214" s="2"/>
      <c r="F214" s="1"/>
      <c r="G214" s="6"/>
      <c r="H214" s="1"/>
    </row>
    <row r="215" spans="1:8" ht="15" customHeight="1" x14ac:dyDescent="0.25">
      <c r="A215" s="25"/>
      <c r="B215" s="6"/>
      <c r="C215" s="1"/>
      <c r="D215" s="1"/>
      <c r="E215" s="2"/>
      <c r="F215" s="1"/>
      <c r="G215" s="6"/>
      <c r="H215" s="1"/>
    </row>
    <row r="216" spans="1:8" ht="15" customHeight="1" x14ac:dyDescent="0.25">
      <c r="A216" s="25"/>
      <c r="B216" s="6"/>
      <c r="C216" s="1"/>
      <c r="D216" s="1"/>
      <c r="E216" s="2"/>
      <c r="F216" s="1"/>
      <c r="G216" s="6"/>
      <c r="H216" s="1"/>
    </row>
    <row r="217" spans="1:8" ht="15" customHeight="1" x14ac:dyDescent="0.25">
      <c r="A217" s="25"/>
      <c r="B217" s="6"/>
      <c r="C217" s="1"/>
      <c r="D217" s="1"/>
      <c r="E217" s="2"/>
      <c r="F217" s="1"/>
      <c r="G217" s="6"/>
      <c r="H217" s="1"/>
    </row>
    <row r="218" spans="1:8" ht="15" customHeight="1" x14ac:dyDescent="0.25">
      <c r="A218" s="25"/>
      <c r="B218" s="6"/>
      <c r="C218" s="1"/>
      <c r="D218" s="1"/>
      <c r="E218" s="2"/>
      <c r="F218" s="1"/>
      <c r="G218" s="6"/>
      <c r="H218" s="1"/>
    </row>
    <row r="219" spans="1:8" ht="15" customHeight="1" x14ac:dyDescent="0.25">
      <c r="A219" s="25"/>
      <c r="B219" s="6"/>
      <c r="C219" s="1"/>
      <c r="D219" s="1"/>
      <c r="E219" s="2"/>
      <c r="F219" s="1"/>
      <c r="G219" s="6"/>
      <c r="H219" s="1"/>
    </row>
    <row r="220" spans="1:8" ht="15" customHeight="1" x14ac:dyDescent="0.25">
      <c r="A220" s="25"/>
      <c r="B220" s="6"/>
      <c r="C220" s="1"/>
      <c r="D220" s="1"/>
      <c r="E220" s="2"/>
      <c r="F220" s="1"/>
      <c r="G220" s="6"/>
      <c r="H220" s="1"/>
    </row>
    <row r="221" spans="1:8" ht="15" customHeight="1" x14ac:dyDescent="0.25">
      <c r="A221" s="25"/>
      <c r="B221" s="6"/>
      <c r="C221" s="1"/>
      <c r="D221" s="1"/>
      <c r="E221" s="2"/>
      <c r="F221" s="1"/>
      <c r="G221" s="6"/>
      <c r="H221" s="1"/>
    </row>
    <row r="222" spans="1:8" ht="15" customHeight="1" x14ac:dyDescent="0.25">
      <c r="A222" s="25"/>
      <c r="B222" s="6"/>
      <c r="C222" s="1"/>
      <c r="D222" s="1"/>
      <c r="E222" s="2"/>
      <c r="F222" s="1"/>
      <c r="G222" s="6"/>
      <c r="H222" s="1"/>
    </row>
    <row r="223" spans="1:8" ht="15" customHeight="1" x14ac:dyDescent="0.25">
      <c r="A223" s="25"/>
      <c r="B223" s="6"/>
      <c r="C223" s="1"/>
      <c r="D223" s="1"/>
      <c r="E223" s="2"/>
      <c r="F223" s="1"/>
      <c r="G223" s="6"/>
      <c r="H223" s="1"/>
    </row>
    <row r="224" spans="1:8" ht="15" customHeight="1" x14ac:dyDescent="0.25">
      <c r="A224" s="25"/>
      <c r="B224" s="6"/>
      <c r="C224" s="1"/>
      <c r="D224" s="1"/>
      <c r="E224" s="2"/>
      <c r="F224" s="1"/>
      <c r="G224" s="6"/>
      <c r="H224" s="1"/>
    </row>
    <row r="225" spans="1:8" ht="15" customHeight="1" x14ac:dyDescent="0.25">
      <c r="A225" s="25"/>
      <c r="B225" s="6"/>
      <c r="C225" s="1"/>
      <c r="D225" s="1"/>
      <c r="E225" s="2"/>
      <c r="F225" s="1"/>
      <c r="G225" s="6"/>
      <c r="H225" s="1"/>
    </row>
    <row r="226" spans="1:8" ht="15" customHeight="1" x14ac:dyDescent="0.25">
      <c r="A226" s="25"/>
      <c r="B226" s="6"/>
      <c r="C226" s="1"/>
      <c r="D226" s="1"/>
      <c r="E226" s="2"/>
      <c r="F226" s="1"/>
      <c r="G226" s="6"/>
      <c r="H226" s="1"/>
    </row>
    <row r="227" spans="1:8" ht="15" customHeight="1" x14ac:dyDescent="0.25">
      <c r="A227" s="25"/>
      <c r="B227" s="6"/>
      <c r="C227" s="1"/>
      <c r="D227" s="1"/>
      <c r="E227" s="2"/>
      <c r="F227" s="1"/>
      <c r="G227" s="6"/>
      <c r="H227" s="1"/>
    </row>
    <row r="228" spans="1:8" ht="15" customHeight="1" x14ac:dyDescent="0.25">
      <c r="A228" s="25"/>
      <c r="B228" s="6"/>
      <c r="C228" s="1"/>
      <c r="D228" s="1"/>
      <c r="E228" s="2"/>
      <c r="F228" s="1"/>
      <c r="G228" s="6"/>
      <c r="H228" s="1"/>
    </row>
    <row r="229" spans="1:8" ht="15" customHeight="1" x14ac:dyDescent="0.25">
      <c r="A229" s="25"/>
      <c r="B229" s="6"/>
      <c r="C229" s="1"/>
      <c r="D229" s="1"/>
      <c r="E229" s="2"/>
      <c r="F229" s="1"/>
      <c r="G229" s="6"/>
      <c r="H229" s="1"/>
    </row>
    <row r="230" spans="1:8" ht="15" customHeight="1" x14ac:dyDescent="0.25">
      <c r="A230" s="25"/>
      <c r="B230" s="6"/>
      <c r="C230" s="1"/>
      <c r="D230" s="1"/>
      <c r="E230" s="2"/>
      <c r="F230" s="1"/>
      <c r="G230" s="6"/>
      <c r="H230" s="1"/>
    </row>
    <row r="231" spans="1:8" ht="15" customHeight="1" x14ac:dyDescent="0.25">
      <c r="A231" s="25"/>
      <c r="B231" s="6"/>
      <c r="C231" s="1"/>
      <c r="D231" s="1"/>
      <c r="E231" s="2"/>
      <c r="F231" s="1"/>
      <c r="G231" s="6"/>
      <c r="H231" s="1"/>
    </row>
    <row r="232" spans="1:8" ht="15" customHeight="1" x14ac:dyDescent="0.25">
      <c r="A232" s="25"/>
      <c r="B232" s="6"/>
      <c r="C232" s="1"/>
      <c r="D232" s="1"/>
      <c r="E232" s="2"/>
      <c r="F232" s="1"/>
      <c r="G232" s="6"/>
      <c r="H232" s="1"/>
    </row>
    <row r="233" spans="1:8" ht="15" customHeight="1" x14ac:dyDescent="0.25">
      <c r="A233" s="25"/>
      <c r="B233" s="6"/>
      <c r="C233" s="1"/>
      <c r="D233" s="1"/>
      <c r="E233" s="2"/>
      <c r="F233" s="1"/>
      <c r="G233" s="6"/>
      <c r="H233" s="1"/>
    </row>
    <row r="234" spans="1:8" ht="15" customHeight="1" x14ac:dyDescent="0.25">
      <c r="A234" s="25"/>
      <c r="B234" s="6"/>
      <c r="C234" s="1"/>
      <c r="D234" s="1"/>
      <c r="E234" s="2"/>
      <c r="F234" s="1"/>
      <c r="G234" s="6"/>
      <c r="H234" s="1"/>
    </row>
    <row r="235" spans="1:8" ht="15" customHeight="1" x14ac:dyDescent="0.25">
      <c r="A235" s="25"/>
      <c r="B235" s="6"/>
      <c r="C235" s="1"/>
      <c r="D235" s="1"/>
      <c r="E235" s="2"/>
      <c r="F235" s="1"/>
      <c r="G235" s="6"/>
      <c r="H235" s="1"/>
    </row>
    <row r="236" spans="1:8" ht="15" customHeight="1" x14ac:dyDescent="0.25">
      <c r="A236" s="25"/>
      <c r="B236" s="6"/>
      <c r="C236" s="1"/>
      <c r="D236" s="1"/>
      <c r="E236" s="2"/>
      <c r="F236" s="1"/>
      <c r="G236" s="6"/>
      <c r="H236" s="1"/>
    </row>
    <row r="237" spans="1:8" ht="15" customHeight="1" x14ac:dyDescent="0.25">
      <c r="A237" s="25"/>
      <c r="B237" s="6"/>
      <c r="C237" s="1"/>
      <c r="D237" s="1"/>
      <c r="E237" s="2"/>
      <c r="F237" s="1"/>
      <c r="G237" s="6"/>
      <c r="H237" s="1"/>
    </row>
    <row r="238" spans="1:8" ht="15" customHeight="1" x14ac:dyDescent="0.25">
      <c r="A238" s="25"/>
      <c r="B238" s="6"/>
      <c r="C238" s="1"/>
      <c r="D238" s="1"/>
      <c r="E238" s="2"/>
      <c r="F238" s="1"/>
      <c r="G238" s="6"/>
      <c r="H238" s="1"/>
    </row>
    <row r="239" spans="1:8" ht="15" customHeight="1" x14ac:dyDescent="0.25">
      <c r="A239" s="25"/>
      <c r="B239" s="6"/>
      <c r="C239" s="1"/>
      <c r="D239" s="1"/>
      <c r="E239" s="2"/>
      <c r="F239" s="1"/>
      <c r="G239" s="6"/>
      <c r="H239" s="1"/>
    </row>
    <row r="240" spans="1:8" ht="15" customHeight="1" x14ac:dyDescent="0.25">
      <c r="A240" s="25"/>
      <c r="B240" s="6"/>
      <c r="C240" s="1"/>
      <c r="D240" s="1"/>
      <c r="E240" s="2"/>
      <c r="F240" s="1"/>
      <c r="G240" s="6"/>
      <c r="H240" s="1"/>
    </row>
    <row r="241" spans="1:8" ht="15" customHeight="1" x14ac:dyDescent="0.25">
      <c r="A241" s="25"/>
      <c r="B241" s="6"/>
      <c r="C241" s="1"/>
      <c r="D241" s="1"/>
      <c r="E241" s="2"/>
      <c r="F241" s="1"/>
      <c r="G241" s="6"/>
      <c r="H241" s="1"/>
    </row>
    <row r="242" spans="1:8" ht="15" customHeight="1" x14ac:dyDescent="0.25">
      <c r="A242" s="25"/>
      <c r="B242" s="6"/>
      <c r="C242" s="1"/>
      <c r="D242" s="1"/>
      <c r="E242" s="2"/>
      <c r="F242" s="1"/>
      <c r="G242" s="6"/>
      <c r="H242" s="1"/>
    </row>
    <row r="243" spans="1:8" ht="15" customHeight="1" x14ac:dyDescent="0.25">
      <c r="A243" s="25"/>
      <c r="B243" s="6"/>
      <c r="C243" s="1"/>
      <c r="D243" s="1"/>
      <c r="E243" s="2"/>
      <c r="F243" s="1"/>
      <c r="G243" s="6"/>
      <c r="H243" s="1"/>
    </row>
    <row r="244" spans="1:8" ht="15" customHeight="1" x14ac:dyDescent="0.25">
      <c r="A244" s="25"/>
      <c r="B244" s="6"/>
      <c r="C244" s="1"/>
      <c r="D244" s="1"/>
      <c r="E244" s="2"/>
      <c r="F244" s="1"/>
      <c r="G244" s="6"/>
      <c r="H244" s="1"/>
    </row>
    <row r="245" spans="1:8" ht="15" customHeight="1" x14ac:dyDescent="0.25">
      <c r="A245" s="25"/>
      <c r="B245" s="6"/>
      <c r="C245" s="1"/>
      <c r="D245" s="1"/>
      <c r="E245" s="2"/>
      <c r="F245" s="1"/>
      <c r="G245" s="6"/>
      <c r="H245" s="1"/>
    </row>
    <row r="246" spans="1:8" ht="15" customHeight="1" x14ac:dyDescent="0.25">
      <c r="A246" s="25"/>
      <c r="B246" s="6"/>
      <c r="C246" s="1"/>
      <c r="D246" s="1"/>
      <c r="E246" s="2"/>
      <c r="F246" s="1"/>
      <c r="G246" s="6"/>
      <c r="H246" s="1"/>
    </row>
    <row r="247" spans="1:8" ht="15" customHeight="1" x14ac:dyDescent="0.25">
      <c r="A247" s="25"/>
      <c r="B247" s="6"/>
      <c r="C247" s="1"/>
      <c r="D247" s="1"/>
      <c r="E247" s="2"/>
      <c r="F247" s="1"/>
      <c r="G247" s="6"/>
      <c r="H247" s="1"/>
    </row>
    <row r="248" spans="1:8" ht="15" customHeight="1" x14ac:dyDescent="0.25">
      <c r="A248" s="25"/>
      <c r="B248" s="6"/>
      <c r="C248" s="1"/>
      <c r="D248" s="1"/>
      <c r="E248" s="2"/>
      <c r="F248" s="1"/>
      <c r="G248" s="6"/>
      <c r="H248" s="1"/>
    </row>
    <row r="249" spans="1:8" ht="15" customHeight="1" x14ac:dyDescent="0.25">
      <c r="A249" s="25"/>
      <c r="B249" s="6"/>
      <c r="C249" s="1"/>
      <c r="D249" s="1"/>
      <c r="E249" s="2"/>
      <c r="F249" s="1"/>
      <c r="G249" s="6"/>
      <c r="H249" s="1"/>
    </row>
    <row r="250" spans="1:8" ht="15" customHeight="1" x14ac:dyDescent="0.25">
      <c r="A250" s="25"/>
      <c r="B250" s="6"/>
      <c r="C250" s="1"/>
      <c r="D250" s="1"/>
      <c r="E250" s="2"/>
      <c r="F250" s="1"/>
      <c r="G250" s="6"/>
      <c r="H250" s="1"/>
    </row>
    <row r="251" spans="1:8" ht="15" customHeight="1" x14ac:dyDescent="0.25">
      <c r="A251" s="25"/>
      <c r="B251" s="6"/>
      <c r="C251" s="1"/>
      <c r="D251" s="1"/>
      <c r="E251" s="2"/>
      <c r="F251" s="1"/>
      <c r="G251" s="6"/>
      <c r="H251" s="1"/>
    </row>
    <row r="252" spans="1:8" ht="15" customHeight="1" x14ac:dyDescent="0.25">
      <c r="A252" s="25"/>
      <c r="B252" s="6"/>
      <c r="C252" s="1"/>
      <c r="D252" s="1"/>
      <c r="E252" s="2"/>
      <c r="F252" s="1"/>
      <c r="G252" s="6"/>
      <c r="H252" s="1"/>
    </row>
    <row r="253" spans="1:8" ht="15" customHeight="1" x14ac:dyDescent="0.25">
      <c r="A253" s="25"/>
      <c r="B253" s="6"/>
      <c r="C253" s="1"/>
      <c r="D253" s="1"/>
      <c r="E253" s="2"/>
      <c r="F253" s="1"/>
      <c r="G253" s="6"/>
      <c r="H253" s="1"/>
    </row>
    <row r="254" spans="1:8" ht="15" customHeight="1" x14ac:dyDescent="0.25">
      <c r="A254" s="25"/>
      <c r="B254" s="6"/>
      <c r="C254" s="1"/>
      <c r="D254" s="1"/>
      <c r="E254" s="2"/>
      <c r="F254" s="1"/>
      <c r="G254" s="6"/>
      <c r="H254" s="1"/>
    </row>
    <row r="255" spans="1:8" ht="15" customHeight="1" x14ac:dyDescent="0.25">
      <c r="A255" s="25"/>
      <c r="B255" s="6"/>
      <c r="C255" s="1"/>
      <c r="D255" s="1"/>
      <c r="E255" s="2"/>
      <c r="F255" s="1"/>
      <c r="G255" s="6"/>
      <c r="H255" s="1"/>
    </row>
    <row r="256" spans="1:8" ht="15" customHeight="1" x14ac:dyDescent="0.25">
      <c r="A256" s="25"/>
      <c r="B256" s="6"/>
      <c r="C256" s="1"/>
      <c r="D256" s="1"/>
      <c r="E256" s="2"/>
      <c r="F256" s="1"/>
      <c r="G256" s="6"/>
      <c r="H256" s="1"/>
    </row>
    <row r="257" spans="1:8" ht="15" customHeight="1" x14ac:dyDescent="0.25">
      <c r="A257" s="25"/>
      <c r="B257" s="6"/>
      <c r="C257" s="1"/>
      <c r="D257" s="1"/>
      <c r="E257" s="2"/>
      <c r="F257" s="1"/>
      <c r="G257" s="6"/>
      <c r="H257" s="1"/>
    </row>
    <row r="258" spans="1:8" ht="15" customHeight="1" x14ac:dyDescent="0.25">
      <c r="A258" s="25"/>
      <c r="B258" s="6"/>
      <c r="C258" s="1"/>
      <c r="D258" s="1"/>
      <c r="E258" s="2"/>
      <c r="F258" s="1"/>
      <c r="G258" s="6"/>
      <c r="H258" s="1"/>
    </row>
    <row r="259" spans="1:8" ht="15" customHeight="1" x14ac:dyDescent="0.25">
      <c r="A259" s="25"/>
      <c r="B259" s="6"/>
      <c r="C259" s="1"/>
      <c r="D259" s="1"/>
      <c r="E259" s="2"/>
      <c r="F259" s="1"/>
      <c r="G259" s="6"/>
      <c r="H259" s="1"/>
    </row>
    <row r="260" spans="1:8" ht="15" customHeight="1" x14ac:dyDescent="0.25">
      <c r="A260" s="25"/>
      <c r="B260" s="6"/>
      <c r="C260" s="1"/>
      <c r="D260" s="1"/>
      <c r="E260" s="2"/>
      <c r="F260" s="1"/>
      <c r="G260" s="6"/>
      <c r="H260" s="1"/>
    </row>
    <row r="261" spans="1:8" ht="15" customHeight="1" x14ac:dyDescent="0.25">
      <c r="A261" s="25"/>
      <c r="B261" s="6"/>
      <c r="C261" s="1"/>
      <c r="D261" s="1"/>
      <c r="E261" s="2"/>
      <c r="F261" s="1"/>
      <c r="G261" s="6"/>
      <c r="H261" s="1"/>
    </row>
    <row r="262" spans="1:8" ht="15" customHeight="1" x14ac:dyDescent="0.25">
      <c r="A262" s="25"/>
      <c r="B262" s="6"/>
      <c r="C262" s="1"/>
      <c r="D262" s="1"/>
      <c r="E262" s="2"/>
      <c r="F262" s="1"/>
      <c r="G262" s="6"/>
      <c r="H262" s="1"/>
    </row>
    <row r="263" spans="1:8" ht="15" customHeight="1" x14ac:dyDescent="0.25">
      <c r="A263" s="25"/>
      <c r="B263" s="6"/>
      <c r="C263" s="1"/>
      <c r="D263" s="1"/>
      <c r="E263" s="2"/>
      <c r="F263" s="1"/>
      <c r="G263" s="6"/>
      <c r="H263" s="1"/>
    </row>
    <row r="264" spans="1:8" ht="15" customHeight="1" x14ac:dyDescent="0.25">
      <c r="A264" s="25"/>
      <c r="B264" s="6"/>
      <c r="C264" s="1"/>
      <c r="D264" s="1"/>
      <c r="E264" s="2"/>
      <c r="F264" s="1"/>
      <c r="G264" s="6"/>
      <c r="H264" s="1"/>
    </row>
    <row r="265" spans="1:8" ht="15" customHeight="1" x14ac:dyDescent="0.25">
      <c r="A265" s="25"/>
      <c r="B265" s="6"/>
      <c r="C265" s="1"/>
      <c r="D265" s="1"/>
      <c r="E265" s="2"/>
      <c r="F265" s="1"/>
      <c r="G265" s="6"/>
      <c r="H265" s="1"/>
    </row>
    <row r="266" spans="1:8" ht="15" customHeight="1" x14ac:dyDescent="0.25">
      <c r="A266" s="25"/>
      <c r="B266" s="6"/>
      <c r="C266" s="1"/>
      <c r="D266" s="1"/>
      <c r="E266" s="2"/>
      <c r="F266" s="1"/>
      <c r="G266" s="6"/>
      <c r="H266" s="1"/>
    </row>
    <row r="267" spans="1:8" ht="15" customHeight="1" x14ac:dyDescent="0.25">
      <c r="A267" s="25"/>
      <c r="B267" s="6"/>
      <c r="C267" s="1"/>
      <c r="D267" s="1"/>
      <c r="E267" s="2"/>
      <c r="F267" s="1"/>
      <c r="G267" s="6"/>
      <c r="H267" s="1"/>
    </row>
    <row r="268" spans="1:8" ht="15" customHeight="1" x14ac:dyDescent="0.25">
      <c r="A268" s="25"/>
      <c r="B268" s="6"/>
      <c r="C268" s="1"/>
      <c r="D268" s="1"/>
      <c r="E268" s="2"/>
      <c r="F268" s="1"/>
      <c r="G268" s="6"/>
      <c r="H268" s="1"/>
    </row>
    <row r="269" spans="1:8" ht="15" customHeight="1" x14ac:dyDescent="0.25">
      <c r="A269" s="25"/>
      <c r="B269" s="6"/>
      <c r="C269" s="1"/>
      <c r="D269" s="1"/>
      <c r="E269" s="2"/>
      <c r="F269" s="1"/>
      <c r="G269" s="6"/>
      <c r="H269" s="1"/>
    </row>
    <row r="270" spans="1:8" ht="15" customHeight="1" x14ac:dyDescent="0.25">
      <c r="A270" s="25"/>
      <c r="B270" s="6"/>
      <c r="C270" s="1"/>
      <c r="D270" s="1"/>
      <c r="E270" s="2"/>
      <c r="F270" s="1"/>
      <c r="G270" s="6"/>
      <c r="H270" s="1"/>
    </row>
    <row r="271" spans="1:8" ht="15" customHeight="1" x14ac:dyDescent="0.25">
      <c r="A271" s="25"/>
      <c r="B271" s="6"/>
      <c r="C271" s="1"/>
      <c r="D271" s="1"/>
      <c r="E271" s="2"/>
      <c r="F271" s="1"/>
      <c r="G271" s="6"/>
      <c r="H271" s="1"/>
    </row>
    <row r="272" spans="1:8" ht="15" customHeight="1" x14ac:dyDescent="0.25">
      <c r="A272" s="25"/>
      <c r="B272" s="6"/>
      <c r="C272" s="1"/>
      <c r="D272" s="1"/>
      <c r="E272" s="2"/>
      <c r="F272" s="1"/>
      <c r="G272" s="6"/>
      <c r="H272" s="1"/>
    </row>
    <row r="273" spans="1:8" ht="15" customHeight="1" x14ac:dyDescent="0.25">
      <c r="A273" s="25"/>
      <c r="B273" s="6"/>
      <c r="C273" s="1"/>
      <c r="D273" s="1"/>
      <c r="E273" s="2"/>
      <c r="F273" s="1"/>
      <c r="G273" s="6"/>
      <c r="H273" s="1"/>
    </row>
    <row r="274" spans="1:8" ht="15" customHeight="1" x14ac:dyDescent="0.25">
      <c r="A274" s="25"/>
      <c r="B274" s="6"/>
      <c r="C274" s="1"/>
      <c r="D274" s="1"/>
      <c r="E274" s="2"/>
      <c r="F274" s="1"/>
      <c r="G274" s="6"/>
      <c r="H274" s="1"/>
    </row>
    <row r="275" spans="1:8" ht="15" customHeight="1" x14ac:dyDescent="0.25">
      <c r="A275" s="25"/>
      <c r="B275" s="6"/>
      <c r="C275" s="1"/>
      <c r="D275" s="1"/>
      <c r="E275" s="2"/>
      <c r="F275" s="1"/>
      <c r="G275" s="6"/>
      <c r="H275" s="1"/>
    </row>
    <row r="276" spans="1:8" ht="15" customHeight="1" x14ac:dyDescent="0.25">
      <c r="A276" s="25"/>
      <c r="B276" s="6"/>
      <c r="C276" s="1"/>
      <c r="D276" s="1"/>
      <c r="E276" s="2"/>
      <c r="F276" s="1"/>
      <c r="G276" s="6"/>
      <c r="H276" s="1"/>
    </row>
    <row r="277" spans="1:8" ht="15" customHeight="1" x14ac:dyDescent="0.25">
      <c r="A277" s="25"/>
      <c r="B277" s="6"/>
      <c r="C277" s="1"/>
      <c r="D277" s="1"/>
      <c r="E277" s="2"/>
      <c r="F277" s="1"/>
      <c r="G277" s="6"/>
      <c r="H277" s="1"/>
    </row>
    <row r="278" spans="1:8" ht="15" customHeight="1" x14ac:dyDescent="0.25">
      <c r="A278" s="25"/>
      <c r="B278" s="6"/>
      <c r="C278" s="1"/>
      <c r="D278" s="1"/>
      <c r="E278" s="2"/>
      <c r="F278" s="1"/>
      <c r="G278" s="6"/>
      <c r="H278" s="1"/>
    </row>
    <row r="279" spans="1:8" ht="15" customHeight="1" x14ac:dyDescent="0.25">
      <c r="A279" s="25"/>
      <c r="B279" s="6"/>
      <c r="C279" s="1"/>
      <c r="D279" s="1"/>
      <c r="E279" s="2"/>
      <c r="F279" s="1"/>
      <c r="G279" s="6"/>
      <c r="H279" s="1"/>
    </row>
    <row r="280" spans="1:8" ht="15" customHeight="1" x14ac:dyDescent="0.25">
      <c r="A280" s="25"/>
      <c r="B280" s="6"/>
      <c r="C280" s="1"/>
      <c r="D280" s="1"/>
      <c r="E280" s="2"/>
      <c r="F280" s="1"/>
      <c r="G280" s="6"/>
      <c r="H280" s="1"/>
    </row>
    <row r="281" spans="1:8" ht="15" customHeight="1" x14ac:dyDescent="0.25">
      <c r="A281" s="25"/>
      <c r="B281" s="6"/>
      <c r="C281" s="1"/>
      <c r="D281" s="1"/>
      <c r="E281" s="2"/>
      <c r="F281" s="1"/>
      <c r="G281" s="6"/>
      <c r="H281" s="1"/>
    </row>
    <row r="282" spans="1:8" ht="15" customHeight="1" x14ac:dyDescent="0.25">
      <c r="A282" s="25"/>
      <c r="B282" s="6"/>
      <c r="C282" s="1"/>
      <c r="D282" s="1"/>
      <c r="E282" s="2"/>
      <c r="F282" s="1"/>
      <c r="G282" s="6"/>
      <c r="H282" s="1"/>
    </row>
    <row r="283" spans="1:8" ht="15" customHeight="1" x14ac:dyDescent="0.25">
      <c r="A283" s="25"/>
      <c r="B283" s="6"/>
      <c r="C283" s="1"/>
      <c r="D283" s="1"/>
      <c r="E283" s="2"/>
      <c r="F283" s="1"/>
      <c r="G283" s="6"/>
      <c r="H283" s="1"/>
    </row>
    <row r="284" spans="1:8" ht="15" customHeight="1" x14ac:dyDescent="0.25">
      <c r="A284" s="25"/>
      <c r="B284" s="6"/>
      <c r="C284" s="1"/>
      <c r="D284" s="1"/>
      <c r="E284" s="2"/>
      <c r="F284" s="1"/>
      <c r="G284" s="6"/>
      <c r="H284" s="1"/>
    </row>
    <row r="285" spans="1:8" ht="15" customHeight="1" x14ac:dyDescent="0.25">
      <c r="A285" s="25"/>
      <c r="B285" s="6"/>
      <c r="C285" s="1"/>
      <c r="D285" s="1"/>
      <c r="E285" s="2"/>
      <c r="F285" s="1"/>
      <c r="G285" s="6"/>
      <c r="H285" s="1"/>
    </row>
    <row r="286" spans="1:8" ht="15" customHeight="1" x14ac:dyDescent="0.25">
      <c r="A286" s="25"/>
      <c r="B286" s="6"/>
      <c r="C286" s="1"/>
      <c r="D286" s="1"/>
      <c r="E286" s="2"/>
      <c r="F286" s="1"/>
      <c r="G286" s="6"/>
      <c r="H286" s="1"/>
    </row>
    <row r="287" spans="1:8" ht="15" customHeight="1" x14ac:dyDescent="0.25">
      <c r="A287" s="25"/>
      <c r="B287" s="6"/>
      <c r="C287" s="1"/>
      <c r="D287" s="1"/>
      <c r="E287" s="2"/>
      <c r="F287" s="1"/>
      <c r="G287" s="6"/>
      <c r="H287" s="1"/>
    </row>
    <row r="288" spans="1:8" ht="15" customHeight="1" x14ac:dyDescent="0.25">
      <c r="A288" s="25"/>
      <c r="B288" s="6"/>
      <c r="C288" s="1"/>
      <c r="D288" s="1"/>
      <c r="E288" s="2"/>
      <c r="F288" s="1"/>
      <c r="G288" s="6"/>
      <c r="H288" s="1"/>
    </row>
    <row r="289" spans="1:8" ht="15" customHeight="1" x14ac:dyDescent="0.25">
      <c r="A289" s="25"/>
      <c r="B289" s="6"/>
      <c r="C289" s="1"/>
      <c r="D289" s="1"/>
      <c r="E289" s="2"/>
      <c r="F289" s="1"/>
      <c r="G289" s="6"/>
      <c r="H289" s="1"/>
    </row>
    <row r="290" spans="1:8" ht="15" customHeight="1" x14ac:dyDescent="0.25">
      <c r="A290" s="25"/>
      <c r="B290" s="6"/>
      <c r="C290" s="1"/>
      <c r="D290" s="1"/>
      <c r="E290" s="2"/>
      <c r="F290" s="1"/>
      <c r="G290" s="6"/>
      <c r="H290" s="1"/>
    </row>
    <row r="291" spans="1:8" ht="15" customHeight="1" x14ac:dyDescent="0.25">
      <c r="A291" s="25"/>
      <c r="B291" s="6"/>
      <c r="C291" s="1"/>
      <c r="D291" s="1"/>
      <c r="E291" s="2"/>
      <c r="F291" s="1"/>
      <c r="G291" s="6"/>
      <c r="H291" s="1"/>
    </row>
    <row r="292" spans="1:8" ht="15" customHeight="1" x14ac:dyDescent="0.25">
      <c r="A292" s="25"/>
      <c r="B292" s="6"/>
      <c r="C292" s="1"/>
      <c r="D292" s="1"/>
      <c r="E292" s="2"/>
      <c r="F292" s="1"/>
      <c r="G292" s="6"/>
      <c r="H292" s="1"/>
    </row>
    <row r="293" spans="1:8" ht="15" customHeight="1" x14ac:dyDescent="0.25">
      <c r="A293" s="25"/>
      <c r="B293" s="6"/>
      <c r="C293" s="1"/>
      <c r="D293" s="1"/>
      <c r="E293" s="2"/>
      <c r="F293" s="1"/>
      <c r="G293" s="6"/>
      <c r="H293" s="1"/>
    </row>
    <row r="294" spans="1:8" ht="15" customHeight="1" x14ac:dyDescent="0.25">
      <c r="A294" s="25"/>
      <c r="B294" s="6"/>
      <c r="C294" s="1"/>
      <c r="D294" s="1"/>
      <c r="E294" s="2"/>
      <c r="F294" s="1"/>
      <c r="G294" s="6"/>
      <c r="H294" s="1"/>
    </row>
    <row r="295" spans="1:8" ht="15" customHeight="1" x14ac:dyDescent="0.25">
      <c r="A295" s="25"/>
      <c r="B295" s="6"/>
      <c r="C295" s="1"/>
      <c r="D295" s="1"/>
      <c r="E295" s="2"/>
      <c r="F295" s="1"/>
      <c r="G295" s="6"/>
      <c r="H295" s="1"/>
    </row>
    <row r="296" spans="1:8" ht="15" customHeight="1" x14ac:dyDescent="0.25">
      <c r="A296" s="25"/>
      <c r="B296" s="6"/>
      <c r="C296" s="1"/>
      <c r="D296" s="1"/>
      <c r="E296" s="2"/>
      <c r="F296" s="1"/>
      <c r="G296" s="6"/>
      <c r="H296" s="1"/>
    </row>
    <row r="297" spans="1:8" ht="15" customHeight="1" x14ac:dyDescent="0.25">
      <c r="A297" s="25"/>
      <c r="B297" s="6"/>
      <c r="C297" s="1"/>
      <c r="D297" s="1"/>
      <c r="E297" s="2"/>
      <c r="F297" s="1"/>
      <c r="G297" s="6"/>
      <c r="H297" s="1"/>
    </row>
    <row r="298" spans="1:8" ht="15" customHeight="1" x14ac:dyDescent="0.25">
      <c r="A298" s="25"/>
      <c r="B298" s="6"/>
      <c r="C298" s="1"/>
      <c r="D298" s="1"/>
      <c r="E298" s="2"/>
      <c r="F298" s="1"/>
      <c r="G298" s="6"/>
      <c r="H298" s="1"/>
    </row>
    <row r="299" spans="1:8" ht="15" customHeight="1" x14ac:dyDescent="0.25">
      <c r="A299" s="25"/>
      <c r="B299" s="6"/>
      <c r="C299" s="1"/>
      <c r="D299" s="1"/>
      <c r="E299" s="2"/>
      <c r="F299" s="1"/>
      <c r="G299" s="6"/>
      <c r="H299" s="1"/>
    </row>
    <row r="300" spans="1:8" ht="15" customHeight="1" x14ac:dyDescent="0.25">
      <c r="A300" s="25"/>
      <c r="B300" s="6"/>
      <c r="C300" s="1"/>
      <c r="D300" s="1"/>
      <c r="E300" s="2"/>
      <c r="F300" s="1"/>
      <c r="G300" s="6"/>
      <c r="H300" s="1"/>
    </row>
    <row r="301" spans="1:8" ht="15" customHeight="1" x14ac:dyDescent="0.25">
      <c r="A301" s="25"/>
      <c r="B301" s="6"/>
      <c r="C301" s="1"/>
      <c r="D301" s="1"/>
      <c r="E301" s="2"/>
      <c r="F301" s="1"/>
      <c r="G301" s="6"/>
      <c r="H301" s="1"/>
    </row>
    <row r="302" spans="1:8" ht="15" customHeight="1" x14ac:dyDescent="0.25">
      <c r="A302" s="25"/>
      <c r="B302" s="6"/>
      <c r="C302" s="1"/>
      <c r="D302" s="1"/>
      <c r="E302" s="2"/>
      <c r="F302" s="1"/>
      <c r="G302" s="6"/>
      <c r="H302" s="1"/>
    </row>
    <row r="303" spans="1:8" ht="15" customHeight="1" x14ac:dyDescent="0.25">
      <c r="A303" s="25"/>
      <c r="B303" s="6"/>
      <c r="C303" s="1"/>
      <c r="D303" s="1"/>
      <c r="E303" s="2"/>
      <c r="F303" s="1"/>
      <c r="G303" s="6"/>
      <c r="H303" s="1"/>
    </row>
    <row r="304" spans="1:8" ht="15" customHeight="1" x14ac:dyDescent="0.25">
      <c r="A304" s="25"/>
      <c r="B304" s="6"/>
      <c r="C304" s="1"/>
      <c r="D304" s="1"/>
      <c r="E304" s="2"/>
      <c r="F304" s="1"/>
      <c r="G304" s="6"/>
      <c r="H304" s="1"/>
    </row>
    <row r="305" spans="1:8" ht="15" customHeight="1" x14ac:dyDescent="0.25">
      <c r="A305" s="25"/>
      <c r="B305" s="6"/>
      <c r="C305" s="1"/>
      <c r="D305" s="1"/>
      <c r="E305" s="2"/>
      <c r="F305" s="1"/>
      <c r="G305" s="6"/>
      <c r="H305" s="1"/>
    </row>
    <row r="306" spans="1:8" ht="15" customHeight="1" x14ac:dyDescent="0.25">
      <c r="A306" s="25"/>
      <c r="B306" s="6"/>
      <c r="C306" s="1"/>
      <c r="D306" s="1"/>
      <c r="E306" s="2"/>
      <c r="F306" s="1"/>
      <c r="G306" s="6"/>
      <c r="H306" s="1"/>
    </row>
    <row r="307" spans="1:8" ht="15" customHeight="1" x14ac:dyDescent="0.25">
      <c r="A307" s="25"/>
      <c r="B307" s="6"/>
      <c r="C307" s="1"/>
      <c r="D307" s="1"/>
      <c r="E307" s="2"/>
      <c r="F307" s="1"/>
      <c r="G307" s="6"/>
      <c r="H307" s="1"/>
    </row>
    <row r="308" spans="1:8" ht="15" customHeight="1" x14ac:dyDescent="0.25">
      <c r="A308" s="25"/>
      <c r="B308" s="6"/>
      <c r="C308" s="1"/>
      <c r="D308" s="1"/>
      <c r="E308" s="2"/>
      <c r="F308" s="1"/>
      <c r="G308" s="6"/>
      <c r="H308" s="1"/>
    </row>
    <row r="309" spans="1:8" ht="15" customHeight="1" x14ac:dyDescent="0.25">
      <c r="A309" s="25"/>
      <c r="B309" s="6"/>
      <c r="C309" s="1"/>
      <c r="D309" s="1"/>
      <c r="E309" s="2"/>
      <c r="F309" s="1"/>
      <c r="G309" s="6"/>
      <c r="H309" s="1"/>
    </row>
    <row r="310" spans="1:8" ht="15" customHeight="1" x14ac:dyDescent="0.25">
      <c r="A310" s="25"/>
      <c r="B310" s="6"/>
      <c r="C310" s="1"/>
      <c r="D310" s="1"/>
      <c r="E310" s="2"/>
      <c r="F310" s="1"/>
      <c r="G310" s="6"/>
      <c r="H310" s="1"/>
    </row>
    <row r="311" spans="1:8" ht="15" customHeight="1" x14ac:dyDescent="0.25">
      <c r="A311" s="25"/>
      <c r="B311" s="6"/>
      <c r="C311" s="1"/>
      <c r="D311" s="1"/>
      <c r="E311" s="2"/>
      <c r="F311" s="1"/>
      <c r="G311" s="6"/>
      <c r="H311" s="1"/>
    </row>
    <row r="312" spans="1:8" ht="15" customHeight="1" x14ac:dyDescent="0.25">
      <c r="A312" s="25"/>
      <c r="B312" s="6"/>
      <c r="C312" s="1"/>
      <c r="D312" s="1"/>
      <c r="E312" s="2"/>
      <c r="F312" s="1"/>
      <c r="G312" s="6"/>
      <c r="H312" s="1"/>
    </row>
    <row r="313" spans="1:8" ht="15" customHeight="1" x14ac:dyDescent="0.25">
      <c r="A313" s="25"/>
      <c r="B313" s="6"/>
      <c r="C313" s="1"/>
      <c r="D313" s="1"/>
      <c r="E313" s="2"/>
      <c r="F313" s="1"/>
      <c r="G313" s="6"/>
      <c r="H313" s="1"/>
    </row>
  </sheetData>
  <autoFilter ref="A1:L100" xr:uid="{C07DA694-33CE-490A-BD2E-756A2F2C5AA1}"/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JAN</vt:lpstr>
      <vt:lpstr>FEV</vt:lpstr>
      <vt:lpstr>MAR</vt:lpstr>
      <vt:lpstr>ABR</vt:lpstr>
      <vt:lpstr>MAI</vt:lpstr>
      <vt:lpstr>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Collete, Giovana</dc:creator>
  <cp:lastModifiedBy>Collete, Giovana</cp:lastModifiedBy>
  <dcterms:created xsi:type="dcterms:W3CDTF">2020-08-06T21:12:31Z</dcterms:created>
  <dcterms:modified xsi:type="dcterms:W3CDTF">2026-07-16T20:34:45Z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