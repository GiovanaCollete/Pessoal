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X:\Gerencial\Mensal\2026\Custos\Institucional\"/>
    </mc:Choice>
  </mc:AlternateContent>
  <xr:revisionPtr revIDLastSave="0" documentId="13_ncr:1_{84F1B84C-614F-40D7-B2E6-9B0D7DCBE257}" xr6:coauthVersionLast="47" xr6:coauthVersionMax="47" xr10:uidLastSave="{00000000-0000-0000-0000-000000000000}"/>
  <bookViews>
    <workbookView xWindow="-120" yWindow="-16320" windowWidth="29040" windowHeight="15720" activeTab="6" xr2:uid="{D955CBA1-CFC7-4A76-AEAB-F00452FB88DA}"/>
  </bookViews>
  <sheets>
    <sheet name="JAN" sheetId="61" r:id="rId1"/>
    <sheet name="FEV" sheetId="62" r:id="rId2"/>
    <sheet name="MAR" sheetId="63" r:id="rId3"/>
    <sheet name="ABR" sheetId="64" r:id="rId4"/>
    <sheet name="MAI" sheetId="65" r:id="rId5"/>
    <sheet name="JUN" sheetId="66" r:id="rId6"/>
    <sheet name="JUL" sheetId="67" r:id="rId7"/>
  </sheets>
  <definedNames>
    <definedName name="_xlnm._FilterDatabase" localSheetId="3" hidden="1">ABR!$A$1:$N$1</definedName>
    <definedName name="_xlnm._FilterDatabase" localSheetId="1" hidden="1">FEV!$A$1:$N$1</definedName>
    <definedName name="_xlnm._FilterDatabase" localSheetId="0" hidden="1">JAN!$A$1:$N$1</definedName>
    <definedName name="_xlnm._FilterDatabase" localSheetId="6" hidden="1">JUL!$A$1:$N$1</definedName>
    <definedName name="_xlnm._FilterDatabase" localSheetId="5" hidden="1">JUN!$A$1:$N$1</definedName>
    <definedName name="_xlnm._FilterDatabase" localSheetId="4" hidden="1">MAI!$A$1:$N$1</definedName>
    <definedName name="_xlnm._FilterDatabase" localSheetId="2" hidden="1">MAR!$A$1:$N$1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9" i="67" l="1"/>
  <c r="A39" i="67"/>
  <c r="E38" i="67"/>
  <c r="A38" i="67"/>
  <c r="E37" i="67"/>
  <c r="A37" i="67"/>
  <c r="E36" i="67"/>
  <c r="A36" i="67"/>
  <c r="E35" i="67"/>
  <c r="A35" i="67"/>
  <c r="E34" i="67"/>
  <c r="A34" i="67"/>
  <c r="E33" i="67"/>
  <c r="A33" i="67"/>
  <c r="E32" i="67"/>
  <c r="A32" i="67"/>
  <c r="E31" i="67"/>
  <c r="A31" i="67"/>
  <c r="E30" i="67"/>
  <c r="A30" i="67"/>
  <c r="E29" i="67"/>
  <c r="A29" i="67"/>
  <c r="E28" i="67"/>
  <c r="A28" i="67"/>
  <c r="E27" i="67"/>
  <c r="A27" i="67"/>
  <c r="E26" i="67"/>
  <c r="A26" i="67"/>
  <c r="E25" i="67"/>
  <c r="A25" i="67"/>
  <c r="E24" i="67"/>
  <c r="A24" i="67"/>
  <c r="E23" i="67"/>
  <c r="A23" i="67"/>
  <c r="E22" i="67"/>
  <c r="A22" i="67"/>
  <c r="E21" i="67"/>
  <c r="A21" i="67"/>
  <c r="E20" i="67"/>
  <c r="A20" i="67"/>
  <c r="E19" i="67"/>
  <c r="A19" i="67"/>
  <c r="E18" i="67"/>
  <c r="A18" i="67"/>
  <c r="E17" i="67"/>
  <c r="A17" i="67"/>
  <c r="E16" i="67"/>
  <c r="A16" i="67"/>
  <c r="E15" i="67"/>
  <c r="A15" i="67"/>
  <c r="E14" i="67"/>
  <c r="A14" i="67"/>
  <c r="E13" i="67"/>
  <c r="A13" i="67"/>
  <c r="E12" i="67"/>
  <c r="A12" i="67"/>
  <c r="E11" i="67"/>
  <c r="A11" i="67"/>
  <c r="E10" i="67"/>
  <c r="A10" i="67"/>
  <c r="E9" i="67"/>
  <c r="A9" i="67"/>
  <c r="E8" i="67"/>
  <c r="A8" i="67"/>
  <c r="E7" i="67"/>
  <c r="A7" i="67"/>
  <c r="E6" i="67"/>
  <c r="A6" i="67"/>
  <c r="E5" i="67"/>
  <c r="A5" i="67"/>
  <c r="E4" i="67"/>
  <c r="A4" i="67"/>
  <c r="E3" i="67"/>
  <c r="A3" i="67"/>
  <c r="E2" i="67"/>
  <c r="A2" i="67"/>
  <c r="E40" i="66"/>
  <c r="A40" i="66"/>
  <c r="E39" i="66"/>
  <c r="A39" i="66"/>
  <c r="E38" i="66"/>
  <c r="A38" i="66"/>
  <c r="E37" i="66"/>
  <c r="A37" i="66"/>
  <c r="E36" i="66"/>
  <c r="A36" i="66"/>
  <c r="E35" i="66"/>
  <c r="A35" i="66"/>
  <c r="E34" i="66"/>
  <c r="A34" i="66"/>
  <c r="E33" i="66"/>
  <c r="A33" i="66"/>
  <c r="E32" i="66"/>
  <c r="A32" i="66"/>
  <c r="E31" i="66"/>
  <c r="A31" i="66"/>
  <c r="E30" i="66"/>
  <c r="A30" i="66"/>
  <c r="E29" i="66"/>
  <c r="A29" i="66"/>
  <c r="E28" i="66"/>
  <c r="A28" i="66"/>
  <c r="E27" i="66"/>
  <c r="A27" i="66"/>
  <c r="E26" i="66"/>
  <c r="A26" i="66"/>
  <c r="E25" i="66"/>
  <c r="A25" i="66"/>
  <c r="E24" i="66"/>
  <c r="A24" i="66"/>
  <c r="E23" i="66"/>
  <c r="A23" i="66"/>
  <c r="E22" i="66"/>
  <c r="A22" i="66"/>
  <c r="E21" i="66"/>
  <c r="A21" i="66"/>
  <c r="E20" i="66"/>
  <c r="A20" i="66"/>
  <c r="E19" i="66"/>
  <c r="A19" i="66"/>
  <c r="E18" i="66"/>
  <c r="A18" i="66"/>
  <c r="E17" i="66"/>
  <c r="A17" i="66"/>
  <c r="E16" i="66"/>
  <c r="A16" i="66"/>
  <c r="E15" i="66"/>
  <c r="A15" i="66"/>
  <c r="E14" i="66"/>
  <c r="A14" i="66"/>
  <c r="E13" i="66"/>
  <c r="A13" i="66"/>
  <c r="E12" i="66"/>
  <c r="A12" i="66"/>
  <c r="E11" i="66"/>
  <c r="A11" i="66"/>
  <c r="E10" i="66"/>
  <c r="A10" i="66"/>
  <c r="E9" i="66"/>
  <c r="A9" i="66"/>
  <c r="E8" i="66"/>
  <c r="A8" i="66"/>
  <c r="E7" i="66"/>
  <c r="A7" i="66"/>
  <c r="E6" i="66"/>
  <c r="A6" i="66"/>
  <c r="E5" i="66"/>
  <c r="A5" i="66"/>
  <c r="E4" i="66"/>
  <c r="A4" i="66"/>
  <c r="E3" i="66"/>
  <c r="A3" i="66"/>
  <c r="E2" i="66"/>
  <c r="A2" i="66"/>
  <c r="E40" i="65" l="1"/>
  <c r="A40" i="65"/>
  <c r="E39" i="65"/>
  <c r="A39" i="65"/>
  <c r="E38" i="65"/>
  <c r="A38" i="65"/>
  <c r="E37" i="65"/>
  <c r="A37" i="65"/>
  <c r="E36" i="65"/>
  <c r="A36" i="65"/>
  <c r="E35" i="65"/>
  <c r="A35" i="65"/>
  <c r="E34" i="65"/>
  <c r="A34" i="65"/>
  <c r="E33" i="65"/>
  <c r="A33" i="65"/>
  <c r="E32" i="65"/>
  <c r="A32" i="65"/>
  <c r="E31" i="65"/>
  <c r="A31" i="65"/>
  <c r="E30" i="65"/>
  <c r="A30" i="65"/>
  <c r="E29" i="65"/>
  <c r="A29" i="65"/>
  <c r="E28" i="65"/>
  <c r="A28" i="65"/>
  <c r="E27" i="65"/>
  <c r="A27" i="65"/>
  <c r="E26" i="65"/>
  <c r="A26" i="65"/>
  <c r="E25" i="65"/>
  <c r="A25" i="65"/>
  <c r="E24" i="65"/>
  <c r="A24" i="65"/>
  <c r="E23" i="65"/>
  <c r="A23" i="65"/>
  <c r="E22" i="65"/>
  <c r="A22" i="65"/>
  <c r="E21" i="65"/>
  <c r="A21" i="65"/>
  <c r="E20" i="65"/>
  <c r="A20" i="65"/>
  <c r="E19" i="65"/>
  <c r="A19" i="65"/>
  <c r="E18" i="65"/>
  <c r="A18" i="65"/>
  <c r="E17" i="65"/>
  <c r="A17" i="65"/>
  <c r="E16" i="65"/>
  <c r="A16" i="65"/>
  <c r="E15" i="65"/>
  <c r="A15" i="65"/>
  <c r="E14" i="65"/>
  <c r="A14" i="65"/>
  <c r="E13" i="65"/>
  <c r="A13" i="65"/>
  <c r="E12" i="65"/>
  <c r="A12" i="65"/>
  <c r="E11" i="65"/>
  <c r="A11" i="65"/>
  <c r="E10" i="65"/>
  <c r="A10" i="65"/>
  <c r="E9" i="65"/>
  <c r="A9" i="65"/>
  <c r="E8" i="65"/>
  <c r="A8" i="65"/>
  <c r="E7" i="65"/>
  <c r="A7" i="65"/>
  <c r="E6" i="65"/>
  <c r="A6" i="65"/>
  <c r="E5" i="65"/>
  <c r="A5" i="65"/>
  <c r="E4" i="65"/>
  <c r="A4" i="65"/>
  <c r="E3" i="65"/>
  <c r="A3" i="65"/>
  <c r="E2" i="65"/>
  <c r="A2" i="65"/>
  <c r="E2" i="64"/>
  <c r="E40" i="64"/>
  <c r="A40" i="64"/>
  <c r="E39" i="64"/>
  <c r="A39" i="64"/>
  <c r="E38" i="64"/>
  <c r="A38" i="64"/>
  <c r="E37" i="64"/>
  <c r="A37" i="64"/>
  <c r="E36" i="64"/>
  <c r="A36" i="64"/>
  <c r="E35" i="64"/>
  <c r="A35" i="64"/>
  <c r="E34" i="64"/>
  <c r="A34" i="64"/>
  <c r="E33" i="64"/>
  <c r="A33" i="64"/>
  <c r="E32" i="64"/>
  <c r="A32" i="64"/>
  <c r="E31" i="64"/>
  <c r="A31" i="64"/>
  <c r="E30" i="64"/>
  <c r="A30" i="64"/>
  <c r="E29" i="64"/>
  <c r="A29" i="64"/>
  <c r="E28" i="64"/>
  <c r="A28" i="64"/>
  <c r="E27" i="64"/>
  <c r="A27" i="64"/>
  <c r="E26" i="64"/>
  <c r="A26" i="64"/>
  <c r="E25" i="64"/>
  <c r="A25" i="64"/>
  <c r="E24" i="64"/>
  <c r="A24" i="64"/>
  <c r="E23" i="64"/>
  <c r="A23" i="64"/>
  <c r="E22" i="64"/>
  <c r="A22" i="64"/>
  <c r="E21" i="64"/>
  <c r="A21" i="64"/>
  <c r="E20" i="64"/>
  <c r="A20" i="64"/>
  <c r="E19" i="64"/>
  <c r="A19" i="64"/>
  <c r="E18" i="64"/>
  <c r="A18" i="64"/>
  <c r="E17" i="64"/>
  <c r="A17" i="64"/>
  <c r="E16" i="64"/>
  <c r="A16" i="64"/>
  <c r="E15" i="64"/>
  <c r="A15" i="64"/>
  <c r="E14" i="64"/>
  <c r="A14" i="64"/>
  <c r="E13" i="64"/>
  <c r="A13" i="64"/>
  <c r="E12" i="64"/>
  <c r="A12" i="64"/>
  <c r="E11" i="64"/>
  <c r="A11" i="64"/>
  <c r="E10" i="64"/>
  <c r="A10" i="64"/>
  <c r="E9" i="64"/>
  <c r="A9" i="64"/>
  <c r="E8" i="64"/>
  <c r="A8" i="64"/>
  <c r="E7" i="64"/>
  <c r="A7" i="64"/>
  <c r="E6" i="64"/>
  <c r="A6" i="64"/>
  <c r="E5" i="64"/>
  <c r="A5" i="64"/>
  <c r="E4" i="64"/>
  <c r="A4" i="64"/>
  <c r="E3" i="64"/>
  <c r="A3" i="64"/>
  <c r="A2" i="64"/>
  <c r="E41" i="63"/>
  <c r="A41" i="63"/>
  <c r="E40" i="63"/>
  <c r="A40" i="63"/>
  <c r="E39" i="63"/>
  <c r="A39" i="63"/>
  <c r="E38" i="63"/>
  <c r="A38" i="63"/>
  <c r="E37" i="63"/>
  <c r="A37" i="63"/>
  <c r="E36" i="63"/>
  <c r="A36" i="63"/>
  <c r="E35" i="63"/>
  <c r="A35" i="63"/>
  <c r="E34" i="63"/>
  <c r="A34" i="63"/>
  <c r="E33" i="63"/>
  <c r="A33" i="63"/>
  <c r="E32" i="63"/>
  <c r="A32" i="63"/>
  <c r="E31" i="63"/>
  <c r="A31" i="63"/>
  <c r="E30" i="63"/>
  <c r="A30" i="63"/>
  <c r="E29" i="63"/>
  <c r="A29" i="63"/>
  <c r="E28" i="63"/>
  <c r="A28" i="63"/>
  <c r="E27" i="63"/>
  <c r="A27" i="63"/>
  <c r="E26" i="63"/>
  <c r="A26" i="63"/>
  <c r="E25" i="63"/>
  <c r="A25" i="63"/>
  <c r="E24" i="63"/>
  <c r="A24" i="63"/>
  <c r="E23" i="63"/>
  <c r="A23" i="63"/>
  <c r="E22" i="63"/>
  <c r="A22" i="63"/>
  <c r="E21" i="63"/>
  <c r="A21" i="63"/>
  <c r="E20" i="63"/>
  <c r="A20" i="63"/>
  <c r="E19" i="63"/>
  <c r="A19" i="63"/>
  <c r="E18" i="63"/>
  <c r="A18" i="63"/>
  <c r="E17" i="63"/>
  <c r="A17" i="63"/>
  <c r="E16" i="63"/>
  <c r="A16" i="63"/>
  <c r="E15" i="63"/>
  <c r="A15" i="63"/>
  <c r="E14" i="63"/>
  <c r="A14" i="63"/>
  <c r="E13" i="63"/>
  <c r="A13" i="63"/>
  <c r="E12" i="63"/>
  <c r="A12" i="63"/>
  <c r="E11" i="63"/>
  <c r="A11" i="63"/>
  <c r="E10" i="63"/>
  <c r="A10" i="63"/>
  <c r="E9" i="63"/>
  <c r="A9" i="63"/>
  <c r="E8" i="63"/>
  <c r="A8" i="63"/>
  <c r="E7" i="63"/>
  <c r="A7" i="63"/>
  <c r="E6" i="63"/>
  <c r="A6" i="63"/>
  <c r="E5" i="63"/>
  <c r="A5" i="63"/>
  <c r="E4" i="63"/>
  <c r="A4" i="63"/>
  <c r="E3" i="63"/>
  <c r="A3" i="63"/>
  <c r="E2" i="63"/>
  <c r="A2" i="63"/>
  <c r="E42" i="62"/>
  <c r="A42" i="62"/>
  <c r="E41" i="62"/>
  <c r="A41" i="62"/>
  <c r="E40" i="62"/>
  <c r="A40" i="62"/>
  <c r="E39" i="62"/>
  <c r="A39" i="62"/>
  <c r="E38" i="62"/>
  <c r="A38" i="62"/>
  <c r="E37" i="62"/>
  <c r="A37" i="62"/>
  <c r="E36" i="62"/>
  <c r="A36" i="62"/>
  <c r="E35" i="62"/>
  <c r="A35" i="62"/>
  <c r="E34" i="62"/>
  <c r="A34" i="62"/>
  <c r="E33" i="62"/>
  <c r="A33" i="62"/>
  <c r="E32" i="62"/>
  <c r="A32" i="62"/>
  <c r="E31" i="62"/>
  <c r="A31" i="62"/>
  <c r="E30" i="62"/>
  <c r="A30" i="62"/>
  <c r="E29" i="62"/>
  <c r="A29" i="62"/>
  <c r="E28" i="62"/>
  <c r="A28" i="62"/>
  <c r="E27" i="62"/>
  <c r="A27" i="62"/>
  <c r="E26" i="62"/>
  <c r="A26" i="62"/>
  <c r="E25" i="62"/>
  <c r="A25" i="62"/>
  <c r="E24" i="62"/>
  <c r="A24" i="62"/>
  <c r="E23" i="62"/>
  <c r="A23" i="62"/>
  <c r="E22" i="62"/>
  <c r="A22" i="62"/>
  <c r="E21" i="62"/>
  <c r="A21" i="62"/>
  <c r="E20" i="62"/>
  <c r="A20" i="62"/>
  <c r="E19" i="62"/>
  <c r="A19" i="62"/>
  <c r="E18" i="62"/>
  <c r="A18" i="62"/>
  <c r="E17" i="62"/>
  <c r="A17" i="62"/>
  <c r="E16" i="62"/>
  <c r="A16" i="62"/>
  <c r="E15" i="62"/>
  <c r="A15" i="62"/>
  <c r="E14" i="62"/>
  <c r="A14" i="62"/>
  <c r="E13" i="62"/>
  <c r="A13" i="62"/>
  <c r="E12" i="62"/>
  <c r="A12" i="62"/>
  <c r="E11" i="62"/>
  <c r="A11" i="62"/>
  <c r="E10" i="62"/>
  <c r="A10" i="62"/>
  <c r="E9" i="62"/>
  <c r="A9" i="62"/>
  <c r="E8" i="62"/>
  <c r="A8" i="62"/>
  <c r="E7" i="62"/>
  <c r="A7" i="62"/>
  <c r="E6" i="62"/>
  <c r="A6" i="62"/>
  <c r="E5" i="62"/>
  <c r="A5" i="62"/>
  <c r="E4" i="62"/>
  <c r="A4" i="62"/>
  <c r="E3" i="62"/>
  <c r="A3" i="62"/>
  <c r="E2" i="62"/>
  <c r="A2" i="62"/>
  <c r="E29" i="61"/>
  <c r="A29" i="61"/>
  <c r="E42" i="61"/>
  <c r="A42" i="61"/>
  <c r="E41" i="61"/>
  <c r="A41" i="61"/>
  <c r="E40" i="61"/>
  <c r="A40" i="61"/>
  <c r="E39" i="61"/>
  <c r="A39" i="61"/>
  <c r="E38" i="61"/>
  <c r="A38" i="61"/>
  <c r="E37" i="61"/>
  <c r="A37" i="61"/>
  <c r="E36" i="61"/>
  <c r="A36" i="61"/>
  <c r="E35" i="61"/>
  <c r="A35" i="61"/>
  <c r="E34" i="61"/>
  <c r="A34" i="61"/>
  <c r="E33" i="61"/>
  <c r="A33" i="61"/>
  <c r="E32" i="61"/>
  <c r="A32" i="61"/>
  <c r="E31" i="61"/>
  <c r="A31" i="61"/>
  <c r="E30" i="61"/>
  <c r="A30" i="61"/>
  <c r="E28" i="61"/>
  <c r="A28" i="61"/>
  <c r="E27" i="61"/>
  <c r="A27" i="61"/>
  <c r="E26" i="61"/>
  <c r="A26" i="61"/>
  <c r="E25" i="61"/>
  <c r="A25" i="61"/>
  <c r="E24" i="61"/>
  <c r="A24" i="61"/>
  <c r="E23" i="61"/>
  <c r="A23" i="61"/>
  <c r="E22" i="61"/>
  <c r="A22" i="61"/>
  <c r="E21" i="61"/>
  <c r="A21" i="61"/>
  <c r="E20" i="61"/>
  <c r="A20" i="61"/>
  <c r="E19" i="61"/>
  <c r="A19" i="61"/>
  <c r="E18" i="61"/>
  <c r="A18" i="61"/>
  <c r="E17" i="61"/>
  <c r="A17" i="61"/>
  <c r="E16" i="61"/>
  <c r="A16" i="61"/>
  <c r="E15" i="61"/>
  <c r="A15" i="61"/>
  <c r="E14" i="61"/>
  <c r="A14" i="61"/>
  <c r="E13" i="61"/>
  <c r="A13" i="61"/>
  <c r="E12" i="61"/>
  <c r="A12" i="61"/>
  <c r="E11" i="61"/>
  <c r="A11" i="61"/>
  <c r="E10" i="61"/>
  <c r="A10" i="61"/>
  <c r="E9" i="61"/>
  <c r="A9" i="61"/>
  <c r="E8" i="61"/>
  <c r="A8" i="61"/>
  <c r="E7" i="61"/>
  <c r="A7" i="61"/>
  <c r="E6" i="61"/>
  <c r="A6" i="61"/>
  <c r="E5" i="61"/>
  <c r="A5" i="61"/>
  <c r="E4" i="61"/>
  <c r="A4" i="61"/>
  <c r="E3" i="61"/>
  <c r="A3" i="61"/>
  <c r="E2" i="61"/>
  <c r="A2" i="61"/>
</calcChain>
</file>

<file path=xl/sharedStrings.xml><?xml version="1.0" encoding="utf-8"?>
<sst xmlns="http://schemas.openxmlformats.org/spreadsheetml/2006/main" count="929" uniqueCount="71">
  <si>
    <t xml:space="preserve">HISTORICO </t>
  </si>
  <si>
    <t>DATA COMPETENCIA</t>
  </si>
  <si>
    <t>BROKER</t>
  </si>
  <si>
    <t>VALOR</t>
  </si>
  <si>
    <t>FORNECEDOR</t>
  </si>
  <si>
    <t>DATA LANCAMENTO</t>
  </si>
  <si>
    <t>CODIGO CLIENTE</t>
  </si>
  <si>
    <t>PERCENTUAL</t>
  </si>
  <si>
    <t xml:space="preserve">CONTA CONTABIL </t>
  </si>
  <si>
    <t xml:space="preserve">INSTITUCIONAL </t>
  </si>
  <si>
    <t xml:space="preserve">CUSTO </t>
  </si>
  <si>
    <t>EQUITIES</t>
  </si>
  <si>
    <t xml:space="preserve"> - </t>
  </si>
  <si>
    <t xml:space="preserve"> - MESA </t>
  </si>
  <si>
    <t>VINICIUS AMARAL DE MOURA</t>
  </si>
  <si>
    <t>ALEXANDRE DA COSTA SOARES</t>
  </si>
  <si>
    <t>ANTONIO AUGUSTO DAS CHAGAS CARVALHO</t>
  </si>
  <si>
    <t>ANDREA LICASSIA ALMEIDA SANTOS</t>
  </si>
  <si>
    <t>ANTONIO AGIZ FILHO</t>
  </si>
  <si>
    <t>CARLA REGINA DE SOUZA CARREIRA</t>
  </si>
  <si>
    <t>EDUARDO TADEU CARAPIA UTTEMBERG</t>
  </si>
  <si>
    <t>JOSÉ VERGARA</t>
  </si>
  <si>
    <t>DANIEL TEIXEIRA SIQUEIRA GONÇALVES</t>
  </si>
  <si>
    <t>CESAR MARIANO SCARAMBONE MENEZES</t>
  </si>
  <si>
    <t>FABIO SOARES PFAENDER</t>
  </si>
  <si>
    <t>RICARDO ANDRE VASCONCELOS RAMOS</t>
  </si>
  <si>
    <t>WESLEY MARQUES DA SILVA</t>
  </si>
  <si>
    <t>CLYBAS PINTO FERRAZ NETO</t>
  </si>
  <si>
    <t>CARLOS JOSE SEPPE MILANI</t>
  </si>
  <si>
    <t>FX FUTURES</t>
  </si>
  <si>
    <t>ALVARO LUIZ RICOTTA SOARES</t>
  </si>
  <si>
    <t>FRANCISCO JOSE DIAS CARVALHO</t>
  </si>
  <si>
    <t>RAFFAELE SCURTI NETTO</t>
  </si>
  <si>
    <t>CHRISTIANO MARCONDES DE BARROS LIMA</t>
  </si>
  <si>
    <t>VOLATILITY IDI</t>
  </si>
  <si>
    <t>VOLATILITY FX</t>
  </si>
  <si>
    <t>JOSE MAURICIO GOMES TEIXEIRA</t>
  </si>
  <si>
    <t xml:space="preserve">FX SPOT </t>
  </si>
  <si>
    <t>RICARDO FERREIRA DA COSTA</t>
  </si>
  <si>
    <t xml:space="preserve">DI FUTURES </t>
  </si>
  <si>
    <t>INFLATION BONDS</t>
  </si>
  <si>
    <t>PUBLIC BONDS</t>
  </si>
  <si>
    <t>ANTÔNIO MARTINS NETO</t>
  </si>
  <si>
    <t>HAMILTON DEL MONACO FILHO</t>
  </si>
  <si>
    <t>ANDRE FERREIRA DOS SANTOS</t>
  </si>
  <si>
    <t>RODRIGO PENTAGNA</t>
  </si>
  <si>
    <t>GUSTAVO D ELBOUX FERRIELLO</t>
  </si>
  <si>
    <t>JUAREZ JOAQUIM DE LACERDA</t>
  </si>
  <si>
    <t>NDF OFFSHORE</t>
  </si>
  <si>
    <t>FELIPE GOMES BASILE</t>
  </si>
  <si>
    <t>CORPORATE BONDS</t>
  </si>
  <si>
    <t>ENRICO BORTPLUZO CASSIANO</t>
  </si>
  <si>
    <t>OFFSHORE LISTED</t>
  </si>
  <si>
    <t>ALEXANDRE BRENO STEVENS</t>
  </si>
  <si>
    <t>FELIPE MEIRELLES RACCAH</t>
  </si>
  <si>
    <t>EDRAS DURAES D ANUNCIACAO</t>
  </si>
  <si>
    <t>FERNANDA CORVELLO BUTRICO</t>
  </si>
  <si>
    <t>BRENO MELLO DOS SANTOS</t>
  </si>
  <si>
    <t>PAULO GUILHERME MENEZES FELIX</t>
  </si>
  <si>
    <t>ANDRE LUIZ MARQUES MATTOS</t>
  </si>
  <si>
    <t>RAFAEL FERREIRA DE MAGALHAES</t>
  </si>
  <si>
    <t>REINALDO ANDRE URBANO FILHO</t>
  </si>
  <si>
    <t xml:space="preserve"> JANEIRO/2026</t>
  </si>
  <si>
    <t>NAYANA IVO DE ALMEIDA</t>
  </si>
  <si>
    <t>NDF</t>
  </si>
  <si>
    <t xml:space="preserve"> FEVEREIRO/2026</t>
  </si>
  <si>
    <t xml:space="preserve"> MARÇO/2026</t>
  </si>
  <si>
    <t xml:space="preserve"> ABRIL/2026</t>
  </si>
  <si>
    <t xml:space="preserve"> MAIO/2026</t>
  </si>
  <si>
    <t xml:space="preserve"> JUNHO/2026</t>
  </si>
  <si>
    <t xml:space="preserve"> JULHO/2026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</si>
</sst>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* #,##0.00_);_(* \(#,##0.00\);_(* &quot;-&quot;??_);_(@_)"/>
    <numFmt numFmtId="165" formatCode="0.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14" fontId="3" fillId="0" borderId="0" xfId="0" applyNumberFormat="1" applyFont="1"/>
    <xf numFmtId="164" fontId="3" fillId="0" borderId="0" xfId="1" applyFont="1"/>
    <xf numFmtId="0" fontId="3" fillId="2" borderId="0" xfId="0" applyFont="1" applyFill="1"/>
    <xf numFmtId="164" fontId="3" fillId="2" borderId="0" xfId="1" applyFont="1" applyFill="1"/>
    <xf numFmtId="10" fontId="3" fillId="2" borderId="0" xfId="2" applyNumberFormat="1" applyFont="1" applyFill="1"/>
    <xf numFmtId="10" fontId="2" fillId="0" borderId="0" xfId="2" applyNumberFormat="1" applyFont="1" applyAlignment="1">
      <alignment vertical="center"/>
    </xf>
    <xf numFmtId="10" fontId="0" fillId="0" borderId="0" xfId="2" applyNumberFormat="1" applyFont="1"/>
    <xf numFmtId="0" fontId="4" fillId="3" borderId="0" xfId="0" applyFont="1" applyFill="1" applyAlignment="1">
      <alignment vertical="center"/>
    </xf>
    <xf numFmtId="14" fontId="4" fillId="3" borderId="0" xfId="0" applyNumberFormat="1" applyFont="1" applyFill="1" applyAlignment="1">
      <alignment horizontal="center" vertical="center"/>
    </xf>
    <xf numFmtId="17" fontId="2" fillId="0" borderId="0" xfId="0" applyNumberFormat="1" applyFont="1" applyAlignment="1">
      <alignment vertical="center"/>
    </xf>
    <xf numFmtId="164" fontId="4" fillId="3" borderId="0" xfId="1" applyFont="1" applyFill="1" applyAlignment="1">
      <alignment vertical="center"/>
    </xf>
    <xf numFmtId="164" fontId="0" fillId="0" borderId="0" xfId="1" applyFont="1"/>
    <xf numFmtId="0" fontId="3" fillId="0" borderId="1" xfId="0" applyFont="1" applyBorder="1"/>
    <xf numFmtId="14" fontId="3" fillId="0" borderId="1" xfId="0" applyNumberFormat="1" applyFont="1" applyBorder="1"/>
    <xf numFmtId="164" fontId="3" fillId="0" borderId="1" xfId="1" applyFont="1" applyBorder="1"/>
    <xf numFmtId="0" fontId="3" fillId="2" borderId="1" xfId="0" applyFont="1" applyFill="1" applyBorder="1"/>
    <xf numFmtId="164" fontId="3" fillId="2" borderId="1" xfId="1" applyFont="1" applyFill="1" applyBorder="1"/>
    <xf numFmtId="10" fontId="3" fillId="2" borderId="1" xfId="2" applyNumberFormat="1" applyFont="1" applyFill="1" applyBorder="1"/>
    <xf numFmtId="0" fontId="3" fillId="2" borderId="2" xfId="0" applyFont="1" applyFill="1" applyBorder="1"/>
    <xf numFmtId="164" fontId="3" fillId="2" borderId="2" xfId="1" applyFont="1" applyFill="1" applyBorder="1"/>
    <xf numFmtId="10" fontId="3" fillId="2" borderId="2" xfId="2" applyNumberFormat="1" applyFont="1" applyFill="1" applyBorder="1"/>
    <xf numFmtId="0" fontId="3" fillId="0" borderId="2" xfId="0" applyFont="1" applyBorder="1"/>
    <xf numFmtId="14" fontId="3" fillId="0" borderId="2" xfId="0" applyNumberFormat="1" applyFont="1" applyBorder="1"/>
    <xf numFmtId="164" fontId="3" fillId="0" borderId="2" xfId="1" applyFont="1" applyBorder="1"/>
    <xf numFmtId="9" fontId="0" fillId="0" borderId="0" xfId="2" applyFont="1" applyBorder="1"/>
    <xf numFmtId="10" fontId="3" fillId="2" borderId="3" xfId="2" applyNumberFormat="1" applyFont="1" applyFill="1" applyBorder="1"/>
    <xf numFmtId="10" fontId="3" fillId="2" borderId="0" xfId="2" applyNumberFormat="1" applyFont="1" applyFill="1" applyBorder="1"/>
    <xf numFmtId="164" fontId="3" fillId="0" borderId="0" xfId="1" applyFont="1" applyBorder="1"/>
    <xf numFmtId="164" fontId="3" fillId="2" borderId="0" xfId="1" applyFont="1" applyFill="1" applyBorder="1"/>
    <xf numFmtId="165" fontId="0" fillId="0" borderId="0" xfId="0" applyNumberFormat="1"/>
    <xf numFmtId="9" fontId="0" fillId="0" borderId="0" xfId="2" applyFont="1"/>
  </cellXfs>
  <cellStyles count="3">
    <cellStyle name="Comma" xfId="1" builtinId="3"/>
    <cellStyle name="Normal" xfId="0" builtinId="0"/>
    <cellStyle name="Percent" xfId="2" builtinId="5"/>
  </cellStyles>
  <dxfs count="0"/>
  <tableStyles count="1" defaultTableStyle="TableStyleMedium2" defaultPivotStyle="PivotStyleLight16">
    <tableStyle name="Invisible" pivot="0" table="0" count="0" xr9:uid="{B7BA9F1B-2B05-44A1-99A1-7DB9F309C39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D8E12-2CAE-4BD4-9D2D-0078ABAABA31}">
  <sheetPr codeName="Sheet1"/>
  <dimension ref="A1:O42"/>
  <sheetViews>
    <sheetView showGridLines="0" topLeftCell="A8" workbookViewId="0">
      <selection activeCell="A2" sqref="A2:H42"/>
    </sheetView>
  </sheetViews>
  <sheetFormatPr defaultRowHeight="15" x14ac:dyDescent="0.25"/>
  <cols>
    <col min="1" max="1" width="44.140625" bestFit="1" customWidth="1"/>
    <col min="2" max="2" width="14.7109375" bestFit="1" customWidth="1"/>
    <col min="3" max="3" width="12.7109375" bestFit="1" customWidth="1"/>
    <col min="4" max="4" width="34" bestFit="1" customWidth="1"/>
    <col min="5" max="5" width="10.5703125" style="14" bestFit="1" customWidth="1"/>
    <col min="6" max="6" width="12.28515625" customWidth="1"/>
    <col min="7" max="7" width="14.5703125" customWidth="1"/>
    <col min="8" max="8" width="11.7109375" customWidth="1"/>
    <col min="9" max="9" width="9.140625" customWidth="1"/>
    <col min="10" max="10" width="13.7109375" customWidth="1"/>
    <col min="11" max="11" width="11.28515625" bestFit="1" customWidth="1"/>
    <col min="12" max="12" width="9.140625" style="9"/>
    <col min="14" max="14" width="15.42578125" bestFit="1" customWidth="1"/>
  </cols>
  <sheetData>
    <row r="1" spans="1:15" x14ac:dyDescent="0.25">
      <c r="A1" s="10" t="s">
        <v>0</v>
      </c>
      <c r="B1" s="11" t="s">
        <v>1</v>
      </c>
      <c r="C1" s="10" t="s">
        <v>8</v>
      </c>
      <c r="D1" s="10" t="s">
        <v>2</v>
      </c>
      <c r="E1" s="13" t="s">
        <v>3</v>
      </c>
      <c r="F1" s="10" t="s">
        <v>4</v>
      </c>
      <c r="G1" s="11" t="s">
        <v>5</v>
      </c>
      <c r="H1" s="10" t="s">
        <v>6</v>
      </c>
      <c r="I1" s="1" t="s">
        <v>12</v>
      </c>
      <c r="J1" s="1" t="s">
        <v>13</v>
      </c>
      <c r="K1" s="1" t="s">
        <v>3</v>
      </c>
      <c r="L1" s="8" t="s">
        <v>7</v>
      </c>
      <c r="M1" s="1" t="s">
        <v>10</v>
      </c>
      <c r="N1" s="12" t="s">
        <v>62</v>
      </c>
    </row>
    <row r="2" spans="1:15" x14ac:dyDescent="0.25">
      <c r="A2" s="2" t="str">
        <f>CONCATENATE($M$1,F2,$J$1,J2,$I$1,$N$1)</f>
        <v>CUSTO INSTITUCIONAL  - MESA EQUITIES -  JANEIRO/2026</v>
      </c>
      <c r="B2" s="3">
        <v>46023</v>
      </c>
      <c r="C2" s="2">
        <v>817392</v>
      </c>
      <c r="D2" s="2" t="s">
        <v>15</v>
      </c>
      <c r="E2" s="4">
        <f t="shared" ref="E2:E3" si="0">K2*L2</f>
        <v>-2290.9115864294831</v>
      </c>
      <c r="F2" s="2" t="s">
        <v>9</v>
      </c>
      <c r="G2" s="3">
        <v>46023</v>
      </c>
      <c r="H2" s="2">
        <v>1170</v>
      </c>
      <c r="I2" s="2"/>
      <c r="J2" s="5" t="s">
        <v>11</v>
      </c>
      <c r="K2" s="6">
        <v>-10309.205230984984</v>
      </c>
      <c r="L2" s="7">
        <v>0.22222</v>
      </c>
    </row>
    <row r="3" spans="1:15" x14ac:dyDescent="0.25">
      <c r="A3" s="2" t="str">
        <f>CONCATENATE($M$1,F3,$J$1,J3,$I$1,$N$1)</f>
        <v>CUSTO INSTITUCIONAL  - MESA EQUITIES -  JANEIRO/2026</v>
      </c>
      <c r="B3" s="3">
        <v>46023</v>
      </c>
      <c r="C3" s="2">
        <v>817392</v>
      </c>
      <c r="D3" s="2" t="s">
        <v>59</v>
      </c>
      <c r="E3" s="4">
        <f t="shared" si="0"/>
        <v>-1145.4557932147416</v>
      </c>
      <c r="F3" s="2" t="s">
        <v>9</v>
      </c>
      <c r="G3" s="3">
        <v>46023</v>
      </c>
      <c r="H3" s="2">
        <v>1170</v>
      </c>
      <c r="I3" s="2"/>
      <c r="J3" s="5" t="s">
        <v>11</v>
      </c>
      <c r="K3" s="6">
        <v>-10309.205230984984</v>
      </c>
      <c r="L3" s="7">
        <v>0.11111</v>
      </c>
    </row>
    <row r="4" spans="1:15" x14ac:dyDescent="0.25">
      <c r="A4" s="2" t="str">
        <f t="shared" ref="A4:A26" si="1">CONCATENATE($M$1,F4,$J$1,J4,$I$1,$N$1)</f>
        <v>CUSTO INSTITUCIONAL  - MESA EQUITIES -  JANEIRO/2026</v>
      </c>
      <c r="B4" s="3">
        <v>46023</v>
      </c>
      <c r="C4" s="2">
        <v>817392</v>
      </c>
      <c r="D4" s="2" t="s">
        <v>43</v>
      </c>
      <c r="E4" s="4">
        <f>K4*L4</f>
        <v>-1145.4557932147416</v>
      </c>
      <c r="F4" s="2" t="s">
        <v>9</v>
      </c>
      <c r="G4" s="3">
        <v>46023</v>
      </c>
      <c r="H4" s="2">
        <v>1170</v>
      </c>
      <c r="I4" s="2"/>
      <c r="J4" s="5" t="s">
        <v>11</v>
      </c>
      <c r="K4" s="6">
        <v>-10309.205230984984</v>
      </c>
      <c r="L4" s="7">
        <v>0.11111</v>
      </c>
      <c r="O4" s="32"/>
    </row>
    <row r="5" spans="1:15" x14ac:dyDescent="0.25">
      <c r="A5" s="2" t="str">
        <f t="shared" si="1"/>
        <v>CUSTO INSTITUCIONAL  - MESA EQUITIES -  JANEIRO/2026</v>
      </c>
      <c r="B5" s="3">
        <v>46023</v>
      </c>
      <c r="C5" s="2">
        <v>817392</v>
      </c>
      <c r="D5" s="2" t="s">
        <v>60</v>
      </c>
      <c r="E5" s="4">
        <f>K5*L5</f>
        <v>-1145.4557932147416</v>
      </c>
      <c r="F5" s="2" t="s">
        <v>9</v>
      </c>
      <c r="G5" s="3">
        <v>46023</v>
      </c>
      <c r="H5" s="2">
        <v>1170</v>
      </c>
      <c r="I5" s="2"/>
      <c r="J5" s="5" t="s">
        <v>11</v>
      </c>
      <c r="K5" s="6">
        <v>-10309.205230984984</v>
      </c>
      <c r="L5" s="7">
        <v>0.11111</v>
      </c>
    </row>
    <row r="6" spans="1:15" x14ac:dyDescent="0.25">
      <c r="A6" s="2" t="str">
        <f t="shared" si="1"/>
        <v>CUSTO INSTITUCIONAL  - MESA EQUITIES -  JANEIRO/2026</v>
      </c>
      <c r="B6" s="3">
        <v>46023</v>
      </c>
      <c r="C6" s="2">
        <v>817392</v>
      </c>
      <c r="D6" s="2" t="s">
        <v>45</v>
      </c>
      <c r="E6" s="4">
        <f>K6*L6</f>
        <v>-1145.4557932147416</v>
      </c>
      <c r="F6" s="2" t="s">
        <v>9</v>
      </c>
      <c r="G6" s="3">
        <v>46023</v>
      </c>
      <c r="H6" s="2">
        <v>1170</v>
      </c>
      <c r="I6" s="2"/>
      <c r="J6" s="5" t="s">
        <v>11</v>
      </c>
      <c r="K6" s="6">
        <v>-10309.205230984984</v>
      </c>
      <c r="L6" s="7">
        <v>0.11111</v>
      </c>
    </row>
    <row r="7" spans="1:15" x14ac:dyDescent="0.25">
      <c r="A7" s="2" t="str">
        <f t="shared" si="1"/>
        <v>CUSTO INSTITUCIONAL  - MESA EQUITIES -  JANEIRO/2026</v>
      </c>
      <c r="B7" s="3">
        <v>46023</v>
      </c>
      <c r="C7" s="2">
        <v>817392</v>
      </c>
      <c r="D7" s="2" t="s">
        <v>14</v>
      </c>
      <c r="E7" s="4">
        <f t="shared" ref="E7:E42" si="2">K7*L7</f>
        <v>-1145.4557932147416</v>
      </c>
      <c r="F7" s="2" t="s">
        <v>9</v>
      </c>
      <c r="G7" s="3">
        <v>46023</v>
      </c>
      <c r="H7" s="2">
        <v>1170</v>
      </c>
      <c r="I7" s="2"/>
      <c r="J7" s="5" t="s">
        <v>11</v>
      </c>
      <c r="K7" s="6">
        <v>-10309.205230984984</v>
      </c>
      <c r="L7" s="7">
        <v>0.11111</v>
      </c>
    </row>
    <row r="8" spans="1:15" x14ac:dyDescent="0.25">
      <c r="A8" s="2" t="str">
        <f t="shared" si="1"/>
        <v>CUSTO INSTITUCIONAL  - MESA EQUITIES -  JANEIRO/2026</v>
      </c>
      <c r="B8" s="3">
        <v>46023</v>
      </c>
      <c r="C8" s="2">
        <v>817392</v>
      </c>
      <c r="D8" s="2" t="s">
        <v>49</v>
      </c>
      <c r="E8" s="4">
        <f t="shared" si="2"/>
        <v>-1145.4557932147416</v>
      </c>
      <c r="F8" s="2" t="s">
        <v>9</v>
      </c>
      <c r="G8" s="3">
        <v>46023</v>
      </c>
      <c r="H8" s="2">
        <v>1170</v>
      </c>
      <c r="I8" s="2"/>
      <c r="J8" s="5" t="s">
        <v>11</v>
      </c>
      <c r="K8" s="6">
        <v>-10309.205230984984</v>
      </c>
      <c r="L8" s="7">
        <v>0.11111</v>
      </c>
    </row>
    <row r="9" spans="1:15" x14ac:dyDescent="0.25">
      <c r="A9" s="15" t="str">
        <f t="shared" si="1"/>
        <v>CUSTO INSTITUCIONAL  - MESA OFFSHORE LISTED -  JANEIRO/2026</v>
      </c>
      <c r="B9" s="16">
        <v>46023</v>
      </c>
      <c r="C9" s="15">
        <v>817392</v>
      </c>
      <c r="D9" s="15" t="s">
        <v>52</v>
      </c>
      <c r="E9" s="17">
        <f t="shared" si="2"/>
        <v>-1145.4557932147416</v>
      </c>
      <c r="F9" s="15" t="s">
        <v>9</v>
      </c>
      <c r="G9" s="16">
        <v>46023</v>
      </c>
      <c r="H9" s="15">
        <v>1170</v>
      </c>
      <c r="I9" s="2"/>
      <c r="J9" s="18" t="s">
        <v>52</v>
      </c>
      <c r="K9" s="6">
        <v>-10309.205230984984</v>
      </c>
      <c r="L9" s="7">
        <v>0.11111</v>
      </c>
    </row>
    <row r="10" spans="1:15" x14ac:dyDescent="0.25">
      <c r="A10" s="24" t="str">
        <f t="shared" si="1"/>
        <v>CUSTO INSTITUCIONAL  - MESA VOLATILITY IDI -  JANEIRO/2026</v>
      </c>
      <c r="B10" s="16">
        <v>46023</v>
      </c>
      <c r="C10" s="24">
        <v>817392</v>
      </c>
      <c r="D10" s="24" t="s">
        <v>33</v>
      </c>
      <c r="E10" s="26">
        <f t="shared" si="2"/>
        <v>-11625.273983876683</v>
      </c>
      <c r="F10" s="24" t="s">
        <v>9</v>
      </c>
      <c r="G10" s="25">
        <v>46023</v>
      </c>
      <c r="H10" s="24">
        <v>1170</v>
      </c>
      <c r="I10" s="2"/>
      <c r="J10" s="21" t="s">
        <v>34</v>
      </c>
      <c r="K10" s="22">
        <v>-11625.273983876683</v>
      </c>
      <c r="L10" s="23">
        <v>1</v>
      </c>
    </row>
    <row r="11" spans="1:15" x14ac:dyDescent="0.25">
      <c r="A11" s="15" t="str">
        <f t="shared" si="1"/>
        <v>CUSTO INSTITUCIONAL  - MESA VOLATILITY FX -  JANEIRO/2026</v>
      </c>
      <c r="B11" s="25">
        <v>46023</v>
      </c>
      <c r="C11" s="15">
        <v>817392</v>
      </c>
      <c r="D11" s="15" t="s">
        <v>36</v>
      </c>
      <c r="E11" s="17">
        <f t="shared" si="2"/>
        <v>-10967.239607430834</v>
      </c>
      <c r="F11" s="15" t="s">
        <v>9</v>
      </c>
      <c r="G11" s="16">
        <v>46023</v>
      </c>
      <c r="H11" s="15">
        <v>1170</v>
      </c>
      <c r="I11" s="2"/>
      <c r="J11" s="18" t="s">
        <v>35</v>
      </c>
      <c r="K11" s="22">
        <v>-10967.239607430834</v>
      </c>
      <c r="L11" s="20">
        <v>1</v>
      </c>
    </row>
    <row r="12" spans="1:15" x14ac:dyDescent="0.25">
      <c r="A12" s="2" t="str">
        <f t="shared" si="1"/>
        <v>CUSTO INSTITUCIONAL  - MESA FX SPOT  -  JANEIRO/2026</v>
      </c>
      <c r="B12" s="3">
        <v>46023</v>
      </c>
      <c r="C12" s="2">
        <v>817392</v>
      </c>
      <c r="D12" s="2" t="s">
        <v>17</v>
      </c>
      <c r="E12" s="4">
        <f t="shared" si="2"/>
        <v>-1410.0736638125356</v>
      </c>
      <c r="F12" s="2" t="s">
        <v>9</v>
      </c>
      <c r="G12" s="3">
        <v>46023</v>
      </c>
      <c r="H12" s="2">
        <v>1170</v>
      </c>
      <c r="I12" s="2"/>
      <c r="J12" s="5" t="s">
        <v>37</v>
      </c>
      <c r="K12" s="6">
        <v>-9870.5156466877506</v>
      </c>
      <c r="L12" s="7">
        <v>0.14285714285714285</v>
      </c>
    </row>
    <row r="13" spans="1:15" x14ac:dyDescent="0.25">
      <c r="A13" s="2" t="str">
        <f t="shared" si="1"/>
        <v>CUSTO INSTITUCIONAL  - MESA FX SPOT  -  JANEIRO/2026</v>
      </c>
      <c r="B13" s="3">
        <v>46023</v>
      </c>
      <c r="C13" s="2">
        <v>817392</v>
      </c>
      <c r="D13" s="2" t="s">
        <v>18</v>
      </c>
      <c r="E13" s="4">
        <f t="shared" si="2"/>
        <v>-1410.0736638125356</v>
      </c>
      <c r="F13" s="2" t="s">
        <v>9</v>
      </c>
      <c r="G13" s="3">
        <v>46023</v>
      </c>
      <c r="H13" s="2">
        <v>1170</v>
      </c>
      <c r="I13" s="2"/>
      <c r="J13" s="5" t="s">
        <v>37</v>
      </c>
      <c r="K13" s="6">
        <v>-9870.5156466877506</v>
      </c>
      <c r="L13" s="7">
        <v>0.14285714285714285</v>
      </c>
    </row>
    <row r="14" spans="1:15" x14ac:dyDescent="0.25">
      <c r="A14" s="2" t="str">
        <f t="shared" si="1"/>
        <v>CUSTO INSTITUCIONAL  - MESA FX SPOT  -  JANEIRO/2026</v>
      </c>
      <c r="B14" s="3">
        <v>46023</v>
      </c>
      <c r="C14" s="2">
        <v>817392</v>
      </c>
      <c r="D14" s="2" t="s">
        <v>16</v>
      </c>
      <c r="E14" s="4">
        <f t="shared" si="2"/>
        <v>-1410.0736638125356</v>
      </c>
      <c r="F14" s="2" t="s">
        <v>9</v>
      </c>
      <c r="G14" s="3">
        <v>46023</v>
      </c>
      <c r="H14" s="2">
        <v>1170</v>
      </c>
      <c r="I14" s="2"/>
      <c r="J14" s="5" t="s">
        <v>37</v>
      </c>
      <c r="K14" s="6">
        <v>-9870.5156466877506</v>
      </c>
      <c r="L14" s="7">
        <v>0.14285714285714285</v>
      </c>
    </row>
    <row r="15" spans="1:15" x14ac:dyDescent="0.25">
      <c r="A15" s="2" t="str">
        <f t="shared" si="1"/>
        <v>CUSTO INSTITUCIONAL  - MESA FX SPOT  -  JANEIRO/2026</v>
      </c>
      <c r="B15" s="3">
        <v>46023</v>
      </c>
      <c r="C15" s="2">
        <v>817392</v>
      </c>
      <c r="D15" s="2" t="s">
        <v>19</v>
      </c>
      <c r="E15" s="4">
        <f t="shared" si="2"/>
        <v>-1410.0736638125356</v>
      </c>
      <c r="F15" s="2" t="s">
        <v>9</v>
      </c>
      <c r="G15" s="3">
        <v>46023</v>
      </c>
      <c r="H15" s="2">
        <v>1170</v>
      </c>
      <c r="I15" s="2"/>
      <c r="J15" s="5" t="s">
        <v>37</v>
      </c>
      <c r="K15" s="6">
        <v>-9870.5156466877506</v>
      </c>
      <c r="L15" s="7">
        <v>0.14285714285714285</v>
      </c>
    </row>
    <row r="16" spans="1:15" x14ac:dyDescent="0.25">
      <c r="A16" s="2" t="str">
        <f t="shared" si="1"/>
        <v>CUSTO INSTITUCIONAL  - MESA FX SPOT  -  JANEIRO/2026</v>
      </c>
      <c r="B16" s="3">
        <v>46023</v>
      </c>
      <c r="C16" s="2">
        <v>817392</v>
      </c>
      <c r="D16" s="2" t="s">
        <v>20</v>
      </c>
      <c r="E16" s="4">
        <f t="shared" si="2"/>
        <v>-1410.0736638125356</v>
      </c>
      <c r="F16" s="2" t="s">
        <v>9</v>
      </c>
      <c r="G16" s="3">
        <v>46023</v>
      </c>
      <c r="H16" s="2">
        <v>1170</v>
      </c>
      <c r="I16" s="2"/>
      <c r="J16" s="5" t="s">
        <v>37</v>
      </c>
      <c r="K16" s="6">
        <v>-9870.5156466877506</v>
      </c>
      <c r="L16" s="7">
        <v>0.14285714285714285</v>
      </c>
    </row>
    <row r="17" spans="1:14" x14ac:dyDescent="0.25">
      <c r="A17" s="2" t="str">
        <f t="shared" si="1"/>
        <v>CUSTO INSTITUCIONAL  - MESA FX SPOT  -  JANEIRO/2026</v>
      </c>
      <c r="B17" s="3">
        <v>46023</v>
      </c>
      <c r="C17" s="2">
        <v>817392</v>
      </c>
      <c r="D17" s="2" t="s">
        <v>21</v>
      </c>
      <c r="E17" s="4">
        <f t="shared" si="2"/>
        <v>-1410.0736638125356</v>
      </c>
      <c r="F17" s="2" t="s">
        <v>9</v>
      </c>
      <c r="G17" s="3">
        <v>46023</v>
      </c>
      <c r="H17" s="2">
        <v>1170</v>
      </c>
      <c r="I17" s="2"/>
      <c r="J17" s="5" t="s">
        <v>37</v>
      </c>
      <c r="K17" s="6">
        <v>-9870.5156466877506</v>
      </c>
      <c r="L17" s="7">
        <v>0.14285714285714285</v>
      </c>
    </row>
    <row r="18" spans="1:14" x14ac:dyDescent="0.25">
      <c r="A18" s="15" t="str">
        <f t="shared" si="1"/>
        <v>CUSTO INSTITUCIONAL  - MESA FX SPOT  -  JANEIRO/2026</v>
      </c>
      <c r="B18" s="16">
        <v>46023</v>
      </c>
      <c r="C18" s="15">
        <v>817392</v>
      </c>
      <c r="D18" s="15" t="s">
        <v>38</v>
      </c>
      <c r="E18" s="17">
        <f t="shared" si="2"/>
        <v>-1410.0736638125356</v>
      </c>
      <c r="F18" s="15" t="s">
        <v>9</v>
      </c>
      <c r="G18" s="16">
        <v>46023</v>
      </c>
      <c r="H18" s="15">
        <v>1170</v>
      </c>
      <c r="I18" s="2"/>
      <c r="J18" s="18" t="s">
        <v>37</v>
      </c>
      <c r="K18" s="19">
        <v>-9870.5156466877506</v>
      </c>
      <c r="L18" s="20">
        <v>0.14285714285714285</v>
      </c>
    </row>
    <row r="19" spans="1:14" x14ac:dyDescent="0.25">
      <c r="A19" s="15" t="str">
        <f>CONCATENATE($M$1,F19,$J$1,J19,$I$1,$N$1)</f>
        <v>CUSTO INSTITUCIONAL  - MESA CORPORATE BONDS -  JANEIRO/2026</v>
      </c>
      <c r="B19" s="25">
        <v>46023</v>
      </c>
      <c r="C19" s="15">
        <v>817392</v>
      </c>
      <c r="D19" s="15" t="s">
        <v>51</v>
      </c>
      <c r="E19" s="17">
        <f t="shared" si="2"/>
        <v>-12129.767005818501</v>
      </c>
      <c r="F19" s="15" t="s">
        <v>9</v>
      </c>
      <c r="G19" s="16">
        <v>46023</v>
      </c>
      <c r="H19" s="15">
        <v>1170</v>
      </c>
      <c r="I19" s="2"/>
      <c r="J19" s="18" t="s">
        <v>50</v>
      </c>
      <c r="K19" s="19">
        <v>-12129.767005818501</v>
      </c>
      <c r="L19" s="20">
        <v>1</v>
      </c>
    </row>
    <row r="20" spans="1:14" x14ac:dyDescent="0.25">
      <c r="A20" s="2" t="str">
        <f t="shared" si="1"/>
        <v>CUSTO INSTITUCIONAL  - MESA INFLATION BONDS -  JANEIRO/2026</v>
      </c>
      <c r="B20" s="3">
        <v>46023</v>
      </c>
      <c r="C20" s="2">
        <v>817392</v>
      </c>
      <c r="D20" s="2" t="s">
        <v>42</v>
      </c>
      <c r="E20" s="4">
        <f t="shared" si="2"/>
        <v>-1370.9049509288543</v>
      </c>
      <c r="F20" s="2" t="s">
        <v>9</v>
      </c>
      <c r="G20" s="3">
        <v>46023</v>
      </c>
      <c r="H20" s="2">
        <v>1170</v>
      </c>
      <c r="I20" s="2"/>
      <c r="J20" s="5" t="s">
        <v>40</v>
      </c>
      <c r="K20" s="6">
        <v>-10967.239607430834</v>
      </c>
      <c r="L20" s="28">
        <v>0.125</v>
      </c>
    </row>
    <row r="21" spans="1:14" x14ac:dyDescent="0.25">
      <c r="A21" s="2" t="str">
        <f t="shared" si="1"/>
        <v>CUSTO INSTITUCIONAL  - MESA INFLATION BONDS -  JANEIRO/2026</v>
      </c>
      <c r="B21" s="3">
        <v>46023</v>
      </c>
      <c r="C21" s="2">
        <v>817392</v>
      </c>
      <c r="D21" s="2" t="s">
        <v>57</v>
      </c>
      <c r="E21" s="4">
        <f t="shared" si="2"/>
        <v>-1370.9049509288543</v>
      </c>
      <c r="F21" s="2" t="s">
        <v>9</v>
      </c>
      <c r="G21" s="3">
        <v>46023</v>
      </c>
      <c r="H21" s="2">
        <v>1170</v>
      </c>
      <c r="I21" s="2"/>
      <c r="J21" s="5" t="s">
        <v>40</v>
      </c>
      <c r="K21" s="6">
        <v>-10967.239607430834</v>
      </c>
      <c r="L21" s="29">
        <v>0.125</v>
      </c>
    </row>
    <row r="22" spans="1:14" x14ac:dyDescent="0.25">
      <c r="A22" s="2" t="str">
        <f t="shared" si="1"/>
        <v>CUSTO INSTITUCIONAL  - MESA INFLATION BONDS -  JANEIRO/2026</v>
      </c>
      <c r="B22" s="3">
        <v>46023</v>
      </c>
      <c r="C22" s="2">
        <v>817392</v>
      </c>
      <c r="D22" s="2" t="s">
        <v>55</v>
      </c>
      <c r="E22" s="4">
        <f>K22*L22</f>
        <v>-1370.9049509288543</v>
      </c>
      <c r="F22" s="2" t="s">
        <v>9</v>
      </c>
      <c r="G22" s="3">
        <v>46023</v>
      </c>
      <c r="H22" s="2">
        <v>1170</v>
      </c>
      <c r="I22" s="2"/>
      <c r="J22" s="5" t="s">
        <v>40</v>
      </c>
      <c r="K22" s="6">
        <v>-10967.239607430834</v>
      </c>
      <c r="L22" s="29">
        <v>0.125</v>
      </c>
    </row>
    <row r="23" spans="1:14" x14ac:dyDescent="0.25">
      <c r="A23" s="2" t="str">
        <f t="shared" si="1"/>
        <v>CUSTO INSTITUCIONAL  - MESA INFLATION BONDS -  JANEIRO/2026</v>
      </c>
      <c r="B23" s="3">
        <v>46023</v>
      </c>
      <c r="C23" s="2">
        <v>817392</v>
      </c>
      <c r="D23" s="2" t="s">
        <v>24</v>
      </c>
      <c r="E23" s="4">
        <f t="shared" si="2"/>
        <v>-1370.9049509288543</v>
      </c>
      <c r="F23" s="2" t="s">
        <v>9</v>
      </c>
      <c r="G23" s="3">
        <v>46023</v>
      </c>
      <c r="H23" s="2">
        <v>1170</v>
      </c>
      <c r="I23" s="2"/>
      <c r="J23" s="5" t="s">
        <v>40</v>
      </c>
      <c r="K23" s="6">
        <v>-10967.239607430834</v>
      </c>
      <c r="L23" s="29">
        <v>0.125</v>
      </c>
    </row>
    <row r="24" spans="1:14" x14ac:dyDescent="0.25">
      <c r="A24" s="2" t="str">
        <f t="shared" si="1"/>
        <v>CUSTO INSTITUCIONAL  - MESA INFLATION BONDS -  JANEIRO/2026</v>
      </c>
      <c r="B24" s="3">
        <v>46023</v>
      </c>
      <c r="C24" s="2">
        <v>817392</v>
      </c>
      <c r="D24" s="2" t="s">
        <v>46</v>
      </c>
      <c r="E24" s="4">
        <f t="shared" si="2"/>
        <v>-1370.9049509288543</v>
      </c>
      <c r="F24" s="2" t="s">
        <v>9</v>
      </c>
      <c r="G24" s="3">
        <v>46023</v>
      </c>
      <c r="H24" s="2">
        <v>1170</v>
      </c>
      <c r="I24" s="2"/>
      <c r="J24" s="5" t="s">
        <v>40</v>
      </c>
      <c r="K24" s="6">
        <v>-10967.239607430834</v>
      </c>
      <c r="L24" s="29">
        <v>0.125</v>
      </c>
    </row>
    <row r="25" spans="1:14" x14ac:dyDescent="0.25">
      <c r="A25" s="2" t="str">
        <f t="shared" si="1"/>
        <v>CUSTO INSTITUCIONAL  - MESA INFLATION BONDS -  JANEIRO/2026</v>
      </c>
      <c r="B25" s="3">
        <v>46023</v>
      </c>
      <c r="C25" s="2">
        <v>817392</v>
      </c>
      <c r="D25" s="2" t="s">
        <v>25</v>
      </c>
      <c r="E25" s="4">
        <f t="shared" si="2"/>
        <v>-1370.9049509288543</v>
      </c>
      <c r="F25" s="2" t="s">
        <v>9</v>
      </c>
      <c r="G25" s="3">
        <v>46023</v>
      </c>
      <c r="H25" s="2">
        <v>1170</v>
      </c>
      <c r="I25" s="2"/>
      <c r="J25" s="5" t="s">
        <v>40</v>
      </c>
      <c r="K25" s="6">
        <v>-10967.239607430834</v>
      </c>
      <c r="L25" s="29">
        <v>0.125</v>
      </c>
    </row>
    <row r="26" spans="1:14" x14ac:dyDescent="0.25">
      <c r="A26" s="2" t="str">
        <f t="shared" si="1"/>
        <v>CUSTO INSTITUCIONAL  - MESA INFLATION BONDS -  JANEIRO/2026</v>
      </c>
      <c r="B26" s="3">
        <v>46023</v>
      </c>
      <c r="C26" s="2">
        <v>817392</v>
      </c>
      <c r="D26" s="2" t="s">
        <v>47</v>
      </c>
      <c r="E26" s="4">
        <f t="shared" si="2"/>
        <v>-1370.9049509288543</v>
      </c>
      <c r="F26" s="2" t="s">
        <v>9</v>
      </c>
      <c r="G26" s="3">
        <v>46023</v>
      </c>
      <c r="H26" s="2">
        <v>1170</v>
      </c>
      <c r="I26" s="2"/>
      <c r="J26" s="5" t="s">
        <v>40</v>
      </c>
      <c r="K26" s="6">
        <v>-10967.239607430834</v>
      </c>
      <c r="L26" s="29">
        <v>0.125</v>
      </c>
    </row>
    <row r="27" spans="1:14" x14ac:dyDescent="0.25">
      <c r="A27" s="15" t="str">
        <f>CONCATENATE($M$1,F27,$J$1,J27,$I$1,$N$1)</f>
        <v>CUSTO INSTITUCIONAL  - MESA INFLATION BONDS -  JANEIRO/2026</v>
      </c>
      <c r="B27" s="16">
        <v>46023</v>
      </c>
      <c r="C27" s="15">
        <v>817392</v>
      </c>
      <c r="D27" s="15" t="s">
        <v>26</v>
      </c>
      <c r="E27" s="17">
        <f t="shared" si="2"/>
        <v>-1370.9049509288543</v>
      </c>
      <c r="F27" s="15" t="s">
        <v>9</v>
      </c>
      <c r="G27" s="16">
        <v>46023</v>
      </c>
      <c r="H27" s="15">
        <v>1170</v>
      </c>
      <c r="I27" s="2"/>
      <c r="J27" s="18" t="s">
        <v>40</v>
      </c>
      <c r="K27" s="19">
        <v>-10967.239607430834</v>
      </c>
      <c r="L27" s="20">
        <v>0.125</v>
      </c>
    </row>
    <row r="28" spans="1:14" x14ac:dyDescent="0.25">
      <c r="A28" s="2" t="str">
        <f>CONCATENATE($M$1,F28,$J$1,J28,$I$1,$N$1)</f>
        <v>CUSTO INSTITUCIONAL  - MESA PUBLIC BONDS -  JANEIRO/2026</v>
      </c>
      <c r="B28" s="3">
        <v>46023</v>
      </c>
      <c r="C28" s="2">
        <v>817392</v>
      </c>
      <c r="D28" s="2" t="s">
        <v>28</v>
      </c>
      <c r="E28" s="4">
        <f t="shared" si="2"/>
        <v>-1864.4680218779072</v>
      </c>
      <c r="F28" s="2" t="s">
        <v>9</v>
      </c>
      <c r="G28" s="3">
        <v>46023</v>
      </c>
      <c r="H28" s="2">
        <v>1170</v>
      </c>
      <c r="I28" s="2"/>
      <c r="J28" s="5" t="s">
        <v>41</v>
      </c>
      <c r="K28" s="6">
        <v>-11186.584399579451</v>
      </c>
      <c r="L28" s="7">
        <v>0.16667000000000001</v>
      </c>
      <c r="N28" s="33"/>
    </row>
    <row r="29" spans="1:14" x14ac:dyDescent="0.25">
      <c r="A29" s="2" t="str">
        <f>CONCATENATE($M$1,F29,$J$1,J29,$I$1,$N$1)</f>
        <v>CUSTO INSTITUCIONAL  - MESA PUBLIC BONDS -  JANEIRO/2026</v>
      </c>
      <c r="B29" s="3">
        <v>46023</v>
      </c>
      <c r="C29" s="2">
        <v>817392</v>
      </c>
      <c r="D29" s="2" t="s">
        <v>63</v>
      </c>
      <c r="E29" s="4">
        <f t="shared" ref="E29" si="3">K29*L29</f>
        <v>-1864.4680218779072</v>
      </c>
      <c r="F29" s="2" t="s">
        <v>9</v>
      </c>
      <c r="G29" s="3">
        <v>46023</v>
      </c>
      <c r="H29" s="2">
        <v>1170</v>
      </c>
      <c r="I29" s="2"/>
      <c r="J29" s="5" t="s">
        <v>41</v>
      </c>
      <c r="K29" s="6">
        <v>-11186.584399579451</v>
      </c>
      <c r="L29" s="7">
        <v>0.16667000000000001</v>
      </c>
    </row>
    <row r="30" spans="1:14" x14ac:dyDescent="0.25">
      <c r="A30" s="2" t="str">
        <f t="shared" ref="A30:A42" si="4">CONCATENATE($M$1,F30,$J$1,J30,$I$1,$N$1)</f>
        <v>CUSTO INSTITUCIONAL  - MESA PUBLIC BONDS -  JANEIRO/2026</v>
      </c>
      <c r="B30" s="3">
        <v>46023</v>
      </c>
      <c r="C30" s="2">
        <v>817392</v>
      </c>
      <c r="D30" s="2" t="s">
        <v>27</v>
      </c>
      <c r="E30" s="30">
        <f t="shared" si="2"/>
        <v>-1864.4680218779072</v>
      </c>
      <c r="F30" s="2" t="s">
        <v>9</v>
      </c>
      <c r="G30" s="3">
        <v>46023</v>
      </c>
      <c r="H30" s="2">
        <v>1170</v>
      </c>
      <c r="I30" s="2"/>
      <c r="J30" s="5" t="s">
        <v>41</v>
      </c>
      <c r="K30" s="31">
        <v>-11186.584399579451</v>
      </c>
      <c r="L30" s="7">
        <v>0.16667000000000001</v>
      </c>
    </row>
    <row r="31" spans="1:14" x14ac:dyDescent="0.25">
      <c r="A31" s="2" t="str">
        <f t="shared" si="4"/>
        <v>CUSTO INSTITUCIONAL  - MESA PUBLIC BONDS -  JANEIRO/2026</v>
      </c>
      <c r="B31" s="3">
        <v>46023</v>
      </c>
      <c r="C31" s="2">
        <v>817392</v>
      </c>
      <c r="D31" s="2" t="s">
        <v>61</v>
      </c>
      <c r="E31" s="30">
        <f t="shared" si="2"/>
        <v>-1864.4680218779072</v>
      </c>
      <c r="F31" s="2" t="s">
        <v>9</v>
      </c>
      <c r="G31" s="3">
        <v>46023</v>
      </c>
      <c r="H31" s="2">
        <v>1170</v>
      </c>
      <c r="I31" s="2"/>
      <c r="J31" s="5" t="s">
        <v>41</v>
      </c>
      <c r="K31" s="31">
        <v>-11186.584399579451</v>
      </c>
      <c r="L31" s="7">
        <v>0.16667000000000001</v>
      </c>
    </row>
    <row r="32" spans="1:14" x14ac:dyDescent="0.25">
      <c r="A32" s="2" t="str">
        <f t="shared" si="4"/>
        <v>CUSTO INSTITUCIONAL  - MESA PUBLIC BONDS -  JANEIRO/2026</v>
      </c>
      <c r="B32" s="3">
        <v>46023</v>
      </c>
      <c r="C32" s="2">
        <v>817392</v>
      </c>
      <c r="D32" s="2" t="s">
        <v>56</v>
      </c>
      <c r="E32" s="30">
        <f t="shared" si="2"/>
        <v>-1864.4680218779072</v>
      </c>
      <c r="F32" s="2" t="s">
        <v>9</v>
      </c>
      <c r="G32" s="3">
        <v>46023</v>
      </c>
      <c r="H32" s="2">
        <v>1170</v>
      </c>
      <c r="J32" s="5" t="s">
        <v>41</v>
      </c>
      <c r="K32" s="31">
        <v>-11186.584399579451</v>
      </c>
      <c r="L32" s="7">
        <v>0.16667000000000001</v>
      </c>
    </row>
    <row r="33" spans="1:13" x14ac:dyDescent="0.25">
      <c r="A33" s="15" t="str">
        <f t="shared" si="4"/>
        <v>CUSTO INSTITUCIONAL  - MESA PUBLIC BONDS -  JANEIRO/2026</v>
      </c>
      <c r="B33" s="16">
        <v>46023</v>
      </c>
      <c r="C33" s="15">
        <v>817392</v>
      </c>
      <c r="D33" s="15" t="s">
        <v>58</v>
      </c>
      <c r="E33" s="17">
        <f t="shared" si="2"/>
        <v>-1864.4680218779072</v>
      </c>
      <c r="F33" s="15" t="s">
        <v>9</v>
      </c>
      <c r="G33" s="16">
        <v>46023</v>
      </c>
      <c r="H33" s="15">
        <v>1170</v>
      </c>
      <c r="J33" s="18" t="s">
        <v>41</v>
      </c>
      <c r="K33" s="19">
        <v>-11186.584399579451</v>
      </c>
      <c r="L33" s="20">
        <v>0.16667000000000001</v>
      </c>
    </row>
    <row r="34" spans="1:13" x14ac:dyDescent="0.25">
      <c r="A34" s="2" t="str">
        <f>CONCATENATE($M$1,F34,$J$1,J34,$I$1,$N$1)</f>
        <v>CUSTO INSTITUCIONAL  - MESA DI FUTURES  -  JANEIRO/2026</v>
      </c>
      <c r="B34" s="3">
        <v>46023</v>
      </c>
      <c r="C34" s="2">
        <v>817392</v>
      </c>
      <c r="D34" s="2" t="s">
        <v>44</v>
      </c>
      <c r="E34" s="4">
        <f>K34*L34</f>
        <v>-2686.973703820554</v>
      </c>
      <c r="F34" s="2" t="s">
        <v>9</v>
      </c>
      <c r="G34" s="3">
        <v>46023</v>
      </c>
      <c r="H34" s="2">
        <v>1170</v>
      </c>
      <c r="J34" s="5" t="s">
        <v>39</v>
      </c>
      <c r="K34" s="6">
        <v>-10747.894815282216</v>
      </c>
      <c r="L34" s="7">
        <v>0.25</v>
      </c>
    </row>
    <row r="35" spans="1:13" x14ac:dyDescent="0.25">
      <c r="A35" s="2" t="str">
        <f>CONCATENATE($M$1,F35,$J$1,J35,$I$1,$N$1)</f>
        <v>CUSTO INSTITUCIONAL  - MESA DI FUTURES  -  JANEIRO/2026</v>
      </c>
      <c r="B35" s="3">
        <v>46023</v>
      </c>
      <c r="C35" s="2">
        <v>817392</v>
      </c>
      <c r="D35" s="2" t="s">
        <v>23</v>
      </c>
      <c r="E35" s="4">
        <f>K35*L35</f>
        <v>-2686.973703820554</v>
      </c>
      <c r="F35" s="2" t="s">
        <v>9</v>
      </c>
      <c r="G35" s="3">
        <v>46023</v>
      </c>
      <c r="H35" s="2">
        <v>1170</v>
      </c>
      <c r="J35" s="5" t="s">
        <v>39</v>
      </c>
      <c r="K35" s="6">
        <v>-10747.894815282216</v>
      </c>
      <c r="L35" s="7">
        <v>0.25</v>
      </c>
    </row>
    <row r="36" spans="1:13" x14ac:dyDescent="0.25">
      <c r="A36" s="2" t="str">
        <f>CONCATENATE($M$1,F36,$J$1,J36,$I$1,$N$1)</f>
        <v>CUSTO INSTITUCIONAL  - MESA DI FUTURES  -  JANEIRO/2026</v>
      </c>
      <c r="B36" s="3">
        <v>46023</v>
      </c>
      <c r="C36" s="2">
        <v>817392</v>
      </c>
      <c r="D36" s="2" t="s">
        <v>54</v>
      </c>
      <c r="E36" s="4">
        <f>K36*L36</f>
        <v>-2686.973703820554</v>
      </c>
      <c r="F36" s="2" t="s">
        <v>9</v>
      </c>
      <c r="G36" s="3">
        <v>46023</v>
      </c>
      <c r="H36" s="2">
        <v>1170</v>
      </c>
      <c r="J36" s="5" t="s">
        <v>39</v>
      </c>
      <c r="K36" s="6">
        <v>-10747.894815282216</v>
      </c>
      <c r="L36" s="7">
        <v>0.25</v>
      </c>
    </row>
    <row r="37" spans="1:13" x14ac:dyDescent="0.25">
      <c r="A37" s="15" t="str">
        <f>CONCATENATE($M$1,F37,$J$1,J37,$I$1,$N$1)</f>
        <v>CUSTO INSTITUCIONAL  - MESA DI FUTURES  -  JANEIRO/2026</v>
      </c>
      <c r="B37" s="16">
        <v>46023</v>
      </c>
      <c r="C37" s="15">
        <v>817392</v>
      </c>
      <c r="D37" s="15" t="s">
        <v>22</v>
      </c>
      <c r="E37" s="17">
        <f>K37*L37</f>
        <v>-2686.973703820554</v>
      </c>
      <c r="F37" s="15" t="s">
        <v>9</v>
      </c>
      <c r="G37" s="16">
        <v>46023</v>
      </c>
      <c r="H37" s="15">
        <v>1170</v>
      </c>
      <c r="J37" s="18" t="s">
        <v>39</v>
      </c>
      <c r="K37" s="19">
        <v>-10747.894815282216</v>
      </c>
      <c r="L37" s="20">
        <v>0.25</v>
      </c>
    </row>
    <row r="38" spans="1:13" x14ac:dyDescent="0.25">
      <c r="A38" s="2" t="str">
        <f t="shared" si="4"/>
        <v>CUSTO INSTITUCIONAL  - MESA FX FUTURES -  JANEIRO/2026</v>
      </c>
      <c r="B38" s="3">
        <v>46023</v>
      </c>
      <c r="C38" s="2">
        <v>817392</v>
      </c>
      <c r="D38" s="2" t="s">
        <v>30</v>
      </c>
      <c r="E38" s="4">
        <f t="shared" si="2"/>
        <v>-2453.9198621626488</v>
      </c>
      <c r="F38" s="2" t="s">
        <v>9</v>
      </c>
      <c r="G38" s="3">
        <v>46023</v>
      </c>
      <c r="H38" s="2">
        <v>1170</v>
      </c>
      <c r="J38" s="5" t="s">
        <v>29</v>
      </c>
      <c r="K38" s="6">
        <v>-9815.6794486505951</v>
      </c>
      <c r="L38" s="7">
        <v>0.25</v>
      </c>
      <c r="M38" s="27"/>
    </row>
    <row r="39" spans="1:13" x14ac:dyDescent="0.25">
      <c r="A39" s="2" t="str">
        <f t="shared" si="4"/>
        <v>CUSTO INSTITUCIONAL  - MESA FX FUTURES -  JANEIRO/2026</v>
      </c>
      <c r="B39" s="3">
        <v>46023</v>
      </c>
      <c r="C39" s="2">
        <v>817392</v>
      </c>
      <c r="D39" s="2" t="s">
        <v>31</v>
      </c>
      <c r="E39" s="4">
        <f t="shared" si="2"/>
        <v>-2453.9198621626488</v>
      </c>
      <c r="F39" s="2" t="s">
        <v>9</v>
      </c>
      <c r="G39" s="3">
        <v>46023</v>
      </c>
      <c r="H39" s="2">
        <v>1170</v>
      </c>
      <c r="I39" s="2"/>
      <c r="J39" s="5" t="s">
        <v>29</v>
      </c>
      <c r="K39" s="6">
        <v>-9815.6794486505951</v>
      </c>
      <c r="L39" s="7">
        <v>0.25</v>
      </c>
    </row>
    <row r="40" spans="1:13" x14ac:dyDescent="0.25">
      <c r="A40" s="2" t="str">
        <f t="shared" si="4"/>
        <v>CUSTO INSTITUCIONAL  - MESA FX FUTURES -  JANEIRO/2026</v>
      </c>
      <c r="B40" s="3">
        <v>46023</v>
      </c>
      <c r="C40" s="2">
        <v>817392</v>
      </c>
      <c r="D40" s="2" t="s">
        <v>53</v>
      </c>
      <c r="E40" s="4">
        <f t="shared" si="2"/>
        <v>-2453.9198621626488</v>
      </c>
      <c r="F40" s="2" t="s">
        <v>9</v>
      </c>
      <c r="G40" s="3">
        <v>46023</v>
      </c>
      <c r="H40" s="2">
        <v>1170</v>
      </c>
      <c r="I40" s="2"/>
      <c r="J40" s="5" t="s">
        <v>29</v>
      </c>
      <c r="K40" s="6">
        <v>-9815.6794486505951</v>
      </c>
      <c r="L40" s="7">
        <v>0.25</v>
      </c>
    </row>
    <row r="41" spans="1:13" x14ac:dyDescent="0.25">
      <c r="A41" s="15" t="str">
        <f t="shared" si="4"/>
        <v>CUSTO INSTITUCIONAL  - MESA FX FUTURES -  JANEIRO/2026</v>
      </c>
      <c r="B41" s="16">
        <v>46023</v>
      </c>
      <c r="C41" s="15">
        <v>817392</v>
      </c>
      <c r="D41" s="15" t="s">
        <v>32</v>
      </c>
      <c r="E41" s="17">
        <f t="shared" si="2"/>
        <v>-2453.9198621626488</v>
      </c>
      <c r="F41" s="15" t="s">
        <v>9</v>
      </c>
      <c r="G41" s="16">
        <v>46023</v>
      </c>
      <c r="H41" s="15">
        <v>1170</v>
      </c>
      <c r="I41" s="2"/>
      <c r="J41" s="18" t="s">
        <v>29</v>
      </c>
      <c r="K41" s="19">
        <v>-9815.6794486505951</v>
      </c>
      <c r="L41" s="20">
        <v>0.25</v>
      </c>
    </row>
    <row r="42" spans="1:13" x14ac:dyDescent="0.25">
      <c r="A42" s="15" t="str">
        <f t="shared" si="4"/>
        <v>CUSTO INSTITUCIONAL  - MESA NDF OFFSHORE -  JANEIRO/2026</v>
      </c>
      <c r="B42" s="25">
        <v>46023</v>
      </c>
      <c r="C42" s="15">
        <v>817392</v>
      </c>
      <c r="D42" s="15" t="s">
        <v>64</v>
      </c>
      <c r="E42" s="17">
        <f t="shared" si="2"/>
        <v>-11040.354538147039</v>
      </c>
      <c r="F42" s="15" t="s">
        <v>9</v>
      </c>
      <c r="G42" s="16">
        <v>46023</v>
      </c>
      <c r="H42" s="15">
        <v>1170</v>
      </c>
      <c r="I42" s="2"/>
      <c r="J42" s="18" t="s">
        <v>48</v>
      </c>
      <c r="K42" s="19">
        <v>-11040.354538147039</v>
      </c>
      <c r="L42" s="20">
        <v>1</v>
      </c>
    </row>
  </sheetData>
  <autoFilter ref="A1:N1" xr:uid="{2FE869A7-BB24-4073-9535-98469A614E5D}"/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80E60-DABF-4179-8DBE-F989B29F4A8A}">
  <sheetPr codeName="Sheet2"/>
  <dimension ref="A1:O42"/>
  <sheetViews>
    <sheetView showGridLines="0" topLeftCell="A8" workbookViewId="0">
      <selection activeCell="A2" sqref="A2:H42"/>
    </sheetView>
  </sheetViews>
  <sheetFormatPr defaultRowHeight="15" x14ac:dyDescent="0.25"/>
  <cols>
    <col min="1" max="1" width="44.140625" bestFit="1" customWidth="1"/>
    <col min="2" max="2" width="14.7109375" bestFit="1" customWidth="1"/>
    <col min="3" max="3" width="12.7109375" bestFit="1" customWidth="1"/>
    <col min="4" max="4" width="34" bestFit="1" customWidth="1"/>
    <col min="5" max="5" width="10.5703125" style="14" bestFit="1" customWidth="1"/>
    <col min="6" max="6" width="12.28515625" customWidth="1"/>
    <col min="7" max="7" width="14.5703125" customWidth="1"/>
    <col min="8" max="8" width="11.7109375" customWidth="1"/>
    <col min="9" max="9" width="9.140625" customWidth="1"/>
    <col min="10" max="10" width="13.7109375" customWidth="1"/>
    <col min="11" max="11" width="11.28515625" bestFit="1" customWidth="1"/>
    <col min="12" max="12" width="9.140625" style="9"/>
    <col min="14" max="14" width="15.42578125" bestFit="1" customWidth="1"/>
  </cols>
  <sheetData>
    <row r="1" spans="1:15" x14ac:dyDescent="0.25">
      <c r="A1" s="10" t="s">
        <v>0</v>
      </c>
      <c r="B1" s="11" t="s">
        <v>1</v>
      </c>
      <c r="C1" s="10" t="s">
        <v>8</v>
      </c>
      <c r="D1" s="10" t="s">
        <v>2</v>
      </c>
      <c r="E1" s="13" t="s">
        <v>3</v>
      </c>
      <c r="F1" s="10" t="s">
        <v>4</v>
      </c>
      <c r="G1" s="11" t="s">
        <v>5</v>
      </c>
      <c r="H1" s="10" t="s">
        <v>6</v>
      </c>
      <c r="I1" s="1" t="s">
        <v>12</v>
      </c>
      <c r="J1" s="1" t="s">
        <v>13</v>
      </c>
      <c r="K1" s="1" t="s">
        <v>3</v>
      </c>
      <c r="L1" s="8" t="s">
        <v>7</v>
      </c>
      <c r="M1" s="1" t="s">
        <v>10</v>
      </c>
      <c r="N1" s="12" t="s">
        <v>65</v>
      </c>
    </row>
    <row r="2" spans="1:15" x14ac:dyDescent="0.25">
      <c r="A2" s="2" t="str">
        <f>CONCATENATE($M$1,F2,$J$1,J2,$I$1,$N$1)</f>
        <v>CUSTO INSTITUCIONAL  - MESA EQUITIES -  FEVEREIRO/2026</v>
      </c>
      <c r="B2" s="3">
        <v>46054</v>
      </c>
      <c r="C2" s="2">
        <v>817392</v>
      </c>
      <c r="D2" s="2" t="s">
        <v>15</v>
      </c>
      <c r="E2" s="4">
        <f t="shared" ref="E2:E3" si="0">K2*L2</f>
        <v>-2768.8572278114566</v>
      </c>
      <c r="F2" s="2" t="s">
        <v>9</v>
      </c>
      <c r="G2" s="3">
        <v>46054</v>
      </c>
      <c r="H2" s="2">
        <v>1170</v>
      </c>
      <c r="I2" s="2"/>
      <c r="J2" s="5" t="s">
        <v>11</v>
      </c>
      <c r="K2" s="6">
        <v>-12459.982124972805</v>
      </c>
      <c r="L2" s="7">
        <v>0.22222</v>
      </c>
    </row>
    <row r="3" spans="1:15" x14ac:dyDescent="0.25">
      <c r="A3" s="2" t="str">
        <f>CONCATENATE($M$1,F3,$J$1,J3,$I$1,$N$1)</f>
        <v>CUSTO INSTITUCIONAL  - MESA EQUITIES -  FEVEREIRO/2026</v>
      </c>
      <c r="B3" s="3">
        <v>46054</v>
      </c>
      <c r="C3" s="2">
        <v>817392</v>
      </c>
      <c r="D3" s="2" t="s">
        <v>59</v>
      </c>
      <c r="E3" s="4">
        <f t="shared" si="0"/>
        <v>-1384.4286139057283</v>
      </c>
      <c r="F3" s="2" t="s">
        <v>9</v>
      </c>
      <c r="G3" s="3">
        <v>46054</v>
      </c>
      <c r="H3" s="2">
        <v>1170</v>
      </c>
      <c r="I3" s="2"/>
      <c r="J3" s="5" t="s">
        <v>11</v>
      </c>
      <c r="K3" s="6">
        <v>-12459.982124972805</v>
      </c>
      <c r="L3" s="7">
        <v>0.11111</v>
      </c>
    </row>
    <row r="4" spans="1:15" x14ac:dyDescent="0.25">
      <c r="A4" s="2" t="str">
        <f t="shared" ref="A4:A26" si="1">CONCATENATE($M$1,F4,$J$1,J4,$I$1,$N$1)</f>
        <v>CUSTO INSTITUCIONAL  - MESA EQUITIES -  FEVEREIRO/2026</v>
      </c>
      <c r="B4" s="3">
        <v>46054</v>
      </c>
      <c r="C4" s="2">
        <v>817392</v>
      </c>
      <c r="D4" s="2" t="s">
        <v>43</v>
      </c>
      <c r="E4" s="4">
        <f>K4*L4</f>
        <v>-1384.4286139057283</v>
      </c>
      <c r="F4" s="2" t="s">
        <v>9</v>
      </c>
      <c r="G4" s="3">
        <v>46054</v>
      </c>
      <c r="H4" s="2">
        <v>1170</v>
      </c>
      <c r="I4" s="2"/>
      <c r="J4" s="5" t="s">
        <v>11</v>
      </c>
      <c r="K4" s="6">
        <v>-12459.982124972805</v>
      </c>
      <c r="L4" s="7">
        <v>0.11111</v>
      </c>
      <c r="O4" s="32"/>
    </row>
    <row r="5" spans="1:15" x14ac:dyDescent="0.25">
      <c r="A5" s="2" t="str">
        <f t="shared" si="1"/>
        <v>CUSTO INSTITUCIONAL  - MESA EQUITIES -  FEVEREIRO/2026</v>
      </c>
      <c r="B5" s="3">
        <v>46054</v>
      </c>
      <c r="C5" s="2">
        <v>817392</v>
      </c>
      <c r="D5" s="2" t="s">
        <v>60</v>
      </c>
      <c r="E5" s="4">
        <f>K5*L5</f>
        <v>-1384.4286139057283</v>
      </c>
      <c r="F5" s="2" t="s">
        <v>9</v>
      </c>
      <c r="G5" s="3">
        <v>46054</v>
      </c>
      <c r="H5" s="2">
        <v>1170</v>
      </c>
      <c r="I5" s="2"/>
      <c r="J5" s="5" t="s">
        <v>11</v>
      </c>
      <c r="K5" s="6">
        <v>-12459.982124972805</v>
      </c>
      <c r="L5" s="7">
        <v>0.11111</v>
      </c>
    </row>
    <row r="6" spans="1:15" x14ac:dyDescent="0.25">
      <c r="A6" s="2" t="str">
        <f t="shared" si="1"/>
        <v>CUSTO INSTITUCIONAL  - MESA EQUITIES -  FEVEREIRO/2026</v>
      </c>
      <c r="B6" s="3">
        <v>46054</v>
      </c>
      <c r="C6" s="2">
        <v>817392</v>
      </c>
      <c r="D6" s="2" t="s">
        <v>45</v>
      </c>
      <c r="E6" s="4">
        <f>K6*L6</f>
        <v>-1384.4286139057283</v>
      </c>
      <c r="F6" s="2" t="s">
        <v>9</v>
      </c>
      <c r="G6" s="3">
        <v>46054</v>
      </c>
      <c r="H6" s="2">
        <v>1170</v>
      </c>
      <c r="I6" s="2"/>
      <c r="J6" s="5" t="s">
        <v>11</v>
      </c>
      <c r="K6" s="6">
        <v>-12459.982124972805</v>
      </c>
      <c r="L6" s="7">
        <v>0.11111</v>
      </c>
    </row>
    <row r="7" spans="1:15" x14ac:dyDescent="0.25">
      <c r="A7" s="2" t="str">
        <f t="shared" si="1"/>
        <v>CUSTO INSTITUCIONAL  - MESA EQUITIES -  FEVEREIRO/2026</v>
      </c>
      <c r="B7" s="3">
        <v>46054</v>
      </c>
      <c r="C7" s="2">
        <v>817392</v>
      </c>
      <c r="D7" s="2" t="s">
        <v>14</v>
      </c>
      <c r="E7" s="4">
        <f t="shared" ref="E7:E42" si="2">K7*L7</f>
        <v>-1384.4286139057283</v>
      </c>
      <c r="F7" s="2" t="s">
        <v>9</v>
      </c>
      <c r="G7" s="3">
        <v>46054</v>
      </c>
      <c r="H7" s="2">
        <v>1170</v>
      </c>
      <c r="I7" s="2"/>
      <c r="J7" s="5" t="s">
        <v>11</v>
      </c>
      <c r="K7" s="6">
        <v>-12459.982124972805</v>
      </c>
      <c r="L7" s="7">
        <v>0.11111</v>
      </c>
    </row>
    <row r="8" spans="1:15" x14ac:dyDescent="0.25">
      <c r="A8" s="2" t="str">
        <f t="shared" si="1"/>
        <v>CUSTO INSTITUCIONAL  - MESA EQUITIES -  FEVEREIRO/2026</v>
      </c>
      <c r="B8" s="3">
        <v>46054</v>
      </c>
      <c r="C8" s="2">
        <v>817392</v>
      </c>
      <c r="D8" s="2" t="s">
        <v>49</v>
      </c>
      <c r="E8" s="4">
        <f t="shared" si="2"/>
        <v>-1384.4286139057283</v>
      </c>
      <c r="F8" s="2" t="s">
        <v>9</v>
      </c>
      <c r="G8" s="3">
        <v>46054</v>
      </c>
      <c r="H8" s="2">
        <v>1170</v>
      </c>
      <c r="I8" s="2"/>
      <c r="J8" s="5" t="s">
        <v>11</v>
      </c>
      <c r="K8" s="6">
        <v>-12459.982124972805</v>
      </c>
      <c r="L8" s="7">
        <v>0.11111</v>
      </c>
    </row>
    <row r="9" spans="1:15" x14ac:dyDescent="0.25">
      <c r="A9" s="15" t="str">
        <f t="shared" si="1"/>
        <v>CUSTO INSTITUCIONAL  - MESA OFFSHORE LISTED -  FEVEREIRO/2026</v>
      </c>
      <c r="B9" s="16">
        <v>46054</v>
      </c>
      <c r="C9" s="15">
        <v>817392</v>
      </c>
      <c r="D9" s="15" t="s">
        <v>52</v>
      </c>
      <c r="E9" s="17">
        <f t="shared" si="2"/>
        <v>-1384.4286139057283</v>
      </c>
      <c r="F9" s="15" t="s">
        <v>9</v>
      </c>
      <c r="G9" s="16">
        <v>46054</v>
      </c>
      <c r="H9" s="15">
        <v>1170</v>
      </c>
      <c r="I9" s="2"/>
      <c r="J9" s="18" t="s">
        <v>52</v>
      </c>
      <c r="K9" s="6">
        <v>-12459.982124972805</v>
      </c>
      <c r="L9" s="7">
        <v>0.11111</v>
      </c>
    </row>
    <row r="10" spans="1:15" x14ac:dyDescent="0.25">
      <c r="A10" s="24" t="str">
        <f t="shared" si="1"/>
        <v>CUSTO INSTITUCIONAL  - MESA VOLATILITY IDI -  FEVEREIRO/2026</v>
      </c>
      <c r="B10" s="16">
        <v>46054</v>
      </c>
      <c r="C10" s="24">
        <v>817392</v>
      </c>
      <c r="D10" s="24" t="s">
        <v>33</v>
      </c>
      <c r="E10" s="26">
        <f t="shared" si="2"/>
        <v>-14050.618140926779</v>
      </c>
      <c r="F10" s="24" t="s">
        <v>9</v>
      </c>
      <c r="G10" s="25">
        <v>46054</v>
      </c>
      <c r="H10" s="24">
        <v>1170</v>
      </c>
      <c r="I10" s="2"/>
      <c r="J10" s="21" t="s">
        <v>34</v>
      </c>
      <c r="K10" s="22">
        <v>-14050.618140926779</v>
      </c>
      <c r="L10" s="23">
        <v>1</v>
      </c>
    </row>
    <row r="11" spans="1:15" x14ac:dyDescent="0.25">
      <c r="A11" s="15" t="str">
        <f t="shared" si="1"/>
        <v>CUSTO INSTITUCIONAL  - MESA VOLATILITY FX -  FEVEREIRO/2026</v>
      </c>
      <c r="B11" s="25">
        <v>46054</v>
      </c>
      <c r="C11" s="15">
        <v>817392</v>
      </c>
      <c r="D11" s="15" t="s">
        <v>36</v>
      </c>
      <c r="E11" s="17">
        <f t="shared" si="2"/>
        <v>-13255.300132949793</v>
      </c>
      <c r="F11" s="15" t="s">
        <v>9</v>
      </c>
      <c r="G11" s="16">
        <v>46054</v>
      </c>
      <c r="H11" s="15">
        <v>1170</v>
      </c>
      <c r="I11" s="2"/>
      <c r="J11" s="18" t="s">
        <v>35</v>
      </c>
      <c r="K11" s="22">
        <v>-13255.300132949793</v>
      </c>
      <c r="L11" s="20">
        <v>1</v>
      </c>
    </row>
    <row r="12" spans="1:15" x14ac:dyDescent="0.25">
      <c r="A12" s="2" t="str">
        <f t="shared" si="1"/>
        <v>CUSTO INSTITUCIONAL  - MESA FX SPOT  -  FEVEREIRO/2026</v>
      </c>
      <c r="B12" s="3">
        <v>46054</v>
      </c>
      <c r="C12" s="2">
        <v>817392</v>
      </c>
      <c r="D12" s="2" t="s">
        <v>17</v>
      </c>
      <c r="E12" s="4">
        <f t="shared" si="2"/>
        <v>-1704.2528742364018</v>
      </c>
      <c r="F12" s="2" t="s">
        <v>9</v>
      </c>
      <c r="G12" s="3">
        <v>46054</v>
      </c>
      <c r="H12" s="2">
        <v>1170</v>
      </c>
      <c r="I12" s="2"/>
      <c r="J12" s="5" t="s">
        <v>37</v>
      </c>
      <c r="K12" s="6">
        <v>-11929.770119654813</v>
      </c>
      <c r="L12" s="7">
        <v>0.14285714285714285</v>
      </c>
    </row>
    <row r="13" spans="1:15" x14ac:dyDescent="0.25">
      <c r="A13" s="2" t="str">
        <f t="shared" si="1"/>
        <v>CUSTO INSTITUCIONAL  - MESA FX SPOT  -  FEVEREIRO/2026</v>
      </c>
      <c r="B13" s="3">
        <v>46054</v>
      </c>
      <c r="C13" s="2">
        <v>817392</v>
      </c>
      <c r="D13" s="2" t="s">
        <v>18</v>
      </c>
      <c r="E13" s="4">
        <f t="shared" si="2"/>
        <v>-1704.2528742364018</v>
      </c>
      <c r="F13" s="2" t="s">
        <v>9</v>
      </c>
      <c r="G13" s="3">
        <v>46054</v>
      </c>
      <c r="H13" s="2">
        <v>1170</v>
      </c>
      <c r="I13" s="2"/>
      <c r="J13" s="5" t="s">
        <v>37</v>
      </c>
      <c r="K13" s="6">
        <v>-11929.770119654813</v>
      </c>
      <c r="L13" s="7">
        <v>0.14285714285714285</v>
      </c>
    </row>
    <row r="14" spans="1:15" x14ac:dyDescent="0.25">
      <c r="A14" s="2" t="str">
        <f t="shared" si="1"/>
        <v>CUSTO INSTITUCIONAL  - MESA FX SPOT  -  FEVEREIRO/2026</v>
      </c>
      <c r="B14" s="3">
        <v>46054</v>
      </c>
      <c r="C14" s="2">
        <v>817392</v>
      </c>
      <c r="D14" s="2" t="s">
        <v>16</v>
      </c>
      <c r="E14" s="4">
        <f t="shared" si="2"/>
        <v>-1704.2528742364018</v>
      </c>
      <c r="F14" s="2" t="s">
        <v>9</v>
      </c>
      <c r="G14" s="3">
        <v>46054</v>
      </c>
      <c r="H14" s="2">
        <v>1170</v>
      </c>
      <c r="I14" s="2"/>
      <c r="J14" s="5" t="s">
        <v>37</v>
      </c>
      <c r="K14" s="6">
        <v>-11929.770119654813</v>
      </c>
      <c r="L14" s="7">
        <v>0.14285714285714285</v>
      </c>
    </row>
    <row r="15" spans="1:15" x14ac:dyDescent="0.25">
      <c r="A15" s="2" t="str">
        <f t="shared" si="1"/>
        <v>CUSTO INSTITUCIONAL  - MESA FX SPOT  -  FEVEREIRO/2026</v>
      </c>
      <c r="B15" s="3">
        <v>46054</v>
      </c>
      <c r="C15" s="2">
        <v>817392</v>
      </c>
      <c r="D15" s="2" t="s">
        <v>19</v>
      </c>
      <c r="E15" s="4">
        <f t="shared" si="2"/>
        <v>-1704.2528742364018</v>
      </c>
      <c r="F15" s="2" t="s">
        <v>9</v>
      </c>
      <c r="G15" s="3">
        <v>46054</v>
      </c>
      <c r="H15" s="2">
        <v>1170</v>
      </c>
      <c r="I15" s="2"/>
      <c r="J15" s="5" t="s">
        <v>37</v>
      </c>
      <c r="K15" s="6">
        <v>-11929.770119654813</v>
      </c>
      <c r="L15" s="7">
        <v>0.14285714285714285</v>
      </c>
    </row>
    <row r="16" spans="1:15" x14ac:dyDescent="0.25">
      <c r="A16" s="2" t="str">
        <f t="shared" si="1"/>
        <v>CUSTO INSTITUCIONAL  - MESA FX SPOT  -  FEVEREIRO/2026</v>
      </c>
      <c r="B16" s="3">
        <v>46054</v>
      </c>
      <c r="C16" s="2">
        <v>817392</v>
      </c>
      <c r="D16" s="2" t="s">
        <v>20</v>
      </c>
      <c r="E16" s="4">
        <f t="shared" si="2"/>
        <v>-1704.2528742364018</v>
      </c>
      <c r="F16" s="2" t="s">
        <v>9</v>
      </c>
      <c r="G16" s="3">
        <v>46054</v>
      </c>
      <c r="H16" s="2">
        <v>1170</v>
      </c>
      <c r="I16" s="2"/>
      <c r="J16" s="5" t="s">
        <v>37</v>
      </c>
      <c r="K16" s="6">
        <v>-11929.770119654813</v>
      </c>
      <c r="L16" s="7">
        <v>0.14285714285714285</v>
      </c>
    </row>
    <row r="17" spans="1:14" x14ac:dyDescent="0.25">
      <c r="A17" s="2" t="str">
        <f t="shared" si="1"/>
        <v>CUSTO INSTITUCIONAL  - MESA FX SPOT  -  FEVEREIRO/2026</v>
      </c>
      <c r="B17" s="3">
        <v>46054</v>
      </c>
      <c r="C17" s="2">
        <v>817392</v>
      </c>
      <c r="D17" s="2" t="s">
        <v>21</v>
      </c>
      <c r="E17" s="4">
        <f t="shared" si="2"/>
        <v>-1704.2528742364018</v>
      </c>
      <c r="F17" s="2" t="s">
        <v>9</v>
      </c>
      <c r="G17" s="3">
        <v>46054</v>
      </c>
      <c r="H17" s="2">
        <v>1170</v>
      </c>
      <c r="I17" s="2"/>
      <c r="J17" s="5" t="s">
        <v>37</v>
      </c>
      <c r="K17" s="6">
        <v>-11929.770119654813</v>
      </c>
      <c r="L17" s="7">
        <v>0.14285714285714285</v>
      </c>
    </row>
    <row r="18" spans="1:14" x14ac:dyDescent="0.25">
      <c r="A18" s="15" t="str">
        <f t="shared" si="1"/>
        <v>CUSTO INSTITUCIONAL  - MESA FX SPOT  -  FEVEREIRO/2026</v>
      </c>
      <c r="B18" s="16">
        <v>46054</v>
      </c>
      <c r="C18" s="15">
        <v>817392</v>
      </c>
      <c r="D18" s="15" t="s">
        <v>38</v>
      </c>
      <c r="E18" s="17">
        <f t="shared" si="2"/>
        <v>-1704.2528742364018</v>
      </c>
      <c r="F18" s="15" t="s">
        <v>9</v>
      </c>
      <c r="G18" s="16">
        <v>46054</v>
      </c>
      <c r="H18" s="15">
        <v>1170</v>
      </c>
      <c r="I18" s="2"/>
      <c r="J18" s="18" t="s">
        <v>37</v>
      </c>
      <c r="K18" s="19">
        <v>-11929.770119654813</v>
      </c>
      <c r="L18" s="20">
        <v>0.14285714285714285</v>
      </c>
    </row>
    <row r="19" spans="1:14" x14ac:dyDescent="0.25">
      <c r="A19" s="15" t="str">
        <f>CONCATENATE($M$1,F19,$J$1,J19,$I$1,$N$1)</f>
        <v>CUSTO INSTITUCIONAL  - MESA CORPORATE BONDS -  FEVEREIRO/2026</v>
      </c>
      <c r="B19" s="25">
        <v>46054</v>
      </c>
      <c r="C19" s="15">
        <v>817392</v>
      </c>
      <c r="D19" s="15" t="s">
        <v>51</v>
      </c>
      <c r="E19" s="17">
        <f t="shared" si="2"/>
        <v>-14660.361947042469</v>
      </c>
      <c r="F19" s="15" t="s">
        <v>9</v>
      </c>
      <c r="G19" s="16">
        <v>46054</v>
      </c>
      <c r="H19" s="15">
        <v>1170</v>
      </c>
      <c r="I19" s="2"/>
      <c r="J19" s="18" t="s">
        <v>50</v>
      </c>
      <c r="K19" s="19">
        <v>-14660.361947042469</v>
      </c>
      <c r="L19" s="20">
        <v>1</v>
      </c>
    </row>
    <row r="20" spans="1:14" x14ac:dyDescent="0.25">
      <c r="A20" s="2" t="str">
        <f t="shared" si="1"/>
        <v>CUSTO INSTITUCIONAL  - MESA INFLATION BONDS -  FEVEREIRO/2026</v>
      </c>
      <c r="B20" s="3">
        <v>46054</v>
      </c>
      <c r="C20" s="2">
        <v>817392</v>
      </c>
      <c r="D20" s="2" t="s">
        <v>42</v>
      </c>
      <c r="E20" s="4">
        <f t="shared" si="2"/>
        <v>-1656.9125166187241</v>
      </c>
      <c r="F20" s="2" t="s">
        <v>9</v>
      </c>
      <c r="G20" s="3">
        <v>46054</v>
      </c>
      <c r="H20" s="2">
        <v>1170</v>
      </c>
      <c r="I20" s="2"/>
      <c r="J20" s="5" t="s">
        <v>40</v>
      </c>
      <c r="K20" s="6">
        <v>-13255.300132949793</v>
      </c>
      <c r="L20" s="28">
        <v>0.125</v>
      </c>
    </row>
    <row r="21" spans="1:14" x14ac:dyDescent="0.25">
      <c r="A21" s="2" t="str">
        <f t="shared" si="1"/>
        <v>CUSTO INSTITUCIONAL  - MESA INFLATION BONDS -  FEVEREIRO/2026</v>
      </c>
      <c r="B21" s="3">
        <v>46054</v>
      </c>
      <c r="C21" s="2">
        <v>817392</v>
      </c>
      <c r="D21" s="2" t="s">
        <v>57</v>
      </c>
      <c r="E21" s="4">
        <f t="shared" si="2"/>
        <v>-1656.9125166187241</v>
      </c>
      <c r="F21" s="2" t="s">
        <v>9</v>
      </c>
      <c r="G21" s="3">
        <v>46054</v>
      </c>
      <c r="H21" s="2">
        <v>1170</v>
      </c>
      <c r="I21" s="2"/>
      <c r="J21" s="5" t="s">
        <v>40</v>
      </c>
      <c r="K21" s="6">
        <v>-13255.300132949793</v>
      </c>
      <c r="L21" s="29">
        <v>0.125</v>
      </c>
    </row>
    <row r="22" spans="1:14" x14ac:dyDescent="0.25">
      <c r="A22" s="2" t="str">
        <f t="shared" si="1"/>
        <v>CUSTO INSTITUCIONAL  - MESA INFLATION BONDS -  FEVEREIRO/2026</v>
      </c>
      <c r="B22" s="3">
        <v>46054</v>
      </c>
      <c r="C22" s="2">
        <v>817392</v>
      </c>
      <c r="D22" s="2" t="s">
        <v>55</v>
      </c>
      <c r="E22" s="4">
        <f>K22*L22</f>
        <v>-1656.9125166187241</v>
      </c>
      <c r="F22" s="2" t="s">
        <v>9</v>
      </c>
      <c r="G22" s="3">
        <v>46054</v>
      </c>
      <c r="H22" s="2">
        <v>1170</v>
      </c>
      <c r="I22" s="2"/>
      <c r="J22" s="5" t="s">
        <v>40</v>
      </c>
      <c r="K22" s="6">
        <v>-13255.300132949793</v>
      </c>
      <c r="L22" s="29">
        <v>0.125</v>
      </c>
    </row>
    <row r="23" spans="1:14" x14ac:dyDescent="0.25">
      <c r="A23" s="2" t="str">
        <f t="shared" si="1"/>
        <v>CUSTO INSTITUCIONAL  - MESA INFLATION BONDS -  FEVEREIRO/2026</v>
      </c>
      <c r="B23" s="3">
        <v>46054</v>
      </c>
      <c r="C23" s="2">
        <v>817392</v>
      </c>
      <c r="D23" s="2" t="s">
        <v>24</v>
      </c>
      <c r="E23" s="4">
        <f t="shared" si="2"/>
        <v>-1656.9125166187241</v>
      </c>
      <c r="F23" s="2" t="s">
        <v>9</v>
      </c>
      <c r="G23" s="3">
        <v>46054</v>
      </c>
      <c r="H23" s="2">
        <v>1170</v>
      </c>
      <c r="I23" s="2"/>
      <c r="J23" s="5" t="s">
        <v>40</v>
      </c>
      <c r="K23" s="6">
        <v>-13255.300132949793</v>
      </c>
      <c r="L23" s="29">
        <v>0.125</v>
      </c>
    </row>
    <row r="24" spans="1:14" x14ac:dyDescent="0.25">
      <c r="A24" s="2" t="str">
        <f t="shared" si="1"/>
        <v>CUSTO INSTITUCIONAL  - MESA INFLATION BONDS -  FEVEREIRO/2026</v>
      </c>
      <c r="B24" s="3">
        <v>46054</v>
      </c>
      <c r="C24" s="2">
        <v>817392</v>
      </c>
      <c r="D24" s="2" t="s">
        <v>46</v>
      </c>
      <c r="E24" s="4">
        <f t="shared" si="2"/>
        <v>-1656.9125166187241</v>
      </c>
      <c r="F24" s="2" t="s">
        <v>9</v>
      </c>
      <c r="G24" s="3">
        <v>46054</v>
      </c>
      <c r="H24" s="2">
        <v>1170</v>
      </c>
      <c r="I24" s="2"/>
      <c r="J24" s="5" t="s">
        <v>40</v>
      </c>
      <c r="K24" s="6">
        <v>-13255.300132949793</v>
      </c>
      <c r="L24" s="29">
        <v>0.125</v>
      </c>
    </row>
    <row r="25" spans="1:14" x14ac:dyDescent="0.25">
      <c r="A25" s="2" t="str">
        <f t="shared" si="1"/>
        <v>CUSTO INSTITUCIONAL  - MESA INFLATION BONDS -  FEVEREIRO/2026</v>
      </c>
      <c r="B25" s="3">
        <v>46054</v>
      </c>
      <c r="C25" s="2">
        <v>817392</v>
      </c>
      <c r="D25" s="2" t="s">
        <v>25</v>
      </c>
      <c r="E25" s="4">
        <f t="shared" si="2"/>
        <v>-1656.9125166187241</v>
      </c>
      <c r="F25" s="2" t="s">
        <v>9</v>
      </c>
      <c r="G25" s="3">
        <v>46054</v>
      </c>
      <c r="H25" s="2">
        <v>1170</v>
      </c>
      <c r="I25" s="2"/>
      <c r="J25" s="5" t="s">
        <v>40</v>
      </c>
      <c r="K25" s="6">
        <v>-13255.300132949793</v>
      </c>
      <c r="L25" s="29">
        <v>0.125</v>
      </c>
    </row>
    <row r="26" spans="1:14" x14ac:dyDescent="0.25">
      <c r="A26" s="2" t="str">
        <f t="shared" si="1"/>
        <v>CUSTO INSTITUCIONAL  - MESA INFLATION BONDS -  FEVEREIRO/2026</v>
      </c>
      <c r="B26" s="3">
        <v>46054</v>
      </c>
      <c r="C26" s="2">
        <v>817392</v>
      </c>
      <c r="D26" s="2" t="s">
        <v>47</v>
      </c>
      <c r="E26" s="4">
        <f t="shared" si="2"/>
        <v>-1656.9125166187241</v>
      </c>
      <c r="F26" s="2" t="s">
        <v>9</v>
      </c>
      <c r="G26" s="3">
        <v>46054</v>
      </c>
      <c r="H26" s="2">
        <v>1170</v>
      </c>
      <c r="I26" s="2"/>
      <c r="J26" s="5" t="s">
        <v>40</v>
      </c>
      <c r="K26" s="6">
        <v>-13255.300132949793</v>
      </c>
      <c r="L26" s="29">
        <v>0.125</v>
      </c>
    </row>
    <row r="27" spans="1:14" x14ac:dyDescent="0.25">
      <c r="A27" s="15" t="str">
        <f>CONCATENATE($M$1,F27,$J$1,J27,$I$1,$N$1)</f>
        <v>CUSTO INSTITUCIONAL  - MESA INFLATION BONDS -  FEVEREIRO/2026</v>
      </c>
      <c r="B27" s="16">
        <v>46054</v>
      </c>
      <c r="C27" s="15">
        <v>817392</v>
      </c>
      <c r="D27" s="15" t="s">
        <v>26</v>
      </c>
      <c r="E27" s="17">
        <f t="shared" si="2"/>
        <v>-1656.9125166187241</v>
      </c>
      <c r="F27" s="15" t="s">
        <v>9</v>
      </c>
      <c r="G27" s="16">
        <v>46054</v>
      </c>
      <c r="H27" s="15">
        <v>1170</v>
      </c>
      <c r="I27" s="2"/>
      <c r="J27" s="18" t="s">
        <v>40</v>
      </c>
      <c r="K27" s="19">
        <v>-13255.300132949793</v>
      </c>
      <c r="L27" s="20">
        <v>0.125</v>
      </c>
    </row>
    <row r="28" spans="1:14" x14ac:dyDescent="0.25">
      <c r="A28" s="2" t="str">
        <f>CONCATENATE($M$1,F28,$J$1,J28,$I$1,$N$1)</f>
        <v>CUSTO INSTITUCIONAL  - MESA PUBLIC BONDS -  FEVEREIRO/2026</v>
      </c>
      <c r="B28" s="3">
        <v>46054</v>
      </c>
      <c r="C28" s="2">
        <v>817392</v>
      </c>
      <c r="D28" s="2" t="s">
        <v>28</v>
      </c>
      <c r="E28" s="4">
        <f t="shared" si="2"/>
        <v>-2253.4460906219169</v>
      </c>
      <c r="F28" s="2" t="s">
        <v>9</v>
      </c>
      <c r="G28" s="3">
        <v>46054</v>
      </c>
      <c r="H28" s="2">
        <v>1170</v>
      </c>
      <c r="I28" s="2"/>
      <c r="J28" s="5" t="s">
        <v>41</v>
      </c>
      <c r="K28" s="6">
        <v>-13520.406135608788</v>
      </c>
      <c r="L28" s="7">
        <v>0.16667000000000001</v>
      </c>
      <c r="N28" s="33"/>
    </row>
    <row r="29" spans="1:14" x14ac:dyDescent="0.25">
      <c r="A29" s="2" t="str">
        <f>CONCATENATE($M$1,F29,$J$1,J29,$I$1,$N$1)</f>
        <v>CUSTO INSTITUCIONAL  - MESA PUBLIC BONDS -  FEVEREIRO/2026</v>
      </c>
      <c r="B29" s="3">
        <v>46054</v>
      </c>
      <c r="C29" s="2">
        <v>817392</v>
      </c>
      <c r="D29" s="2" t="s">
        <v>63</v>
      </c>
      <c r="E29" s="4">
        <f t="shared" si="2"/>
        <v>-2253.4460906219169</v>
      </c>
      <c r="F29" s="2" t="s">
        <v>9</v>
      </c>
      <c r="G29" s="3">
        <v>46054</v>
      </c>
      <c r="H29" s="2">
        <v>1170</v>
      </c>
      <c r="I29" s="2"/>
      <c r="J29" s="5" t="s">
        <v>41</v>
      </c>
      <c r="K29" s="6">
        <v>-13520.406135608788</v>
      </c>
      <c r="L29" s="7">
        <v>0.16667000000000001</v>
      </c>
    </row>
    <row r="30" spans="1:14" x14ac:dyDescent="0.25">
      <c r="A30" s="2" t="str">
        <f t="shared" ref="A30:A42" si="3">CONCATENATE($M$1,F30,$J$1,J30,$I$1,$N$1)</f>
        <v>CUSTO INSTITUCIONAL  - MESA PUBLIC BONDS -  FEVEREIRO/2026</v>
      </c>
      <c r="B30" s="3">
        <v>46054</v>
      </c>
      <c r="C30" s="2">
        <v>817392</v>
      </c>
      <c r="D30" s="2" t="s">
        <v>27</v>
      </c>
      <c r="E30" s="30">
        <f t="shared" si="2"/>
        <v>-2253.4460906219169</v>
      </c>
      <c r="F30" s="2" t="s">
        <v>9</v>
      </c>
      <c r="G30" s="3">
        <v>46054</v>
      </c>
      <c r="H30" s="2">
        <v>1170</v>
      </c>
      <c r="I30" s="2"/>
      <c r="J30" s="5" t="s">
        <v>41</v>
      </c>
      <c r="K30" s="31">
        <v>-13520.406135608788</v>
      </c>
      <c r="L30" s="7">
        <v>0.16667000000000001</v>
      </c>
    </row>
    <row r="31" spans="1:14" x14ac:dyDescent="0.25">
      <c r="A31" s="2" t="str">
        <f t="shared" si="3"/>
        <v>CUSTO INSTITUCIONAL  - MESA PUBLIC BONDS -  FEVEREIRO/2026</v>
      </c>
      <c r="B31" s="3">
        <v>46054</v>
      </c>
      <c r="C31" s="2">
        <v>817392</v>
      </c>
      <c r="D31" s="2" t="s">
        <v>61</v>
      </c>
      <c r="E31" s="30">
        <f t="shared" si="2"/>
        <v>-2253.4460906219169</v>
      </c>
      <c r="F31" s="2" t="s">
        <v>9</v>
      </c>
      <c r="G31" s="3">
        <v>46054</v>
      </c>
      <c r="H31" s="2">
        <v>1170</v>
      </c>
      <c r="I31" s="2"/>
      <c r="J31" s="5" t="s">
        <v>41</v>
      </c>
      <c r="K31" s="31">
        <v>-13520.406135608788</v>
      </c>
      <c r="L31" s="7">
        <v>0.16667000000000001</v>
      </c>
    </row>
    <row r="32" spans="1:14" x14ac:dyDescent="0.25">
      <c r="A32" s="2" t="str">
        <f t="shared" si="3"/>
        <v>CUSTO INSTITUCIONAL  - MESA PUBLIC BONDS -  FEVEREIRO/2026</v>
      </c>
      <c r="B32" s="3">
        <v>46054</v>
      </c>
      <c r="C32" s="2">
        <v>817392</v>
      </c>
      <c r="D32" s="2" t="s">
        <v>56</v>
      </c>
      <c r="E32" s="30">
        <f t="shared" si="2"/>
        <v>-2253.4460906219169</v>
      </c>
      <c r="F32" s="2" t="s">
        <v>9</v>
      </c>
      <c r="G32" s="3">
        <v>46054</v>
      </c>
      <c r="H32" s="2">
        <v>1170</v>
      </c>
      <c r="J32" s="5" t="s">
        <v>41</v>
      </c>
      <c r="K32" s="31">
        <v>-13520.406135608788</v>
      </c>
      <c r="L32" s="7">
        <v>0.16667000000000001</v>
      </c>
    </row>
    <row r="33" spans="1:13" x14ac:dyDescent="0.25">
      <c r="A33" s="15" t="str">
        <f t="shared" si="3"/>
        <v>CUSTO INSTITUCIONAL  - MESA PUBLIC BONDS -  FEVEREIRO/2026</v>
      </c>
      <c r="B33" s="16">
        <v>46054</v>
      </c>
      <c r="C33" s="15">
        <v>817392</v>
      </c>
      <c r="D33" s="15" t="s">
        <v>58</v>
      </c>
      <c r="E33" s="17">
        <f t="shared" si="2"/>
        <v>-2253.4460906219169</v>
      </c>
      <c r="F33" s="15" t="s">
        <v>9</v>
      </c>
      <c r="G33" s="16">
        <v>46054</v>
      </c>
      <c r="H33" s="15">
        <v>1170</v>
      </c>
      <c r="J33" s="18" t="s">
        <v>41</v>
      </c>
      <c r="K33" s="19">
        <v>-13520.406135608788</v>
      </c>
      <c r="L33" s="20">
        <v>0.16667000000000001</v>
      </c>
    </row>
    <row r="34" spans="1:13" x14ac:dyDescent="0.25">
      <c r="A34" s="2" t="str">
        <f>CONCATENATE($M$1,F34,$J$1,J34,$I$1,$N$1)</f>
        <v>CUSTO INSTITUCIONAL  - MESA DI FUTURES  -  FEVEREIRO/2026</v>
      </c>
      <c r="B34" s="3">
        <v>46054</v>
      </c>
      <c r="C34" s="2">
        <v>817392</v>
      </c>
      <c r="D34" s="2" t="s">
        <v>44</v>
      </c>
      <c r="E34" s="4">
        <f>K34*L34</f>
        <v>-3247.5485325726991</v>
      </c>
      <c r="F34" s="2" t="s">
        <v>9</v>
      </c>
      <c r="G34" s="3">
        <v>46054</v>
      </c>
      <c r="H34" s="2">
        <v>1170</v>
      </c>
      <c r="J34" s="5" t="s">
        <v>39</v>
      </c>
      <c r="K34" s="6">
        <v>-12990.194130290796</v>
      </c>
      <c r="L34" s="7">
        <v>0.25</v>
      </c>
    </row>
    <row r="35" spans="1:13" x14ac:dyDescent="0.25">
      <c r="A35" s="2" t="str">
        <f>CONCATENATE($M$1,F35,$J$1,J35,$I$1,$N$1)</f>
        <v>CUSTO INSTITUCIONAL  - MESA DI FUTURES  -  FEVEREIRO/2026</v>
      </c>
      <c r="B35" s="3">
        <v>46054</v>
      </c>
      <c r="C35" s="2">
        <v>817392</v>
      </c>
      <c r="D35" s="2" t="s">
        <v>23</v>
      </c>
      <c r="E35" s="4">
        <f>K35*L35</f>
        <v>-3247.5485325726991</v>
      </c>
      <c r="F35" s="2" t="s">
        <v>9</v>
      </c>
      <c r="G35" s="3">
        <v>46054</v>
      </c>
      <c r="H35" s="2">
        <v>1170</v>
      </c>
      <c r="J35" s="5" t="s">
        <v>39</v>
      </c>
      <c r="K35" s="6">
        <v>-12990.194130290796</v>
      </c>
      <c r="L35" s="7">
        <v>0.25</v>
      </c>
    </row>
    <row r="36" spans="1:13" x14ac:dyDescent="0.25">
      <c r="A36" s="2" t="str">
        <f>CONCATENATE($M$1,F36,$J$1,J36,$I$1,$N$1)</f>
        <v>CUSTO INSTITUCIONAL  - MESA DI FUTURES  -  FEVEREIRO/2026</v>
      </c>
      <c r="B36" s="3">
        <v>46054</v>
      </c>
      <c r="C36" s="2">
        <v>817392</v>
      </c>
      <c r="D36" s="2" t="s">
        <v>54</v>
      </c>
      <c r="E36" s="4">
        <f>K36*L36</f>
        <v>-3247.5485325726991</v>
      </c>
      <c r="F36" s="2" t="s">
        <v>9</v>
      </c>
      <c r="G36" s="3">
        <v>46054</v>
      </c>
      <c r="H36" s="2">
        <v>1170</v>
      </c>
      <c r="J36" s="5" t="s">
        <v>39</v>
      </c>
      <c r="K36" s="6">
        <v>-12990.194130290796</v>
      </c>
      <c r="L36" s="7">
        <v>0.25</v>
      </c>
    </row>
    <row r="37" spans="1:13" x14ac:dyDescent="0.25">
      <c r="A37" s="15" t="str">
        <f>CONCATENATE($M$1,F37,$J$1,J37,$I$1,$N$1)</f>
        <v>CUSTO INSTITUCIONAL  - MESA DI FUTURES  -  FEVEREIRO/2026</v>
      </c>
      <c r="B37" s="16">
        <v>46054</v>
      </c>
      <c r="C37" s="15">
        <v>817392</v>
      </c>
      <c r="D37" s="15" t="s">
        <v>22</v>
      </c>
      <c r="E37" s="17">
        <f>K37*L37</f>
        <v>-3247.5485325726991</v>
      </c>
      <c r="F37" s="15" t="s">
        <v>9</v>
      </c>
      <c r="G37" s="16">
        <v>46054</v>
      </c>
      <c r="H37" s="15">
        <v>1170</v>
      </c>
      <c r="J37" s="18" t="s">
        <v>39</v>
      </c>
      <c r="K37" s="19">
        <v>-12990.194130290796</v>
      </c>
      <c r="L37" s="20">
        <v>0.25</v>
      </c>
    </row>
    <row r="38" spans="1:13" x14ac:dyDescent="0.25">
      <c r="A38" s="2" t="str">
        <f t="shared" si="3"/>
        <v>CUSTO INSTITUCIONAL  - MESA FX FUTURES -  FEVEREIRO/2026</v>
      </c>
      <c r="B38" s="3">
        <v>46054</v>
      </c>
      <c r="C38" s="2">
        <v>817392</v>
      </c>
      <c r="D38" s="2" t="s">
        <v>30</v>
      </c>
      <c r="E38" s="4">
        <f t="shared" si="2"/>
        <v>-2965.8734047475159</v>
      </c>
      <c r="F38" s="2" t="s">
        <v>9</v>
      </c>
      <c r="G38" s="3">
        <v>46054</v>
      </c>
      <c r="H38" s="2">
        <v>1170</v>
      </c>
      <c r="J38" s="5" t="s">
        <v>29</v>
      </c>
      <c r="K38" s="6">
        <v>-11863.493618990064</v>
      </c>
      <c r="L38" s="7">
        <v>0.25</v>
      </c>
      <c r="M38" s="27"/>
    </row>
    <row r="39" spans="1:13" x14ac:dyDescent="0.25">
      <c r="A39" s="2" t="str">
        <f t="shared" si="3"/>
        <v>CUSTO INSTITUCIONAL  - MESA FX FUTURES -  FEVEREIRO/2026</v>
      </c>
      <c r="B39" s="3">
        <v>46054</v>
      </c>
      <c r="C39" s="2">
        <v>817392</v>
      </c>
      <c r="D39" s="2" t="s">
        <v>31</v>
      </c>
      <c r="E39" s="4">
        <f t="shared" si="2"/>
        <v>-2965.8734047475159</v>
      </c>
      <c r="F39" s="2" t="s">
        <v>9</v>
      </c>
      <c r="G39" s="3">
        <v>46054</v>
      </c>
      <c r="H39" s="2">
        <v>1170</v>
      </c>
      <c r="I39" s="2"/>
      <c r="J39" s="5" t="s">
        <v>29</v>
      </c>
      <c r="K39" s="6">
        <v>-11863.493618990064</v>
      </c>
      <c r="L39" s="7">
        <v>0.25</v>
      </c>
    </row>
    <row r="40" spans="1:13" x14ac:dyDescent="0.25">
      <c r="A40" s="2" t="str">
        <f t="shared" si="3"/>
        <v>CUSTO INSTITUCIONAL  - MESA FX FUTURES -  FEVEREIRO/2026</v>
      </c>
      <c r="B40" s="3">
        <v>46054</v>
      </c>
      <c r="C40" s="2">
        <v>817392</v>
      </c>
      <c r="D40" s="2" t="s">
        <v>53</v>
      </c>
      <c r="E40" s="4">
        <f t="shared" si="2"/>
        <v>-2965.8734047475159</v>
      </c>
      <c r="F40" s="2" t="s">
        <v>9</v>
      </c>
      <c r="G40" s="3">
        <v>46054</v>
      </c>
      <c r="H40" s="2">
        <v>1170</v>
      </c>
      <c r="I40" s="2"/>
      <c r="J40" s="5" t="s">
        <v>29</v>
      </c>
      <c r="K40" s="6">
        <v>-11863.493618990064</v>
      </c>
      <c r="L40" s="7">
        <v>0.25</v>
      </c>
    </row>
    <row r="41" spans="1:13" x14ac:dyDescent="0.25">
      <c r="A41" s="15" t="str">
        <f t="shared" si="3"/>
        <v>CUSTO INSTITUCIONAL  - MESA FX FUTURES -  FEVEREIRO/2026</v>
      </c>
      <c r="B41" s="16">
        <v>46054</v>
      </c>
      <c r="C41" s="15">
        <v>817392</v>
      </c>
      <c r="D41" s="15" t="s">
        <v>32</v>
      </c>
      <c r="E41" s="17">
        <f t="shared" si="2"/>
        <v>-2965.8734047475159</v>
      </c>
      <c r="F41" s="15" t="s">
        <v>9</v>
      </c>
      <c r="G41" s="16">
        <v>46054</v>
      </c>
      <c r="H41" s="15">
        <v>1170</v>
      </c>
      <c r="I41" s="2"/>
      <c r="J41" s="18" t="s">
        <v>29</v>
      </c>
      <c r="K41" s="19">
        <v>-11863.493618990064</v>
      </c>
      <c r="L41" s="20">
        <v>0.25</v>
      </c>
    </row>
    <row r="42" spans="1:13" x14ac:dyDescent="0.25">
      <c r="A42" s="15" t="str">
        <f t="shared" si="3"/>
        <v>CUSTO INSTITUCIONAL  - MESA NDF OFFSHORE -  FEVEREIRO/2026</v>
      </c>
      <c r="B42" s="25">
        <v>46054</v>
      </c>
      <c r="C42" s="15">
        <v>817392</v>
      </c>
      <c r="D42" s="15" t="s">
        <v>64</v>
      </c>
      <c r="E42" s="17">
        <f t="shared" si="2"/>
        <v>-13343.66880050279</v>
      </c>
      <c r="F42" s="15" t="s">
        <v>9</v>
      </c>
      <c r="G42" s="16">
        <v>46054</v>
      </c>
      <c r="H42" s="15">
        <v>1170</v>
      </c>
      <c r="I42" s="2"/>
      <c r="J42" s="18" t="s">
        <v>48</v>
      </c>
      <c r="K42" s="19">
        <v>-13343.66880050279</v>
      </c>
      <c r="L42" s="20">
        <v>1</v>
      </c>
    </row>
  </sheetData>
  <autoFilter ref="A1:N1" xr:uid="{2FE869A7-BB24-4073-9535-98469A614E5D}"/>
  <pageMargins left="0.511811024" right="0.511811024" top="0.78740157499999996" bottom="0.78740157499999996" header="0.31496062000000002" footer="0.31496062000000002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CBF6C-5A12-4EF4-B7C5-1F205C3B1174}">
  <sheetPr codeName="Sheet3"/>
  <dimension ref="A1:O41"/>
  <sheetViews>
    <sheetView showGridLines="0" topLeftCell="A7" workbookViewId="0">
      <selection activeCell="A2" sqref="A2:H41"/>
    </sheetView>
  </sheetViews>
  <sheetFormatPr defaultRowHeight="15" x14ac:dyDescent="0.25"/>
  <cols>
    <col min="1" max="1" width="44.140625" bestFit="1" customWidth="1"/>
    <col min="2" max="2" width="14.7109375" bestFit="1" customWidth="1"/>
    <col min="3" max="3" width="12.7109375" bestFit="1" customWidth="1"/>
    <col min="4" max="4" width="34" bestFit="1" customWidth="1"/>
    <col min="5" max="5" width="10.5703125" style="14" bestFit="1" customWidth="1"/>
    <col min="6" max="6" width="12.28515625" customWidth="1"/>
    <col min="7" max="7" width="14.5703125" customWidth="1"/>
    <col min="8" max="8" width="11.7109375" customWidth="1"/>
    <col min="9" max="9" width="9.140625" customWidth="1"/>
    <col min="10" max="10" width="13.7109375" customWidth="1"/>
    <col min="11" max="11" width="11.28515625" bestFit="1" customWidth="1"/>
    <col min="12" max="12" width="9.140625" style="9"/>
    <col min="14" max="14" width="15.42578125" bestFit="1" customWidth="1"/>
  </cols>
  <sheetData>
    <row r="1" spans="1:15" x14ac:dyDescent="0.25">
      <c r="A1" s="10" t="s">
        <v>0</v>
      </c>
      <c r="B1" s="11" t="s">
        <v>1</v>
      </c>
      <c r="C1" s="10" t="s">
        <v>8</v>
      </c>
      <c r="D1" s="10" t="s">
        <v>2</v>
      </c>
      <c r="E1" s="13" t="s">
        <v>3</v>
      </c>
      <c r="F1" s="10" t="s">
        <v>4</v>
      </c>
      <c r="G1" s="11" t="s">
        <v>5</v>
      </c>
      <c r="H1" s="10" t="s">
        <v>6</v>
      </c>
      <c r="I1" s="1" t="s">
        <v>12</v>
      </c>
      <c r="J1" s="1" t="s">
        <v>13</v>
      </c>
      <c r="K1" s="1" t="s">
        <v>3</v>
      </c>
      <c r="L1" s="8" t="s">
        <v>7</v>
      </c>
      <c r="M1" s="1" t="s">
        <v>10</v>
      </c>
      <c r="N1" s="12" t="s">
        <v>66</v>
      </c>
    </row>
    <row r="2" spans="1:15" x14ac:dyDescent="0.25">
      <c r="A2" s="2" t="str">
        <f>CONCATENATE($M$1,F2,$J$1,J2,$I$1,$N$1)</f>
        <v>CUSTO INSTITUCIONAL  - MESA EQUITIES -  MARÇO/2026</v>
      </c>
      <c r="B2" s="3">
        <v>46082</v>
      </c>
      <c r="C2" s="2">
        <v>817392</v>
      </c>
      <c r="D2" s="2" t="s">
        <v>15</v>
      </c>
      <c r="E2" s="4">
        <f t="shared" ref="E2:E3" si="0">K2*L2</f>
        <v>-2645.1333863781101</v>
      </c>
      <c r="F2" s="2" t="s">
        <v>9</v>
      </c>
      <c r="G2" s="3">
        <v>46082</v>
      </c>
      <c r="H2" s="2">
        <v>1170</v>
      </c>
      <c r="I2" s="2"/>
      <c r="J2" s="5" t="s">
        <v>11</v>
      </c>
      <c r="K2" s="6">
        <v>-11903.219270894204</v>
      </c>
      <c r="L2" s="7">
        <v>0.22222</v>
      </c>
    </row>
    <row r="3" spans="1:15" x14ac:dyDescent="0.25">
      <c r="A3" s="2" t="str">
        <f>CONCATENATE($M$1,F3,$J$1,J3,$I$1,$N$1)</f>
        <v>CUSTO INSTITUCIONAL  - MESA EQUITIES -  MARÇO/2026</v>
      </c>
      <c r="B3" s="3">
        <v>46082</v>
      </c>
      <c r="C3" s="2">
        <v>817392</v>
      </c>
      <c r="D3" s="2" t="s">
        <v>59</v>
      </c>
      <c r="E3" s="4">
        <f t="shared" si="0"/>
        <v>-1322.5666931890551</v>
      </c>
      <c r="F3" s="2" t="s">
        <v>9</v>
      </c>
      <c r="G3" s="3">
        <v>46082</v>
      </c>
      <c r="H3" s="2">
        <v>1170</v>
      </c>
      <c r="I3" s="2"/>
      <c r="J3" s="5" t="s">
        <v>11</v>
      </c>
      <c r="K3" s="6">
        <v>-11903.219270894204</v>
      </c>
      <c r="L3" s="7">
        <v>0.11111</v>
      </c>
    </row>
    <row r="4" spans="1:15" x14ac:dyDescent="0.25">
      <c r="A4" s="2" t="str">
        <f t="shared" ref="A4:A26" si="1">CONCATENATE($M$1,F4,$J$1,J4,$I$1,$N$1)</f>
        <v>CUSTO INSTITUCIONAL  - MESA EQUITIES -  MARÇO/2026</v>
      </c>
      <c r="B4" s="3">
        <v>46082</v>
      </c>
      <c r="C4" s="2">
        <v>817392</v>
      </c>
      <c r="D4" s="2" t="s">
        <v>43</v>
      </c>
      <c r="E4" s="4">
        <f>K4*L4</f>
        <v>-1322.5666931890551</v>
      </c>
      <c r="F4" s="2" t="s">
        <v>9</v>
      </c>
      <c r="G4" s="3">
        <v>46082</v>
      </c>
      <c r="H4" s="2">
        <v>1170</v>
      </c>
      <c r="I4" s="2"/>
      <c r="J4" s="5" t="s">
        <v>11</v>
      </c>
      <c r="K4" s="6">
        <v>-11903.219270894204</v>
      </c>
      <c r="L4" s="7">
        <v>0.11111</v>
      </c>
      <c r="O4" s="32"/>
    </row>
    <row r="5" spans="1:15" x14ac:dyDescent="0.25">
      <c r="A5" s="2" t="str">
        <f t="shared" si="1"/>
        <v>CUSTO INSTITUCIONAL  - MESA EQUITIES -  MARÇO/2026</v>
      </c>
      <c r="B5" s="3">
        <v>46082</v>
      </c>
      <c r="C5" s="2">
        <v>817392</v>
      </c>
      <c r="D5" s="2" t="s">
        <v>60</v>
      </c>
      <c r="E5" s="4">
        <f>K5*L5</f>
        <v>-1322.5666931890551</v>
      </c>
      <c r="F5" s="2" t="s">
        <v>9</v>
      </c>
      <c r="G5" s="3">
        <v>46082</v>
      </c>
      <c r="H5" s="2">
        <v>1170</v>
      </c>
      <c r="I5" s="2"/>
      <c r="J5" s="5" t="s">
        <v>11</v>
      </c>
      <c r="K5" s="6">
        <v>-11903.219270894204</v>
      </c>
      <c r="L5" s="7">
        <v>0.11111</v>
      </c>
    </row>
    <row r="6" spans="1:15" x14ac:dyDescent="0.25">
      <c r="A6" s="2" t="str">
        <f t="shared" si="1"/>
        <v>CUSTO INSTITUCIONAL  - MESA EQUITIES -  MARÇO/2026</v>
      </c>
      <c r="B6" s="3">
        <v>46082</v>
      </c>
      <c r="C6" s="2">
        <v>817392</v>
      </c>
      <c r="D6" s="2" t="s">
        <v>45</v>
      </c>
      <c r="E6" s="4">
        <f>K6*L6</f>
        <v>-1322.5666931890551</v>
      </c>
      <c r="F6" s="2" t="s">
        <v>9</v>
      </c>
      <c r="G6" s="3">
        <v>46082</v>
      </c>
      <c r="H6" s="2">
        <v>1170</v>
      </c>
      <c r="I6" s="2"/>
      <c r="J6" s="5" t="s">
        <v>11</v>
      </c>
      <c r="K6" s="6">
        <v>-11903.219270894204</v>
      </c>
      <c r="L6" s="7">
        <v>0.11111</v>
      </c>
    </row>
    <row r="7" spans="1:15" x14ac:dyDescent="0.25">
      <c r="A7" s="2" t="str">
        <f t="shared" si="1"/>
        <v>CUSTO INSTITUCIONAL  - MESA EQUITIES -  MARÇO/2026</v>
      </c>
      <c r="B7" s="3">
        <v>46082</v>
      </c>
      <c r="C7" s="2">
        <v>817392</v>
      </c>
      <c r="D7" s="2" t="s">
        <v>14</v>
      </c>
      <c r="E7" s="4">
        <f t="shared" ref="E7:E41" si="2">K7*L7</f>
        <v>-1322.5666931890551</v>
      </c>
      <c r="F7" s="2" t="s">
        <v>9</v>
      </c>
      <c r="G7" s="3">
        <v>46082</v>
      </c>
      <c r="H7" s="2">
        <v>1170</v>
      </c>
      <c r="I7" s="2"/>
      <c r="J7" s="5" t="s">
        <v>11</v>
      </c>
      <c r="K7" s="6">
        <v>-11903.219270894204</v>
      </c>
      <c r="L7" s="7">
        <v>0.11111</v>
      </c>
    </row>
    <row r="8" spans="1:15" x14ac:dyDescent="0.25">
      <c r="A8" s="2" t="str">
        <f t="shared" si="1"/>
        <v>CUSTO INSTITUCIONAL  - MESA EQUITIES -  MARÇO/2026</v>
      </c>
      <c r="B8" s="3">
        <v>46082</v>
      </c>
      <c r="C8" s="2">
        <v>817392</v>
      </c>
      <c r="D8" s="2" t="s">
        <v>49</v>
      </c>
      <c r="E8" s="4">
        <f t="shared" si="2"/>
        <v>-1322.5666931890551</v>
      </c>
      <c r="F8" s="2" t="s">
        <v>9</v>
      </c>
      <c r="G8" s="3">
        <v>46082</v>
      </c>
      <c r="H8" s="2">
        <v>1170</v>
      </c>
      <c r="I8" s="2"/>
      <c r="J8" s="5" t="s">
        <v>11</v>
      </c>
      <c r="K8" s="6">
        <v>-11903.219270894204</v>
      </c>
      <c r="L8" s="7">
        <v>0.11111</v>
      </c>
    </row>
    <row r="9" spans="1:15" x14ac:dyDescent="0.25">
      <c r="A9" s="15" t="str">
        <f t="shared" si="1"/>
        <v>CUSTO INSTITUCIONAL  - MESA OFFSHORE LISTED -  MARÇO/2026</v>
      </c>
      <c r="B9" s="16">
        <v>46082</v>
      </c>
      <c r="C9" s="15">
        <v>817392</v>
      </c>
      <c r="D9" s="15" t="s">
        <v>52</v>
      </c>
      <c r="E9" s="17">
        <f t="shared" si="2"/>
        <v>-1322.5666931890551</v>
      </c>
      <c r="F9" s="15" t="s">
        <v>9</v>
      </c>
      <c r="G9" s="16">
        <v>46082</v>
      </c>
      <c r="H9" s="15">
        <v>1170</v>
      </c>
      <c r="I9" s="2"/>
      <c r="J9" s="18" t="s">
        <v>52</v>
      </c>
      <c r="K9" s="6">
        <v>-11903.219270894204</v>
      </c>
      <c r="L9" s="7">
        <v>0.11111</v>
      </c>
    </row>
    <row r="10" spans="1:15" x14ac:dyDescent="0.25">
      <c r="A10" s="24" t="str">
        <f t="shared" si="1"/>
        <v>CUSTO INSTITUCIONAL  - MESA VOLATILITY IDI -  MARÇO/2026</v>
      </c>
      <c r="B10" s="16">
        <v>46082</v>
      </c>
      <c r="C10" s="24">
        <v>817392</v>
      </c>
      <c r="D10" s="24" t="s">
        <v>33</v>
      </c>
      <c r="E10" s="26">
        <f t="shared" si="2"/>
        <v>-13422.779177816868</v>
      </c>
      <c r="F10" s="24" t="s">
        <v>9</v>
      </c>
      <c r="G10" s="25">
        <v>46082</v>
      </c>
      <c r="H10" s="24">
        <v>1170</v>
      </c>
      <c r="I10" s="2"/>
      <c r="J10" s="21" t="s">
        <v>34</v>
      </c>
      <c r="K10" s="22">
        <v>-13422.779177816868</v>
      </c>
      <c r="L10" s="23">
        <v>1</v>
      </c>
    </row>
    <row r="11" spans="1:15" x14ac:dyDescent="0.25">
      <c r="A11" s="15" t="str">
        <f t="shared" si="1"/>
        <v>CUSTO INSTITUCIONAL  - MESA VOLATILITY FX -  MARÇO/2026</v>
      </c>
      <c r="B11" s="25">
        <v>46082</v>
      </c>
      <c r="C11" s="15">
        <v>817392</v>
      </c>
      <c r="D11" s="15" t="s">
        <v>36</v>
      </c>
      <c r="E11" s="17">
        <f t="shared" si="2"/>
        <v>-12662.999224355537</v>
      </c>
      <c r="F11" s="15" t="s">
        <v>9</v>
      </c>
      <c r="G11" s="16">
        <v>46082</v>
      </c>
      <c r="H11" s="15">
        <v>1170</v>
      </c>
      <c r="I11" s="2"/>
      <c r="J11" s="18" t="s">
        <v>35</v>
      </c>
      <c r="K11" s="22">
        <v>-12662.999224355537</v>
      </c>
      <c r="L11" s="20">
        <v>1</v>
      </c>
    </row>
    <row r="12" spans="1:15" x14ac:dyDescent="0.25">
      <c r="A12" s="2" t="str">
        <f t="shared" si="1"/>
        <v>CUSTO INSTITUCIONAL  - MESA FX SPOT  -  MARÇO/2026</v>
      </c>
      <c r="B12" s="3">
        <v>46082</v>
      </c>
      <c r="C12" s="2">
        <v>817392</v>
      </c>
      <c r="D12" s="2" t="s">
        <v>17</v>
      </c>
      <c r="E12" s="4">
        <f t="shared" si="2"/>
        <v>-1628.0999002742833</v>
      </c>
      <c r="F12" s="2" t="s">
        <v>9</v>
      </c>
      <c r="G12" s="3">
        <v>46082</v>
      </c>
      <c r="H12" s="2">
        <v>1170</v>
      </c>
      <c r="I12" s="2"/>
      <c r="J12" s="5" t="s">
        <v>37</v>
      </c>
      <c r="K12" s="6">
        <v>-11396.699301919984</v>
      </c>
      <c r="L12" s="7">
        <v>0.14285714285714285</v>
      </c>
    </row>
    <row r="13" spans="1:15" x14ac:dyDescent="0.25">
      <c r="A13" s="2" t="str">
        <f t="shared" si="1"/>
        <v>CUSTO INSTITUCIONAL  - MESA FX SPOT  -  MARÇO/2026</v>
      </c>
      <c r="B13" s="3">
        <v>46082</v>
      </c>
      <c r="C13" s="2">
        <v>817392</v>
      </c>
      <c r="D13" s="2" t="s">
        <v>18</v>
      </c>
      <c r="E13" s="4">
        <f t="shared" si="2"/>
        <v>-1628.0999002742833</v>
      </c>
      <c r="F13" s="2" t="s">
        <v>9</v>
      </c>
      <c r="G13" s="3">
        <v>46082</v>
      </c>
      <c r="H13" s="2">
        <v>1170</v>
      </c>
      <c r="I13" s="2"/>
      <c r="J13" s="5" t="s">
        <v>37</v>
      </c>
      <c r="K13" s="6">
        <v>-11396.699301919984</v>
      </c>
      <c r="L13" s="7">
        <v>0.14285714285714285</v>
      </c>
    </row>
    <row r="14" spans="1:15" x14ac:dyDescent="0.25">
      <c r="A14" s="2" t="str">
        <f t="shared" si="1"/>
        <v>CUSTO INSTITUCIONAL  - MESA FX SPOT  -  MARÇO/2026</v>
      </c>
      <c r="B14" s="3">
        <v>46082</v>
      </c>
      <c r="C14" s="2">
        <v>817392</v>
      </c>
      <c r="D14" s="2" t="s">
        <v>16</v>
      </c>
      <c r="E14" s="4">
        <f t="shared" si="2"/>
        <v>-1628.0999002742833</v>
      </c>
      <c r="F14" s="2" t="s">
        <v>9</v>
      </c>
      <c r="G14" s="3">
        <v>46082</v>
      </c>
      <c r="H14" s="2">
        <v>1170</v>
      </c>
      <c r="I14" s="2"/>
      <c r="J14" s="5" t="s">
        <v>37</v>
      </c>
      <c r="K14" s="6">
        <v>-11396.699301919984</v>
      </c>
      <c r="L14" s="7">
        <v>0.14285714285714285</v>
      </c>
    </row>
    <row r="15" spans="1:15" x14ac:dyDescent="0.25">
      <c r="A15" s="2" t="str">
        <f t="shared" si="1"/>
        <v>CUSTO INSTITUCIONAL  - MESA FX SPOT  -  MARÇO/2026</v>
      </c>
      <c r="B15" s="3">
        <v>46082</v>
      </c>
      <c r="C15" s="2">
        <v>817392</v>
      </c>
      <c r="D15" s="2" t="s">
        <v>19</v>
      </c>
      <c r="E15" s="4">
        <f t="shared" si="2"/>
        <v>-1628.0999002742833</v>
      </c>
      <c r="F15" s="2" t="s">
        <v>9</v>
      </c>
      <c r="G15" s="3">
        <v>46082</v>
      </c>
      <c r="H15" s="2">
        <v>1170</v>
      </c>
      <c r="I15" s="2"/>
      <c r="J15" s="5" t="s">
        <v>37</v>
      </c>
      <c r="K15" s="6">
        <v>-11396.699301919984</v>
      </c>
      <c r="L15" s="7">
        <v>0.14285714285714285</v>
      </c>
    </row>
    <row r="16" spans="1:15" x14ac:dyDescent="0.25">
      <c r="A16" s="2" t="str">
        <f t="shared" si="1"/>
        <v>CUSTO INSTITUCIONAL  - MESA FX SPOT  -  MARÇO/2026</v>
      </c>
      <c r="B16" s="3">
        <v>46082</v>
      </c>
      <c r="C16" s="2">
        <v>817392</v>
      </c>
      <c r="D16" s="2" t="s">
        <v>20</v>
      </c>
      <c r="E16" s="4">
        <f t="shared" si="2"/>
        <v>-1628.0999002742833</v>
      </c>
      <c r="F16" s="2" t="s">
        <v>9</v>
      </c>
      <c r="G16" s="3">
        <v>46082</v>
      </c>
      <c r="H16" s="2">
        <v>1170</v>
      </c>
      <c r="I16" s="2"/>
      <c r="J16" s="5" t="s">
        <v>37</v>
      </c>
      <c r="K16" s="6">
        <v>-11396.699301919984</v>
      </c>
      <c r="L16" s="7">
        <v>0.14285714285714285</v>
      </c>
    </row>
    <row r="17" spans="1:12" x14ac:dyDescent="0.25">
      <c r="A17" s="2" t="str">
        <f t="shared" si="1"/>
        <v>CUSTO INSTITUCIONAL  - MESA FX SPOT  -  MARÇO/2026</v>
      </c>
      <c r="B17" s="3">
        <v>46082</v>
      </c>
      <c r="C17" s="2">
        <v>817392</v>
      </c>
      <c r="D17" s="2" t="s">
        <v>21</v>
      </c>
      <c r="E17" s="4">
        <f t="shared" si="2"/>
        <v>-1628.0999002742833</v>
      </c>
      <c r="F17" s="2" t="s">
        <v>9</v>
      </c>
      <c r="G17" s="3">
        <v>46082</v>
      </c>
      <c r="H17" s="2">
        <v>1170</v>
      </c>
      <c r="I17" s="2"/>
      <c r="J17" s="5" t="s">
        <v>37</v>
      </c>
      <c r="K17" s="6">
        <v>-11396.699301919984</v>
      </c>
      <c r="L17" s="7">
        <v>0.14285714285714285</v>
      </c>
    </row>
    <row r="18" spans="1:12" x14ac:dyDescent="0.25">
      <c r="A18" s="15" t="str">
        <f t="shared" si="1"/>
        <v>CUSTO INSTITUCIONAL  - MESA FX SPOT  -  MARÇO/2026</v>
      </c>
      <c r="B18" s="16">
        <v>46082</v>
      </c>
      <c r="C18" s="15">
        <v>817392</v>
      </c>
      <c r="D18" s="15" t="s">
        <v>38</v>
      </c>
      <c r="E18" s="17">
        <f t="shared" si="2"/>
        <v>-1628.0999002742833</v>
      </c>
      <c r="F18" s="15" t="s">
        <v>9</v>
      </c>
      <c r="G18" s="16">
        <v>46082</v>
      </c>
      <c r="H18" s="15">
        <v>1170</v>
      </c>
      <c r="I18" s="2"/>
      <c r="J18" s="18" t="s">
        <v>37</v>
      </c>
      <c r="K18" s="19">
        <v>-11396.699301919984</v>
      </c>
      <c r="L18" s="20">
        <v>0.14285714285714285</v>
      </c>
    </row>
    <row r="19" spans="1:12" x14ac:dyDescent="0.25">
      <c r="A19" s="15" t="str">
        <f>CONCATENATE($M$1,F19,$J$1,J19,$I$1,$N$1)</f>
        <v>CUSTO INSTITUCIONAL  - MESA CORPORATE BONDS -  MARÇO/2026</v>
      </c>
      <c r="B19" s="25">
        <v>46082</v>
      </c>
      <c r="C19" s="15">
        <v>817392</v>
      </c>
      <c r="D19" s="15" t="s">
        <v>51</v>
      </c>
      <c r="E19" s="17">
        <f t="shared" si="2"/>
        <v>-14005.277142137224</v>
      </c>
      <c r="F19" s="15" t="s">
        <v>9</v>
      </c>
      <c r="G19" s="16">
        <v>46082</v>
      </c>
      <c r="H19" s="15">
        <v>1170</v>
      </c>
      <c r="I19" s="2"/>
      <c r="J19" s="18" t="s">
        <v>50</v>
      </c>
      <c r="K19" s="19">
        <v>-14005.277142137224</v>
      </c>
      <c r="L19" s="20">
        <v>1</v>
      </c>
    </row>
    <row r="20" spans="1:12" x14ac:dyDescent="0.25">
      <c r="A20" s="2" t="str">
        <f t="shared" si="1"/>
        <v>CUSTO INSTITUCIONAL  - MESA INFLATION BONDS -  MARÇO/2026</v>
      </c>
      <c r="B20" s="3">
        <v>46082</v>
      </c>
      <c r="C20" s="2">
        <v>817392</v>
      </c>
      <c r="D20" s="2" t="s">
        <v>42</v>
      </c>
      <c r="E20" s="4">
        <f t="shared" si="2"/>
        <v>-1582.8749030444421</v>
      </c>
      <c r="F20" s="2" t="s">
        <v>9</v>
      </c>
      <c r="G20" s="3">
        <v>46082</v>
      </c>
      <c r="H20" s="2">
        <v>1170</v>
      </c>
      <c r="I20" s="2"/>
      <c r="J20" s="5" t="s">
        <v>40</v>
      </c>
      <c r="K20" s="6">
        <v>-12662.999224355537</v>
      </c>
      <c r="L20" s="28">
        <v>0.125</v>
      </c>
    </row>
    <row r="21" spans="1:12" x14ac:dyDescent="0.25">
      <c r="A21" s="2" t="str">
        <f t="shared" si="1"/>
        <v>CUSTO INSTITUCIONAL  - MESA INFLATION BONDS -  MARÇO/2026</v>
      </c>
      <c r="B21" s="3">
        <v>46082</v>
      </c>
      <c r="C21" s="2">
        <v>817392</v>
      </c>
      <c r="D21" s="2" t="s">
        <v>57</v>
      </c>
      <c r="E21" s="4">
        <f t="shared" si="2"/>
        <v>-1582.8749030444421</v>
      </c>
      <c r="F21" s="2" t="s">
        <v>9</v>
      </c>
      <c r="G21" s="3">
        <v>46082</v>
      </c>
      <c r="H21" s="2">
        <v>1170</v>
      </c>
      <c r="I21" s="2"/>
      <c r="J21" s="5" t="s">
        <v>40</v>
      </c>
      <c r="K21" s="6">
        <v>-12662.999224355537</v>
      </c>
      <c r="L21" s="29">
        <v>0.125</v>
      </c>
    </row>
    <row r="22" spans="1:12" x14ac:dyDescent="0.25">
      <c r="A22" s="2" t="str">
        <f t="shared" si="1"/>
        <v>CUSTO INSTITUCIONAL  - MESA INFLATION BONDS -  MARÇO/2026</v>
      </c>
      <c r="B22" s="3">
        <v>46082</v>
      </c>
      <c r="C22" s="2">
        <v>817392</v>
      </c>
      <c r="D22" s="2" t="s">
        <v>55</v>
      </c>
      <c r="E22" s="4">
        <f>K22*L22</f>
        <v>-1582.8749030444421</v>
      </c>
      <c r="F22" s="2" t="s">
        <v>9</v>
      </c>
      <c r="G22" s="3">
        <v>46082</v>
      </c>
      <c r="H22" s="2">
        <v>1170</v>
      </c>
      <c r="I22" s="2"/>
      <c r="J22" s="5" t="s">
        <v>40</v>
      </c>
      <c r="K22" s="6">
        <v>-12662.999224355537</v>
      </c>
      <c r="L22" s="29">
        <v>0.125</v>
      </c>
    </row>
    <row r="23" spans="1:12" x14ac:dyDescent="0.25">
      <c r="A23" s="2" t="str">
        <f t="shared" si="1"/>
        <v>CUSTO INSTITUCIONAL  - MESA INFLATION BONDS -  MARÇO/2026</v>
      </c>
      <c r="B23" s="3">
        <v>46082</v>
      </c>
      <c r="C23" s="2">
        <v>817392</v>
      </c>
      <c r="D23" s="2" t="s">
        <v>24</v>
      </c>
      <c r="E23" s="4">
        <f t="shared" si="2"/>
        <v>-1582.8749030444421</v>
      </c>
      <c r="F23" s="2" t="s">
        <v>9</v>
      </c>
      <c r="G23" s="3">
        <v>46082</v>
      </c>
      <c r="H23" s="2">
        <v>1170</v>
      </c>
      <c r="I23" s="2"/>
      <c r="J23" s="5" t="s">
        <v>40</v>
      </c>
      <c r="K23" s="6">
        <v>-12662.999224355537</v>
      </c>
      <c r="L23" s="29">
        <v>0.125</v>
      </c>
    </row>
    <row r="24" spans="1:12" x14ac:dyDescent="0.25">
      <c r="A24" s="2" t="str">
        <f t="shared" si="1"/>
        <v>CUSTO INSTITUCIONAL  - MESA INFLATION BONDS -  MARÇO/2026</v>
      </c>
      <c r="B24" s="3">
        <v>46082</v>
      </c>
      <c r="C24" s="2">
        <v>817392</v>
      </c>
      <c r="D24" s="2" t="s">
        <v>46</v>
      </c>
      <c r="E24" s="4">
        <f t="shared" si="2"/>
        <v>-1582.8749030444421</v>
      </c>
      <c r="F24" s="2" t="s">
        <v>9</v>
      </c>
      <c r="G24" s="3">
        <v>46082</v>
      </c>
      <c r="H24" s="2">
        <v>1170</v>
      </c>
      <c r="I24" s="2"/>
      <c r="J24" s="5" t="s">
        <v>40</v>
      </c>
      <c r="K24" s="6">
        <v>-12662.999224355537</v>
      </c>
      <c r="L24" s="29">
        <v>0.125</v>
      </c>
    </row>
    <row r="25" spans="1:12" x14ac:dyDescent="0.25">
      <c r="A25" s="2" t="str">
        <f t="shared" si="1"/>
        <v>CUSTO INSTITUCIONAL  - MESA INFLATION BONDS -  MARÇO/2026</v>
      </c>
      <c r="B25" s="3">
        <v>46082</v>
      </c>
      <c r="C25" s="2">
        <v>817392</v>
      </c>
      <c r="D25" s="2" t="s">
        <v>25</v>
      </c>
      <c r="E25" s="4">
        <f t="shared" si="2"/>
        <v>-1582.8749030444421</v>
      </c>
      <c r="F25" s="2" t="s">
        <v>9</v>
      </c>
      <c r="G25" s="3">
        <v>46082</v>
      </c>
      <c r="H25" s="2">
        <v>1170</v>
      </c>
      <c r="I25" s="2"/>
      <c r="J25" s="5" t="s">
        <v>40</v>
      </c>
      <c r="K25" s="6">
        <v>-12662.999224355537</v>
      </c>
      <c r="L25" s="29">
        <v>0.125</v>
      </c>
    </row>
    <row r="26" spans="1:12" x14ac:dyDescent="0.25">
      <c r="A26" s="2" t="str">
        <f t="shared" si="1"/>
        <v>CUSTO INSTITUCIONAL  - MESA INFLATION BONDS -  MARÇO/2026</v>
      </c>
      <c r="B26" s="3">
        <v>46082</v>
      </c>
      <c r="C26" s="2">
        <v>817392</v>
      </c>
      <c r="D26" s="2" t="s">
        <v>47</v>
      </c>
      <c r="E26" s="4">
        <f t="shared" si="2"/>
        <v>-1582.8749030444421</v>
      </c>
      <c r="F26" s="2" t="s">
        <v>9</v>
      </c>
      <c r="G26" s="3">
        <v>46082</v>
      </c>
      <c r="H26" s="2">
        <v>1170</v>
      </c>
      <c r="I26" s="2"/>
      <c r="J26" s="5" t="s">
        <v>40</v>
      </c>
      <c r="K26" s="6">
        <v>-12662.999224355537</v>
      </c>
      <c r="L26" s="29">
        <v>0.125</v>
      </c>
    </row>
    <row r="27" spans="1:12" x14ac:dyDescent="0.25">
      <c r="A27" s="15" t="str">
        <f>CONCATENATE($M$1,F27,$J$1,J27,$I$1,$N$1)</f>
        <v>CUSTO INSTITUCIONAL  - MESA INFLATION BONDS -  MARÇO/2026</v>
      </c>
      <c r="B27" s="16">
        <v>46082</v>
      </c>
      <c r="C27" s="15">
        <v>817392</v>
      </c>
      <c r="D27" s="15" t="s">
        <v>26</v>
      </c>
      <c r="E27" s="17">
        <f t="shared" si="2"/>
        <v>-1582.8749030444421</v>
      </c>
      <c r="F27" s="15" t="s">
        <v>9</v>
      </c>
      <c r="G27" s="16">
        <v>46082</v>
      </c>
      <c r="H27" s="15">
        <v>1170</v>
      </c>
      <c r="I27" s="2"/>
      <c r="J27" s="18" t="s">
        <v>40</v>
      </c>
      <c r="K27" s="19">
        <v>-12662.999224355537</v>
      </c>
      <c r="L27" s="20">
        <v>0.125</v>
      </c>
    </row>
    <row r="28" spans="1:12" x14ac:dyDescent="0.25">
      <c r="A28" s="2" t="str">
        <f>CONCATENATE($M$1,F28,$J$1,J28,$I$1,$N$1)</f>
        <v>CUSTO INSTITUCIONAL  - MESA PUBLIC BONDS -  MARÇO/2026</v>
      </c>
      <c r="B28" s="3">
        <v>46082</v>
      </c>
      <c r="C28" s="2">
        <v>817392</v>
      </c>
      <c r="D28" s="2" t="s">
        <v>63</v>
      </c>
      <c r="E28" s="4">
        <f t="shared" si="2"/>
        <v>-2608.5778402172409</v>
      </c>
      <c r="F28" s="2" t="s">
        <v>9</v>
      </c>
      <c r="G28" s="3">
        <v>46082</v>
      </c>
      <c r="H28" s="2">
        <v>1170</v>
      </c>
      <c r="I28" s="2"/>
      <c r="J28" s="5" t="s">
        <v>41</v>
      </c>
      <c r="K28" s="6">
        <v>-13042.889201086204</v>
      </c>
      <c r="L28" s="7">
        <v>0.2</v>
      </c>
    </row>
    <row r="29" spans="1:12" x14ac:dyDescent="0.25">
      <c r="A29" s="2" t="str">
        <f t="shared" ref="A29:A41" si="3">CONCATENATE($M$1,F29,$J$1,J29,$I$1,$N$1)</f>
        <v>CUSTO INSTITUCIONAL  - MESA PUBLIC BONDS -  MARÇO/2026</v>
      </c>
      <c r="B29" s="3">
        <v>46082</v>
      </c>
      <c r="C29" s="2">
        <v>817392</v>
      </c>
      <c r="D29" s="2" t="s">
        <v>27</v>
      </c>
      <c r="E29" s="30">
        <f t="shared" si="2"/>
        <v>-2608.5778402172409</v>
      </c>
      <c r="F29" s="2" t="s">
        <v>9</v>
      </c>
      <c r="G29" s="3">
        <v>46082</v>
      </c>
      <c r="H29" s="2">
        <v>1170</v>
      </c>
      <c r="I29" s="2"/>
      <c r="J29" s="5" t="s">
        <v>41</v>
      </c>
      <c r="K29" s="31">
        <v>-13042.889201086204</v>
      </c>
      <c r="L29" s="7">
        <v>0.2</v>
      </c>
    </row>
    <row r="30" spans="1:12" x14ac:dyDescent="0.25">
      <c r="A30" s="2" t="str">
        <f t="shared" si="3"/>
        <v>CUSTO INSTITUCIONAL  - MESA PUBLIC BONDS -  MARÇO/2026</v>
      </c>
      <c r="B30" s="3">
        <v>46082</v>
      </c>
      <c r="C30" s="2">
        <v>817392</v>
      </c>
      <c r="D30" s="2" t="s">
        <v>61</v>
      </c>
      <c r="E30" s="30">
        <f t="shared" si="2"/>
        <v>-2608.5778402172409</v>
      </c>
      <c r="F30" s="2" t="s">
        <v>9</v>
      </c>
      <c r="G30" s="3">
        <v>46082</v>
      </c>
      <c r="H30" s="2">
        <v>1170</v>
      </c>
      <c r="I30" s="2"/>
      <c r="J30" s="5" t="s">
        <v>41</v>
      </c>
      <c r="K30" s="31">
        <v>-13042.889201086204</v>
      </c>
      <c r="L30" s="7">
        <v>0.2</v>
      </c>
    </row>
    <row r="31" spans="1:12" x14ac:dyDescent="0.25">
      <c r="A31" s="2" t="str">
        <f t="shared" si="3"/>
        <v>CUSTO INSTITUCIONAL  - MESA PUBLIC BONDS -  MARÇO/2026</v>
      </c>
      <c r="B31" s="3">
        <v>46082</v>
      </c>
      <c r="C31" s="2">
        <v>817392</v>
      </c>
      <c r="D31" s="2" t="s">
        <v>56</v>
      </c>
      <c r="E31" s="30">
        <f t="shared" si="2"/>
        <v>-2608.5778402172409</v>
      </c>
      <c r="F31" s="2" t="s">
        <v>9</v>
      </c>
      <c r="G31" s="3">
        <v>46082</v>
      </c>
      <c r="H31" s="2">
        <v>1170</v>
      </c>
      <c r="J31" s="5" t="s">
        <v>41</v>
      </c>
      <c r="K31" s="31">
        <v>-13042.889201086204</v>
      </c>
      <c r="L31" s="7">
        <v>0.2</v>
      </c>
    </row>
    <row r="32" spans="1:12" x14ac:dyDescent="0.25">
      <c r="A32" s="15" t="str">
        <f t="shared" si="3"/>
        <v>CUSTO INSTITUCIONAL  - MESA PUBLIC BONDS -  MARÇO/2026</v>
      </c>
      <c r="B32" s="16">
        <v>46082</v>
      </c>
      <c r="C32" s="15">
        <v>817392</v>
      </c>
      <c r="D32" s="15" t="s">
        <v>58</v>
      </c>
      <c r="E32" s="17">
        <f t="shared" si="2"/>
        <v>-2608.5778402172409</v>
      </c>
      <c r="F32" s="15" t="s">
        <v>9</v>
      </c>
      <c r="G32" s="16">
        <v>46082</v>
      </c>
      <c r="H32" s="15">
        <v>1170</v>
      </c>
      <c r="J32" s="18" t="s">
        <v>41</v>
      </c>
      <c r="K32" s="19">
        <v>-13042.889201086204</v>
      </c>
      <c r="L32" s="20">
        <v>0.2</v>
      </c>
    </row>
    <row r="33" spans="1:13" x14ac:dyDescent="0.25">
      <c r="A33" s="2" t="str">
        <f>CONCATENATE($M$1,F33,$J$1,J33,$I$1,$N$1)</f>
        <v>CUSTO INSTITUCIONAL  - MESA DI FUTURES  -  MARÇO/2026</v>
      </c>
      <c r="B33" s="3">
        <v>46082</v>
      </c>
      <c r="C33" s="2">
        <v>817392</v>
      </c>
      <c r="D33" s="2" t="s">
        <v>44</v>
      </c>
      <c r="E33" s="4">
        <f>K33*L33</f>
        <v>-3102.4348099671065</v>
      </c>
      <c r="F33" s="2" t="s">
        <v>9</v>
      </c>
      <c r="G33" s="3">
        <v>46082</v>
      </c>
      <c r="H33" s="2">
        <v>1170</v>
      </c>
      <c r="J33" s="5" t="s">
        <v>39</v>
      </c>
      <c r="K33" s="6">
        <v>-12409.739239868426</v>
      </c>
      <c r="L33" s="7">
        <v>0.25</v>
      </c>
    </row>
    <row r="34" spans="1:13" x14ac:dyDescent="0.25">
      <c r="A34" s="2" t="str">
        <f>CONCATENATE($M$1,F34,$J$1,J34,$I$1,$N$1)</f>
        <v>CUSTO INSTITUCIONAL  - MESA DI FUTURES  -  MARÇO/2026</v>
      </c>
      <c r="B34" s="3">
        <v>46082</v>
      </c>
      <c r="C34" s="2">
        <v>817392</v>
      </c>
      <c r="D34" s="2" t="s">
        <v>23</v>
      </c>
      <c r="E34" s="4">
        <f>K34*L34</f>
        <v>-3102.4348099671065</v>
      </c>
      <c r="F34" s="2" t="s">
        <v>9</v>
      </c>
      <c r="G34" s="3">
        <v>46082</v>
      </c>
      <c r="H34" s="2">
        <v>1170</v>
      </c>
      <c r="J34" s="5" t="s">
        <v>39</v>
      </c>
      <c r="K34" s="6">
        <v>-12409.739239868426</v>
      </c>
      <c r="L34" s="7">
        <v>0.25</v>
      </c>
    </row>
    <row r="35" spans="1:13" x14ac:dyDescent="0.25">
      <c r="A35" s="2" t="str">
        <f>CONCATENATE($M$1,F35,$J$1,J35,$I$1,$N$1)</f>
        <v>CUSTO INSTITUCIONAL  - MESA DI FUTURES  -  MARÇO/2026</v>
      </c>
      <c r="B35" s="3">
        <v>46082</v>
      </c>
      <c r="C35" s="2">
        <v>817392</v>
      </c>
      <c r="D35" s="2" t="s">
        <v>54</v>
      </c>
      <c r="E35" s="4">
        <f>K35*L35</f>
        <v>-3102.4348099671065</v>
      </c>
      <c r="F35" s="2" t="s">
        <v>9</v>
      </c>
      <c r="G35" s="3">
        <v>46082</v>
      </c>
      <c r="H35" s="2">
        <v>1170</v>
      </c>
      <c r="J35" s="5" t="s">
        <v>39</v>
      </c>
      <c r="K35" s="6">
        <v>-12409.739239868426</v>
      </c>
      <c r="L35" s="7">
        <v>0.25</v>
      </c>
    </row>
    <row r="36" spans="1:13" x14ac:dyDescent="0.25">
      <c r="A36" s="15" t="str">
        <f>CONCATENATE($M$1,F36,$J$1,J36,$I$1,$N$1)</f>
        <v>CUSTO INSTITUCIONAL  - MESA DI FUTURES  -  MARÇO/2026</v>
      </c>
      <c r="B36" s="16">
        <v>46082</v>
      </c>
      <c r="C36" s="15">
        <v>817392</v>
      </c>
      <c r="D36" s="15" t="s">
        <v>22</v>
      </c>
      <c r="E36" s="17">
        <f>K36*L36</f>
        <v>-3102.4348099671065</v>
      </c>
      <c r="F36" s="15" t="s">
        <v>9</v>
      </c>
      <c r="G36" s="16">
        <v>46082</v>
      </c>
      <c r="H36" s="15">
        <v>1170</v>
      </c>
      <c r="J36" s="18" t="s">
        <v>39</v>
      </c>
      <c r="K36" s="19">
        <v>-12409.739239868426</v>
      </c>
      <c r="L36" s="20">
        <v>0.25</v>
      </c>
    </row>
    <row r="37" spans="1:13" x14ac:dyDescent="0.25">
      <c r="A37" s="2" t="str">
        <f t="shared" si="3"/>
        <v>CUSTO INSTITUCIONAL  - MESA FX FUTURES -  MARÇO/2026</v>
      </c>
      <c r="B37" s="3">
        <v>46082</v>
      </c>
      <c r="C37" s="2">
        <v>817392</v>
      </c>
      <c r="D37" s="2" t="s">
        <v>30</v>
      </c>
      <c r="E37" s="4">
        <f t="shared" si="2"/>
        <v>-2887.1638231530624</v>
      </c>
      <c r="F37" s="2" t="s">
        <v>9</v>
      </c>
      <c r="G37" s="3">
        <v>46082</v>
      </c>
      <c r="H37" s="2">
        <v>1170</v>
      </c>
      <c r="J37" s="5" t="s">
        <v>29</v>
      </c>
      <c r="K37" s="6">
        <v>-11548.655292612249</v>
      </c>
      <c r="L37" s="7">
        <v>0.25</v>
      </c>
      <c r="M37" s="27"/>
    </row>
    <row r="38" spans="1:13" x14ac:dyDescent="0.25">
      <c r="A38" s="2" t="str">
        <f t="shared" si="3"/>
        <v>CUSTO INSTITUCIONAL  - MESA FX FUTURES -  MARÇO/2026</v>
      </c>
      <c r="B38" s="3">
        <v>46082</v>
      </c>
      <c r="C38" s="2">
        <v>817392</v>
      </c>
      <c r="D38" s="2" t="s">
        <v>31</v>
      </c>
      <c r="E38" s="4">
        <f t="shared" si="2"/>
        <v>-2887.1638231530624</v>
      </c>
      <c r="F38" s="2" t="s">
        <v>9</v>
      </c>
      <c r="G38" s="3">
        <v>46082</v>
      </c>
      <c r="H38" s="2">
        <v>1170</v>
      </c>
      <c r="I38" s="2"/>
      <c r="J38" s="5" t="s">
        <v>29</v>
      </c>
      <c r="K38" s="6">
        <v>-11548.655292612249</v>
      </c>
      <c r="L38" s="7">
        <v>0.25</v>
      </c>
    </row>
    <row r="39" spans="1:13" x14ac:dyDescent="0.25">
      <c r="A39" s="2" t="str">
        <f t="shared" si="3"/>
        <v>CUSTO INSTITUCIONAL  - MESA FX FUTURES -  MARÇO/2026</v>
      </c>
      <c r="B39" s="3">
        <v>46082</v>
      </c>
      <c r="C39" s="2">
        <v>817392</v>
      </c>
      <c r="D39" s="2" t="s">
        <v>53</v>
      </c>
      <c r="E39" s="4">
        <f t="shared" si="2"/>
        <v>-2887.1638231530624</v>
      </c>
      <c r="F39" s="2" t="s">
        <v>9</v>
      </c>
      <c r="G39" s="3">
        <v>46082</v>
      </c>
      <c r="H39" s="2">
        <v>1170</v>
      </c>
      <c r="I39" s="2"/>
      <c r="J39" s="5" t="s">
        <v>29</v>
      </c>
      <c r="K39" s="6">
        <v>-11548.655292612249</v>
      </c>
      <c r="L39" s="7">
        <v>0.25</v>
      </c>
    </row>
    <row r="40" spans="1:13" x14ac:dyDescent="0.25">
      <c r="A40" s="15" t="str">
        <f t="shared" si="3"/>
        <v>CUSTO INSTITUCIONAL  - MESA FX FUTURES -  MARÇO/2026</v>
      </c>
      <c r="B40" s="16">
        <v>46082</v>
      </c>
      <c r="C40" s="15">
        <v>817392</v>
      </c>
      <c r="D40" s="15" t="s">
        <v>32</v>
      </c>
      <c r="E40" s="17">
        <f t="shared" si="2"/>
        <v>-2887.1638231530624</v>
      </c>
      <c r="F40" s="15" t="s">
        <v>9</v>
      </c>
      <c r="G40" s="16">
        <v>46082</v>
      </c>
      <c r="H40" s="15">
        <v>1170</v>
      </c>
      <c r="I40" s="2"/>
      <c r="J40" s="18" t="s">
        <v>29</v>
      </c>
      <c r="K40" s="19">
        <v>-11548.655292612249</v>
      </c>
      <c r="L40" s="20">
        <v>0.25</v>
      </c>
    </row>
    <row r="41" spans="1:13" x14ac:dyDescent="0.25">
      <c r="A41" s="15" t="str">
        <f t="shared" si="3"/>
        <v>CUSTO INSTITUCIONAL  - MESA NDF OFFSHORE -  MARÇO/2026</v>
      </c>
      <c r="B41" s="25">
        <v>46082</v>
      </c>
      <c r="C41" s="15">
        <v>817392</v>
      </c>
      <c r="D41" s="15" t="s">
        <v>64</v>
      </c>
      <c r="E41" s="17">
        <f t="shared" si="2"/>
        <v>-12916.259208842648</v>
      </c>
      <c r="F41" s="15" t="s">
        <v>9</v>
      </c>
      <c r="G41" s="16">
        <v>46082</v>
      </c>
      <c r="H41" s="15">
        <v>1170</v>
      </c>
      <c r="I41" s="2"/>
      <c r="J41" s="18" t="s">
        <v>48</v>
      </c>
      <c r="K41" s="19">
        <v>-12916.259208842648</v>
      </c>
      <c r="L41" s="20">
        <v>1</v>
      </c>
    </row>
  </sheetData>
  <autoFilter ref="A1:N1" xr:uid="{2FE869A7-BB24-4073-9535-98469A614E5D}"/>
  <pageMargins left="0.511811024" right="0.511811024" top="0.78740157499999996" bottom="0.78740157499999996" header="0.31496062000000002" footer="0.31496062000000002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8E67-02A6-43DF-8A74-BF4D516CBB6B}">
  <sheetPr codeName="Sheet4"/>
  <dimension ref="A1:O40"/>
  <sheetViews>
    <sheetView showGridLines="0" topLeftCell="A6" workbookViewId="0">
      <selection activeCell="A2" sqref="A2:H40"/>
    </sheetView>
  </sheetViews>
  <sheetFormatPr defaultRowHeight="15" x14ac:dyDescent="0.25"/>
  <cols>
    <col min="1" max="1" width="44.140625" bestFit="1" customWidth="1"/>
    <col min="2" max="2" width="14.7109375" bestFit="1" customWidth="1"/>
    <col min="3" max="3" width="12.7109375" bestFit="1" customWidth="1"/>
    <col min="4" max="4" width="34" bestFit="1" customWidth="1"/>
    <col min="5" max="5" width="10.5703125" style="14" bestFit="1" customWidth="1"/>
    <col min="6" max="6" width="12.28515625" customWidth="1"/>
    <col min="7" max="7" width="14.5703125" customWidth="1"/>
    <col min="8" max="8" width="11.7109375" customWidth="1"/>
    <col min="9" max="9" width="9.140625" customWidth="1"/>
    <col min="10" max="10" width="13.7109375" customWidth="1"/>
    <col min="11" max="11" width="11.28515625" bestFit="1" customWidth="1"/>
    <col min="12" max="12" width="9.140625" style="9"/>
    <col min="14" max="14" width="15.42578125" bestFit="1" customWidth="1"/>
  </cols>
  <sheetData>
    <row r="1" spans="1:15" x14ac:dyDescent="0.25">
      <c r="A1" s="10" t="s">
        <v>0</v>
      </c>
      <c r="B1" s="11" t="s">
        <v>1</v>
      </c>
      <c r="C1" s="10" t="s">
        <v>8</v>
      </c>
      <c r="D1" s="10" t="s">
        <v>2</v>
      </c>
      <c r="E1" s="13" t="s">
        <v>3</v>
      </c>
      <c r="F1" s="10" t="s">
        <v>4</v>
      </c>
      <c r="G1" s="11" t="s">
        <v>5</v>
      </c>
      <c r="H1" s="10" t="s">
        <v>6</v>
      </c>
      <c r="I1" s="1" t="s">
        <v>12</v>
      </c>
      <c r="J1" s="1" t="s">
        <v>13</v>
      </c>
      <c r="K1" s="1" t="s">
        <v>3</v>
      </c>
      <c r="L1" s="8" t="s">
        <v>7</v>
      </c>
      <c r="M1" s="1" t="s">
        <v>10</v>
      </c>
      <c r="N1" s="12" t="s">
        <v>67</v>
      </c>
    </row>
    <row r="2" spans="1:15" x14ac:dyDescent="0.25">
      <c r="A2" s="2" t="str">
        <f>CONCATENATE($M$1,F2,$J$1,J2,$I$1,$N$1)</f>
        <v>CUSTO INSTITUCIONAL  - MESA EQUITIES -  ABRIL/2026</v>
      </c>
      <c r="B2" s="3">
        <v>46113</v>
      </c>
      <c r="C2" s="2">
        <v>817392</v>
      </c>
      <c r="D2" s="2" t="s">
        <v>15</v>
      </c>
      <c r="E2" s="4">
        <f t="shared" ref="E2" si="0">K2*L2</f>
        <v>-3040.2683451911485</v>
      </c>
      <c r="F2" s="2" t="s">
        <v>9</v>
      </c>
      <c r="G2" s="3">
        <v>46113</v>
      </c>
      <c r="H2" s="2">
        <v>1170</v>
      </c>
      <c r="I2" s="2"/>
      <c r="J2" s="5" t="s">
        <v>11</v>
      </c>
      <c r="K2" s="6">
        <v>-12161.073380764594</v>
      </c>
      <c r="L2" s="7">
        <v>0.25</v>
      </c>
    </row>
    <row r="3" spans="1:15" x14ac:dyDescent="0.25">
      <c r="A3" s="2" t="str">
        <f t="shared" ref="A3:A25" si="1">CONCATENATE($M$1,F3,$J$1,J3,$I$1,$N$1)</f>
        <v>CUSTO INSTITUCIONAL  - MESA EQUITIES -  ABRIL/2026</v>
      </c>
      <c r="B3" s="3">
        <v>46113</v>
      </c>
      <c r="C3" s="2">
        <v>817392</v>
      </c>
      <c r="D3" s="2" t="s">
        <v>43</v>
      </c>
      <c r="E3" s="4">
        <f>K3*L3</f>
        <v>-1520.1341725955742</v>
      </c>
      <c r="F3" s="2" t="s">
        <v>9</v>
      </c>
      <c r="G3" s="3">
        <v>46113</v>
      </c>
      <c r="H3" s="2">
        <v>1170</v>
      </c>
      <c r="I3" s="2"/>
      <c r="J3" s="5" t="s">
        <v>11</v>
      </c>
      <c r="K3" s="6">
        <v>-12161.073380764594</v>
      </c>
      <c r="L3" s="7">
        <v>0.125</v>
      </c>
      <c r="O3" s="32"/>
    </row>
    <row r="4" spans="1:15" x14ac:dyDescent="0.25">
      <c r="A4" s="2" t="str">
        <f t="shared" si="1"/>
        <v>CUSTO INSTITUCIONAL  - MESA EQUITIES -  ABRIL/2026</v>
      </c>
      <c r="B4" s="3">
        <v>46113</v>
      </c>
      <c r="C4" s="2">
        <v>817392</v>
      </c>
      <c r="D4" s="2" t="s">
        <v>60</v>
      </c>
      <c r="E4" s="4">
        <f>K4*L4</f>
        <v>-1520.1341725955742</v>
      </c>
      <c r="F4" s="2" t="s">
        <v>9</v>
      </c>
      <c r="G4" s="3">
        <v>46113</v>
      </c>
      <c r="H4" s="2">
        <v>1170</v>
      </c>
      <c r="I4" s="2"/>
      <c r="J4" s="5" t="s">
        <v>11</v>
      </c>
      <c r="K4" s="6">
        <v>-12161.073380764594</v>
      </c>
      <c r="L4" s="7">
        <v>0.125</v>
      </c>
    </row>
    <row r="5" spans="1:15" x14ac:dyDescent="0.25">
      <c r="A5" s="2" t="str">
        <f t="shared" si="1"/>
        <v>CUSTO INSTITUCIONAL  - MESA EQUITIES -  ABRIL/2026</v>
      </c>
      <c r="B5" s="3">
        <v>46113</v>
      </c>
      <c r="C5" s="2">
        <v>817392</v>
      </c>
      <c r="D5" s="2" t="s">
        <v>45</v>
      </c>
      <c r="E5" s="4">
        <f>K5*L5</f>
        <v>-1520.1341725955742</v>
      </c>
      <c r="F5" s="2" t="s">
        <v>9</v>
      </c>
      <c r="G5" s="3">
        <v>46113</v>
      </c>
      <c r="H5" s="2">
        <v>1170</v>
      </c>
      <c r="I5" s="2"/>
      <c r="J5" s="5" t="s">
        <v>11</v>
      </c>
      <c r="K5" s="6">
        <v>-12161.073380764594</v>
      </c>
      <c r="L5" s="7">
        <v>0.125</v>
      </c>
    </row>
    <row r="6" spans="1:15" x14ac:dyDescent="0.25">
      <c r="A6" s="2" t="str">
        <f t="shared" si="1"/>
        <v>CUSTO INSTITUCIONAL  - MESA EQUITIES -  ABRIL/2026</v>
      </c>
      <c r="B6" s="3">
        <v>46113</v>
      </c>
      <c r="C6" s="2">
        <v>817392</v>
      </c>
      <c r="D6" s="2" t="s">
        <v>14</v>
      </c>
      <c r="E6" s="4">
        <f t="shared" ref="E6:E40" si="2">K6*L6</f>
        <v>-1520.1341725955742</v>
      </c>
      <c r="F6" s="2" t="s">
        <v>9</v>
      </c>
      <c r="G6" s="3">
        <v>46113</v>
      </c>
      <c r="H6" s="2">
        <v>1170</v>
      </c>
      <c r="I6" s="2"/>
      <c r="J6" s="5" t="s">
        <v>11</v>
      </c>
      <c r="K6" s="6">
        <v>-12161.073380764594</v>
      </c>
      <c r="L6" s="7">
        <v>0.125</v>
      </c>
    </row>
    <row r="7" spans="1:15" x14ac:dyDescent="0.25">
      <c r="A7" s="2" t="str">
        <f t="shared" si="1"/>
        <v>CUSTO INSTITUCIONAL  - MESA EQUITIES -  ABRIL/2026</v>
      </c>
      <c r="B7" s="3">
        <v>46113</v>
      </c>
      <c r="C7" s="2">
        <v>817392</v>
      </c>
      <c r="D7" s="2" t="s">
        <v>49</v>
      </c>
      <c r="E7" s="4">
        <f t="shared" si="2"/>
        <v>-1520.1341725955742</v>
      </c>
      <c r="F7" s="2" t="s">
        <v>9</v>
      </c>
      <c r="G7" s="3">
        <v>46113</v>
      </c>
      <c r="H7" s="2">
        <v>1170</v>
      </c>
      <c r="I7" s="2"/>
      <c r="J7" s="5" t="s">
        <v>11</v>
      </c>
      <c r="K7" s="6">
        <v>-12161.073380764594</v>
      </c>
      <c r="L7" s="7">
        <v>0.125</v>
      </c>
    </row>
    <row r="8" spans="1:15" x14ac:dyDescent="0.25">
      <c r="A8" s="15" t="str">
        <f t="shared" si="1"/>
        <v>CUSTO INSTITUCIONAL  - MESA OFFSHORE LISTED -  ABRIL/2026</v>
      </c>
      <c r="B8" s="16">
        <v>46113</v>
      </c>
      <c r="C8" s="15">
        <v>817392</v>
      </c>
      <c r="D8" s="15" t="s">
        <v>52</v>
      </c>
      <c r="E8" s="17">
        <f t="shared" si="2"/>
        <v>-1520.1341725955742</v>
      </c>
      <c r="F8" s="15" t="s">
        <v>9</v>
      </c>
      <c r="G8" s="16">
        <v>46113</v>
      </c>
      <c r="H8" s="15">
        <v>1170</v>
      </c>
      <c r="I8" s="2"/>
      <c r="J8" s="18" t="s">
        <v>52</v>
      </c>
      <c r="K8" s="6">
        <v>-12161.073380764594</v>
      </c>
      <c r="L8" s="7">
        <v>0.125</v>
      </c>
    </row>
    <row r="9" spans="1:15" x14ac:dyDescent="0.25">
      <c r="A9" s="24" t="str">
        <f t="shared" si="1"/>
        <v>CUSTO INSTITUCIONAL  - MESA VOLATILITY IDI -  ABRIL/2026</v>
      </c>
      <c r="B9" s="16">
        <v>46113</v>
      </c>
      <c r="C9" s="24">
        <v>817392</v>
      </c>
      <c r="D9" s="24" t="s">
        <v>33</v>
      </c>
      <c r="E9" s="26">
        <f t="shared" si="2"/>
        <v>-13640.992363608962</v>
      </c>
      <c r="F9" s="24" t="s">
        <v>9</v>
      </c>
      <c r="G9" s="25">
        <v>46113</v>
      </c>
      <c r="H9" s="24">
        <v>1170</v>
      </c>
      <c r="I9" s="2"/>
      <c r="J9" s="21" t="s">
        <v>34</v>
      </c>
      <c r="K9" s="22">
        <v>-13640.992363608962</v>
      </c>
      <c r="L9" s="23">
        <v>1</v>
      </c>
    </row>
    <row r="10" spans="1:15" x14ac:dyDescent="0.25">
      <c r="A10" s="15" t="str">
        <f t="shared" si="1"/>
        <v>CUSTO INSTITUCIONAL  - MESA VOLATILITY FX -  ABRIL/2026</v>
      </c>
      <c r="B10" s="25">
        <v>46113</v>
      </c>
      <c r="C10" s="15">
        <v>817392</v>
      </c>
      <c r="D10" s="15" t="s">
        <v>36</v>
      </c>
      <c r="E10" s="17">
        <f t="shared" si="2"/>
        <v>-12868.860720385812</v>
      </c>
      <c r="F10" s="15" t="s">
        <v>9</v>
      </c>
      <c r="G10" s="16">
        <v>46113</v>
      </c>
      <c r="H10" s="15">
        <v>1170</v>
      </c>
      <c r="I10" s="2"/>
      <c r="J10" s="18" t="s">
        <v>35</v>
      </c>
      <c r="K10" s="22">
        <v>-12868.860720385812</v>
      </c>
      <c r="L10" s="20">
        <v>1</v>
      </c>
    </row>
    <row r="11" spans="1:15" x14ac:dyDescent="0.25">
      <c r="A11" s="2" t="str">
        <f t="shared" si="1"/>
        <v>CUSTO INSTITUCIONAL  - MESA FX SPOT  -  ABRIL/2026</v>
      </c>
      <c r="B11" s="3">
        <v>46113</v>
      </c>
      <c r="C11" s="2">
        <v>817392</v>
      </c>
      <c r="D11" s="2" t="s">
        <v>17</v>
      </c>
      <c r="E11" s="4">
        <f t="shared" si="2"/>
        <v>-1654.5678069067474</v>
      </c>
      <c r="F11" s="2" t="s">
        <v>9</v>
      </c>
      <c r="G11" s="3">
        <v>46113</v>
      </c>
      <c r="H11" s="2">
        <v>1170</v>
      </c>
      <c r="I11" s="2"/>
      <c r="J11" s="5" t="s">
        <v>37</v>
      </c>
      <c r="K11" s="6">
        <v>-11581.974648347232</v>
      </c>
      <c r="L11" s="7">
        <v>0.14285714285714285</v>
      </c>
    </row>
    <row r="12" spans="1:15" x14ac:dyDescent="0.25">
      <c r="A12" s="2" t="str">
        <f t="shared" si="1"/>
        <v>CUSTO INSTITUCIONAL  - MESA FX SPOT  -  ABRIL/2026</v>
      </c>
      <c r="B12" s="3">
        <v>46113</v>
      </c>
      <c r="C12" s="2">
        <v>817392</v>
      </c>
      <c r="D12" s="2" t="s">
        <v>18</v>
      </c>
      <c r="E12" s="4">
        <f t="shared" si="2"/>
        <v>-1654.5678069067474</v>
      </c>
      <c r="F12" s="2" t="s">
        <v>9</v>
      </c>
      <c r="G12" s="3">
        <v>46113</v>
      </c>
      <c r="H12" s="2">
        <v>1170</v>
      </c>
      <c r="I12" s="2"/>
      <c r="J12" s="5" t="s">
        <v>37</v>
      </c>
      <c r="K12" s="6">
        <v>-11581.974648347232</v>
      </c>
      <c r="L12" s="7">
        <v>0.14285714285714285</v>
      </c>
    </row>
    <row r="13" spans="1:15" x14ac:dyDescent="0.25">
      <c r="A13" s="2" t="str">
        <f t="shared" si="1"/>
        <v>CUSTO INSTITUCIONAL  - MESA FX SPOT  -  ABRIL/2026</v>
      </c>
      <c r="B13" s="3">
        <v>46113</v>
      </c>
      <c r="C13" s="2">
        <v>817392</v>
      </c>
      <c r="D13" s="2" t="s">
        <v>16</v>
      </c>
      <c r="E13" s="4">
        <f t="shared" si="2"/>
        <v>-1654.5678069067474</v>
      </c>
      <c r="F13" s="2" t="s">
        <v>9</v>
      </c>
      <c r="G13" s="3">
        <v>46113</v>
      </c>
      <c r="H13" s="2">
        <v>1170</v>
      </c>
      <c r="I13" s="2"/>
      <c r="J13" s="5" t="s">
        <v>37</v>
      </c>
      <c r="K13" s="6">
        <v>-11581.974648347232</v>
      </c>
      <c r="L13" s="7">
        <v>0.14285714285714285</v>
      </c>
    </row>
    <row r="14" spans="1:15" x14ac:dyDescent="0.25">
      <c r="A14" s="2" t="str">
        <f t="shared" si="1"/>
        <v>CUSTO INSTITUCIONAL  - MESA FX SPOT  -  ABRIL/2026</v>
      </c>
      <c r="B14" s="3">
        <v>46113</v>
      </c>
      <c r="C14" s="2">
        <v>817392</v>
      </c>
      <c r="D14" s="2" t="s">
        <v>19</v>
      </c>
      <c r="E14" s="4">
        <f t="shared" si="2"/>
        <v>-1654.5678069067474</v>
      </c>
      <c r="F14" s="2" t="s">
        <v>9</v>
      </c>
      <c r="G14" s="3">
        <v>46113</v>
      </c>
      <c r="H14" s="2">
        <v>1170</v>
      </c>
      <c r="I14" s="2"/>
      <c r="J14" s="5" t="s">
        <v>37</v>
      </c>
      <c r="K14" s="6">
        <v>-11581.974648347232</v>
      </c>
      <c r="L14" s="7">
        <v>0.14285714285714285</v>
      </c>
    </row>
    <row r="15" spans="1:15" x14ac:dyDescent="0.25">
      <c r="A15" s="2" t="str">
        <f t="shared" si="1"/>
        <v>CUSTO INSTITUCIONAL  - MESA FX SPOT  -  ABRIL/2026</v>
      </c>
      <c r="B15" s="3">
        <v>46113</v>
      </c>
      <c r="C15" s="2">
        <v>817392</v>
      </c>
      <c r="D15" s="2" t="s">
        <v>20</v>
      </c>
      <c r="E15" s="4">
        <f t="shared" si="2"/>
        <v>-1654.5678069067474</v>
      </c>
      <c r="F15" s="2" t="s">
        <v>9</v>
      </c>
      <c r="G15" s="3">
        <v>46113</v>
      </c>
      <c r="H15" s="2">
        <v>1170</v>
      </c>
      <c r="I15" s="2"/>
      <c r="J15" s="5" t="s">
        <v>37</v>
      </c>
      <c r="K15" s="6">
        <v>-11581.974648347232</v>
      </c>
      <c r="L15" s="7">
        <v>0.14285714285714285</v>
      </c>
    </row>
    <row r="16" spans="1:15" x14ac:dyDescent="0.25">
      <c r="A16" s="2" t="str">
        <f t="shared" si="1"/>
        <v>CUSTO INSTITUCIONAL  - MESA FX SPOT  -  ABRIL/2026</v>
      </c>
      <c r="B16" s="3">
        <v>46113</v>
      </c>
      <c r="C16" s="2">
        <v>817392</v>
      </c>
      <c r="D16" s="2" t="s">
        <v>21</v>
      </c>
      <c r="E16" s="4">
        <f t="shared" si="2"/>
        <v>-1654.5678069067474</v>
      </c>
      <c r="F16" s="2" t="s">
        <v>9</v>
      </c>
      <c r="G16" s="3">
        <v>46113</v>
      </c>
      <c r="H16" s="2">
        <v>1170</v>
      </c>
      <c r="I16" s="2"/>
      <c r="J16" s="5" t="s">
        <v>37</v>
      </c>
      <c r="K16" s="6">
        <v>-11581.974648347232</v>
      </c>
      <c r="L16" s="7">
        <v>0.14285714285714285</v>
      </c>
    </row>
    <row r="17" spans="1:12" x14ac:dyDescent="0.25">
      <c r="A17" s="15" t="str">
        <f t="shared" si="1"/>
        <v>CUSTO INSTITUCIONAL  - MESA FX SPOT  -  ABRIL/2026</v>
      </c>
      <c r="B17" s="16">
        <v>46113</v>
      </c>
      <c r="C17" s="15">
        <v>817392</v>
      </c>
      <c r="D17" s="15" t="s">
        <v>38</v>
      </c>
      <c r="E17" s="17">
        <f t="shared" si="2"/>
        <v>-1654.5678069067474</v>
      </c>
      <c r="F17" s="15" t="s">
        <v>9</v>
      </c>
      <c r="G17" s="16">
        <v>46113</v>
      </c>
      <c r="H17" s="15">
        <v>1170</v>
      </c>
      <c r="I17" s="2"/>
      <c r="J17" s="18" t="s">
        <v>37</v>
      </c>
      <c r="K17" s="19">
        <v>-11581.974648347232</v>
      </c>
      <c r="L17" s="20">
        <v>0.14285714285714285</v>
      </c>
    </row>
    <row r="18" spans="1:12" x14ac:dyDescent="0.25">
      <c r="A18" s="15" t="str">
        <f>CONCATENATE($M$1,F18,$J$1,J18,$I$1,$N$1)</f>
        <v>CUSTO INSTITUCIONAL  - MESA CORPORATE BONDS -  ABRIL/2026</v>
      </c>
      <c r="B18" s="25">
        <v>46113</v>
      </c>
      <c r="C18" s="15">
        <v>817392</v>
      </c>
      <c r="D18" s="15" t="s">
        <v>51</v>
      </c>
      <c r="E18" s="17">
        <f t="shared" si="2"/>
        <v>-14232.959956746708</v>
      </c>
      <c r="F18" s="15" t="s">
        <v>9</v>
      </c>
      <c r="G18" s="16">
        <v>46113</v>
      </c>
      <c r="H18" s="15">
        <v>1170</v>
      </c>
      <c r="I18" s="2"/>
      <c r="J18" s="18" t="s">
        <v>50</v>
      </c>
      <c r="K18" s="19">
        <v>-14232.959956746708</v>
      </c>
      <c r="L18" s="20">
        <v>1</v>
      </c>
    </row>
    <row r="19" spans="1:12" x14ac:dyDescent="0.25">
      <c r="A19" s="2" t="str">
        <f t="shared" si="1"/>
        <v>CUSTO INSTITUCIONAL  - MESA INFLATION BONDS -  ABRIL/2026</v>
      </c>
      <c r="B19" s="3">
        <v>46113</v>
      </c>
      <c r="C19" s="2">
        <v>817392</v>
      </c>
      <c r="D19" s="2" t="s">
        <v>42</v>
      </c>
      <c r="E19" s="4">
        <f t="shared" si="2"/>
        <v>-1608.6075900482265</v>
      </c>
      <c r="F19" s="2" t="s">
        <v>9</v>
      </c>
      <c r="G19" s="3">
        <v>46113</v>
      </c>
      <c r="H19" s="2">
        <v>1170</v>
      </c>
      <c r="I19" s="2"/>
      <c r="J19" s="5" t="s">
        <v>40</v>
      </c>
      <c r="K19" s="6">
        <v>-12868.860720385812</v>
      </c>
      <c r="L19" s="28">
        <v>0.125</v>
      </c>
    </row>
    <row r="20" spans="1:12" x14ac:dyDescent="0.25">
      <c r="A20" s="2" t="str">
        <f t="shared" si="1"/>
        <v>CUSTO INSTITUCIONAL  - MESA INFLATION BONDS -  ABRIL/2026</v>
      </c>
      <c r="B20" s="3">
        <v>46113</v>
      </c>
      <c r="C20" s="2">
        <v>817392</v>
      </c>
      <c r="D20" s="2" t="s">
        <v>57</v>
      </c>
      <c r="E20" s="4">
        <f t="shared" si="2"/>
        <v>-1608.6075900482265</v>
      </c>
      <c r="F20" s="2" t="s">
        <v>9</v>
      </c>
      <c r="G20" s="3">
        <v>46113</v>
      </c>
      <c r="H20" s="2">
        <v>1170</v>
      </c>
      <c r="I20" s="2"/>
      <c r="J20" s="5" t="s">
        <v>40</v>
      </c>
      <c r="K20" s="6">
        <v>-12868.860720385812</v>
      </c>
      <c r="L20" s="29">
        <v>0.125</v>
      </c>
    </row>
    <row r="21" spans="1:12" x14ac:dyDescent="0.25">
      <c r="A21" s="2" t="str">
        <f t="shared" si="1"/>
        <v>CUSTO INSTITUCIONAL  - MESA INFLATION BONDS -  ABRIL/2026</v>
      </c>
      <c r="B21" s="3">
        <v>46113</v>
      </c>
      <c r="C21" s="2">
        <v>817392</v>
      </c>
      <c r="D21" s="2" t="s">
        <v>55</v>
      </c>
      <c r="E21" s="4">
        <f>K21*L21</f>
        <v>-1608.6075900482265</v>
      </c>
      <c r="F21" s="2" t="s">
        <v>9</v>
      </c>
      <c r="G21" s="3">
        <v>46113</v>
      </c>
      <c r="H21" s="2">
        <v>1170</v>
      </c>
      <c r="I21" s="2"/>
      <c r="J21" s="5" t="s">
        <v>40</v>
      </c>
      <c r="K21" s="6">
        <v>-12868.860720385812</v>
      </c>
      <c r="L21" s="29">
        <v>0.125</v>
      </c>
    </row>
    <row r="22" spans="1:12" x14ac:dyDescent="0.25">
      <c r="A22" s="2" t="str">
        <f t="shared" si="1"/>
        <v>CUSTO INSTITUCIONAL  - MESA INFLATION BONDS -  ABRIL/2026</v>
      </c>
      <c r="B22" s="3">
        <v>46113</v>
      </c>
      <c r="C22" s="2">
        <v>817392</v>
      </c>
      <c r="D22" s="2" t="s">
        <v>24</v>
      </c>
      <c r="E22" s="4">
        <f t="shared" si="2"/>
        <v>-1608.6075900482265</v>
      </c>
      <c r="F22" s="2" t="s">
        <v>9</v>
      </c>
      <c r="G22" s="3">
        <v>46113</v>
      </c>
      <c r="H22" s="2">
        <v>1170</v>
      </c>
      <c r="I22" s="2"/>
      <c r="J22" s="5" t="s">
        <v>40</v>
      </c>
      <c r="K22" s="6">
        <v>-12868.860720385812</v>
      </c>
      <c r="L22" s="29">
        <v>0.125</v>
      </c>
    </row>
    <row r="23" spans="1:12" x14ac:dyDescent="0.25">
      <c r="A23" s="2" t="str">
        <f t="shared" si="1"/>
        <v>CUSTO INSTITUCIONAL  - MESA INFLATION BONDS -  ABRIL/2026</v>
      </c>
      <c r="B23" s="3">
        <v>46113</v>
      </c>
      <c r="C23" s="2">
        <v>817392</v>
      </c>
      <c r="D23" s="2" t="s">
        <v>46</v>
      </c>
      <c r="E23" s="4">
        <f t="shared" si="2"/>
        <v>-1608.6075900482265</v>
      </c>
      <c r="F23" s="2" t="s">
        <v>9</v>
      </c>
      <c r="G23" s="3">
        <v>46113</v>
      </c>
      <c r="H23" s="2">
        <v>1170</v>
      </c>
      <c r="I23" s="2"/>
      <c r="J23" s="5" t="s">
        <v>40</v>
      </c>
      <c r="K23" s="6">
        <v>-12868.860720385812</v>
      </c>
      <c r="L23" s="29">
        <v>0.125</v>
      </c>
    </row>
    <row r="24" spans="1:12" x14ac:dyDescent="0.25">
      <c r="A24" s="2" t="str">
        <f t="shared" si="1"/>
        <v>CUSTO INSTITUCIONAL  - MESA INFLATION BONDS -  ABRIL/2026</v>
      </c>
      <c r="B24" s="3">
        <v>46113</v>
      </c>
      <c r="C24" s="2">
        <v>817392</v>
      </c>
      <c r="D24" s="2" t="s">
        <v>25</v>
      </c>
      <c r="E24" s="4">
        <f t="shared" si="2"/>
        <v>-1608.6075900482265</v>
      </c>
      <c r="F24" s="2" t="s">
        <v>9</v>
      </c>
      <c r="G24" s="3">
        <v>46113</v>
      </c>
      <c r="H24" s="2">
        <v>1170</v>
      </c>
      <c r="I24" s="2"/>
      <c r="J24" s="5" t="s">
        <v>40</v>
      </c>
      <c r="K24" s="6">
        <v>-12868.860720385812</v>
      </c>
      <c r="L24" s="29">
        <v>0.125</v>
      </c>
    </row>
    <row r="25" spans="1:12" x14ac:dyDescent="0.25">
      <c r="A25" s="2" t="str">
        <f t="shared" si="1"/>
        <v>CUSTO INSTITUCIONAL  - MESA INFLATION BONDS -  ABRIL/2026</v>
      </c>
      <c r="B25" s="3">
        <v>46113</v>
      </c>
      <c r="C25" s="2">
        <v>817392</v>
      </c>
      <c r="D25" s="2" t="s">
        <v>47</v>
      </c>
      <c r="E25" s="4">
        <f t="shared" si="2"/>
        <v>-1608.6075900482265</v>
      </c>
      <c r="F25" s="2" t="s">
        <v>9</v>
      </c>
      <c r="G25" s="3">
        <v>46113</v>
      </c>
      <c r="H25" s="2">
        <v>1170</v>
      </c>
      <c r="I25" s="2"/>
      <c r="J25" s="5" t="s">
        <v>40</v>
      </c>
      <c r="K25" s="6">
        <v>-12868.860720385812</v>
      </c>
      <c r="L25" s="29">
        <v>0.125</v>
      </c>
    </row>
    <row r="26" spans="1:12" x14ac:dyDescent="0.25">
      <c r="A26" s="15" t="str">
        <f>CONCATENATE($M$1,F26,$J$1,J26,$I$1,$N$1)</f>
        <v>CUSTO INSTITUCIONAL  - MESA INFLATION BONDS -  ABRIL/2026</v>
      </c>
      <c r="B26" s="16">
        <v>46113</v>
      </c>
      <c r="C26" s="15">
        <v>817392</v>
      </c>
      <c r="D26" s="15" t="s">
        <v>26</v>
      </c>
      <c r="E26" s="17">
        <f t="shared" si="2"/>
        <v>-1608.6075900482265</v>
      </c>
      <c r="F26" s="15" t="s">
        <v>9</v>
      </c>
      <c r="G26" s="16">
        <v>46113</v>
      </c>
      <c r="H26" s="15">
        <v>1170</v>
      </c>
      <c r="I26" s="2"/>
      <c r="J26" s="18" t="s">
        <v>40</v>
      </c>
      <c r="K26" s="19">
        <v>-12868.860720385812</v>
      </c>
      <c r="L26" s="20">
        <v>0.125</v>
      </c>
    </row>
    <row r="27" spans="1:12" x14ac:dyDescent="0.25">
      <c r="A27" s="2" t="str">
        <f>CONCATENATE($M$1,F27,$J$1,J27,$I$1,$N$1)</f>
        <v>CUSTO INSTITUCIONAL  - MESA PUBLIC BONDS -  ABRIL/2026</v>
      </c>
      <c r="B27" s="3">
        <v>46113</v>
      </c>
      <c r="C27" s="2">
        <v>817392</v>
      </c>
      <c r="D27" s="2" t="s">
        <v>63</v>
      </c>
      <c r="E27" s="4">
        <f t="shared" si="2"/>
        <v>-2650.9853083994776</v>
      </c>
      <c r="F27" s="2" t="s">
        <v>9</v>
      </c>
      <c r="G27" s="3">
        <v>46113</v>
      </c>
      <c r="H27" s="2">
        <v>1170</v>
      </c>
      <c r="I27" s="2"/>
      <c r="J27" s="5" t="s">
        <v>41</v>
      </c>
      <c r="K27" s="6">
        <v>-13254.926541997387</v>
      </c>
      <c r="L27" s="7">
        <v>0.2</v>
      </c>
    </row>
    <row r="28" spans="1:12" x14ac:dyDescent="0.25">
      <c r="A28" s="2" t="str">
        <f t="shared" ref="A28:A40" si="3">CONCATENATE($M$1,F28,$J$1,J28,$I$1,$N$1)</f>
        <v>CUSTO INSTITUCIONAL  - MESA PUBLIC BONDS -  ABRIL/2026</v>
      </c>
      <c r="B28" s="3">
        <v>46113</v>
      </c>
      <c r="C28" s="2">
        <v>817392</v>
      </c>
      <c r="D28" s="2" t="s">
        <v>27</v>
      </c>
      <c r="E28" s="30">
        <f t="shared" si="2"/>
        <v>-2650.9853083994776</v>
      </c>
      <c r="F28" s="2" t="s">
        <v>9</v>
      </c>
      <c r="G28" s="3">
        <v>46113</v>
      </c>
      <c r="H28" s="2">
        <v>1170</v>
      </c>
      <c r="I28" s="2"/>
      <c r="J28" s="5" t="s">
        <v>41</v>
      </c>
      <c r="K28" s="31">
        <v>-13254.926541997387</v>
      </c>
      <c r="L28" s="7">
        <v>0.2</v>
      </c>
    </row>
    <row r="29" spans="1:12" x14ac:dyDescent="0.25">
      <c r="A29" s="2" t="str">
        <f t="shared" si="3"/>
        <v>CUSTO INSTITUCIONAL  - MESA PUBLIC BONDS -  ABRIL/2026</v>
      </c>
      <c r="B29" s="3">
        <v>46113</v>
      </c>
      <c r="C29" s="2">
        <v>817392</v>
      </c>
      <c r="D29" s="2" t="s">
        <v>61</v>
      </c>
      <c r="E29" s="30">
        <f t="shared" si="2"/>
        <v>-2650.9853083994776</v>
      </c>
      <c r="F29" s="2" t="s">
        <v>9</v>
      </c>
      <c r="G29" s="3">
        <v>46113</v>
      </c>
      <c r="H29" s="2">
        <v>1170</v>
      </c>
      <c r="I29" s="2"/>
      <c r="J29" s="5" t="s">
        <v>41</v>
      </c>
      <c r="K29" s="31">
        <v>-13254.926541997387</v>
      </c>
      <c r="L29" s="7">
        <v>0.2</v>
      </c>
    </row>
    <row r="30" spans="1:12" x14ac:dyDescent="0.25">
      <c r="A30" s="2" t="str">
        <f t="shared" si="3"/>
        <v>CUSTO INSTITUCIONAL  - MESA PUBLIC BONDS -  ABRIL/2026</v>
      </c>
      <c r="B30" s="3">
        <v>46113</v>
      </c>
      <c r="C30" s="2">
        <v>817392</v>
      </c>
      <c r="D30" s="2" t="s">
        <v>56</v>
      </c>
      <c r="E30" s="30">
        <f t="shared" si="2"/>
        <v>-2650.9853083994776</v>
      </c>
      <c r="F30" s="2" t="s">
        <v>9</v>
      </c>
      <c r="G30" s="3">
        <v>46113</v>
      </c>
      <c r="H30" s="2">
        <v>1170</v>
      </c>
      <c r="J30" s="5" t="s">
        <v>41</v>
      </c>
      <c r="K30" s="31">
        <v>-13254.926541997387</v>
      </c>
      <c r="L30" s="7">
        <v>0.2</v>
      </c>
    </row>
    <row r="31" spans="1:12" x14ac:dyDescent="0.25">
      <c r="A31" s="15" t="str">
        <f t="shared" si="3"/>
        <v>CUSTO INSTITUCIONAL  - MESA PUBLIC BONDS -  ABRIL/2026</v>
      </c>
      <c r="B31" s="16">
        <v>46113</v>
      </c>
      <c r="C31" s="15">
        <v>817392</v>
      </c>
      <c r="D31" s="15" t="s">
        <v>58</v>
      </c>
      <c r="E31" s="17">
        <f t="shared" si="2"/>
        <v>-2650.9853083994776</v>
      </c>
      <c r="F31" s="15" t="s">
        <v>9</v>
      </c>
      <c r="G31" s="16">
        <v>46113</v>
      </c>
      <c r="H31" s="15">
        <v>1170</v>
      </c>
      <c r="J31" s="18" t="s">
        <v>41</v>
      </c>
      <c r="K31" s="19">
        <v>-13254.926541997387</v>
      </c>
      <c r="L31" s="20">
        <v>0.2</v>
      </c>
    </row>
    <row r="32" spans="1:12" x14ac:dyDescent="0.25">
      <c r="A32" s="2" t="str">
        <f>CONCATENATE($M$1,F32,$J$1,J32,$I$1,$N$1)</f>
        <v>CUSTO INSTITUCIONAL  - MESA DI FUTURES  -  ABRIL/2026</v>
      </c>
      <c r="B32" s="3">
        <v>46113</v>
      </c>
      <c r="C32" s="2">
        <v>817392</v>
      </c>
      <c r="D32" s="2" t="s">
        <v>44</v>
      </c>
      <c r="E32" s="4">
        <f>K32*L32</f>
        <v>-3152.8708764945245</v>
      </c>
      <c r="F32" s="2" t="s">
        <v>9</v>
      </c>
      <c r="G32" s="3">
        <v>46113</v>
      </c>
      <c r="H32" s="2">
        <v>1170</v>
      </c>
      <c r="J32" s="5" t="s">
        <v>39</v>
      </c>
      <c r="K32" s="6">
        <v>-12611.483505978098</v>
      </c>
      <c r="L32" s="7">
        <v>0.25</v>
      </c>
    </row>
    <row r="33" spans="1:13" x14ac:dyDescent="0.25">
      <c r="A33" s="2" t="str">
        <f>CONCATENATE($M$1,F33,$J$1,J33,$I$1,$N$1)</f>
        <v>CUSTO INSTITUCIONAL  - MESA DI FUTURES  -  ABRIL/2026</v>
      </c>
      <c r="B33" s="3">
        <v>46113</v>
      </c>
      <c r="C33" s="2">
        <v>817392</v>
      </c>
      <c r="D33" s="2" t="s">
        <v>23</v>
      </c>
      <c r="E33" s="4">
        <f>K33*L33</f>
        <v>-3152.8708764945245</v>
      </c>
      <c r="F33" s="2" t="s">
        <v>9</v>
      </c>
      <c r="G33" s="3">
        <v>46113</v>
      </c>
      <c r="H33" s="2">
        <v>1170</v>
      </c>
      <c r="J33" s="5" t="s">
        <v>39</v>
      </c>
      <c r="K33" s="6">
        <v>-12611.483505978098</v>
      </c>
      <c r="L33" s="7">
        <v>0.25</v>
      </c>
    </row>
    <row r="34" spans="1:13" x14ac:dyDescent="0.25">
      <c r="A34" s="2" t="str">
        <f>CONCATENATE($M$1,F34,$J$1,J34,$I$1,$N$1)</f>
        <v>CUSTO INSTITUCIONAL  - MESA DI FUTURES  -  ABRIL/2026</v>
      </c>
      <c r="B34" s="3">
        <v>46113</v>
      </c>
      <c r="C34" s="2">
        <v>817392</v>
      </c>
      <c r="D34" s="2" t="s">
        <v>54</v>
      </c>
      <c r="E34" s="4">
        <f>K34*L34</f>
        <v>-3152.8708764945245</v>
      </c>
      <c r="F34" s="2" t="s">
        <v>9</v>
      </c>
      <c r="G34" s="3">
        <v>46113</v>
      </c>
      <c r="H34" s="2">
        <v>1170</v>
      </c>
      <c r="J34" s="5" t="s">
        <v>39</v>
      </c>
      <c r="K34" s="6">
        <v>-12611.483505978098</v>
      </c>
      <c r="L34" s="7">
        <v>0.25</v>
      </c>
    </row>
    <row r="35" spans="1:13" x14ac:dyDescent="0.25">
      <c r="A35" s="15" t="str">
        <f>CONCATENATE($M$1,F35,$J$1,J35,$I$1,$N$1)</f>
        <v>CUSTO INSTITUCIONAL  - MESA DI FUTURES  -  ABRIL/2026</v>
      </c>
      <c r="B35" s="16">
        <v>46113</v>
      </c>
      <c r="C35" s="15">
        <v>817392</v>
      </c>
      <c r="D35" s="15" t="s">
        <v>22</v>
      </c>
      <c r="E35" s="17">
        <f>K35*L35</f>
        <v>-3152.8708764945245</v>
      </c>
      <c r="F35" s="15" t="s">
        <v>9</v>
      </c>
      <c r="G35" s="16">
        <v>46113</v>
      </c>
      <c r="H35" s="15">
        <v>1170</v>
      </c>
      <c r="J35" s="18" t="s">
        <v>39</v>
      </c>
      <c r="K35" s="19">
        <v>-12611.483505978098</v>
      </c>
      <c r="L35" s="20">
        <v>0.25</v>
      </c>
    </row>
    <row r="36" spans="1:13" x14ac:dyDescent="0.25">
      <c r="A36" s="2" t="str">
        <f t="shared" si="3"/>
        <v>CUSTO INSTITUCIONAL  - MESA FX FUTURES -  ABRIL/2026</v>
      </c>
      <c r="B36" s="3">
        <v>46113</v>
      </c>
      <c r="C36" s="2">
        <v>817392</v>
      </c>
      <c r="D36" s="2" t="s">
        <v>30</v>
      </c>
      <c r="E36" s="4">
        <f t="shared" si="2"/>
        <v>-2934.1002442479657</v>
      </c>
      <c r="F36" s="2" t="s">
        <v>9</v>
      </c>
      <c r="G36" s="3">
        <v>46113</v>
      </c>
      <c r="H36" s="2">
        <v>1170</v>
      </c>
      <c r="J36" s="5" t="s">
        <v>29</v>
      </c>
      <c r="K36" s="6">
        <v>-11736.400976991863</v>
      </c>
      <c r="L36" s="7">
        <v>0.25</v>
      </c>
      <c r="M36" s="27"/>
    </row>
    <row r="37" spans="1:13" x14ac:dyDescent="0.25">
      <c r="A37" s="2" t="str">
        <f t="shared" si="3"/>
        <v>CUSTO INSTITUCIONAL  - MESA FX FUTURES -  ABRIL/2026</v>
      </c>
      <c r="B37" s="3">
        <v>46113</v>
      </c>
      <c r="C37" s="2">
        <v>817392</v>
      </c>
      <c r="D37" s="2" t="s">
        <v>31</v>
      </c>
      <c r="E37" s="4">
        <f t="shared" si="2"/>
        <v>-2934.1002442479657</v>
      </c>
      <c r="F37" s="2" t="s">
        <v>9</v>
      </c>
      <c r="G37" s="3">
        <v>46113</v>
      </c>
      <c r="H37" s="2">
        <v>1170</v>
      </c>
      <c r="I37" s="2"/>
      <c r="J37" s="5" t="s">
        <v>29</v>
      </c>
      <c r="K37" s="6">
        <v>-11736.400976991863</v>
      </c>
      <c r="L37" s="7">
        <v>0.25</v>
      </c>
    </row>
    <row r="38" spans="1:13" x14ac:dyDescent="0.25">
      <c r="A38" s="2" t="str">
        <f t="shared" si="3"/>
        <v>CUSTO INSTITUCIONAL  - MESA FX FUTURES -  ABRIL/2026</v>
      </c>
      <c r="B38" s="3">
        <v>46113</v>
      </c>
      <c r="C38" s="2">
        <v>817392</v>
      </c>
      <c r="D38" s="2" t="s">
        <v>53</v>
      </c>
      <c r="E38" s="4">
        <f t="shared" si="2"/>
        <v>-2934.1002442479657</v>
      </c>
      <c r="F38" s="2" t="s">
        <v>9</v>
      </c>
      <c r="G38" s="3">
        <v>46113</v>
      </c>
      <c r="H38" s="2">
        <v>1170</v>
      </c>
      <c r="I38" s="2"/>
      <c r="J38" s="5" t="s">
        <v>29</v>
      </c>
      <c r="K38" s="6">
        <v>-11736.400976991863</v>
      </c>
      <c r="L38" s="7">
        <v>0.25</v>
      </c>
    </row>
    <row r="39" spans="1:13" x14ac:dyDescent="0.25">
      <c r="A39" s="15" t="str">
        <f t="shared" si="3"/>
        <v>CUSTO INSTITUCIONAL  - MESA FX FUTURES -  ABRIL/2026</v>
      </c>
      <c r="B39" s="16">
        <v>46113</v>
      </c>
      <c r="C39" s="15">
        <v>817392</v>
      </c>
      <c r="D39" s="15" t="s">
        <v>32</v>
      </c>
      <c r="E39" s="17">
        <f t="shared" si="2"/>
        <v>-2934.1002442479657</v>
      </c>
      <c r="F39" s="15" t="s">
        <v>9</v>
      </c>
      <c r="G39" s="16">
        <v>46113</v>
      </c>
      <c r="H39" s="15">
        <v>1170</v>
      </c>
      <c r="I39" s="2"/>
      <c r="J39" s="18" t="s">
        <v>29</v>
      </c>
      <c r="K39" s="19">
        <v>-11736.400976991863</v>
      </c>
      <c r="L39" s="20">
        <v>0.25</v>
      </c>
    </row>
    <row r="40" spans="1:13" x14ac:dyDescent="0.25">
      <c r="A40" s="15" t="str">
        <f t="shared" si="3"/>
        <v>CUSTO INSTITUCIONAL  - MESA NDF OFFSHORE -  ABRIL/2026</v>
      </c>
      <c r="B40" s="25">
        <v>46113</v>
      </c>
      <c r="C40" s="15">
        <v>817392</v>
      </c>
      <c r="D40" s="15" t="s">
        <v>64</v>
      </c>
      <c r="E40" s="17">
        <f t="shared" si="2"/>
        <v>-13126.237934793529</v>
      </c>
      <c r="F40" s="15" t="s">
        <v>9</v>
      </c>
      <c r="G40" s="16">
        <v>46113</v>
      </c>
      <c r="H40" s="15">
        <v>1170</v>
      </c>
      <c r="I40" s="2"/>
      <c r="J40" s="18" t="s">
        <v>48</v>
      </c>
      <c r="K40" s="19">
        <v>-13126.237934793529</v>
      </c>
      <c r="L40" s="20">
        <v>1</v>
      </c>
    </row>
  </sheetData>
  <autoFilter ref="A1:N1" xr:uid="{2FE869A7-BB24-4073-9535-98469A614E5D}"/>
  <pageMargins left="0.511811024" right="0.511811024" top="0.78740157499999996" bottom="0.78740157499999996" header="0.31496062000000002" footer="0.31496062000000002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DB265-7A65-48DB-A84B-97BBE710481C}">
  <sheetPr codeName="Sheet5"/>
  <dimension ref="A1:O40"/>
  <sheetViews>
    <sheetView showGridLines="0" topLeftCell="A6" workbookViewId="0">
      <selection activeCell="A2" sqref="A2:H40"/>
    </sheetView>
  </sheetViews>
  <sheetFormatPr defaultRowHeight="15" x14ac:dyDescent="0.25"/>
  <cols>
    <col min="1" max="1" width="44.140625" bestFit="1" customWidth="1"/>
    <col min="2" max="2" width="14.7109375" bestFit="1" customWidth="1"/>
    <col min="3" max="3" width="12.7109375" bestFit="1" customWidth="1"/>
    <col min="4" max="4" width="34" bestFit="1" customWidth="1"/>
    <col min="5" max="5" width="10.5703125" style="14" bestFit="1" customWidth="1"/>
    <col min="6" max="6" width="12.28515625" customWidth="1"/>
    <col min="7" max="7" width="14.5703125" customWidth="1"/>
    <col min="8" max="8" width="11.7109375" customWidth="1"/>
    <col min="9" max="9" width="9.140625" customWidth="1"/>
    <col min="10" max="10" width="13.7109375" customWidth="1"/>
    <col min="11" max="11" width="11.28515625" bestFit="1" customWidth="1"/>
    <col min="12" max="12" width="9.140625" style="9"/>
    <col min="14" max="14" width="15.42578125" bestFit="1" customWidth="1"/>
  </cols>
  <sheetData>
    <row r="1" spans="1:15" x14ac:dyDescent="0.25">
      <c r="A1" s="10" t="s">
        <v>0</v>
      </c>
      <c r="B1" s="11" t="s">
        <v>1</v>
      </c>
      <c r="C1" s="10" t="s">
        <v>8</v>
      </c>
      <c r="D1" s="10" t="s">
        <v>2</v>
      </c>
      <c r="E1" s="13" t="s">
        <v>3</v>
      </c>
      <c r="F1" s="10" t="s">
        <v>4</v>
      </c>
      <c r="G1" s="11" t="s">
        <v>5</v>
      </c>
      <c r="H1" s="10" t="s">
        <v>6</v>
      </c>
      <c r="I1" s="1" t="s">
        <v>12</v>
      </c>
      <c r="J1" s="1" t="s">
        <v>13</v>
      </c>
      <c r="K1" s="1" t="s">
        <v>3</v>
      </c>
      <c r="L1" s="8" t="s">
        <v>7</v>
      </c>
      <c r="M1" s="1" t="s">
        <v>10</v>
      </c>
      <c r="N1" s="12" t="s">
        <v>68</v>
      </c>
    </row>
    <row r="2" spans="1:15" x14ac:dyDescent="0.25">
      <c r="A2" s="2" t="str">
        <f>CONCATENATE($M$1,F2,$J$1,J2,$I$1,$N$1)</f>
        <v>CUSTO INSTITUCIONAL  - MESA EQUITIES -  MAIO/2026</v>
      </c>
      <c r="B2" s="3">
        <v>46143</v>
      </c>
      <c r="C2" s="2">
        <v>817392</v>
      </c>
      <c r="D2" s="2" t="s">
        <v>15</v>
      </c>
      <c r="E2" s="4">
        <f t="shared" ref="E2" si="0">K2*L2</f>
        <v>-2969.5136875816333</v>
      </c>
      <c r="F2" s="2" t="s">
        <v>9</v>
      </c>
      <c r="G2" s="3">
        <v>46143</v>
      </c>
      <c r="H2" s="2">
        <v>1170</v>
      </c>
      <c r="I2" s="2"/>
      <c r="J2" s="5" t="s">
        <v>11</v>
      </c>
      <c r="K2" s="6">
        <v>-11878.054750326533</v>
      </c>
      <c r="L2" s="7">
        <v>0.25</v>
      </c>
    </row>
    <row r="3" spans="1:15" x14ac:dyDescent="0.25">
      <c r="A3" s="2" t="str">
        <f t="shared" ref="A3:A25" si="1">CONCATENATE($M$1,F3,$J$1,J3,$I$1,$N$1)</f>
        <v>CUSTO INSTITUCIONAL  - MESA EQUITIES -  MAIO/2026</v>
      </c>
      <c r="B3" s="3">
        <v>46143</v>
      </c>
      <c r="C3" s="2">
        <v>817392</v>
      </c>
      <c r="D3" s="2" t="s">
        <v>43</v>
      </c>
      <c r="E3" s="4">
        <f>K3*L3</f>
        <v>-1484.7568437908167</v>
      </c>
      <c r="F3" s="2" t="s">
        <v>9</v>
      </c>
      <c r="G3" s="3">
        <v>46143</v>
      </c>
      <c r="H3" s="2">
        <v>1170</v>
      </c>
      <c r="I3" s="2"/>
      <c r="J3" s="5" t="s">
        <v>11</v>
      </c>
      <c r="K3" s="6">
        <v>-11878.054750326533</v>
      </c>
      <c r="L3" s="7">
        <v>0.125</v>
      </c>
      <c r="O3" s="32"/>
    </row>
    <row r="4" spans="1:15" x14ac:dyDescent="0.25">
      <c r="A4" s="2" t="str">
        <f t="shared" si="1"/>
        <v>CUSTO INSTITUCIONAL  - MESA EQUITIES -  MAIO/2026</v>
      </c>
      <c r="B4" s="3">
        <v>46143</v>
      </c>
      <c r="C4" s="2">
        <v>817392</v>
      </c>
      <c r="D4" s="2" t="s">
        <v>60</v>
      </c>
      <c r="E4" s="4">
        <f>K4*L4</f>
        <v>-1484.7568437908167</v>
      </c>
      <c r="F4" s="2" t="s">
        <v>9</v>
      </c>
      <c r="G4" s="3">
        <v>46143</v>
      </c>
      <c r="H4" s="2">
        <v>1170</v>
      </c>
      <c r="I4" s="2"/>
      <c r="J4" s="5" t="s">
        <v>11</v>
      </c>
      <c r="K4" s="6">
        <v>-11878.054750326533</v>
      </c>
      <c r="L4" s="7">
        <v>0.125</v>
      </c>
    </row>
    <row r="5" spans="1:15" x14ac:dyDescent="0.25">
      <c r="A5" s="2" t="str">
        <f t="shared" si="1"/>
        <v>CUSTO INSTITUCIONAL  - MESA EQUITIES -  MAIO/2026</v>
      </c>
      <c r="B5" s="3">
        <v>46143</v>
      </c>
      <c r="C5" s="2">
        <v>817392</v>
      </c>
      <c r="D5" s="2" t="s">
        <v>45</v>
      </c>
      <c r="E5" s="4">
        <f>K5*L5</f>
        <v>-1484.7568437908167</v>
      </c>
      <c r="F5" s="2" t="s">
        <v>9</v>
      </c>
      <c r="G5" s="3">
        <v>46143</v>
      </c>
      <c r="H5" s="2">
        <v>1170</v>
      </c>
      <c r="I5" s="2"/>
      <c r="J5" s="5" t="s">
        <v>11</v>
      </c>
      <c r="K5" s="6">
        <v>-11878.054750326533</v>
      </c>
      <c r="L5" s="7">
        <v>0.125</v>
      </c>
    </row>
    <row r="6" spans="1:15" x14ac:dyDescent="0.25">
      <c r="A6" s="2" t="str">
        <f t="shared" si="1"/>
        <v>CUSTO INSTITUCIONAL  - MESA EQUITIES -  MAIO/2026</v>
      </c>
      <c r="B6" s="3">
        <v>46143</v>
      </c>
      <c r="C6" s="2">
        <v>817392</v>
      </c>
      <c r="D6" s="2" t="s">
        <v>14</v>
      </c>
      <c r="E6" s="4">
        <f t="shared" ref="E6:E40" si="2">K6*L6</f>
        <v>-1484.7568437908167</v>
      </c>
      <c r="F6" s="2" t="s">
        <v>9</v>
      </c>
      <c r="G6" s="3">
        <v>46143</v>
      </c>
      <c r="H6" s="2">
        <v>1170</v>
      </c>
      <c r="I6" s="2"/>
      <c r="J6" s="5" t="s">
        <v>11</v>
      </c>
      <c r="K6" s="6">
        <v>-11878.054750326533</v>
      </c>
      <c r="L6" s="7">
        <v>0.125</v>
      </c>
    </row>
    <row r="7" spans="1:15" x14ac:dyDescent="0.25">
      <c r="A7" s="2" t="str">
        <f t="shared" si="1"/>
        <v>CUSTO INSTITUCIONAL  - MESA EQUITIES -  MAIO/2026</v>
      </c>
      <c r="B7" s="3">
        <v>46143</v>
      </c>
      <c r="C7" s="2">
        <v>817392</v>
      </c>
      <c r="D7" s="2" t="s">
        <v>49</v>
      </c>
      <c r="E7" s="4">
        <f t="shared" si="2"/>
        <v>-1484.7568437908167</v>
      </c>
      <c r="F7" s="2" t="s">
        <v>9</v>
      </c>
      <c r="G7" s="3">
        <v>46143</v>
      </c>
      <c r="H7" s="2">
        <v>1170</v>
      </c>
      <c r="I7" s="2"/>
      <c r="J7" s="5" t="s">
        <v>11</v>
      </c>
      <c r="K7" s="6">
        <v>-11878.054750326533</v>
      </c>
      <c r="L7" s="7">
        <v>0.125</v>
      </c>
    </row>
    <row r="8" spans="1:15" x14ac:dyDescent="0.25">
      <c r="A8" s="15" t="str">
        <f t="shared" si="1"/>
        <v>CUSTO INSTITUCIONAL  - MESA OFFSHORE LISTED -  MAIO/2026</v>
      </c>
      <c r="B8" s="16">
        <v>46143</v>
      </c>
      <c r="C8" s="15">
        <v>817392</v>
      </c>
      <c r="D8" s="15" t="s">
        <v>52</v>
      </c>
      <c r="E8" s="17">
        <f t="shared" si="2"/>
        <v>-1484.7568437908167</v>
      </c>
      <c r="F8" s="15" t="s">
        <v>9</v>
      </c>
      <c r="G8" s="16">
        <v>46143</v>
      </c>
      <c r="H8" s="15">
        <v>1170</v>
      </c>
      <c r="I8" s="2"/>
      <c r="J8" s="18" t="s">
        <v>52</v>
      </c>
      <c r="K8" s="6">
        <v>-11878.054750326533</v>
      </c>
      <c r="L8" s="7">
        <v>0.125</v>
      </c>
    </row>
    <row r="9" spans="1:15" x14ac:dyDescent="0.25">
      <c r="A9" s="24" t="str">
        <f t="shared" si="1"/>
        <v>CUSTO INSTITUCIONAL  - MESA VOLATILITY IDI -  MAIO/2026</v>
      </c>
      <c r="B9" s="16">
        <v>46143</v>
      </c>
      <c r="C9" s="24">
        <v>817392</v>
      </c>
      <c r="D9" s="24" t="s">
        <v>33</v>
      </c>
      <c r="E9" s="26">
        <f t="shared" si="2"/>
        <v>-13323.532312535583</v>
      </c>
      <c r="F9" s="24" t="s">
        <v>9</v>
      </c>
      <c r="G9" s="25">
        <v>46143</v>
      </c>
      <c r="H9" s="24">
        <v>1170</v>
      </c>
      <c r="I9" s="2"/>
      <c r="J9" s="21" t="s">
        <v>34</v>
      </c>
      <c r="K9" s="22">
        <v>-13323.532312535583</v>
      </c>
      <c r="L9" s="23">
        <v>1</v>
      </c>
    </row>
    <row r="10" spans="1:15" x14ac:dyDescent="0.25">
      <c r="A10" s="15" t="str">
        <f t="shared" si="1"/>
        <v>CUSTO INSTITUCIONAL  - MESA VOLATILITY FX -  MAIO/2026</v>
      </c>
      <c r="B10" s="25">
        <v>46143</v>
      </c>
      <c r="C10" s="15">
        <v>817392</v>
      </c>
      <c r="D10" s="15" t="s">
        <v>36</v>
      </c>
      <c r="E10" s="17">
        <f t="shared" si="2"/>
        <v>-12569.370106165643</v>
      </c>
      <c r="F10" s="15" t="s">
        <v>9</v>
      </c>
      <c r="G10" s="16">
        <v>46143</v>
      </c>
      <c r="H10" s="15">
        <v>1170</v>
      </c>
      <c r="I10" s="2"/>
      <c r="J10" s="18" t="s">
        <v>35</v>
      </c>
      <c r="K10" s="22">
        <v>-12569.370106165643</v>
      </c>
      <c r="L10" s="20">
        <v>1</v>
      </c>
    </row>
    <row r="11" spans="1:15" x14ac:dyDescent="0.25">
      <c r="A11" s="2" t="str">
        <f t="shared" si="1"/>
        <v>CUSTO INSTITUCIONAL  - MESA FX SPOT  -  MAIO/2026</v>
      </c>
      <c r="B11" s="3">
        <v>46143</v>
      </c>
      <c r="C11" s="2">
        <v>817392</v>
      </c>
      <c r="D11" s="2" t="s">
        <v>17</v>
      </c>
      <c r="E11" s="4">
        <f t="shared" si="2"/>
        <v>-1616.0618707927254</v>
      </c>
      <c r="F11" s="2" t="s">
        <v>9</v>
      </c>
      <c r="G11" s="3">
        <v>46143</v>
      </c>
      <c r="H11" s="2">
        <v>1170</v>
      </c>
      <c r="I11" s="2"/>
      <c r="J11" s="5" t="s">
        <v>37</v>
      </c>
      <c r="K11" s="6">
        <v>-11312.433095549079</v>
      </c>
      <c r="L11" s="7">
        <v>0.14285714285714285</v>
      </c>
    </row>
    <row r="12" spans="1:15" x14ac:dyDescent="0.25">
      <c r="A12" s="2" t="str">
        <f t="shared" si="1"/>
        <v>CUSTO INSTITUCIONAL  - MESA FX SPOT  -  MAIO/2026</v>
      </c>
      <c r="B12" s="3">
        <v>46143</v>
      </c>
      <c r="C12" s="2">
        <v>817392</v>
      </c>
      <c r="D12" s="2" t="s">
        <v>18</v>
      </c>
      <c r="E12" s="4">
        <f t="shared" si="2"/>
        <v>-1616.0618707927254</v>
      </c>
      <c r="F12" s="2" t="s">
        <v>9</v>
      </c>
      <c r="G12" s="3">
        <v>46143</v>
      </c>
      <c r="H12" s="2">
        <v>1170</v>
      </c>
      <c r="I12" s="2"/>
      <c r="J12" s="5" t="s">
        <v>37</v>
      </c>
      <c r="K12" s="6">
        <v>-11312.433095549079</v>
      </c>
      <c r="L12" s="7">
        <v>0.14285714285714285</v>
      </c>
    </row>
    <row r="13" spans="1:15" x14ac:dyDescent="0.25">
      <c r="A13" s="2" t="str">
        <f t="shared" si="1"/>
        <v>CUSTO INSTITUCIONAL  - MESA FX SPOT  -  MAIO/2026</v>
      </c>
      <c r="B13" s="3">
        <v>46143</v>
      </c>
      <c r="C13" s="2">
        <v>817392</v>
      </c>
      <c r="D13" s="2" t="s">
        <v>16</v>
      </c>
      <c r="E13" s="4">
        <f t="shared" si="2"/>
        <v>-1616.0618707927254</v>
      </c>
      <c r="F13" s="2" t="s">
        <v>9</v>
      </c>
      <c r="G13" s="3">
        <v>46143</v>
      </c>
      <c r="H13" s="2">
        <v>1170</v>
      </c>
      <c r="I13" s="2"/>
      <c r="J13" s="5" t="s">
        <v>37</v>
      </c>
      <c r="K13" s="6">
        <v>-11312.433095549079</v>
      </c>
      <c r="L13" s="7">
        <v>0.14285714285714285</v>
      </c>
    </row>
    <row r="14" spans="1:15" x14ac:dyDescent="0.25">
      <c r="A14" s="2" t="str">
        <f t="shared" si="1"/>
        <v>CUSTO INSTITUCIONAL  - MESA FX SPOT  -  MAIO/2026</v>
      </c>
      <c r="B14" s="3">
        <v>46143</v>
      </c>
      <c r="C14" s="2">
        <v>817392</v>
      </c>
      <c r="D14" s="2" t="s">
        <v>19</v>
      </c>
      <c r="E14" s="4">
        <f t="shared" si="2"/>
        <v>-1616.0618707927254</v>
      </c>
      <c r="F14" s="2" t="s">
        <v>9</v>
      </c>
      <c r="G14" s="3">
        <v>46143</v>
      </c>
      <c r="H14" s="2">
        <v>1170</v>
      </c>
      <c r="I14" s="2"/>
      <c r="J14" s="5" t="s">
        <v>37</v>
      </c>
      <c r="K14" s="6">
        <v>-11312.433095549079</v>
      </c>
      <c r="L14" s="7">
        <v>0.14285714285714285</v>
      </c>
    </row>
    <row r="15" spans="1:15" x14ac:dyDescent="0.25">
      <c r="A15" s="2" t="str">
        <f t="shared" si="1"/>
        <v>CUSTO INSTITUCIONAL  - MESA FX SPOT  -  MAIO/2026</v>
      </c>
      <c r="B15" s="3">
        <v>46143</v>
      </c>
      <c r="C15" s="2">
        <v>817392</v>
      </c>
      <c r="D15" s="2" t="s">
        <v>20</v>
      </c>
      <c r="E15" s="4">
        <f t="shared" si="2"/>
        <v>-1616.0618707927254</v>
      </c>
      <c r="F15" s="2" t="s">
        <v>9</v>
      </c>
      <c r="G15" s="3">
        <v>46143</v>
      </c>
      <c r="H15" s="2">
        <v>1170</v>
      </c>
      <c r="I15" s="2"/>
      <c r="J15" s="5" t="s">
        <v>37</v>
      </c>
      <c r="K15" s="6">
        <v>-11312.433095549079</v>
      </c>
      <c r="L15" s="7">
        <v>0.14285714285714285</v>
      </c>
    </row>
    <row r="16" spans="1:15" x14ac:dyDescent="0.25">
      <c r="A16" s="2" t="str">
        <f t="shared" si="1"/>
        <v>CUSTO INSTITUCIONAL  - MESA FX SPOT  -  MAIO/2026</v>
      </c>
      <c r="B16" s="3">
        <v>46143</v>
      </c>
      <c r="C16" s="2">
        <v>817392</v>
      </c>
      <c r="D16" s="2" t="s">
        <v>21</v>
      </c>
      <c r="E16" s="4">
        <f t="shared" si="2"/>
        <v>-1616.0618707927254</v>
      </c>
      <c r="F16" s="2" t="s">
        <v>9</v>
      </c>
      <c r="G16" s="3">
        <v>46143</v>
      </c>
      <c r="H16" s="2">
        <v>1170</v>
      </c>
      <c r="I16" s="2"/>
      <c r="J16" s="5" t="s">
        <v>37</v>
      </c>
      <c r="K16" s="6">
        <v>-11312.433095549079</v>
      </c>
      <c r="L16" s="7">
        <v>0.14285714285714285</v>
      </c>
    </row>
    <row r="17" spans="1:12" x14ac:dyDescent="0.25">
      <c r="A17" s="15" t="str">
        <f t="shared" si="1"/>
        <v>CUSTO INSTITUCIONAL  - MESA FX SPOT  -  MAIO/2026</v>
      </c>
      <c r="B17" s="16">
        <v>46143</v>
      </c>
      <c r="C17" s="15">
        <v>817392</v>
      </c>
      <c r="D17" s="15" t="s">
        <v>38</v>
      </c>
      <c r="E17" s="17">
        <f t="shared" si="2"/>
        <v>-1616.0618707927254</v>
      </c>
      <c r="F17" s="15" t="s">
        <v>9</v>
      </c>
      <c r="G17" s="16">
        <v>46143</v>
      </c>
      <c r="H17" s="15">
        <v>1170</v>
      </c>
      <c r="I17" s="2"/>
      <c r="J17" s="18" t="s">
        <v>37</v>
      </c>
      <c r="K17" s="19">
        <v>-11312.433095549079</v>
      </c>
      <c r="L17" s="20">
        <v>0.14285714285714285</v>
      </c>
    </row>
    <row r="18" spans="1:12" x14ac:dyDescent="0.25">
      <c r="A18" s="15" t="str">
        <f>CONCATENATE($M$1,F18,$J$1,J18,$I$1,$N$1)</f>
        <v>CUSTO INSTITUCIONAL  - MESA CORPORATE BONDS -  MAIO/2026</v>
      </c>
      <c r="B18" s="25">
        <v>46143</v>
      </c>
      <c r="C18" s="15">
        <v>817392</v>
      </c>
      <c r="D18" s="15" t="s">
        <v>51</v>
      </c>
      <c r="E18" s="17">
        <f t="shared" si="2"/>
        <v>-13901.7233374192</v>
      </c>
      <c r="F18" s="15" t="s">
        <v>9</v>
      </c>
      <c r="G18" s="16">
        <v>46143</v>
      </c>
      <c r="H18" s="15">
        <v>1170</v>
      </c>
      <c r="I18" s="2"/>
      <c r="J18" s="18" t="s">
        <v>50</v>
      </c>
      <c r="K18" s="19">
        <v>-13901.7233374192</v>
      </c>
      <c r="L18" s="20">
        <v>1</v>
      </c>
    </row>
    <row r="19" spans="1:12" x14ac:dyDescent="0.25">
      <c r="A19" s="2" t="str">
        <f t="shared" si="1"/>
        <v>CUSTO INSTITUCIONAL  - MESA INFLATION BONDS -  MAIO/2026</v>
      </c>
      <c r="B19" s="3">
        <v>46143</v>
      </c>
      <c r="C19" s="2">
        <v>817392</v>
      </c>
      <c r="D19" s="2" t="s">
        <v>42</v>
      </c>
      <c r="E19" s="4">
        <f t="shared" si="2"/>
        <v>-1571.1712632707054</v>
      </c>
      <c r="F19" s="2" t="s">
        <v>9</v>
      </c>
      <c r="G19" s="3">
        <v>46143</v>
      </c>
      <c r="H19" s="2">
        <v>1170</v>
      </c>
      <c r="I19" s="2"/>
      <c r="J19" s="5" t="s">
        <v>40</v>
      </c>
      <c r="K19" s="6">
        <v>-12569.370106165643</v>
      </c>
      <c r="L19" s="28">
        <v>0.125</v>
      </c>
    </row>
    <row r="20" spans="1:12" x14ac:dyDescent="0.25">
      <c r="A20" s="2" t="str">
        <f t="shared" si="1"/>
        <v>CUSTO INSTITUCIONAL  - MESA INFLATION BONDS -  MAIO/2026</v>
      </c>
      <c r="B20" s="3">
        <v>46143</v>
      </c>
      <c r="C20" s="2">
        <v>817392</v>
      </c>
      <c r="D20" s="2" t="s">
        <v>57</v>
      </c>
      <c r="E20" s="4">
        <f t="shared" si="2"/>
        <v>-1571.1712632707054</v>
      </c>
      <c r="F20" s="2" t="s">
        <v>9</v>
      </c>
      <c r="G20" s="3">
        <v>46143</v>
      </c>
      <c r="H20" s="2">
        <v>1170</v>
      </c>
      <c r="I20" s="2"/>
      <c r="J20" s="5" t="s">
        <v>40</v>
      </c>
      <c r="K20" s="6">
        <v>-12569.370106165643</v>
      </c>
      <c r="L20" s="29">
        <v>0.125</v>
      </c>
    </row>
    <row r="21" spans="1:12" x14ac:dyDescent="0.25">
      <c r="A21" s="2" t="str">
        <f t="shared" si="1"/>
        <v>CUSTO INSTITUCIONAL  - MESA INFLATION BONDS -  MAIO/2026</v>
      </c>
      <c r="B21" s="3">
        <v>46143</v>
      </c>
      <c r="C21" s="2">
        <v>817392</v>
      </c>
      <c r="D21" s="2" t="s">
        <v>55</v>
      </c>
      <c r="E21" s="4">
        <f>K21*L21</f>
        <v>-1571.1712632707054</v>
      </c>
      <c r="F21" s="2" t="s">
        <v>9</v>
      </c>
      <c r="G21" s="3">
        <v>46143</v>
      </c>
      <c r="H21" s="2">
        <v>1170</v>
      </c>
      <c r="I21" s="2"/>
      <c r="J21" s="5" t="s">
        <v>40</v>
      </c>
      <c r="K21" s="6">
        <v>-12569.370106165643</v>
      </c>
      <c r="L21" s="29">
        <v>0.125</v>
      </c>
    </row>
    <row r="22" spans="1:12" x14ac:dyDescent="0.25">
      <c r="A22" s="2" t="str">
        <f t="shared" si="1"/>
        <v>CUSTO INSTITUCIONAL  - MESA INFLATION BONDS -  MAIO/2026</v>
      </c>
      <c r="B22" s="3">
        <v>46143</v>
      </c>
      <c r="C22" s="2">
        <v>817392</v>
      </c>
      <c r="D22" s="2" t="s">
        <v>24</v>
      </c>
      <c r="E22" s="4">
        <f t="shared" si="2"/>
        <v>-1571.1712632707054</v>
      </c>
      <c r="F22" s="2" t="s">
        <v>9</v>
      </c>
      <c r="G22" s="3">
        <v>46143</v>
      </c>
      <c r="H22" s="2">
        <v>1170</v>
      </c>
      <c r="I22" s="2"/>
      <c r="J22" s="5" t="s">
        <v>40</v>
      </c>
      <c r="K22" s="6">
        <v>-12569.370106165643</v>
      </c>
      <c r="L22" s="29">
        <v>0.125</v>
      </c>
    </row>
    <row r="23" spans="1:12" x14ac:dyDescent="0.25">
      <c r="A23" s="2" t="str">
        <f t="shared" si="1"/>
        <v>CUSTO INSTITUCIONAL  - MESA INFLATION BONDS -  MAIO/2026</v>
      </c>
      <c r="B23" s="3">
        <v>46143</v>
      </c>
      <c r="C23" s="2">
        <v>817392</v>
      </c>
      <c r="D23" s="2" t="s">
        <v>46</v>
      </c>
      <c r="E23" s="4">
        <f t="shared" si="2"/>
        <v>-1571.1712632707054</v>
      </c>
      <c r="F23" s="2" t="s">
        <v>9</v>
      </c>
      <c r="G23" s="3">
        <v>46143</v>
      </c>
      <c r="H23" s="2">
        <v>1170</v>
      </c>
      <c r="I23" s="2"/>
      <c r="J23" s="5" t="s">
        <v>40</v>
      </c>
      <c r="K23" s="6">
        <v>-12569.370106165643</v>
      </c>
      <c r="L23" s="29">
        <v>0.125</v>
      </c>
    </row>
    <row r="24" spans="1:12" x14ac:dyDescent="0.25">
      <c r="A24" s="2" t="str">
        <f t="shared" si="1"/>
        <v>CUSTO INSTITUCIONAL  - MESA INFLATION BONDS -  MAIO/2026</v>
      </c>
      <c r="B24" s="3">
        <v>46143</v>
      </c>
      <c r="C24" s="2">
        <v>817392</v>
      </c>
      <c r="D24" s="2" t="s">
        <v>25</v>
      </c>
      <c r="E24" s="4">
        <f t="shared" si="2"/>
        <v>-1571.1712632707054</v>
      </c>
      <c r="F24" s="2" t="s">
        <v>9</v>
      </c>
      <c r="G24" s="3">
        <v>46143</v>
      </c>
      <c r="H24" s="2">
        <v>1170</v>
      </c>
      <c r="I24" s="2"/>
      <c r="J24" s="5" t="s">
        <v>40</v>
      </c>
      <c r="K24" s="6">
        <v>-12569.370106165643</v>
      </c>
      <c r="L24" s="29">
        <v>0.125</v>
      </c>
    </row>
    <row r="25" spans="1:12" x14ac:dyDescent="0.25">
      <c r="A25" s="2" t="str">
        <f t="shared" si="1"/>
        <v>CUSTO INSTITUCIONAL  - MESA INFLATION BONDS -  MAIO/2026</v>
      </c>
      <c r="B25" s="3">
        <v>46143</v>
      </c>
      <c r="C25" s="2">
        <v>817392</v>
      </c>
      <c r="D25" s="2" t="s">
        <v>47</v>
      </c>
      <c r="E25" s="4">
        <f t="shared" si="2"/>
        <v>-1571.1712632707054</v>
      </c>
      <c r="F25" s="2" t="s">
        <v>9</v>
      </c>
      <c r="G25" s="3">
        <v>46143</v>
      </c>
      <c r="H25" s="2">
        <v>1170</v>
      </c>
      <c r="I25" s="2"/>
      <c r="J25" s="5" t="s">
        <v>40</v>
      </c>
      <c r="K25" s="6">
        <v>-12569.370106165643</v>
      </c>
      <c r="L25" s="29">
        <v>0.125</v>
      </c>
    </row>
    <row r="26" spans="1:12" x14ac:dyDescent="0.25">
      <c r="A26" s="15" t="str">
        <f>CONCATENATE($M$1,F26,$J$1,J26,$I$1,$N$1)</f>
        <v>CUSTO INSTITUCIONAL  - MESA INFLATION BONDS -  MAIO/2026</v>
      </c>
      <c r="B26" s="16">
        <v>46143</v>
      </c>
      <c r="C26" s="15">
        <v>817392</v>
      </c>
      <c r="D26" s="15" t="s">
        <v>26</v>
      </c>
      <c r="E26" s="17">
        <f t="shared" si="2"/>
        <v>-1571.1712632707054</v>
      </c>
      <c r="F26" s="15" t="s">
        <v>9</v>
      </c>
      <c r="G26" s="16">
        <v>46143</v>
      </c>
      <c r="H26" s="15">
        <v>1170</v>
      </c>
      <c r="I26" s="2"/>
      <c r="J26" s="18" t="s">
        <v>40</v>
      </c>
      <c r="K26" s="19">
        <v>-12569.370106165643</v>
      </c>
      <c r="L26" s="20">
        <v>0.125</v>
      </c>
    </row>
    <row r="27" spans="1:12" x14ac:dyDescent="0.25">
      <c r="A27" s="2" t="str">
        <f>CONCATENATE($M$1,F27,$J$1,J27,$I$1,$N$1)</f>
        <v>CUSTO INSTITUCIONAL  - MESA PUBLIC BONDS -  MAIO/2026</v>
      </c>
      <c r="B27" s="3">
        <v>46143</v>
      </c>
      <c r="C27" s="2">
        <v>817392</v>
      </c>
      <c r="D27" s="2" t="s">
        <v>63</v>
      </c>
      <c r="E27" s="4">
        <f t="shared" si="2"/>
        <v>-2589.2902418701228</v>
      </c>
      <c r="F27" s="2" t="s">
        <v>9</v>
      </c>
      <c r="G27" s="3">
        <v>46143</v>
      </c>
      <c r="H27" s="2">
        <v>1170</v>
      </c>
      <c r="I27" s="2"/>
      <c r="J27" s="5" t="s">
        <v>41</v>
      </c>
      <c r="K27" s="6">
        <v>-12946.451209350613</v>
      </c>
      <c r="L27" s="7">
        <v>0.2</v>
      </c>
    </row>
    <row r="28" spans="1:12" x14ac:dyDescent="0.25">
      <c r="A28" s="2" t="str">
        <f t="shared" ref="A28:A40" si="3">CONCATENATE($M$1,F28,$J$1,J28,$I$1,$N$1)</f>
        <v>CUSTO INSTITUCIONAL  - MESA PUBLIC BONDS -  MAIO/2026</v>
      </c>
      <c r="B28" s="3">
        <v>46143</v>
      </c>
      <c r="C28" s="2">
        <v>817392</v>
      </c>
      <c r="D28" s="2" t="s">
        <v>27</v>
      </c>
      <c r="E28" s="30">
        <f t="shared" si="2"/>
        <v>-2589.2902418701228</v>
      </c>
      <c r="F28" s="2" t="s">
        <v>9</v>
      </c>
      <c r="G28" s="3">
        <v>46143</v>
      </c>
      <c r="H28" s="2">
        <v>1170</v>
      </c>
      <c r="I28" s="2"/>
      <c r="J28" s="5" t="s">
        <v>41</v>
      </c>
      <c r="K28" s="31">
        <v>-12946.451209350613</v>
      </c>
      <c r="L28" s="7">
        <v>0.2</v>
      </c>
    </row>
    <row r="29" spans="1:12" x14ac:dyDescent="0.25">
      <c r="A29" s="2" t="str">
        <f t="shared" si="3"/>
        <v>CUSTO INSTITUCIONAL  - MESA PUBLIC BONDS -  MAIO/2026</v>
      </c>
      <c r="B29" s="3">
        <v>46143</v>
      </c>
      <c r="C29" s="2">
        <v>817392</v>
      </c>
      <c r="D29" s="2" t="s">
        <v>61</v>
      </c>
      <c r="E29" s="30">
        <f t="shared" si="2"/>
        <v>-2589.2902418701228</v>
      </c>
      <c r="F29" s="2" t="s">
        <v>9</v>
      </c>
      <c r="G29" s="3">
        <v>46143</v>
      </c>
      <c r="H29" s="2">
        <v>1170</v>
      </c>
      <c r="I29" s="2"/>
      <c r="J29" s="5" t="s">
        <v>41</v>
      </c>
      <c r="K29" s="31">
        <v>-12946.451209350613</v>
      </c>
      <c r="L29" s="7">
        <v>0.2</v>
      </c>
    </row>
    <row r="30" spans="1:12" x14ac:dyDescent="0.25">
      <c r="A30" s="2" t="str">
        <f t="shared" si="3"/>
        <v>CUSTO INSTITUCIONAL  - MESA PUBLIC BONDS -  MAIO/2026</v>
      </c>
      <c r="B30" s="3">
        <v>46143</v>
      </c>
      <c r="C30" s="2">
        <v>817392</v>
      </c>
      <c r="D30" s="2" t="s">
        <v>56</v>
      </c>
      <c r="E30" s="30">
        <f t="shared" si="2"/>
        <v>-2589.2902418701228</v>
      </c>
      <c r="F30" s="2" t="s">
        <v>9</v>
      </c>
      <c r="G30" s="3">
        <v>46143</v>
      </c>
      <c r="H30" s="2">
        <v>1170</v>
      </c>
      <c r="J30" s="5" t="s">
        <v>41</v>
      </c>
      <c r="K30" s="31">
        <v>-12946.451209350613</v>
      </c>
      <c r="L30" s="7">
        <v>0.2</v>
      </c>
    </row>
    <row r="31" spans="1:12" x14ac:dyDescent="0.25">
      <c r="A31" s="15" t="str">
        <f t="shared" si="3"/>
        <v>CUSTO INSTITUCIONAL  - MESA PUBLIC BONDS -  MAIO/2026</v>
      </c>
      <c r="B31" s="16">
        <v>46143</v>
      </c>
      <c r="C31" s="15">
        <v>817392</v>
      </c>
      <c r="D31" s="15" t="s">
        <v>58</v>
      </c>
      <c r="E31" s="17">
        <f t="shared" si="2"/>
        <v>-2589.2902418701228</v>
      </c>
      <c r="F31" s="15" t="s">
        <v>9</v>
      </c>
      <c r="G31" s="16">
        <v>46143</v>
      </c>
      <c r="H31" s="15">
        <v>1170</v>
      </c>
      <c r="J31" s="18" t="s">
        <v>41</v>
      </c>
      <c r="K31" s="19">
        <v>-12946.451209350613</v>
      </c>
      <c r="L31" s="20">
        <v>0.2</v>
      </c>
    </row>
    <row r="32" spans="1:12" x14ac:dyDescent="0.25">
      <c r="A32" s="2" t="str">
        <f>CONCATENATE($M$1,F32,$J$1,J32,$I$1,$N$1)</f>
        <v>CUSTO INSTITUCIONAL  - MESA DI FUTURES  -  MAIO/2026</v>
      </c>
      <c r="B32" s="3">
        <v>46143</v>
      </c>
      <c r="C32" s="2">
        <v>817392</v>
      </c>
      <c r="D32" s="2" t="s">
        <v>44</v>
      </c>
      <c r="E32" s="4">
        <f>K32*L32</f>
        <v>-3079.4956760105829</v>
      </c>
      <c r="F32" s="2" t="s">
        <v>9</v>
      </c>
      <c r="G32" s="3">
        <v>46143</v>
      </c>
      <c r="H32" s="2">
        <v>1170</v>
      </c>
      <c r="J32" s="5" t="s">
        <v>39</v>
      </c>
      <c r="K32" s="6">
        <v>-12317.982704042332</v>
      </c>
      <c r="L32" s="7">
        <v>0.25</v>
      </c>
    </row>
    <row r="33" spans="1:13" x14ac:dyDescent="0.25">
      <c r="A33" s="2" t="str">
        <f>CONCATENATE($M$1,F33,$J$1,J33,$I$1,$N$1)</f>
        <v>CUSTO INSTITUCIONAL  - MESA DI FUTURES  -  MAIO/2026</v>
      </c>
      <c r="B33" s="3">
        <v>46143</v>
      </c>
      <c r="C33" s="2">
        <v>817392</v>
      </c>
      <c r="D33" s="2" t="s">
        <v>23</v>
      </c>
      <c r="E33" s="4">
        <f>K33*L33</f>
        <v>-3079.4956760105829</v>
      </c>
      <c r="F33" s="2" t="s">
        <v>9</v>
      </c>
      <c r="G33" s="3">
        <v>46143</v>
      </c>
      <c r="H33" s="2">
        <v>1170</v>
      </c>
      <c r="J33" s="5" t="s">
        <v>39</v>
      </c>
      <c r="K33" s="6">
        <v>-12317.982704042332</v>
      </c>
      <c r="L33" s="7">
        <v>0.25</v>
      </c>
    </row>
    <row r="34" spans="1:13" x14ac:dyDescent="0.25">
      <c r="A34" s="2" t="str">
        <f>CONCATENATE($M$1,F34,$J$1,J34,$I$1,$N$1)</f>
        <v>CUSTO INSTITUCIONAL  - MESA DI FUTURES  -  MAIO/2026</v>
      </c>
      <c r="B34" s="3">
        <v>46143</v>
      </c>
      <c r="C34" s="2">
        <v>817392</v>
      </c>
      <c r="D34" s="2" t="s">
        <v>54</v>
      </c>
      <c r="E34" s="4">
        <f>K34*L34</f>
        <v>-3079.4956760105829</v>
      </c>
      <c r="F34" s="2" t="s">
        <v>9</v>
      </c>
      <c r="G34" s="3">
        <v>46143</v>
      </c>
      <c r="H34" s="2">
        <v>1170</v>
      </c>
      <c r="J34" s="5" t="s">
        <v>39</v>
      </c>
      <c r="K34" s="6">
        <v>-12317.982704042332</v>
      </c>
      <c r="L34" s="7">
        <v>0.25</v>
      </c>
    </row>
    <row r="35" spans="1:13" x14ac:dyDescent="0.25">
      <c r="A35" s="15" t="str">
        <f>CONCATENATE($M$1,F35,$J$1,J35,$I$1,$N$1)</f>
        <v>CUSTO INSTITUCIONAL  - MESA DI FUTURES  -  MAIO/2026</v>
      </c>
      <c r="B35" s="16">
        <v>46143</v>
      </c>
      <c r="C35" s="15">
        <v>817392</v>
      </c>
      <c r="D35" s="15" t="s">
        <v>22</v>
      </c>
      <c r="E35" s="17">
        <f>K35*L35</f>
        <v>-3079.4956760105829</v>
      </c>
      <c r="F35" s="15" t="s">
        <v>9</v>
      </c>
      <c r="G35" s="16">
        <v>46143</v>
      </c>
      <c r="H35" s="15">
        <v>1170</v>
      </c>
      <c r="J35" s="18" t="s">
        <v>39</v>
      </c>
      <c r="K35" s="19">
        <v>-12317.982704042332</v>
      </c>
      <c r="L35" s="20">
        <v>0.25</v>
      </c>
    </row>
    <row r="36" spans="1:13" x14ac:dyDescent="0.25">
      <c r="A36" s="2" t="str">
        <f t="shared" si="3"/>
        <v>CUSTO INSTITUCIONAL  - MESA FX FUTURES -  MAIO/2026</v>
      </c>
      <c r="B36" s="3">
        <v>46143</v>
      </c>
      <c r="C36" s="2">
        <v>817392</v>
      </c>
      <c r="D36" s="2" t="s">
        <v>30</v>
      </c>
      <c r="E36" s="4">
        <f t="shared" si="2"/>
        <v>-2865.816384205767</v>
      </c>
      <c r="F36" s="2" t="s">
        <v>9</v>
      </c>
      <c r="G36" s="3">
        <v>46143</v>
      </c>
      <c r="H36" s="2">
        <v>1170</v>
      </c>
      <c r="J36" s="5" t="s">
        <v>29</v>
      </c>
      <c r="K36" s="6">
        <v>-11463.265536823068</v>
      </c>
      <c r="L36" s="7">
        <v>0.25</v>
      </c>
      <c r="M36" s="27"/>
    </row>
    <row r="37" spans="1:13" x14ac:dyDescent="0.25">
      <c r="A37" s="2" t="str">
        <f t="shared" si="3"/>
        <v>CUSTO INSTITUCIONAL  - MESA FX FUTURES -  MAIO/2026</v>
      </c>
      <c r="B37" s="3">
        <v>46143</v>
      </c>
      <c r="C37" s="2">
        <v>817392</v>
      </c>
      <c r="D37" s="2" t="s">
        <v>31</v>
      </c>
      <c r="E37" s="4">
        <f t="shared" si="2"/>
        <v>-2865.816384205767</v>
      </c>
      <c r="F37" s="2" t="s">
        <v>9</v>
      </c>
      <c r="G37" s="3">
        <v>46143</v>
      </c>
      <c r="H37" s="2">
        <v>1170</v>
      </c>
      <c r="I37" s="2"/>
      <c r="J37" s="5" t="s">
        <v>29</v>
      </c>
      <c r="K37" s="6">
        <v>-11463.265536823068</v>
      </c>
      <c r="L37" s="7">
        <v>0.25</v>
      </c>
    </row>
    <row r="38" spans="1:13" x14ac:dyDescent="0.25">
      <c r="A38" s="2" t="str">
        <f t="shared" si="3"/>
        <v>CUSTO INSTITUCIONAL  - MESA FX FUTURES -  MAIO/2026</v>
      </c>
      <c r="B38" s="3">
        <v>46143</v>
      </c>
      <c r="C38" s="2">
        <v>817392</v>
      </c>
      <c r="D38" s="2" t="s">
        <v>53</v>
      </c>
      <c r="E38" s="4">
        <f t="shared" si="2"/>
        <v>-2865.816384205767</v>
      </c>
      <c r="F38" s="2" t="s">
        <v>9</v>
      </c>
      <c r="G38" s="3">
        <v>46143</v>
      </c>
      <c r="H38" s="2">
        <v>1170</v>
      </c>
      <c r="I38" s="2"/>
      <c r="J38" s="5" t="s">
        <v>29</v>
      </c>
      <c r="K38" s="6">
        <v>-11463.265536823068</v>
      </c>
      <c r="L38" s="7">
        <v>0.25</v>
      </c>
    </row>
    <row r="39" spans="1:13" x14ac:dyDescent="0.25">
      <c r="A39" s="15" t="str">
        <f t="shared" si="3"/>
        <v>CUSTO INSTITUCIONAL  - MESA FX FUTURES -  MAIO/2026</v>
      </c>
      <c r="B39" s="16">
        <v>46143</v>
      </c>
      <c r="C39" s="15">
        <v>817392</v>
      </c>
      <c r="D39" s="15" t="s">
        <v>32</v>
      </c>
      <c r="E39" s="17">
        <f t="shared" si="2"/>
        <v>-2865.816384205767</v>
      </c>
      <c r="F39" s="15" t="s">
        <v>9</v>
      </c>
      <c r="G39" s="16">
        <v>46143</v>
      </c>
      <c r="H39" s="15">
        <v>1170</v>
      </c>
      <c r="I39" s="2"/>
      <c r="J39" s="18" t="s">
        <v>29</v>
      </c>
      <c r="K39" s="19">
        <v>-11463.265536823068</v>
      </c>
      <c r="L39" s="20">
        <v>0.25</v>
      </c>
    </row>
    <row r="40" spans="1:13" x14ac:dyDescent="0.25">
      <c r="A40" s="15" t="str">
        <f t="shared" si="3"/>
        <v>CUSTO INSTITUCIONAL  - MESA NDF OFFSHORE -  MAIO/2026</v>
      </c>
      <c r="B40" s="25">
        <v>46143</v>
      </c>
      <c r="C40" s="15">
        <v>817392</v>
      </c>
      <c r="D40" s="15" t="s">
        <v>64</v>
      </c>
      <c r="E40" s="17">
        <f t="shared" si="2"/>
        <v>-12820.757508288956</v>
      </c>
      <c r="F40" s="15" t="s">
        <v>9</v>
      </c>
      <c r="G40" s="16">
        <v>46143</v>
      </c>
      <c r="H40" s="15">
        <v>1170</v>
      </c>
      <c r="I40" s="2"/>
      <c r="J40" s="18" t="s">
        <v>48</v>
      </c>
      <c r="K40" s="19">
        <v>-12820.757508288956</v>
      </c>
      <c r="L40" s="20">
        <v>1</v>
      </c>
    </row>
  </sheetData>
  <autoFilter ref="A1:N1" xr:uid="{2FE869A7-BB24-4073-9535-98469A614E5D}"/>
  <pageMargins left="0.511811024" right="0.511811024" top="0.78740157499999996" bottom="0.78740157499999996" header="0.31496062000000002" footer="0.31496062000000002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C0067-5B8F-48ED-9F81-1833D5ECF9A4}">
  <sheetPr codeName="Sheet6"/>
  <dimension ref="A1:O40"/>
  <sheetViews>
    <sheetView showGridLines="0" workbookViewId="0">
      <selection activeCell="A2" sqref="A2"/>
    </sheetView>
  </sheetViews>
  <sheetFormatPr defaultRowHeight="15" x14ac:dyDescent="0.25"/>
  <cols>
    <col min="1" max="1" width="44.140625" bestFit="1" customWidth="1"/>
    <col min="2" max="2" width="14.7109375" bestFit="1" customWidth="1"/>
    <col min="3" max="3" width="12.7109375" bestFit="1" customWidth="1"/>
    <col min="4" max="4" width="34" bestFit="1" customWidth="1"/>
    <col min="5" max="5" width="10.5703125" style="14" bestFit="1" customWidth="1"/>
    <col min="6" max="6" width="12.28515625" customWidth="1"/>
    <col min="7" max="7" width="14.5703125" customWidth="1"/>
    <col min="8" max="8" width="11.7109375" customWidth="1"/>
    <col min="9" max="9" width="9.140625" customWidth="1"/>
    <col min="10" max="10" width="13.7109375" customWidth="1"/>
    <col min="11" max="11" width="11.28515625" bestFit="1" customWidth="1"/>
    <col min="12" max="12" width="9.140625" style="9"/>
    <col min="14" max="14" width="15.42578125" bestFit="1" customWidth="1"/>
  </cols>
  <sheetData>
    <row r="1" spans="1:15" x14ac:dyDescent="0.25">
      <c r="A1" s="10" t="s">
        <v>0</v>
      </c>
      <c r="B1" s="11" t="s">
        <v>1</v>
      </c>
      <c r="C1" s="10" t="s">
        <v>8</v>
      </c>
      <c r="D1" s="10" t="s">
        <v>2</v>
      </c>
      <c r="E1" s="13" t="s">
        <v>3</v>
      </c>
      <c r="F1" s="10" t="s">
        <v>4</v>
      </c>
      <c r="G1" s="11" t="s">
        <v>5</v>
      </c>
      <c r="H1" s="10" t="s">
        <v>6</v>
      </c>
      <c r="I1" s="1" t="s">
        <v>12</v>
      </c>
      <c r="J1" s="1" t="s">
        <v>13</v>
      </c>
      <c r="K1" s="1" t="s">
        <v>3</v>
      </c>
      <c r="L1" s="8" t="s">
        <v>7</v>
      </c>
      <c r="M1" s="1" t="s">
        <v>10</v>
      </c>
      <c r="N1" s="12" t="s">
        <v>69</v>
      </c>
    </row>
    <row r="2" spans="1:15" x14ac:dyDescent="0.25">
      <c r="A2" s="2" t="str">
        <f>CONCATENATE($M$1,F2,$J$1,J2,$I$1,$N$1)</f>
        <v>CUSTO INSTITUCIONAL  - MESA EQUITIES -  JUNHO/2026</v>
      </c>
      <c r="B2" s="3">
        <v>46174</v>
      </c>
      <c r="C2" s="2">
        <v>817392</v>
      </c>
      <c r="D2" s="2" t="s">
        <v>15</v>
      </c>
      <c r="E2" s="4">
        <f t="shared" ref="E2" si="0">K2*L2</f>
        <v>-2669.3286767180748</v>
      </c>
      <c r="F2" s="2" t="s">
        <v>9</v>
      </c>
      <c r="G2" s="3">
        <v>46174</v>
      </c>
      <c r="H2" s="2">
        <v>1170</v>
      </c>
      <c r="I2" s="2"/>
      <c r="J2" s="5" t="s">
        <v>11</v>
      </c>
      <c r="K2" s="6">
        <v>-10677.314706872299</v>
      </c>
      <c r="L2" s="7">
        <v>0.25</v>
      </c>
    </row>
    <row r="3" spans="1:15" x14ac:dyDescent="0.25">
      <c r="A3" s="2" t="str">
        <f t="shared" ref="A3:A25" si="1">CONCATENATE($M$1,F3,$J$1,J3,$I$1,$N$1)</f>
        <v>CUSTO INSTITUCIONAL  - MESA EQUITIES -  JUNHO/2026</v>
      </c>
      <c r="B3" s="3">
        <v>46174</v>
      </c>
      <c r="C3" s="2">
        <v>817392</v>
      </c>
      <c r="D3" s="2" t="s">
        <v>43</v>
      </c>
      <c r="E3" s="4">
        <f>K3*L3</f>
        <v>-1334.6643383590374</v>
      </c>
      <c r="F3" s="2" t="s">
        <v>9</v>
      </c>
      <c r="G3" s="3">
        <v>46174</v>
      </c>
      <c r="H3" s="2">
        <v>1170</v>
      </c>
      <c r="I3" s="2"/>
      <c r="J3" s="5" t="s">
        <v>11</v>
      </c>
      <c r="K3" s="6">
        <v>-10677.314706872299</v>
      </c>
      <c r="L3" s="7">
        <v>0.125</v>
      </c>
      <c r="O3" s="32"/>
    </row>
    <row r="4" spans="1:15" x14ac:dyDescent="0.25">
      <c r="A4" s="2" t="str">
        <f t="shared" si="1"/>
        <v>CUSTO INSTITUCIONAL  - MESA EQUITIES -  JUNHO/2026</v>
      </c>
      <c r="B4" s="3">
        <v>46174</v>
      </c>
      <c r="C4" s="2">
        <v>817392</v>
      </c>
      <c r="D4" s="2" t="s">
        <v>60</v>
      </c>
      <c r="E4" s="4">
        <f>K4*L4</f>
        <v>-1334.6643383590374</v>
      </c>
      <c r="F4" s="2" t="s">
        <v>9</v>
      </c>
      <c r="G4" s="3">
        <v>46174</v>
      </c>
      <c r="H4" s="2">
        <v>1170</v>
      </c>
      <c r="I4" s="2"/>
      <c r="J4" s="5" t="s">
        <v>11</v>
      </c>
      <c r="K4" s="6">
        <v>-10677.314706872299</v>
      </c>
      <c r="L4" s="7">
        <v>0.125</v>
      </c>
    </row>
    <row r="5" spans="1:15" x14ac:dyDescent="0.25">
      <c r="A5" s="2" t="str">
        <f t="shared" si="1"/>
        <v>CUSTO INSTITUCIONAL  - MESA EQUITIES -  JUNHO/2026</v>
      </c>
      <c r="B5" s="3">
        <v>46174</v>
      </c>
      <c r="C5" s="2">
        <v>817392</v>
      </c>
      <c r="D5" s="2" t="s">
        <v>45</v>
      </c>
      <c r="E5" s="4">
        <f>K5*L5</f>
        <v>-1334.6643383590374</v>
      </c>
      <c r="F5" s="2" t="s">
        <v>9</v>
      </c>
      <c r="G5" s="3">
        <v>46174</v>
      </c>
      <c r="H5" s="2">
        <v>1170</v>
      </c>
      <c r="I5" s="2"/>
      <c r="J5" s="5" t="s">
        <v>11</v>
      </c>
      <c r="K5" s="6">
        <v>-10677.314706872299</v>
      </c>
      <c r="L5" s="7">
        <v>0.125</v>
      </c>
    </row>
    <row r="6" spans="1:15" x14ac:dyDescent="0.25">
      <c r="A6" s="2" t="str">
        <f t="shared" si="1"/>
        <v>CUSTO INSTITUCIONAL  - MESA EQUITIES -  JUNHO/2026</v>
      </c>
      <c r="B6" s="3">
        <v>46174</v>
      </c>
      <c r="C6" s="2">
        <v>817392</v>
      </c>
      <c r="D6" s="2" t="s">
        <v>14</v>
      </c>
      <c r="E6" s="4">
        <f t="shared" ref="E6:E40" si="2">K6*L6</f>
        <v>-1334.6643383590374</v>
      </c>
      <c r="F6" s="2" t="s">
        <v>9</v>
      </c>
      <c r="G6" s="3">
        <v>46174</v>
      </c>
      <c r="H6" s="2">
        <v>1170</v>
      </c>
      <c r="I6" s="2"/>
      <c r="J6" s="5" t="s">
        <v>11</v>
      </c>
      <c r="K6" s="6">
        <v>-10677.314706872299</v>
      </c>
      <c r="L6" s="7">
        <v>0.125</v>
      </c>
    </row>
    <row r="7" spans="1:15" x14ac:dyDescent="0.25">
      <c r="A7" s="2" t="str">
        <f t="shared" si="1"/>
        <v>CUSTO INSTITUCIONAL  - MESA EQUITIES -  JUNHO/2026</v>
      </c>
      <c r="B7" s="3">
        <v>46174</v>
      </c>
      <c r="C7" s="2">
        <v>817392</v>
      </c>
      <c r="D7" s="2" t="s">
        <v>49</v>
      </c>
      <c r="E7" s="4">
        <f t="shared" si="2"/>
        <v>-1334.6643383590374</v>
      </c>
      <c r="F7" s="2" t="s">
        <v>9</v>
      </c>
      <c r="G7" s="3">
        <v>46174</v>
      </c>
      <c r="H7" s="2">
        <v>1170</v>
      </c>
      <c r="I7" s="2"/>
      <c r="J7" s="5" t="s">
        <v>11</v>
      </c>
      <c r="K7" s="6">
        <v>-10677.314706872299</v>
      </c>
      <c r="L7" s="7">
        <v>0.125</v>
      </c>
    </row>
    <row r="8" spans="1:15" x14ac:dyDescent="0.25">
      <c r="A8" s="15" t="str">
        <f t="shared" si="1"/>
        <v>CUSTO INSTITUCIONAL  - MESA OFFSHORE LISTED -  JUNHO/2026</v>
      </c>
      <c r="B8" s="16">
        <v>46174</v>
      </c>
      <c r="C8" s="15">
        <v>817392</v>
      </c>
      <c r="D8" s="15" t="s">
        <v>52</v>
      </c>
      <c r="E8" s="17">
        <f t="shared" si="2"/>
        <v>-1334.6643383590374</v>
      </c>
      <c r="F8" s="15" t="s">
        <v>9</v>
      </c>
      <c r="G8" s="16">
        <v>46174</v>
      </c>
      <c r="H8" s="15">
        <v>1170</v>
      </c>
      <c r="I8" s="2"/>
      <c r="J8" s="18" t="s">
        <v>52</v>
      </c>
      <c r="K8" s="6">
        <v>-10677.314706872299</v>
      </c>
      <c r="L8" s="7">
        <v>0.125</v>
      </c>
    </row>
    <row r="9" spans="1:15" x14ac:dyDescent="0.25">
      <c r="A9" s="24" t="str">
        <f t="shared" si="1"/>
        <v>CUSTO INSTITUCIONAL  - MESA VOLATILITY IDI -  JUNHO/2026</v>
      </c>
      <c r="B9" s="16">
        <v>46174</v>
      </c>
      <c r="C9" s="24">
        <v>817392</v>
      </c>
      <c r="D9" s="24" t="s">
        <v>33</v>
      </c>
      <c r="E9" s="26">
        <f t="shared" si="2"/>
        <v>-11976.670464851468</v>
      </c>
      <c r="F9" s="24" t="s">
        <v>9</v>
      </c>
      <c r="G9" s="25">
        <v>46174</v>
      </c>
      <c r="H9" s="24">
        <v>1170</v>
      </c>
      <c r="I9" s="2"/>
      <c r="J9" s="21" t="s">
        <v>34</v>
      </c>
      <c r="K9" s="22">
        <v>-11976.670464851468</v>
      </c>
      <c r="L9" s="23">
        <v>1</v>
      </c>
    </row>
    <row r="10" spans="1:15" x14ac:dyDescent="0.25">
      <c r="A10" s="15" t="str">
        <f t="shared" si="1"/>
        <v>CUSTO INSTITUCIONAL  - MESA VOLATILITY FX -  JUNHO/2026</v>
      </c>
      <c r="B10" s="25">
        <v>46174</v>
      </c>
      <c r="C10" s="15">
        <v>817392</v>
      </c>
      <c r="D10" s="15" t="s">
        <v>36</v>
      </c>
      <c r="E10" s="17">
        <f t="shared" si="2"/>
        <v>-11298.745721557987</v>
      </c>
      <c r="F10" s="15" t="s">
        <v>9</v>
      </c>
      <c r="G10" s="16">
        <v>46174</v>
      </c>
      <c r="H10" s="15">
        <v>1170</v>
      </c>
      <c r="I10" s="2"/>
      <c r="J10" s="18" t="s">
        <v>35</v>
      </c>
      <c r="K10" s="22">
        <v>-11298.745721557987</v>
      </c>
      <c r="L10" s="20">
        <v>1</v>
      </c>
    </row>
    <row r="11" spans="1:15" x14ac:dyDescent="0.25">
      <c r="A11" s="2" t="str">
        <f t="shared" si="1"/>
        <v>CUSTO INSTITUCIONAL  - MESA FX SPOT  -  JUNHO/2026</v>
      </c>
      <c r="B11" s="3">
        <v>46174</v>
      </c>
      <c r="C11" s="2">
        <v>817392</v>
      </c>
      <c r="D11" s="2" t="s">
        <v>17</v>
      </c>
      <c r="E11" s="4">
        <f t="shared" si="2"/>
        <v>-1452.6958784860269</v>
      </c>
      <c r="F11" s="2" t="s">
        <v>9</v>
      </c>
      <c r="G11" s="3">
        <v>46174</v>
      </c>
      <c r="H11" s="2">
        <v>1170</v>
      </c>
      <c r="I11" s="2"/>
      <c r="J11" s="5" t="s">
        <v>37</v>
      </c>
      <c r="K11" s="6">
        <v>-10168.871149402188</v>
      </c>
      <c r="L11" s="7">
        <v>0.14285714285714285</v>
      </c>
    </row>
    <row r="12" spans="1:15" x14ac:dyDescent="0.25">
      <c r="A12" s="2" t="str">
        <f t="shared" si="1"/>
        <v>CUSTO INSTITUCIONAL  - MESA FX SPOT  -  JUNHO/2026</v>
      </c>
      <c r="B12" s="3">
        <v>46174</v>
      </c>
      <c r="C12" s="2">
        <v>817392</v>
      </c>
      <c r="D12" s="2" t="s">
        <v>18</v>
      </c>
      <c r="E12" s="4">
        <f t="shared" si="2"/>
        <v>-1452.6958784860269</v>
      </c>
      <c r="F12" s="2" t="s">
        <v>9</v>
      </c>
      <c r="G12" s="3">
        <v>46174</v>
      </c>
      <c r="H12" s="2">
        <v>1170</v>
      </c>
      <c r="I12" s="2"/>
      <c r="J12" s="5" t="s">
        <v>37</v>
      </c>
      <c r="K12" s="6">
        <v>-10168.871149402188</v>
      </c>
      <c r="L12" s="7">
        <v>0.14285714285714285</v>
      </c>
    </row>
    <row r="13" spans="1:15" x14ac:dyDescent="0.25">
      <c r="A13" s="2" t="str">
        <f t="shared" si="1"/>
        <v>CUSTO INSTITUCIONAL  - MESA FX SPOT  -  JUNHO/2026</v>
      </c>
      <c r="B13" s="3">
        <v>46174</v>
      </c>
      <c r="C13" s="2">
        <v>817392</v>
      </c>
      <c r="D13" s="2" t="s">
        <v>16</v>
      </c>
      <c r="E13" s="4">
        <f t="shared" si="2"/>
        <v>-1452.6958784860269</v>
      </c>
      <c r="F13" s="2" t="s">
        <v>9</v>
      </c>
      <c r="G13" s="3">
        <v>46174</v>
      </c>
      <c r="H13" s="2">
        <v>1170</v>
      </c>
      <c r="I13" s="2"/>
      <c r="J13" s="5" t="s">
        <v>37</v>
      </c>
      <c r="K13" s="6">
        <v>-10168.871149402188</v>
      </c>
      <c r="L13" s="7">
        <v>0.14285714285714285</v>
      </c>
    </row>
    <row r="14" spans="1:15" x14ac:dyDescent="0.25">
      <c r="A14" s="2" t="str">
        <f t="shared" si="1"/>
        <v>CUSTO INSTITUCIONAL  - MESA FX SPOT  -  JUNHO/2026</v>
      </c>
      <c r="B14" s="3">
        <v>46174</v>
      </c>
      <c r="C14" s="2">
        <v>817392</v>
      </c>
      <c r="D14" s="2" t="s">
        <v>19</v>
      </c>
      <c r="E14" s="4">
        <f t="shared" si="2"/>
        <v>-1452.6958784860269</v>
      </c>
      <c r="F14" s="2" t="s">
        <v>9</v>
      </c>
      <c r="G14" s="3">
        <v>46174</v>
      </c>
      <c r="H14" s="2">
        <v>1170</v>
      </c>
      <c r="I14" s="2"/>
      <c r="J14" s="5" t="s">
        <v>37</v>
      </c>
      <c r="K14" s="6">
        <v>-10168.871149402188</v>
      </c>
      <c r="L14" s="7">
        <v>0.14285714285714285</v>
      </c>
    </row>
    <row r="15" spans="1:15" x14ac:dyDescent="0.25">
      <c r="A15" s="2" t="str">
        <f t="shared" si="1"/>
        <v>CUSTO INSTITUCIONAL  - MESA FX SPOT  -  JUNHO/2026</v>
      </c>
      <c r="B15" s="3">
        <v>46174</v>
      </c>
      <c r="C15" s="2">
        <v>817392</v>
      </c>
      <c r="D15" s="2" t="s">
        <v>20</v>
      </c>
      <c r="E15" s="4">
        <f t="shared" si="2"/>
        <v>-1452.6958784860269</v>
      </c>
      <c r="F15" s="2" t="s">
        <v>9</v>
      </c>
      <c r="G15" s="3">
        <v>46174</v>
      </c>
      <c r="H15" s="2">
        <v>1170</v>
      </c>
      <c r="I15" s="2"/>
      <c r="J15" s="5" t="s">
        <v>37</v>
      </c>
      <c r="K15" s="6">
        <v>-10168.871149402188</v>
      </c>
      <c r="L15" s="7">
        <v>0.14285714285714285</v>
      </c>
    </row>
    <row r="16" spans="1:15" x14ac:dyDescent="0.25">
      <c r="A16" s="2" t="str">
        <f t="shared" si="1"/>
        <v>CUSTO INSTITUCIONAL  - MESA FX SPOT  -  JUNHO/2026</v>
      </c>
      <c r="B16" s="3">
        <v>46174</v>
      </c>
      <c r="C16" s="2">
        <v>817392</v>
      </c>
      <c r="D16" s="2" t="s">
        <v>21</v>
      </c>
      <c r="E16" s="4">
        <f t="shared" si="2"/>
        <v>-1452.6958784860269</v>
      </c>
      <c r="F16" s="2" t="s">
        <v>9</v>
      </c>
      <c r="G16" s="3">
        <v>46174</v>
      </c>
      <c r="H16" s="2">
        <v>1170</v>
      </c>
      <c r="I16" s="2"/>
      <c r="J16" s="5" t="s">
        <v>37</v>
      </c>
      <c r="K16" s="6">
        <v>-10168.871149402188</v>
      </c>
      <c r="L16" s="7">
        <v>0.14285714285714285</v>
      </c>
    </row>
    <row r="17" spans="1:12" x14ac:dyDescent="0.25">
      <c r="A17" s="15" t="str">
        <f t="shared" si="1"/>
        <v>CUSTO INSTITUCIONAL  - MESA FX SPOT  -  JUNHO/2026</v>
      </c>
      <c r="B17" s="16">
        <v>46174</v>
      </c>
      <c r="C17" s="15">
        <v>817392</v>
      </c>
      <c r="D17" s="15" t="s">
        <v>38</v>
      </c>
      <c r="E17" s="17">
        <f t="shared" si="2"/>
        <v>-1452.6958784860269</v>
      </c>
      <c r="F17" s="15" t="s">
        <v>9</v>
      </c>
      <c r="G17" s="16">
        <v>46174</v>
      </c>
      <c r="H17" s="15">
        <v>1170</v>
      </c>
      <c r="I17" s="2"/>
      <c r="J17" s="18" t="s">
        <v>37</v>
      </c>
      <c r="K17" s="19">
        <v>-10168.871149402188</v>
      </c>
      <c r="L17" s="20">
        <v>0.14285714285714285</v>
      </c>
    </row>
    <row r="18" spans="1:12" x14ac:dyDescent="0.25">
      <c r="A18" s="15" t="str">
        <f>CONCATENATE($M$1,F18,$J$1,J18,$I$1,$N$1)</f>
        <v>CUSTO INSTITUCIONAL  - MESA CORPORATE BONDS -  JUNHO/2026</v>
      </c>
      <c r="B18" s="25">
        <v>46174</v>
      </c>
      <c r="C18" s="15">
        <v>817392</v>
      </c>
      <c r="D18" s="15" t="s">
        <v>51</v>
      </c>
      <c r="E18" s="17">
        <f t="shared" si="2"/>
        <v>-12496.412768043134</v>
      </c>
      <c r="F18" s="15" t="s">
        <v>9</v>
      </c>
      <c r="G18" s="16">
        <v>46174</v>
      </c>
      <c r="H18" s="15">
        <v>1170</v>
      </c>
      <c r="I18" s="2"/>
      <c r="J18" s="18" t="s">
        <v>50</v>
      </c>
      <c r="K18" s="19">
        <v>-12496.412768043134</v>
      </c>
      <c r="L18" s="20">
        <v>1</v>
      </c>
    </row>
    <row r="19" spans="1:12" x14ac:dyDescent="0.25">
      <c r="A19" s="2" t="str">
        <f t="shared" si="1"/>
        <v>CUSTO INSTITUCIONAL  - MESA INFLATION BONDS -  JUNHO/2026</v>
      </c>
      <c r="B19" s="3">
        <v>46174</v>
      </c>
      <c r="C19" s="2">
        <v>817392</v>
      </c>
      <c r="D19" s="2" t="s">
        <v>42</v>
      </c>
      <c r="E19" s="4">
        <f t="shared" si="2"/>
        <v>-1412.3432151947484</v>
      </c>
      <c r="F19" s="2" t="s">
        <v>9</v>
      </c>
      <c r="G19" s="3">
        <v>46174</v>
      </c>
      <c r="H19" s="2">
        <v>1170</v>
      </c>
      <c r="I19" s="2"/>
      <c r="J19" s="5" t="s">
        <v>40</v>
      </c>
      <c r="K19" s="6">
        <v>-11298.745721557987</v>
      </c>
      <c r="L19" s="28">
        <v>0.125</v>
      </c>
    </row>
    <row r="20" spans="1:12" x14ac:dyDescent="0.25">
      <c r="A20" s="2" t="str">
        <f t="shared" si="1"/>
        <v>CUSTO INSTITUCIONAL  - MESA INFLATION BONDS -  JUNHO/2026</v>
      </c>
      <c r="B20" s="3">
        <v>46174</v>
      </c>
      <c r="C20" s="2">
        <v>817392</v>
      </c>
      <c r="D20" s="2" t="s">
        <v>57</v>
      </c>
      <c r="E20" s="4">
        <f t="shared" si="2"/>
        <v>-1412.3432151947484</v>
      </c>
      <c r="F20" s="2" t="s">
        <v>9</v>
      </c>
      <c r="G20" s="3">
        <v>46174</v>
      </c>
      <c r="H20" s="2">
        <v>1170</v>
      </c>
      <c r="I20" s="2"/>
      <c r="J20" s="5" t="s">
        <v>40</v>
      </c>
      <c r="K20" s="6">
        <v>-11298.745721557987</v>
      </c>
      <c r="L20" s="29">
        <v>0.125</v>
      </c>
    </row>
    <row r="21" spans="1:12" x14ac:dyDescent="0.25">
      <c r="A21" s="2" t="str">
        <f t="shared" si="1"/>
        <v>CUSTO INSTITUCIONAL  - MESA INFLATION BONDS -  JUNHO/2026</v>
      </c>
      <c r="B21" s="3">
        <v>46174</v>
      </c>
      <c r="C21" s="2">
        <v>817392</v>
      </c>
      <c r="D21" s="2" t="s">
        <v>55</v>
      </c>
      <c r="E21" s="4">
        <f>K21*L21</f>
        <v>-1412.3432151947484</v>
      </c>
      <c r="F21" s="2" t="s">
        <v>9</v>
      </c>
      <c r="G21" s="3">
        <v>46174</v>
      </c>
      <c r="H21" s="2">
        <v>1170</v>
      </c>
      <c r="I21" s="2"/>
      <c r="J21" s="5" t="s">
        <v>40</v>
      </c>
      <c r="K21" s="6">
        <v>-11298.745721557987</v>
      </c>
      <c r="L21" s="29">
        <v>0.125</v>
      </c>
    </row>
    <row r="22" spans="1:12" x14ac:dyDescent="0.25">
      <c r="A22" s="2" t="str">
        <f t="shared" si="1"/>
        <v>CUSTO INSTITUCIONAL  - MESA INFLATION BONDS -  JUNHO/2026</v>
      </c>
      <c r="B22" s="3">
        <v>46174</v>
      </c>
      <c r="C22" s="2">
        <v>817392</v>
      </c>
      <c r="D22" s="2" t="s">
        <v>24</v>
      </c>
      <c r="E22" s="4">
        <f t="shared" si="2"/>
        <v>-1412.3432151947484</v>
      </c>
      <c r="F22" s="2" t="s">
        <v>9</v>
      </c>
      <c r="G22" s="3">
        <v>46174</v>
      </c>
      <c r="H22" s="2">
        <v>1170</v>
      </c>
      <c r="I22" s="2"/>
      <c r="J22" s="5" t="s">
        <v>40</v>
      </c>
      <c r="K22" s="6">
        <v>-11298.745721557987</v>
      </c>
      <c r="L22" s="29">
        <v>0.125</v>
      </c>
    </row>
    <row r="23" spans="1:12" x14ac:dyDescent="0.25">
      <c r="A23" s="2" t="str">
        <f t="shared" si="1"/>
        <v>CUSTO INSTITUCIONAL  - MESA INFLATION BONDS -  JUNHO/2026</v>
      </c>
      <c r="B23" s="3">
        <v>46174</v>
      </c>
      <c r="C23" s="2">
        <v>817392</v>
      </c>
      <c r="D23" s="2" t="s">
        <v>46</v>
      </c>
      <c r="E23" s="4">
        <f t="shared" si="2"/>
        <v>-1412.3432151947484</v>
      </c>
      <c r="F23" s="2" t="s">
        <v>9</v>
      </c>
      <c r="G23" s="3">
        <v>46174</v>
      </c>
      <c r="H23" s="2">
        <v>1170</v>
      </c>
      <c r="I23" s="2"/>
      <c r="J23" s="5" t="s">
        <v>40</v>
      </c>
      <c r="K23" s="6">
        <v>-11298.745721557987</v>
      </c>
      <c r="L23" s="29">
        <v>0.125</v>
      </c>
    </row>
    <row r="24" spans="1:12" x14ac:dyDescent="0.25">
      <c r="A24" s="2" t="str">
        <f t="shared" si="1"/>
        <v>CUSTO INSTITUCIONAL  - MESA INFLATION BONDS -  JUNHO/2026</v>
      </c>
      <c r="B24" s="3">
        <v>46174</v>
      </c>
      <c r="C24" s="2">
        <v>817392</v>
      </c>
      <c r="D24" s="2" t="s">
        <v>25</v>
      </c>
      <c r="E24" s="4">
        <f t="shared" si="2"/>
        <v>-1412.3432151947484</v>
      </c>
      <c r="F24" s="2" t="s">
        <v>9</v>
      </c>
      <c r="G24" s="3">
        <v>46174</v>
      </c>
      <c r="H24" s="2">
        <v>1170</v>
      </c>
      <c r="I24" s="2"/>
      <c r="J24" s="5" t="s">
        <v>40</v>
      </c>
      <c r="K24" s="6">
        <v>-11298.745721557987</v>
      </c>
      <c r="L24" s="29">
        <v>0.125</v>
      </c>
    </row>
    <row r="25" spans="1:12" x14ac:dyDescent="0.25">
      <c r="A25" s="2" t="str">
        <f t="shared" si="1"/>
        <v>CUSTO INSTITUCIONAL  - MESA INFLATION BONDS -  JUNHO/2026</v>
      </c>
      <c r="B25" s="3">
        <v>46174</v>
      </c>
      <c r="C25" s="2">
        <v>817392</v>
      </c>
      <c r="D25" s="2" t="s">
        <v>47</v>
      </c>
      <c r="E25" s="4">
        <f t="shared" si="2"/>
        <v>-1412.3432151947484</v>
      </c>
      <c r="F25" s="2" t="s">
        <v>9</v>
      </c>
      <c r="G25" s="3">
        <v>46174</v>
      </c>
      <c r="H25" s="2">
        <v>1170</v>
      </c>
      <c r="I25" s="2"/>
      <c r="J25" s="5" t="s">
        <v>40</v>
      </c>
      <c r="K25" s="6">
        <v>-11298.745721557987</v>
      </c>
      <c r="L25" s="29">
        <v>0.125</v>
      </c>
    </row>
    <row r="26" spans="1:12" x14ac:dyDescent="0.25">
      <c r="A26" s="15" t="str">
        <f>CONCATENATE($M$1,F26,$J$1,J26,$I$1,$N$1)</f>
        <v>CUSTO INSTITUCIONAL  - MESA INFLATION BONDS -  JUNHO/2026</v>
      </c>
      <c r="B26" s="16">
        <v>46174</v>
      </c>
      <c r="C26" s="15">
        <v>817392</v>
      </c>
      <c r="D26" s="15" t="s">
        <v>26</v>
      </c>
      <c r="E26" s="17">
        <f t="shared" si="2"/>
        <v>-1412.3432151947484</v>
      </c>
      <c r="F26" s="15" t="s">
        <v>9</v>
      </c>
      <c r="G26" s="16">
        <v>46174</v>
      </c>
      <c r="H26" s="15">
        <v>1170</v>
      </c>
      <c r="I26" s="2"/>
      <c r="J26" s="18" t="s">
        <v>40</v>
      </c>
      <c r="K26" s="19">
        <v>-11298.745721557987</v>
      </c>
      <c r="L26" s="20">
        <v>0.125</v>
      </c>
    </row>
    <row r="27" spans="1:12" x14ac:dyDescent="0.25">
      <c r="A27" s="2" t="str">
        <f>CONCATENATE($M$1,F27,$J$1,J27,$I$1,$N$1)</f>
        <v>CUSTO INSTITUCIONAL  - MESA PUBLIC BONDS -  JUNHO/2026</v>
      </c>
      <c r="B27" s="3">
        <v>46174</v>
      </c>
      <c r="C27" s="2">
        <v>817392</v>
      </c>
      <c r="D27" s="2" t="s">
        <v>63</v>
      </c>
      <c r="E27" s="4">
        <f t="shared" si="2"/>
        <v>-2327.5416186409452</v>
      </c>
      <c r="F27" s="2" t="s">
        <v>9</v>
      </c>
      <c r="G27" s="3">
        <v>46174</v>
      </c>
      <c r="H27" s="2">
        <v>1170</v>
      </c>
      <c r="I27" s="2"/>
      <c r="J27" s="5" t="s">
        <v>41</v>
      </c>
      <c r="K27" s="6">
        <v>-11637.708093204727</v>
      </c>
      <c r="L27" s="7">
        <v>0.2</v>
      </c>
    </row>
    <row r="28" spans="1:12" x14ac:dyDescent="0.25">
      <c r="A28" s="2" t="str">
        <f t="shared" ref="A28:A40" si="3">CONCATENATE($M$1,F28,$J$1,J28,$I$1,$N$1)</f>
        <v>CUSTO INSTITUCIONAL  - MESA PUBLIC BONDS -  JUNHO/2026</v>
      </c>
      <c r="B28" s="3">
        <v>46174</v>
      </c>
      <c r="C28" s="2">
        <v>817392</v>
      </c>
      <c r="D28" s="2" t="s">
        <v>27</v>
      </c>
      <c r="E28" s="30">
        <f t="shared" si="2"/>
        <v>-2327.5416186409452</v>
      </c>
      <c r="F28" s="2" t="s">
        <v>9</v>
      </c>
      <c r="G28" s="3">
        <v>46174</v>
      </c>
      <c r="H28" s="2">
        <v>1170</v>
      </c>
      <c r="I28" s="2"/>
      <c r="J28" s="5" t="s">
        <v>41</v>
      </c>
      <c r="K28" s="31">
        <v>-11637.708093204727</v>
      </c>
      <c r="L28" s="7">
        <v>0.2</v>
      </c>
    </row>
    <row r="29" spans="1:12" x14ac:dyDescent="0.25">
      <c r="A29" s="2" t="str">
        <f t="shared" si="3"/>
        <v>CUSTO INSTITUCIONAL  - MESA PUBLIC BONDS -  JUNHO/2026</v>
      </c>
      <c r="B29" s="3">
        <v>46174</v>
      </c>
      <c r="C29" s="2">
        <v>817392</v>
      </c>
      <c r="D29" s="2" t="s">
        <v>61</v>
      </c>
      <c r="E29" s="30">
        <f t="shared" si="2"/>
        <v>-2327.5416186409452</v>
      </c>
      <c r="F29" s="2" t="s">
        <v>9</v>
      </c>
      <c r="G29" s="3">
        <v>46174</v>
      </c>
      <c r="H29" s="2">
        <v>1170</v>
      </c>
      <c r="I29" s="2"/>
      <c r="J29" s="5" t="s">
        <v>41</v>
      </c>
      <c r="K29" s="31">
        <v>-11637.708093204727</v>
      </c>
      <c r="L29" s="7">
        <v>0.2</v>
      </c>
    </row>
    <row r="30" spans="1:12" x14ac:dyDescent="0.25">
      <c r="A30" s="2" t="str">
        <f t="shared" si="3"/>
        <v>CUSTO INSTITUCIONAL  - MESA PUBLIC BONDS -  JUNHO/2026</v>
      </c>
      <c r="B30" s="3">
        <v>46174</v>
      </c>
      <c r="C30" s="2">
        <v>817392</v>
      </c>
      <c r="D30" s="2" t="s">
        <v>56</v>
      </c>
      <c r="E30" s="30">
        <f t="shared" si="2"/>
        <v>-2327.5416186409452</v>
      </c>
      <c r="F30" s="2" t="s">
        <v>9</v>
      </c>
      <c r="G30" s="3">
        <v>46174</v>
      </c>
      <c r="H30" s="2">
        <v>1170</v>
      </c>
      <c r="J30" s="5" t="s">
        <v>41</v>
      </c>
      <c r="K30" s="31">
        <v>-11637.708093204727</v>
      </c>
      <c r="L30" s="7">
        <v>0.2</v>
      </c>
    </row>
    <row r="31" spans="1:12" x14ac:dyDescent="0.25">
      <c r="A31" s="15" t="str">
        <f t="shared" si="3"/>
        <v>CUSTO INSTITUCIONAL  - MESA PUBLIC BONDS -  JUNHO/2026</v>
      </c>
      <c r="B31" s="16">
        <v>46174</v>
      </c>
      <c r="C31" s="15">
        <v>817392</v>
      </c>
      <c r="D31" s="15" t="s">
        <v>58</v>
      </c>
      <c r="E31" s="17">
        <f t="shared" si="2"/>
        <v>-2327.5416186409452</v>
      </c>
      <c r="F31" s="15" t="s">
        <v>9</v>
      </c>
      <c r="G31" s="16">
        <v>46174</v>
      </c>
      <c r="H31" s="15">
        <v>1170</v>
      </c>
      <c r="J31" s="18" t="s">
        <v>41</v>
      </c>
      <c r="K31" s="19">
        <v>-11637.708093204727</v>
      </c>
      <c r="L31" s="20">
        <v>0.2</v>
      </c>
    </row>
    <row r="32" spans="1:12" x14ac:dyDescent="0.25">
      <c r="A32" s="2" t="str">
        <f>CONCATENATE($M$1,F32,$J$1,J32,$I$1,$N$1)</f>
        <v>CUSTO INSTITUCIONAL  - MESA DI FUTURES  -  JUNHO/2026</v>
      </c>
      <c r="B32" s="3">
        <v>46174</v>
      </c>
      <c r="C32" s="2">
        <v>817392</v>
      </c>
      <c r="D32" s="2" t="s">
        <v>44</v>
      </c>
      <c r="E32" s="4">
        <f>K32*L32</f>
        <v>-2768.1927017817075</v>
      </c>
      <c r="F32" s="2" t="s">
        <v>9</v>
      </c>
      <c r="G32" s="3">
        <v>46174</v>
      </c>
      <c r="H32" s="2">
        <v>1170</v>
      </c>
      <c r="J32" s="5" t="s">
        <v>39</v>
      </c>
      <c r="K32" s="6">
        <v>-11072.77080712683</v>
      </c>
      <c r="L32" s="7">
        <v>0.25</v>
      </c>
    </row>
    <row r="33" spans="1:13" x14ac:dyDescent="0.25">
      <c r="A33" s="2" t="str">
        <f>CONCATENATE($M$1,F33,$J$1,J33,$I$1,$N$1)</f>
        <v>CUSTO INSTITUCIONAL  - MESA DI FUTURES  -  JUNHO/2026</v>
      </c>
      <c r="B33" s="3">
        <v>46174</v>
      </c>
      <c r="C33" s="2">
        <v>817392</v>
      </c>
      <c r="D33" s="2" t="s">
        <v>23</v>
      </c>
      <c r="E33" s="4">
        <f>K33*L33</f>
        <v>-2768.1927017817075</v>
      </c>
      <c r="F33" s="2" t="s">
        <v>9</v>
      </c>
      <c r="G33" s="3">
        <v>46174</v>
      </c>
      <c r="H33" s="2">
        <v>1170</v>
      </c>
      <c r="J33" s="5" t="s">
        <v>39</v>
      </c>
      <c r="K33" s="6">
        <v>-11072.77080712683</v>
      </c>
      <c r="L33" s="7">
        <v>0.25</v>
      </c>
    </row>
    <row r="34" spans="1:13" x14ac:dyDescent="0.25">
      <c r="A34" s="2" t="str">
        <f>CONCATENATE($M$1,F34,$J$1,J34,$I$1,$N$1)</f>
        <v>CUSTO INSTITUCIONAL  - MESA DI FUTURES  -  JUNHO/2026</v>
      </c>
      <c r="B34" s="3">
        <v>46174</v>
      </c>
      <c r="C34" s="2">
        <v>817392</v>
      </c>
      <c r="D34" s="2" t="s">
        <v>54</v>
      </c>
      <c r="E34" s="4">
        <f>K34*L34</f>
        <v>-2768.1927017817075</v>
      </c>
      <c r="F34" s="2" t="s">
        <v>9</v>
      </c>
      <c r="G34" s="3">
        <v>46174</v>
      </c>
      <c r="H34" s="2">
        <v>1170</v>
      </c>
      <c r="J34" s="5" t="s">
        <v>39</v>
      </c>
      <c r="K34" s="6">
        <v>-11072.77080712683</v>
      </c>
      <c r="L34" s="7">
        <v>0.25</v>
      </c>
    </row>
    <row r="35" spans="1:13" x14ac:dyDescent="0.25">
      <c r="A35" s="15" t="str">
        <f>CONCATENATE($M$1,F35,$J$1,J35,$I$1,$N$1)</f>
        <v>CUSTO INSTITUCIONAL  - MESA DI FUTURES  -  JUNHO/2026</v>
      </c>
      <c r="B35" s="16">
        <v>46174</v>
      </c>
      <c r="C35" s="15">
        <v>817392</v>
      </c>
      <c r="D35" s="15" t="s">
        <v>22</v>
      </c>
      <c r="E35" s="17">
        <f>K35*L35</f>
        <v>-2768.1927017817075</v>
      </c>
      <c r="F35" s="15" t="s">
        <v>9</v>
      </c>
      <c r="G35" s="16">
        <v>46174</v>
      </c>
      <c r="H35" s="15">
        <v>1170</v>
      </c>
      <c r="J35" s="18" t="s">
        <v>39</v>
      </c>
      <c r="K35" s="19">
        <v>-11072.77080712683</v>
      </c>
      <c r="L35" s="20">
        <v>0.25</v>
      </c>
    </row>
    <row r="36" spans="1:13" x14ac:dyDescent="0.25">
      <c r="A36" s="2" t="str">
        <f t="shared" si="3"/>
        <v>CUSTO INSTITUCIONAL  - MESA FX FUTURES -  JUNHO/2026</v>
      </c>
      <c r="B36" s="3">
        <v>46174</v>
      </c>
      <c r="C36" s="2">
        <v>817392</v>
      </c>
      <c r="D36" s="2" t="s">
        <v>30</v>
      </c>
      <c r="E36" s="4">
        <f t="shared" si="2"/>
        <v>-2576.1140245152214</v>
      </c>
      <c r="F36" s="2" t="s">
        <v>9</v>
      </c>
      <c r="G36" s="3">
        <v>46174</v>
      </c>
      <c r="H36" s="2">
        <v>1170</v>
      </c>
      <c r="J36" s="5" t="s">
        <v>29</v>
      </c>
      <c r="K36" s="6">
        <v>-10304.456098060886</v>
      </c>
      <c r="L36" s="7">
        <v>0.25</v>
      </c>
      <c r="M36" s="27"/>
    </row>
    <row r="37" spans="1:13" x14ac:dyDescent="0.25">
      <c r="A37" s="2" t="str">
        <f t="shared" si="3"/>
        <v>CUSTO INSTITUCIONAL  - MESA FX FUTURES -  JUNHO/2026</v>
      </c>
      <c r="B37" s="3">
        <v>46174</v>
      </c>
      <c r="C37" s="2">
        <v>817392</v>
      </c>
      <c r="D37" s="2" t="s">
        <v>31</v>
      </c>
      <c r="E37" s="4">
        <f t="shared" si="2"/>
        <v>-2576.1140245152214</v>
      </c>
      <c r="F37" s="2" t="s">
        <v>9</v>
      </c>
      <c r="G37" s="3">
        <v>46174</v>
      </c>
      <c r="H37" s="2">
        <v>1170</v>
      </c>
      <c r="I37" s="2"/>
      <c r="J37" s="5" t="s">
        <v>29</v>
      </c>
      <c r="K37" s="6">
        <v>-10304.456098060886</v>
      </c>
      <c r="L37" s="7">
        <v>0.25</v>
      </c>
    </row>
    <row r="38" spans="1:13" x14ac:dyDescent="0.25">
      <c r="A38" s="2" t="str">
        <f t="shared" si="3"/>
        <v>CUSTO INSTITUCIONAL  - MESA FX FUTURES -  JUNHO/2026</v>
      </c>
      <c r="B38" s="3">
        <v>46174</v>
      </c>
      <c r="C38" s="2">
        <v>817392</v>
      </c>
      <c r="D38" s="2" t="s">
        <v>53</v>
      </c>
      <c r="E38" s="4">
        <f t="shared" si="2"/>
        <v>-2576.1140245152214</v>
      </c>
      <c r="F38" s="2" t="s">
        <v>9</v>
      </c>
      <c r="G38" s="3">
        <v>46174</v>
      </c>
      <c r="H38" s="2">
        <v>1170</v>
      </c>
      <c r="I38" s="2"/>
      <c r="J38" s="5" t="s">
        <v>29</v>
      </c>
      <c r="K38" s="6">
        <v>-10304.456098060886</v>
      </c>
      <c r="L38" s="7">
        <v>0.25</v>
      </c>
    </row>
    <row r="39" spans="1:13" x14ac:dyDescent="0.25">
      <c r="A39" s="15" t="str">
        <f t="shared" si="3"/>
        <v>CUSTO INSTITUCIONAL  - MESA FX FUTURES -  JUNHO/2026</v>
      </c>
      <c r="B39" s="16">
        <v>46174</v>
      </c>
      <c r="C39" s="15">
        <v>817392</v>
      </c>
      <c r="D39" s="15" t="s">
        <v>32</v>
      </c>
      <c r="E39" s="17">
        <f t="shared" si="2"/>
        <v>-2576.1140245152214</v>
      </c>
      <c r="F39" s="15" t="s">
        <v>9</v>
      </c>
      <c r="G39" s="16">
        <v>46174</v>
      </c>
      <c r="H39" s="15">
        <v>1170</v>
      </c>
      <c r="I39" s="2"/>
      <c r="J39" s="18" t="s">
        <v>29</v>
      </c>
      <c r="K39" s="19">
        <v>-10304.456098060886</v>
      </c>
      <c r="L39" s="20">
        <v>0.25</v>
      </c>
    </row>
    <row r="40" spans="1:13" x14ac:dyDescent="0.25">
      <c r="A40" s="15" t="str">
        <f t="shared" si="3"/>
        <v>CUSTO INSTITUCIONAL  - MESA NDF OFFSHORE -  JUNHO/2026</v>
      </c>
      <c r="B40" s="25">
        <v>46174</v>
      </c>
      <c r="C40" s="15">
        <v>817392</v>
      </c>
      <c r="D40" s="15" t="s">
        <v>64</v>
      </c>
      <c r="E40" s="17">
        <f t="shared" si="2"/>
        <v>-11524.720635989148</v>
      </c>
      <c r="F40" s="15" t="s">
        <v>9</v>
      </c>
      <c r="G40" s="16">
        <v>46174</v>
      </c>
      <c r="H40" s="15">
        <v>1170</v>
      </c>
      <c r="I40" s="2"/>
      <c r="J40" s="18" t="s">
        <v>48</v>
      </c>
      <c r="K40" s="19">
        <v>-11524.720635989148</v>
      </c>
      <c r="L40" s="20">
        <v>1</v>
      </c>
    </row>
  </sheetData>
  <autoFilter ref="A1:N1" xr:uid="{2FE869A7-BB24-4073-9535-98469A614E5D}"/>
  <pageMargins left="0.511811024" right="0.511811024" top="0.78740157499999996" bottom="0.78740157499999996" header="0.31496062000000002" footer="0.31496062000000002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3B5BA-043F-4CD7-9D8D-CBB3A3272A4B}">
  <dimension ref="A1:O39"/>
  <sheetViews>
    <sheetView showGridLines="0" tabSelected="1" workbookViewId="0">
      <selection activeCell="N4" sqref="N4:N7"/>
    </sheetView>
  </sheetViews>
  <sheetFormatPr defaultRowHeight="15" x14ac:dyDescent="0.25"/>
  <cols>
    <col min="1" max="1" width="44.140625" bestFit="1" customWidth="1"/>
    <col min="2" max="2" width="14.7109375" bestFit="1" customWidth="1"/>
    <col min="3" max="3" width="12.7109375" bestFit="1" customWidth="1"/>
    <col min="4" max="4" width="34" bestFit="1" customWidth="1"/>
    <col min="5" max="5" width="10.5703125" style="14" bestFit="1" customWidth="1"/>
    <col min="6" max="6" width="12.28515625" customWidth="1"/>
    <col min="7" max="7" width="14.5703125" customWidth="1"/>
    <col min="8" max="8" width="11.7109375" customWidth="1"/>
    <col min="9" max="9" width="9.140625" customWidth="1"/>
    <col min="10" max="10" width="13.7109375" customWidth="1"/>
    <col min="11" max="11" width="11.28515625" bestFit="1" customWidth="1"/>
    <col min="12" max="12" width="9.140625" style="9"/>
    <col min="14" max="14" width="15.42578125" bestFit="1" customWidth="1"/>
  </cols>
  <sheetData>
    <row r="1" spans="1:15" x14ac:dyDescent="0.25">
      <c r="A1" s="10" t="s">
        <v>0</v>
      </c>
      <c r="B1" s="11" t="s">
        <v>1</v>
      </c>
      <c r="C1" s="10" t="s">
        <v>8</v>
      </c>
      <c r="D1" s="10" t="s">
        <v>2</v>
      </c>
      <c r="E1" s="13" t="s">
        <v>3</v>
      </c>
      <c r="F1" s="10" t="s">
        <v>4</v>
      </c>
      <c r="G1" s="11" t="s">
        <v>5</v>
      </c>
      <c r="H1" s="10" t="s">
        <v>6</v>
      </c>
      <c r="I1" s="1" t="s">
        <v>12</v>
      </c>
      <c r="J1" s="1" t="s">
        <v>13</v>
      </c>
      <c r="K1" s="1" t="s">
        <v>3</v>
      </c>
      <c r="L1" s="8" t="s">
        <v>7</v>
      </c>
      <c r="M1" s="1" t="s">
        <v>10</v>
      </c>
      <c r="N1" s="12" t="s">
        <v>70</v>
      </c>
    </row>
    <row r="2" spans="1:15" x14ac:dyDescent="0.25">
      <c r="A2" s="2" t="str">
        <f>CONCATENATE($M$1,F2,$J$1,J2,$I$1,$N$1)</f>
        <v>CUSTO INSTITUCIONAL  - MESA EQUITIES -  JULHO/2026</v>
      </c>
      <c r="B2" s="3">
        <v>46204</v>
      </c>
      <c r="C2" s="2">
        <v>817392</v>
      </c>
      <c r="D2" s="2" t="s">
        <v>15</v>
      </c>
      <c r="E2" s="4">
        <f t="shared" ref="E2" si="0">K2*L2</f>
        <v>-3595.4689599725652</v>
      </c>
      <c r="F2" s="2" t="s">
        <v>9</v>
      </c>
      <c r="G2" s="3">
        <v>46204</v>
      </c>
      <c r="H2" s="2">
        <v>1170</v>
      </c>
      <c r="I2" s="2"/>
      <c r="J2" s="5" t="s">
        <v>11</v>
      </c>
      <c r="K2" s="6">
        <v>-12584.141360533185</v>
      </c>
      <c r="L2" s="7">
        <v>0.28571428570000001</v>
      </c>
    </row>
    <row r="3" spans="1:15" x14ac:dyDescent="0.25">
      <c r="A3" s="2" t="str">
        <f t="shared" ref="A3:A24" si="1">CONCATENATE($M$1,F3,$J$1,J3,$I$1,$N$1)</f>
        <v>CUSTO INSTITUCIONAL  - MESA EQUITIES -  JULHO/2026</v>
      </c>
      <c r="B3" s="3">
        <v>46204</v>
      </c>
      <c r="C3" s="2">
        <v>817392</v>
      </c>
      <c r="D3" s="2" t="s">
        <v>43</v>
      </c>
      <c r="E3" s="4">
        <f>K3*L3</f>
        <v>-1797.7344806154899</v>
      </c>
      <c r="F3" s="2" t="s">
        <v>9</v>
      </c>
      <c r="G3" s="3">
        <v>46204</v>
      </c>
      <c r="H3" s="2">
        <v>1170</v>
      </c>
      <c r="I3" s="2"/>
      <c r="J3" s="5" t="s">
        <v>11</v>
      </c>
      <c r="K3" s="6">
        <v>-12584.141360533185</v>
      </c>
      <c r="L3" s="7">
        <v>0.14285714290000001</v>
      </c>
      <c r="O3" s="32"/>
    </row>
    <row r="4" spans="1:15" x14ac:dyDescent="0.25">
      <c r="A4" s="2" t="str">
        <f t="shared" si="1"/>
        <v>CUSTO INSTITUCIONAL  - MESA EQUITIES -  JULHO/2026</v>
      </c>
      <c r="B4" s="3">
        <v>46204</v>
      </c>
      <c r="C4" s="2">
        <v>817392</v>
      </c>
      <c r="D4" s="2" t="s">
        <v>45</v>
      </c>
      <c r="E4" s="4">
        <f>K4*L4</f>
        <v>-1797.7344806154899</v>
      </c>
      <c r="F4" s="2" t="s">
        <v>9</v>
      </c>
      <c r="G4" s="3">
        <v>46204</v>
      </c>
      <c r="H4" s="2">
        <v>1170</v>
      </c>
      <c r="I4" s="2"/>
      <c r="J4" s="5" t="s">
        <v>11</v>
      </c>
      <c r="K4" s="6">
        <v>-12584.141360533185</v>
      </c>
      <c r="L4" s="7">
        <v>0.14285714290000001</v>
      </c>
    </row>
    <row r="5" spans="1:15" x14ac:dyDescent="0.25">
      <c r="A5" s="2" t="str">
        <f t="shared" si="1"/>
        <v>CUSTO INSTITUCIONAL  - MESA EQUITIES -  JULHO/2026</v>
      </c>
      <c r="B5" s="3">
        <v>46204</v>
      </c>
      <c r="C5" s="2">
        <v>817392</v>
      </c>
      <c r="D5" s="2" t="s">
        <v>14</v>
      </c>
      <c r="E5" s="4">
        <f t="shared" ref="E5:E39" si="2">K5*L5</f>
        <v>-1797.7344806154899</v>
      </c>
      <c r="F5" s="2" t="s">
        <v>9</v>
      </c>
      <c r="G5" s="3">
        <v>46204</v>
      </c>
      <c r="H5" s="2">
        <v>1170</v>
      </c>
      <c r="I5" s="2"/>
      <c r="J5" s="5" t="s">
        <v>11</v>
      </c>
      <c r="K5" s="6">
        <v>-12584.141360533185</v>
      </c>
      <c r="L5" s="7">
        <v>0.14285714290000001</v>
      </c>
    </row>
    <row r="6" spans="1:15" x14ac:dyDescent="0.25">
      <c r="A6" s="2" t="str">
        <f t="shared" si="1"/>
        <v>CUSTO INSTITUCIONAL  - MESA EQUITIES -  JULHO/2026</v>
      </c>
      <c r="B6" s="3">
        <v>46204</v>
      </c>
      <c r="C6" s="2">
        <v>817392</v>
      </c>
      <c r="D6" s="2" t="s">
        <v>49</v>
      </c>
      <c r="E6" s="4">
        <f t="shared" si="2"/>
        <v>-1797.7344806154899</v>
      </c>
      <c r="F6" s="2" t="s">
        <v>9</v>
      </c>
      <c r="G6" s="3">
        <v>46204</v>
      </c>
      <c r="H6" s="2">
        <v>1170</v>
      </c>
      <c r="I6" s="2"/>
      <c r="J6" s="5" t="s">
        <v>11</v>
      </c>
      <c r="K6" s="6">
        <v>-12584.141360533185</v>
      </c>
      <c r="L6" s="7">
        <v>0.14285714290000001</v>
      </c>
    </row>
    <row r="7" spans="1:15" x14ac:dyDescent="0.25">
      <c r="A7" s="15" t="str">
        <f t="shared" si="1"/>
        <v>CUSTO INSTITUCIONAL  - MESA OFFSHORE LISTED -  JULHO/2026</v>
      </c>
      <c r="B7" s="16">
        <v>46204</v>
      </c>
      <c r="C7" s="15">
        <v>817392</v>
      </c>
      <c r="D7" s="15" t="s">
        <v>52</v>
      </c>
      <c r="E7" s="17">
        <f t="shared" si="2"/>
        <v>-1797.7344806154899</v>
      </c>
      <c r="F7" s="15" t="s">
        <v>9</v>
      </c>
      <c r="G7" s="16">
        <v>46204</v>
      </c>
      <c r="H7" s="15">
        <v>1170</v>
      </c>
      <c r="I7" s="2"/>
      <c r="J7" s="18" t="s">
        <v>52</v>
      </c>
      <c r="K7" s="6">
        <v>-12584.141360533185</v>
      </c>
      <c r="L7" s="7">
        <v>0.14285714290000001</v>
      </c>
    </row>
    <row r="8" spans="1:15" x14ac:dyDescent="0.25">
      <c r="A8" s="24" t="str">
        <f t="shared" si="1"/>
        <v>CUSTO INSTITUCIONAL  - MESA VOLATILITY IDI -  JULHO/2026</v>
      </c>
      <c r="B8" s="16">
        <v>46204</v>
      </c>
      <c r="C8" s="24">
        <v>817392</v>
      </c>
      <c r="D8" s="24" t="s">
        <v>33</v>
      </c>
      <c r="E8" s="26">
        <f t="shared" si="2"/>
        <v>-14020.169503777213</v>
      </c>
      <c r="F8" s="24" t="s">
        <v>9</v>
      </c>
      <c r="G8" s="25">
        <v>46204</v>
      </c>
      <c r="H8" s="24">
        <v>1170</v>
      </c>
      <c r="I8" s="2"/>
      <c r="J8" s="21" t="s">
        <v>34</v>
      </c>
      <c r="K8" s="22">
        <v>-14020.169503777213</v>
      </c>
      <c r="L8" s="23">
        <v>1</v>
      </c>
    </row>
    <row r="9" spans="1:15" x14ac:dyDescent="0.25">
      <c r="A9" s="15" t="str">
        <f t="shared" si="1"/>
        <v>CUSTO INSTITUCIONAL  - MESA VOLATILITY FX -  JULHO/2026</v>
      </c>
      <c r="B9" s="25">
        <v>46204</v>
      </c>
      <c r="C9" s="15">
        <v>817392</v>
      </c>
      <c r="D9" s="15" t="s">
        <v>36</v>
      </c>
      <c r="E9" s="17">
        <f t="shared" si="2"/>
        <v>-13226.575003563408</v>
      </c>
      <c r="F9" s="15" t="s">
        <v>9</v>
      </c>
      <c r="G9" s="16">
        <v>46204</v>
      </c>
      <c r="H9" s="15">
        <v>1170</v>
      </c>
      <c r="I9" s="2"/>
      <c r="J9" s="18" t="s">
        <v>35</v>
      </c>
      <c r="K9" s="22">
        <v>-13226.575003563408</v>
      </c>
      <c r="L9" s="20">
        <v>1</v>
      </c>
    </row>
    <row r="10" spans="1:15" x14ac:dyDescent="0.25">
      <c r="A10" s="2" t="str">
        <f t="shared" si="1"/>
        <v>CUSTO INSTITUCIONAL  - MESA FX SPOT  -  JULHO/2026</v>
      </c>
      <c r="B10" s="3">
        <v>46204</v>
      </c>
      <c r="C10" s="2">
        <v>817392</v>
      </c>
      <c r="D10" s="2" t="s">
        <v>17</v>
      </c>
      <c r="E10" s="4">
        <f t="shared" si="2"/>
        <v>-1700.5596433152953</v>
      </c>
      <c r="F10" s="2" t="s">
        <v>9</v>
      </c>
      <c r="G10" s="3">
        <v>46204</v>
      </c>
      <c r="H10" s="2">
        <v>1170</v>
      </c>
      <c r="I10" s="2"/>
      <c r="J10" s="5" t="s">
        <v>37</v>
      </c>
      <c r="K10" s="6">
        <v>-11903.917503207067</v>
      </c>
      <c r="L10" s="7">
        <v>0.14285714285714285</v>
      </c>
    </row>
    <row r="11" spans="1:15" x14ac:dyDescent="0.25">
      <c r="A11" s="2" t="str">
        <f t="shared" si="1"/>
        <v>CUSTO INSTITUCIONAL  - MESA FX SPOT  -  JULHO/2026</v>
      </c>
      <c r="B11" s="3">
        <v>46204</v>
      </c>
      <c r="C11" s="2">
        <v>817392</v>
      </c>
      <c r="D11" s="2" t="s">
        <v>18</v>
      </c>
      <c r="E11" s="4">
        <f t="shared" si="2"/>
        <v>-1700.5596433152953</v>
      </c>
      <c r="F11" s="2" t="s">
        <v>9</v>
      </c>
      <c r="G11" s="3">
        <v>46204</v>
      </c>
      <c r="H11" s="2">
        <v>1170</v>
      </c>
      <c r="I11" s="2"/>
      <c r="J11" s="5" t="s">
        <v>37</v>
      </c>
      <c r="K11" s="6">
        <v>-11903.917503207067</v>
      </c>
      <c r="L11" s="7">
        <v>0.14285714285714285</v>
      </c>
    </row>
    <row r="12" spans="1:15" x14ac:dyDescent="0.25">
      <c r="A12" s="2" t="str">
        <f t="shared" si="1"/>
        <v>CUSTO INSTITUCIONAL  - MESA FX SPOT  -  JULHO/2026</v>
      </c>
      <c r="B12" s="3">
        <v>46204</v>
      </c>
      <c r="C12" s="2">
        <v>817392</v>
      </c>
      <c r="D12" s="2" t="s">
        <v>16</v>
      </c>
      <c r="E12" s="4">
        <f t="shared" si="2"/>
        <v>-1700.5596433152953</v>
      </c>
      <c r="F12" s="2" t="s">
        <v>9</v>
      </c>
      <c r="G12" s="3">
        <v>46204</v>
      </c>
      <c r="H12" s="2">
        <v>1170</v>
      </c>
      <c r="I12" s="2"/>
      <c r="J12" s="5" t="s">
        <v>37</v>
      </c>
      <c r="K12" s="6">
        <v>-11903.917503207067</v>
      </c>
      <c r="L12" s="7">
        <v>0.14285714285714285</v>
      </c>
    </row>
    <row r="13" spans="1:15" x14ac:dyDescent="0.25">
      <c r="A13" s="2" t="str">
        <f t="shared" si="1"/>
        <v>CUSTO INSTITUCIONAL  - MESA FX SPOT  -  JULHO/2026</v>
      </c>
      <c r="B13" s="3">
        <v>46204</v>
      </c>
      <c r="C13" s="2">
        <v>817392</v>
      </c>
      <c r="D13" s="2" t="s">
        <v>19</v>
      </c>
      <c r="E13" s="4">
        <f t="shared" si="2"/>
        <v>-1700.5596433152953</v>
      </c>
      <c r="F13" s="2" t="s">
        <v>9</v>
      </c>
      <c r="G13" s="3">
        <v>46204</v>
      </c>
      <c r="H13" s="2">
        <v>1170</v>
      </c>
      <c r="I13" s="2"/>
      <c r="J13" s="5" t="s">
        <v>37</v>
      </c>
      <c r="K13" s="6">
        <v>-11903.917503207067</v>
      </c>
      <c r="L13" s="7">
        <v>0.14285714285714285</v>
      </c>
    </row>
    <row r="14" spans="1:15" x14ac:dyDescent="0.25">
      <c r="A14" s="2" t="str">
        <f t="shared" si="1"/>
        <v>CUSTO INSTITUCIONAL  - MESA FX SPOT  -  JULHO/2026</v>
      </c>
      <c r="B14" s="3">
        <v>46204</v>
      </c>
      <c r="C14" s="2">
        <v>817392</v>
      </c>
      <c r="D14" s="2" t="s">
        <v>20</v>
      </c>
      <c r="E14" s="4">
        <f t="shared" si="2"/>
        <v>-1700.5596433152953</v>
      </c>
      <c r="F14" s="2" t="s">
        <v>9</v>
      </c>
      <c r="G14" s="3">
        <v>46204</v>
      </c>
      <c r="H14" s="2">
        <v>1170</v>
      </c>
      <c r="I14" s="2"/>
      <c r="J14" s="5" t="s">
        <v>37</v>
      </c>
      <c r="K14" s="6">
        <v>-11903.917503207067</v>
      </c>
      <c r="L14" s="7">
        <v>0.14285714285714285</v>
      </c>
    </row>
    <row r="15" spans="1:15" x14ac:dyDescent="0.25">
      <c r="A15" s="2" t="str">
        <f t="shared" si="1"/>
        <v>CUSTO INSTITUCIONAL  - MESA FX SPOT  -  JULHO/2026</v>
      </c>
      <c r="B15" s="3">
        <v>46204</v>
      </c>
      <c r="C15" s="2">
        <v>817392</v>
      </c>
      <c r="D15" s="2" t="s">
        <v>21</v>
      </c>
      <c r="E15" s="4">
        <f t="shared" si="2"/>
        <v>-1700.5596433152953</v>
      </c>
      <c r="F15" s="2" t="s">
        <v>9</v>
      </c>
      <c r="G15" s="3">
        <v>46204</v>
      </c>
      <c r="H15" s="2">
        <v>1170</v>
      </c>
      <c r="I15" s="2"/>
      <c r="J15" s="5" t="s">
        <v>37</v>
      </c>
      <c r="K15" s="6">
        <v>-11903.917503207067</v>
      </c>
      <c r="L15" s="7">
        <v>0.14285714285714285</v>
      </c>
    </row>
    <row r="16" spans="1:15" x14ac:dyDescent="0.25">
      <c r="A16" s="15" t="str">
        <f t="shared" si="1"/>
        <v>CUSTO INSTITUCIONAL  - MESA FX SPOT  -  JULHO/2026</v>
      </c>
      <c r="B16" s="16">
        <v>46204</v>
      </c>
      <c r="C16" s="15">
        <v>817392</v>
      </c>
      <c r="D16" s="15" t="s">
        <v>38</v>
      </c>
      <c r="E16" s="17">
        <f t="shared" si="2"/>
        <v>-1700.5596433152953</v>
      </c>
      <c r="F16" s="15" t="s">
        <v>9</v>
      </c>
      <c r="G16" s="16">
        <v>46204</v>
      </c>
      <c r="H16" s="15">
        <v>1170</v>
      </c>
      <c r="I16" s="2"/>
      <c r="J16" s="18" t="s">
        <v>37</v>
      </c>
      <c r="K16" s="19">
        <v>-11903.917503207067</v>
      </c>
      <c r="L16" s="20">
        <v>0.14285714285714285</v>
      </c>
    </row>
    <row r="17" spans="1:12" x14ac:dyDescent="0.25">
      <c r="A17" s="15" t="str">
        <f>CONCATENATE($M$1,F17,$J$1,J17,$I$1,$N$1)</f>
        <v>CUSTO INSTITUCIONAL  - MESA CORPORATE BONDS -  JULHO/2026</v>
      </c>
      <c r="B17" s="25">
        <v>46204</v>
      </c>
      <c r="C17" s="15">
        <v>817392</v>
      </c>
      <c r="D17" s="15" t="s">
        <v>51</v>
      </c>
      <c r="E17" s="17">
        <f t="shared" si="2"/>
        <v>-14628.59195394113</v>
      </c>
      <c r="F17" s="15" t="s">
        <v>9</v>
      </c>
      <c r="G17" s="16">
        <v>46204</v>
      </c>
      <c r="H17" s="15">
        <v>1170</v>
      </c>
      <c r="I17" s="2"/>
      <c r="J17" s="18" t="s">
        <v>50</v>
      </c>
      <c r="K17" s="19">
        <v>-14628.59195394113</v>
      </c>
      <c r="L17" s="20">
        <v>1</v>
      </c>
    </row>
    <row r="18" spans="1:12" x14ac:dyDescent="0.25">
      <c r="A18" s="2" t="str">
        <f t="shared" si="1"/>
        <v>CUSTO INSTITUCIONAL  - MESA INFLATION BONDS -  JULHO/2026</v>
      </c>
      <c r="B18" s="3">
        <v>46204</v>
      </c>
      <c r="C18" s="2">
        <v>817392</v>
      </c>
      <c r="D18" s="2" t="s">
        <v>42</v>
      </c>
      <c r="E18" s="4">
        <f t="shared" si="2"/>
        <v>-1653.321875445426</v>
      </c>
      <c r="F18" s="2" t="s">
        <v>9</v>
      </c>
      <c r="G18" s="3">
        <v>46204</v>
      </c>
      <c r="H18" s="2">
        <v>1170</v>
      </c>
      <c r="I18" s="2"/>
      <c r="J18" s="5" t="s">
        <v>40</v>
      </c>
      <c r="K18" s="6">
        <v>-13226.575003563408</v>
      </c>
      <c r="L18" s="28">
        <v>0.125</v>
      </c>
    </row>
    <row r="19" spans="1:12" x14ac:dyDescent="0.25">
      <c r="A19" s="2" t="str">
        <f t="shared" si="1"/>
        <v>CUSTO INSTITUCIONAL  - MESA INFLATION BONDS -  JULHO/2026</v>
      </c>
      <c r="B19" s="3">
        <v>46204</v>
      </c>
      <c r="C19" s="2">
        <v>817392</v>
      </c>
      <c r="D19" s="2" t="s">
        <v>57</v>
      </c>
      <c r="E19" s="4">
        <f t="shared" si="2"/>
        <v>-1653.321875445426</v>
      </c>
      <c r="F19" s="2" t="s">
        <v>9</v>
      </c>
      <c r="G19" s="3">
        <v>46204</v>
      </c>
      <c r="H19" s="2">
        <v>1170</v>
      </c>
      <c r="I19" s="2"/>
      <c r="J19" s="5" t="s">
        <v>40</v>
      </c>
      <c r="K19" s="6">
        <v>-13226.575003563408</v>
      </c>
      <c r="L19" s="29">
        <v>0.125</v>
      </c>
    </row>
    <row r="20" spans="1:12" x14ac:dyDescent="0.25">
      <c r="A20" s="2" t="str">
        <f t="shared" si="1"/>
        <v>CUSTO INSTITUCIONAL  - MESA INFLATION BONDS -  JULHO/2026</v>
      </c>
      <c r="B20" s="3">
        <v>46204</v>
      </c>
      <c r="C20" s="2">
        <v>817392</v>
      </c>
      <c r="D20" s="2" t="s">
        <v>55</v>
      </c>
      <c r="E20" s="4">
        <f>K20*L20</f>
        <v>-1653.321875445426</v>
      </c>
      <c r="F20" s="2" t="s">
        <v>9</v>
      </c>
      <c r="G20" s="3">
        <v>46204</v>
      </c>
      <c r="H20" s="2">
        <v>1170</v>
      </c>
      <c r="I20" s="2"/>
      <c r="J20" s="5" t="s">
        <v>40</v>
      </c>
      <c r="K20" s="6">
        <v>-13226.575003563408</v>
      </c>
      <c r="L20" s="29">
        <v>0.125</v>
      </c>
    </row>
    <row r="21" spans="1:12" x14ac:dyDescent="0.25">
      <c r="A21" s="2" t="str">
        <f t="shared" si="1"/>
        <v>CUSTO INSTITUCIONAL  - MESA INFLATION BONDS -  JULHO/2026</v>
      </c>
      <c r="B21" s="3">
        <v>46204</v>
      </c>
      <c r="C21" s="2">
        <v>817392</v>
      </c>
      <c r="D21" s="2" t="s">
        <v>24</v>
      </c>
      <c r="E21" s="4">
        <f t="shared" si="2"/>
        <v>-1653.321875445426</v>
      </c>
      <c r="F21" s="2" t="s">
        <v>9</v>
      </c>
      <c r="G21" s="3">
        <v>46204</v>
      </c>
      <c r="H21" s="2">
        <v>1170</v>
      </c>
      <c r="I21" s="2"/>
      <c r="J21" s="5" t="s">
        <v>40</v>
      </c>
      <c r="K21" s="6">
        <v>-13226.575003563408</v>
      </c>
      <c r="L21" s="29">
        <v>0.125</v>
      </c>
    </row>
    <row r="22" spans="1:12" x14ac:dyDescent="0.25">
      <c r="A22" s="2" t="str">
        <f t="shared" si="1"/>
        <v>CUSTO INSTITUCIONAL  - MESA INFLATION BONDS -  JULHO/2026</v>
      </c>
      <c r="B22" s="3">
        <v>46204</v>
      </c>
      <c r="C22" s="2">
        <v>817392</v>
      </c>
      <c r="D22" s="2" t="s">
        <v>46</v>
      </c>
      <c r="E22" s="4">
        <f t="shared" si="2"/>
        <v>-1653.321875445426</v>
      </c>
      <c r="F22" s="2" t="s">
        <v>9</v>
      </c>
      <c r="G22" s="3">
        <v>46204</v>
      </c>
      <c r="H22" s="2">
        <v>1170</v>
      </c>
      <c r="I22" s="2"/>
      <c r="J22" s="5" t="s">
        <v>40</v>
      </c>
      <c r="K22" s="6">
        <v>-13226.575003563408</v>
      </c>
      <c r="L22" s="29">
        <v>0.125</v>
      </c>
    </row>
    <row r="23" spans="1:12" x14ac:dyDescent="0.25">
      <c r="A23" s="2" t="str">
        <f t="shared" si="1"/>
        <v>CUSTO INSTITUCIONAL  - MESA INFLATION BONDS -  JULHO/2026</v>
      </c>
      <c r="B23" s="3">
        <v>46204</v>
      </c>
      <c r="C23" s="2">
        <v>817392</v>
      </c>
      <c r="D23" s="2" t="s">
        <v>25</v>
      </c>
      <c r="E23" s="4">
        <f t="shared" si="2"/>
        <v>-1653.321875445426</v>
      </c>
      <c r="F23" s="2" t="s">
        <v>9</v>
      </c>
      <c r="G23" s="3">
        <v>46204</v>
      </c>
      <c r="H23" s="2">
        <v>1170</v>
      </c>
      <c r="I23" s="2"/>
      <c r="J23" s="5" t="s">
        <v>40</v>
      </c>
      <c r="K23" s="6">
        <v>-13226.575003563408</v>
      </c>
      <c r="L23" s="29">
        <v>0.125</v>
      </c>
    </row>
    <row r="24" spans="1:12" x14ac:dyDescent="0.25">
      <c r="A24" s="2" t="str">
        <f t="shared" si="1"/>
        <v>CUSTO INSTITUCIONAL  - MESA INFLATION BONDS -  JULHO/2026</v>
      </c>
      <c r="B24" s="3">
        <v>46204</v>
      </c>
      <c r="C24" s="2">
        <v>817392</v>
      </c>
      <c r="D24" s="2" t="s">
        <v>47</v>
      </c>
      <c r="E24" s="4">
        <f t="shared" si="2"/>
        <v>-1653.321875445426</v>
      </c>
      <c r="F24" s="2" t="s">
        <v>9</v>
      </c>
      <c r="G24" s="3">
        <v>46204</v>
      </c>
      <c r="H24" s="2">
        <v>1170</v>
      </c>
      <c r="I24" s="2"/>
      <c r="J24" s="5" t="s">
        <v>40</v>
      </c>
      <c r="K24" s="6">
        <v>-13226.575003563408</v>
      </c>
      <c r="L24" s="29">
        <v>0.125</v>
      </c>
    </row>
    <row r="25" spans="1:12" x14ac:dyDescent="0.25">
      <c r="A25" s="15" t="str">
        <f>CONCATENATE($M$1,F25,$J$1,J25,$I$1,$N$1)</f>
        <v>CUSTO INSTITUCIONAL  - MESA INFLATION BONDS -  JULHO/2026</v>
      </c>
      <c r="B25" s="16">
        <v>46204</v>
      </c>
      <c r="C25" s="15">
        <v>817392</v>
      </c>
      <c r="D25" s="15" t="s">
        <v>26</v>
      </c>
      <c r="E25" s="17">
        <f t="shared" si="2"/>
        <v>-1653.321875445426</v>
      </c>
      <c r="F25" s="15" t="s">
        <v>9</v>
      </c>
      <c r="G25" s="16">
        <v>46204</v>
      </c>
      <c r="H25" s="15">
        <v>1170</v>
      </c>
      <c r="I25" s="2"/>
      <c r="J25" s="18" t="s">
        <v>40</v>
      </c>
      <c r="K25" s="19">
        <v>-13226.575003563408</v>
      </c>
      <c r="L25" s="20">
        <v>0.125</v>
      </c>
    </row>
    <row r="26" spans="1:12" x14ac:dyDescent="0.25">
      <c r="A26" s="2" t="str">
        <f>CONCATENATE($M$1,F26,$J$1,J26,$I$1,$N$1)</f>
        <v>CUSTO INSTITUCIONAL  - MESA PUBLIC BONDS -  JULHO/2026</v>
      </c>
      <c r="B26" s="3">
        <v>46204</v>
      </c>
      <c r="C26" s="2">
        <v>817392</v>
      </c>
      <c r="D26" s="2" t="s">
        <v>63</v>
      </c>
      <c r="E26" s="4">
        <f t="shared" si="2"/>
        <v>-2708.8025607297864</v>
      </c>
      <c r="F26" s="2" t="s">
        <v>9</v>
      </c>
      <c r="G26" s="3">
        <v>46204</v>
      </c>
      <c r="H26" s="2">
        <v>1170</v>
      </c>
      <c r="I26" s="2"/>
      <c r="J26" s="5" t="s">
        <v>41</v>
      </c>
      <c r="K26" s="6">
        <v>-13544.012803648931</v>
      </c>
      <c r="L26" s="7">
        <v>0.2</v>
      </c>
    </row>
    <row r="27" spans="1:12" x14ac:dyDescent="0.25">
      <c r="A27" s="2" t="str">
        <f t="shared" ref="A27:A39" si="3">CONCATENATE($M$1,F27,$J$1,J27,$I$1,$N$1)</f>
        <v>CUSTO INSTITUCIONAL  - MESA PUBLIC BONDS -  JULHO/2026</v>
      </c>
      <c r="B27" s="3">
        <v>46204</v>
      </c>
      <c r="C27" s="2">
        <v>817392</v>
      </c>
      <c r="D27" s="2" t="s">
        <v>27</v>
      </c>
      <c r="E27" s="30">
        <f t="shared" si="2"/>
        <v>-2708.8025607297864</v>
      </c>
      <c r="F27" s="2" t="s">
        <v>9</v>
      </c>
      <c r="G27" s="3">
        <v>46204</v>
      </c>
      <c r="H27" s="2">
        <v>1170</v>
      </c>
      <c r="I27" s="2"/>
      <c r="J27" s="5" t="s">
        <v>41</v>
      </c>
      <c r="K27" s="31">
        <v>-13544.012803648931</v>
      </c>
      <c r="L27" s="7">
        <v>0.2</v>
      </c>
    </row>
    <row r="28" spans="1:12" x14ac:dyDescent="0.25">
      <c r="A28" s="2" t="str">
        <f t="shared" si="3"/>
        <v>CUSTO INSTITUCIONAL  - MESA PUBLIC BONDS -  JULHO/2026</v>
      </c>
      <c r="B28" s="3">
        <v>46204</v>
      </c>
      <c r="C28" s="2">
        <v>817392</v>
      </c>
      <c r="D28" s="2" t="s">
        <v>61</v>
      </c>
      <c r="E28" s="30">
        <f t="shared" si="2"/>
        <v>-2708.8025607297864</v>
      </c>
      <c r="F28" s="2" t="s">
        <v>9</v>
      </c>
      <c r="G28" s="3">
        <v>46204</v>
      </c>
      <c r="H28" s="2">
        <v>1170</v>
      </c>
      <c r="I28" s="2"/>
      <c r="J28" s="5" t="s">
        <v>41</v>
      </c>
      <c r="K28" s="31">
        <v>-13544.012803648931</v>
      </c>
      <c r="L28" s="7">
        <v>0.2</v>
      </c>
    </row>
    <row r="29" spans="1:12" x14ac:dyDescent="0.25">
      <c r="A29" s="2" t="str">
        <f t="shared" si="3"/>
        <v>CUSTO INSTITUCIONAL  - MESA PUBLIC BONDS -  JULHO/2026</v>
      </c>
      <c r="B29" s="3">
        <v>46204</v>
      </c>
      <c r="C29" s="2">
        <v>817392</v>
      </c>
      <c r="D29" s="2" t="s">
        <v>56</v>
      </c>
      <c r="E29" s="30">
        <f t="shared" si="2"/>
        <v>-2708.8025607297864</v>
      </c>
      <c r="F29" s="2" t="s">
        <v>9</v>
      </c>
      <c r="G29" s="3">
        <v>46204</v>
      </c>
      <c r="H29" s="2">
        <v>1170</v>
      </c>
      <c r="J29" s="5" t="s">
        <v>41</v>
      </c>
      <c r="K29" s="31">
        <v>-13544.012803648931</v>
      </c>
      <c r="L29" s="7">
        <v>0.2</v>
      </c>
    </row>
    <row r="30" spans="1:12" x14ac:dyDescent="0.25">
      <c r="A30" s="15" t="str">
        <f t="shared" si="3"/>
        <v>CUSTO INSTITUCIONAL  - MESA PUBLIC BONDS -  JULHO/2026</v>
      </c>
      <c r="B30" s="16">
        <v>46204</v>
      </c>
      <c r="C30" s="15">
        <v>817392</v>
      </c>
      <c r="D30" s="15" t="s">
        <v>58</v>
      </c>
      <c r="E30" s="17">
        <f t="shared" si="2"/>
        <v>-2708.8025607297864</v>
      </c>
      <c r="F30" s="15" t="s">
        <v>9</v>
      </c>
      <c r="G30" s="16">
        <v>46204</v>
      </c>
      <c r="H30" s="15">
        <v>1170</v>
      </c>
      <c r="J30" s="18" t="s">
        <v>41</v>
      </c>
      <c r="K30" s="19">
        <v>-13544.012803648931</v>
      </c>
      <c r="L30" s="20">
        <v>0.2</v>
      </c>
    </row>
    <row r="31" spans="1:12" x14ac:dyDescent="0.25">
      <c r="A31" s="2" t="str">
        <f>CONCATENATE($M$1,F31,$J$1,J31,$I$1,$N$1)</f>
        <v>CUSTO INSTITUCIONAL  - MESA DI FUTURES  -  JULHO/2026</v>
      </c>
      <c r="B31" s="3">
        <v>46204</v>
      </c>
      <c r="C31" s="2">
        <v>817392</v>
      </c>
      <c r="D31" s="2" t="s">
        <v>44</v>
      </c>
      <c r="E31" s="4">
        <f>K31*L31</f>
        <v>-3240.5108758730353</v>
      </c>
      <c r="F31" s="2" t="s">
        <v>9</v>
      </c>
      <c r="G31" s="3">
        <v>46204</v>
      </c>
      <c r="H31" s="2">
        <v>1170</v>
      </c>
      <c r="J31" s="5" t="s">
        <v>39</v>
      </c>
      <c r="K31" s="6">
        <v>-12962.043503492141</v>
      </c>
      <c r="L31" s="7">
        <v>0.25</v>
      </c>
    </row>
    <row r="32" spans="1:12" x14ac:dyDescent="0.25">
      <c r="A32" s="2" t="str">
        <f>CONCATENATE($M$1,F32,$J$1,J32,$I$1,$N$1)</f>
        <v>CUSTO INSTITUCIONAL  - MESA DI FUTURES  -  JULHO/2026</v>
      </c>
      <c r="B32" s="3">
        <v>46204</v>
      </c>
      <c r="C32" s="2">
        <v>817392</v>
      </c>
      <c r="D32" s="2" t="s">
        <v>23</v>
      </c>
      <c r="E32" s="4">
        <f>K32*L32</f>
        <v>-3240.5108758730353</v>
      </c>
      <c r="F32" s="2" t="s">
        <v>9</v>
      </c>
      <c r="G32" s="3">
        <v>46204</v>
      </c>
      <c r="H32" s="2">
        <v>1170</v>
      </c>
      <c r="J32" s="5" t="s">
        <v>39</v>
      </c>
      <c r="K32" s="6">
        <v>-12962.043503492141</v>
      </c>
      <c r="L32" s="7">
        <v>0.25</v>
      </c>
    </row>
    <row r="33" spans="1:13" x14ac:dyDescent="0.25">
      <c r="A33" s="2" t="str">
        <f>CONCATENATE($M$1,F33,$J$1,J33,$I$1,$N$1)</f>
        <v>CUSTO INSTITUCIONAL  - MESA DI FUTURES  -  JULHO/2026</v>
      </c>
      <c r="B33" s="3">
        <v>46204</v>
      </c>
      <c r="C33" s="2">
        <v>817392</v>
      </c>
      <c r="D33" s="2" t="s">
        <v>54</v>
      </c>
      <c r="E33" s="4">
        <f>K33*L33</f>
        <v>-3240.5108758730353</v>
      </c>
      <c r="F33" s="2" t="s">
        <v>9</v>
      </c>
      <c r="G33" s="3">
        <v>46204</v>
      </c>
      <c r="H33" s="2">
        <v>1170</v>
      </c>
      <c r="J33" s="5" t="s">
        <v>39</v>
      </c>
      <c r="K33" s="6">
        <v>-12962.043503492141</v>
      </c>
      <c r="L33" s="7">
        <v>0.25</v>
      </c>
    </row>
    <row r="34" spans="1:13" x14ac:dyDescent="0.25">
      <c r="A34" s="15" t="str">
        <f>CONCATENATE($M$1,F34,$J$1,J34,$I$1,$N$1)</f>
        <v>CUSTO INSTITUCIONAL  - MESA DI FUTURES  -  JULHO/2026</v>
      </c>
      <c r="B34" s="16">
        <v>46204</v>
      </c>
      <c r="C34" s="15">
        <v>817392</v>
      </c>
      <c r="D34" s="15" t="s">
        <v>22</v>
      </c>
      <c r="E34" s="17">
        <f>K34*L34</f>
        <v>-3240.5108758730353</v>
      </c>
      <c r="F34" s="15" t="s">
        <v>9</v>
      </c>
      <c r="G34" s="16">
        <v>46204</v>
      </c>
      <c r="H34" s="15">
        <v>1170</v>
      </c>
      <c r="J34" s="18" t="s">
        <v>39</v>
      </c>
      <c r="K34" s="19">
        <v>-12962.043503492141</v>
      </c>
      <c r="L34" s="20">
        <v>0.25</v>
      </c>
    </row>
    <row r="35" spans="1:13" x14ac:dyDescent="0.25">
      <c r="A35" s="2" t="str">
        <f t="shared" si="3"/>
        <v>CUSTO INSTITUCIONAL  - MESA FX FUTURES -  JULHO/2026</v>
      </c>
      <c r="B35" s="3">
        <v>46204</v>
      </c>
      <c r="C35" s="2">
        <v>817392</v>
      </c>
      <c r="D35" s="2" t="s">
        <v>30</v>
      </c>
      <c r="E35" s="4">
        <f t="shared" si="2"/>
        <v>-3015.6591008124574</v>
      </c>
      <c r="F35" s="2" t="s">
        <v>9</v>
      </c>
      <c r="G35" s="3">
        <v>46204</v>
      </c>
      <c r="H35" s="2">
        <v>1170</v>
      </c>
      <c r="J35" s="5" t="s">
        <v>29</v>
      </c>
      <c r="K35" s="6">
        <v>-12062.63640324983</v>
      </c>
      <c r="L35" s="7">
        <v>0.25</v>
      </c>
      <c r="M35" s="27"/>
    </row>
    <row r="36" spans="1:13" x14ac:dyDescent="0.25">
      <c r="A36" s="2" t="str">
        <f t="shared" si="3"/>
        <v>CUSTO INSTITUCIONAL  - MESA FX FUTURES -  JULHO/2026</v>
      </c>
      <c r="B36" s="3">
        <v>46204</v>
      </c>
      <c r="C36" s="2">
        <v>817392</v>
      </c>
      <c r="D36" s="2" t="s">
        <v>31</v>
      </c>
      <c r="E36" s="4">
        <f t="shared" si="2"/>
        <v>-3015.6591008124574</v>
      </c>
      <c r="F36" s="2" t="s">
        <v>9</v>
      </c>
      <c r="G36" s="3">
        <v>46204</v>
      </c>
      <c r="H36" s="2">
        <v>1170</v>
      </c>
      <c r="I36" s="2"/>
      <c r="J36" s="5" t="s">
        <v>29</v>
      </c>
      <c r="K36" s="6">
        <v>-12062.63640324983</v>
      </c>
      <c r="L36" s="7">
        <v>0.25</v>
      </c>
    </row>
    <row r="37" spans="1:13" x14ac:dyDescent="0.25">
      <c r="A37" s="2" t="str">
        <f t="shared" si="3"/>
        <v>CUSTO INSTITUCIONAL  - MESA FX FUTURES -  JULHO/2026</v>
      </c>
      <c r="B37" s="3">
        <v>46204</v>
      </c>
      <c r="C37" s="2">
        <v>817392</v>
      </c>
      <c r="D37" s="2" t="s">
        <v>53</v>
      </c>
      <c r="E37" s="4">
        <f t="shared" si="2"/>
        <v>-3015.6591008124574</v>
      </c>
      <c r="F37" s="2" t="s">
        <v>9</v>
      </c>
      <c r="G37" s="3">
        <v>46204</v>
      </c>
      <c r="H37" s="2">
        <v>1170</v>
      </c>
      <c r="I37" s="2"/>
      <c r="J37" s="5" t="s">
        <v>29</v>
      </c>
      <c r="K37" s="6">
        <v>-12062.63640324983</v>
      </c>
      <c r="L37" s="7">
        <v>0.25</v>
      </c>
    </row>
    <row r="38" spans="1:13" x14ac:dyDescent="0.25">
      <c r="A38" s="15" t="str">
        <f t="shared" si="3"/>
        <v>CUSTO INSTITUCIONAL  - MESA FX FUTURES -  JULHO/2026</v>
      </c>
      <c r="B38" s="16">
        <v>46204</v>
      </c>
      <c r="C38" s="15">
        <v>817392</v>
      </c>
      <c r="D38" s="15" t="s">
        <v>32</v>
      </c>
      <c r="E38" s="17">
        <f t="shared" si="2"/>
        <v>-3015.6591008124574</v>
      </c>
      <c r="F38" s="15" t="s">
        <v>9</v>
      </c>
      <c r="G38" s="16">
        <v>46204</v>
      </c>
      <c r="H38" s="15">
        <v>1170</v>
      </c>
      <c r="I38" s="2"/>
      <c r="J38" s="18" t="s">
        <v>29</v>
      </c>
      <c r="K38" s="19">
        <v>-12062.63640324983</v>
      </c>
      <c r="L38" s="20">
        <v>0.25</v>
      </c>
    </row>
    <row r="39" spans="1:13" x14ac:dyDescent="0.25">
      <c r="A39" s="15" t="str">
        <f t="shared" si="3"/>
        <v>CUSTO INSTITUCIONAL  - MESA NDF OFFSHORE -  JULHO/2026</v>
      </c>
      <c r="B39" s="25">
        <v>46204</v>
      </c>
      <c r="C39" s="15">
        <v>817392</v>
      </c>
      <c r="D39" s="15" t="s">
        <v>64</v>
      </c>
      <c r="E39" s="17">
        <f t="shared" si="2"/>
        <v>-9986.0641276903734</v>
      </c>
      <c r="F39" s="15" t="s">
        <v>9</v>
      </c>
      <c r="G39" s="16">
        <v>46204</v>
      </c>
      <c r="H39" s="15">
        <v>1170</v>
      </c>
      <c r="I39" s="2"/>
      <c r="J39" s="18" t="s">
        <v>48</v>
      </c>
      <c r="K39" s="19">
        <v>-9986.0641276903734</v>
      </c>
      <c r="L39" s="20">
        <v>1</v>
      </c>
    </row>
  </sheetData>
  <autoFilter ref="A1:N1" xr:uid="{2FE869A7-BB24-4073-9535-98469A614E5D}"/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JAN</vt:lpstr>
      <vt:lpstr>FEV</vt:lpstr>
      <vt:lpstr>MAR</vt:lpstr>
      <vt:lpstr>ABR</vt:lpstr>
      <vt:lpstr>MAI</vt:lpstr>
      <vt:lpstr>JUN</vt:lpstr>
      <vt:lpstr>JUL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Collete, Giovana</dc:creator>
  <cp:lastModifiedBy>Silva, Keity</cp:lastModifiedBy>
  <dcterms:created xsi:type="dcterms:W3CDTF">2021-03-03T15:51:11Z</dcterms:created>
  <dcterms:modified xsi:type="dcterms:W3CDTF">2026-09-03T18:51:52Z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