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X:\Gerencial\Mensal\2026\Custos\Offshore\"/>
    </mc:Choice>
  </mc:AlternateContent>
  <xr:revisionPtr revIDLastSave="0" documentId="13_ncr:1_{AE059981-8049-4BE1-98A3-9E0D8047A52D}" xr6:coauthVersionLast="47" xr6:coauthVersionMax="47" xr10:uidLastSave="{00000000-0000-0000-0000-000000000000}"/>
  <bookViews>
    <workbookView xWindow="-120" yWindow="-16320" windowWidth="29040" windowHeight="15720" activeTab="5" xr2:uid="{41633B5C-04CF-421D-91CB-0DAD0A056F4F}"/>
  </bookViews>
  <sheets>
    <sheet name="JAN" sheetId="53" r:id="rId1"/>
    <sheet name="FEV" sheetId="54" r:id="rId2"/>
    <sheet name="MAR" sheetId="55" r:id="rId3"/>
    <sheet name="ABR" sheetId="56" r:id="rId4"/>
    <sheet name="MAI" sheetId="57" r:id="rId5"/>
    <sheet name="JUN" sheetId="58" r:id="rId6"/>
  </sheets>
  <definedNames>
    <definedName name="_xlnm._FilterDatabase" localSheetId="3" hidden="1">ABR!$A$1:$Q$143</definedName>
    <definedName name="_xlnm._FilterDatabase" localSheetId="1" hidden="1">FEV!$A$1:$Q$130</definedName>
    <definedName name="_xlnm._FilterDatabase" localSheetId="0" hidden="1">JAN!$A$1:$Q$137</definedName>
    <definedName name="_xlnm._FilterDatabase" localSheetId="5" hidden="1">JUN!$A$1:$Q$143</definedName>
    <definedName name="_xlnm._FilterDatabase" localSheetId="4" hidden="1">MAI!$A$1:$Q$143</definedName>
    <definedName name="_xlnm._FilterDatabase" localSheetId="2" hidden="1">MAR!$A$1:$Q$136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57" l="1"/>
  <c r="L143" i="58" l="1"/>
  <c r="E143" i="58" s="1"/>
  <c r="A143" i="58"/>
  <c r="L142" i="58"/>
  <c r="E142" i="58" s="1"/>
  <c r="A142" i="58"/>
  <c r="L141" i="58"/>
  <c r="E141" i="58" s="1"/>
  <c r="A141" i="58"/>
  <c r="L140" i="58"/>
  <c r="E140" i="58"/>
  <c r="A140" i="58"/>
  <c r="L139" i="58"/>
  <c r="E139" i="58" s="1"/>
  <c r="A139" i="58"/>
  <c r="L138" i="58"/>
  <c r="E138" i="58" s="1"/>
  <c r="A138" i="58"/>
  <c r="L137" i="58"/>
  <c r="E137" i="58" s="1"/>
  <c r="A137" i="58"/>
  <c r="L136" i="58"/>
  <c r="E136" i="58" s="1"/>
  <c r="A136" i="58"/>
  <c r="L135" i="58"/>
  <c r="E135" i="58"/>
  <c r="A135" i="58"/>
  <c r="L134" i="58"/>
  <c r="E134" i="58"/>
  <c r="A134" i="58"/>
  <c r="L133" i="58"/>
  <c r="E133" i="58" s="1"/>
  <c r="A133" i="58"/>
  <c r="L132" i="58"/>
  <c r="E132" i="58" s="1"/>
  <c r="A132" i="58"/>
  <c r="L131" i="58"/>
  <c r="E131" i="58" s="1"/>
  <c r="A131" i="58"/>
  <c r="L130" i="58"/>
  <c r="E130" i="58" s="1"/>
  <c r="A130" i="58"/>
  <c r="L129" i="58"/>
  <c r="E129" i="58"/>
  <c r="A129" i="58"/>
  <c r="L128" i="58"/>
  <c r="E128" i="58"/>
  <c r="A128" i="58"/>
  <c r="L127" i="58"/>
  <c r="E127" i="58" s="1"/>
  <c r="A127" i="58"/>
  <c r="L126" i="58"/>
  <c r="E126" i="58" s="1"/>
  <c r="A126" i="58"/>
  <c r="L125" i="58"/>
  <c r="E125" i="58"/>
  <c r="A125" i="58"/>
  <c r="L124" i="58"/>
  <c r="E124" i="58" s="1"/>
  <c r="A124" i="58"/>
  <c r="L123" i="58"/>
  <c r="E123" i="58"/>
  <c r="A123" i="58"/>
  <c r="L122" i="58"/>
  <c r="E122" i="58" s="1"/>
  <c r="A122" i="58"/>
  <c r="L121" i="58"/>
  <c r="E121" i="58"/>
  <c r="A121" i="58"/>
  <c r="L120" i="58"/>
  <c r="E120" i="58" s="1"/>
  <c r="A120" i="58"/>
  <c r="L119" i="58"/>
  <c r="E119" i="58"/>
  <c r="A119" i="58"/>
  <c r="L118" i="58"/>
  <c r="E118" i="58" s="1"/>
  <c r="A118" i="58"/>
  <c r="L117" i="58"/>
  <c r="E117" i="58" s="1"/>
  <c r="A117" i="58"/>
  <c r="L116" i="58"/>
  <c r="E116" i="58" s="1"/>
  <c r="A116" i="58"/>
  <c r="L115" i="58"/>
  <c r="E115" i="58" s="1"/>
  <c r="A115" i="58"/>
  <c r="L114" i="58"/>
  <c r="E114" i="58" s="1"/>
  <c r="A114" i="58"/>
  <c r="L113" i="58"/>
  <c r="E113" i="58" s="1"/>
  <c r="A113" i="58"/>
  <c r="L112" i="58"/>
  <c r="E112" i="58" s="1"/>
  <c r="A112" i="58"/>
  <c r="L111" i="58"/>
  <c r="E111" i="58" s="1"/>
  <c r="A111" i="58"/>
  <c r="L110" i="58"/>
  <c r="E110" i="58" s="1"/>
  <c r="A110" i="58"/>
  <c r="L109" i="58"/>
  <c r="E109" i="58"/>
  <c r="A109" i="58"/>
  <c r="L108" i="58"/>
  <c r="E108" i="58"/>
  <c r="A108" i="58"/>
  <c r="L107" i="58"/>
  <c r="E107" i="58" s="1"/>
  <c r="A107" i="58"/>
  <c r="L106" i="58"/>
  <c r="E106" i="58" s="1"/>
  <c r="A106" i="58"/>
  <c r="L105" i="58"/>
  <c r="E105" i="58" s="1"/>
  <c r="A105" i="58"/>
  <c r="L104" i="58"/>
  <c r="E104" i="58" s="1"/>
  <c r="A104" i="58"/>
  <c r="L103" i="58"/>
  <c r="E103" i="58" s="1"/>
  <c r="A103" i="58"/>
  <c r="L102" i="58"/>
  <c r="E102" i="58" s="1"/>
  <c r="A102" i="58"/>
  <c r="L101" i="58"/>
  <c r="E101" i="58" s="1"/>
  <c r="A101" i="58"/>
  <c r="L100" i="58"/>
  <c r="E100" i="58" s="1"/>
  <c r="A100" i="58"/>
  <c r="L99" i="58"/>
  <c r="E99" i="58" s="1"/>
  <c r="A99" i="58"/>
  <c r="L98" i="58"/>
  <c r="E98" i="58"/>
  <c r="A98" i="58"/>
  <c r="L97" i="58"/>
  <c r="E97" i="58" s="1"/>
  <c r="A97" i="58"/>
  <c r="L96" i="58"/>
  <c r="E96" i="58" s="1"/>
  <c r="A96" i="58"/>
  <c r="L95" i="58"/>
  <c r="E95" i="58"/>
  <c r="A95" i="58"/>
  <c r="L94" i="58"/>
  <c r="E94" i="58" s="1"/>
  <c r="A94" i="58"/>
  <c r="L93" i="58"/>
  <c r="E93" i="58" s="1"/>
  <c r="A93" i="58"/>
  <c r="L92" i="58"/>
  <c r="E92" i="58" s="1"/>
  <c r="A92" i="58"/>
  <c r="L91" i="58"/>
  <c r="E91" i="58" s="1"/>
  <c r="A91" i="58"/>
  <c r="L90" i="58"/>
  <c r="E90" i="58" s="1"/>
  <c r="A90" i="58"/>
  <c r="L89" i="58"/>
  <c r="E89" i="58" s="1"/>
  <c r="A89" i="58"/>
  <c r="L88" i="58"/>
  <c r="E88" i="58" s="1"/>
  <c r="A88" i="58"/>
  <c r="L87" i="58"/>
  <c r="E87" i="58" s="1"/>
  <c r="A87" i="58"/>
  <c r="L86" i="58"/>
  <c r="E86" i="58" s="1"/>
  <c r="A86" i="58"/>
  <c r="L85" i="58"/>
  <c r="E85" i="58" s="1"/>
  <c r="A85" i="58"/>
  <c r="L84" i="58"/>
  <c r="E84" i="58" s="1"/>
  <c r="A84" i="58"/>
  <c r="L83" i="58"/>
  <c r="E83" i="58" s="1"/>
  <c r="A83" i="58"/>
  <c r="L82" i="58"/>
  <c r="E82" i="58" s="1"/>
  <c r="A82" i="58"/>
  <c r="L81" i="58"/>
  <c r="E81" i="58" s="1"/>
  <c r="A81" i="58"/>
  <c r="L80" i="58"/>
  <c r="E80" i="58" s="1"/>
  <c r="A80" i="58"/>
  <c r="L79" i="58"/>
  <c r="E79" i="58" s="1"/>
  <c r="A79" i="58"/>
  <c r="L78" i="58"/>
  <c r="E78" i="58"/>
  <c r="A78" i="58"/>
  <c r="L77" i="58"/>
  <c r="E77" i="58" s="1"/>
  <c r="A77" i="58"/>
  <c r="L76" i="58"/>
  <c r="E76" i="58" s="1"/>
  <c r="A76" i="58"/>
  <c r="L75" i="58"/>
  <c r="E75" i="58" s="1"/>
  <c r="A75" i="58"/>
  <c r="L74" i="58"/>
  <c r="E74" i="58" s="1"/>
  <c r="A74" i="58"/>
  <c r="L73" i="58"/>
  <c r="E73" i="58" s="1"/>
  <c r="A73" i="58"/>
  <c r="L72" i="58"/>
  <c r="E72" i="58" s="1"/>
  <c r="A72" i="58"/>
  <c r="L71" i="58"/>
  <c r="E71" i="58" s="1"/>
  <c r="A71" i="58"/>
  <c r="L70" i="58"/>
  <c r="E70" i="58" s="1"/>
  <c r="A70" i="58"/>
  <c r="L69" i="58"/>
  <c r="E69" i="58" s="1"/>
  <c r="A69" i="58"/>
  <c r="L68" i="58"/>
  <c r="E68" i="58"/>
  <c r="A68" i="58"/>
  <c r="L67" i="58"/>
  <c r="E67" i="58" s="1"/>
  <c r="A67" i="58"/>
  <c r="L66" i="58"/>
  <c r="E66" i="58"/>
  <c r="A66" i="58"/>
  <c r="L65" i="58"/>
  <c r="E65" i="58" s="1"/>
  <c r="A65" i="58"/>
  <c r="L64" i="58"/>
  <c r="E64" i="58"/>
  <c r="A64" i="58"/>
  <c r="L63" i="58"/>
  <c r="E63" i="58" s="1"/>
  <c r="A63" i="58"/>
  <c r="L62" i="58"/>
  <c r="E62" i="58" s="1"/>
  <c r="A62" i="58"/>
  <c r="L61" i="58"/>
  <c r="E61" i="58"/>
  <c r="A61" i="58"/>
  <c r="L60" i="58"/>
  <c r="E60" i="58" s="1"/>
  <c r="A60" i="58"/>
  <c r="L59" i="58"/>
  <c r="E59" i="58"/>
  <c r="A59" i="58"/>
  <c r="L58" i="58"/>
  <c r="E58" i="58"/>
  <c r="A58" i="58"/>
  <c r="L57" i="58"/>
  <c r="E57" i="58"/>
  <c r="A57" i="58"/>
  <c r="L56" i="58"/>
  <c r="E56" i="58" s="1"/>
  <c r="A56" i="58"/>
  <c r="L55" i="58"/>
  <c r="E55" i="58"/>
  <c r="A55" i="58"/>
  <c r="L54" i="58"/>
  <c r="E54" i="58" s="1"/>
  <c r="A54" i="58"/>
  <c r="L53" i="58"/>
  <c r="E53" i="58"/>
  <c r="A53" i="58"/>
  <c r="L52" i="58"/>
  <c r="E52" i="58" s="1"/>
  <c r="A52" i="58"/>
  <c r="L51" i="58"/>
  <c r="E51" i="58" s="1"/>
  <c r="A51" i="58"/>
  <c r="L50" i="58"/>
  <c r="E50" i="58"/>
  <c r="A50" i="58"/>
  <c r="L49" i="58"/>
  <c r="E49" i="58" s="1"/>
  <c r="A49" i="58"/>
  <c r="L48" i="58"/>
  <c r="E48" i="58"/>
  <c r="A48" i="58"/>
  <c r="L47" i="58"/>
  <c r="E47" i="58"/>
  <c r="A47" i="58"/>
  <c r="L46" i="58"/>
  <c r="E46" i="58" s="1"/>
  <c r="A46" i="58"/>
  <c r="L45" i="58"/>
  <c r="E45" i="58" s="1"/>
  <c r="A45" i="58"/>
  <c r="L44" i="58"/>
  <c r="E44" i="58" s="1"/>
  <c r="A44" i="58"/>
  <c r="L43" i="58"/>
  <c r="E43" i="58"/>
  <c r="A43" i="58"/>
  <c r="L42" i="58"/>
  <c r="E42" i="58"/>
  <c r="A42" i="58"/>
  <c r="L41" i="58"/>
  <c r="E41" i="58" s="1"/>
  <c r="A41" i="58"/>
  <c r="L40" i="58"/>
  <c r="E40" i="58" s="1"/>
  <c r="A40" i="58"/>
  <c r="L39" i="58"/>
  <c r="E39" i="58" s="1"/>
  <c r="A39" i="58"/>
  <c r="L38" i="58"/>
  <c r="E38" i="58"/>
  <c r="A38" i="58"/>
  <c r="L37" i="58"/>
  <c r="E37" i="58"/>
  <c r="A37" i="58"/>
  <c r="L36" i="58"/>
  <c r="E36" i="58" s="1"/>
  <c r="A36" i="58"/>
  <c r="L35" i="58"/>
  <c r="E35" i="58" s="1"/>
  <c r="A35" i="58"/>
  <c r="L34" i="58"/>
  <c r="E34" i="58"/>
  <c r="A34" i="58"/>
  <c r="L33" i="58"/>
  <c r="E33" i="58"/>
  <c r="A33" i="58"/>
  <c r="L32" i="58"/>
  <c r="E32" i="58"/>
  <c r="A32" i="58"/>
  <c r="L31" i="58"/>
  <c r="E31" i="58" s="1"/>
  <c r="A31" i="58"/>
  <c r="L30" i="58"/>
  <c r="E30" i="58" s="1"/>
  <c r="A30" i="58"/>
  <c r="L29" i="58"/>
  <c r="E29" i="58" s="1"/>
  <c r="A29" i="58"/>
  <c r="L28" i="58"/>
  <c r="E28" i="58" s="1"/>
  <c r="A28" i="58"/>
  <c r="L27" i="58"/>
  <c r="E27" i="58" s="1"/>
  <c r="A27" i="58"/>
  <c r="L26" i="58"/>
  <c r="E26" i="58" s="1"/>
  <c r="A26" i="58"/>
  <c r="L25" i="58"/>
  <c r="E25" i="58" s="1"/>
  <c r="A25" i="58"/>
  <c r="L24" i="58"/>
  <c r="E24" i="58"/>
  <c r="A24" i="58"/>
  <c r="L23" i="58"/>
  <c r="E23" i="58" s="1"/>
  <c r="A23" i="58"/>
  <c r="L22" i="58"/>
  <c r="E22" i="58"/>
  <c r="A22" i="58"/>
  <c r="L21" i="58"/>
  <c r="E21" i="58" s="1"/>
  <c r="A21" i="58"/>
  <c r="L20" i="58"/>
  <c r="E20" i="58"/>
  <c r="A20" i="58"/>
  <c r="L19" i="58"/>
  <c r="E19" i="58"/>
  <c r="A19" i="58"/>
  <c r="L18" i="58"/>
  <c r="E18" i="58" s="1"/>
  <c r="A18" i="58"/>
  <c r="L17" i="58"/>
  <c r="E17" i="58" s="1"/>
  <c r="A17" i="58"/>
  <c r="L16" i="58"/>
  <c r="E16" i="58"/>
  <c r="A16" i="58"/>
  <c r="L15" i="58"/>
  <c r="E15" i="58" s="1"/>
  <c r="A15" i="58"/>
  <c r="L14" i="58"/>
  <c r="E14" i="58" s="1"/>
  <c r="A14" i="58"/>
  <c r="L13" i="58"/>
  <c r="E13" i="58" s="1"/>
  <c r="A13" i="58"/>
  <c r="L12" i="58"/>
  <c r="E12" i="58" s="1"/>
  <c r="A12" i="58"/>
  <c r="L11" i="58"/>
  <c r="E11" i="58"/>
  <c r="A11" i="58"/>
  <c r="L10" i="58"/>
  <c r="E10" i="58"/>
  <c r="A10" i="58"/>
  <c r="L9" i="58"/>
  <c r="E9" i="58"/>
  <c r="A9" i="58"/>
  <c r="L8" i="58"/>
  <c r="E8" i="58" s="1"/>
  <c r="A8" i="58"/>
  <c r="L7" i="58"/>
  <c r="E7" i="58" s="1"/>
  <c r="A7" i="58"/>
  <c r="L6" i="58"/>
  <c r="E6" i="58"/>
  <c r="A6" i="58"/>
  <c r="L5" i="58"/>
  <c r="E5" i="58" s="1"/>
  <c r="A5" i="58"/>
  <c r="L4" i="58"/>
  <c r="E4" i="58" s="1"/>
  <c r="A4" i="58"/>
  <c r="L3" i="58"/>
  <c r="E3" i="58" s="1"/>
  <c r="A3" i="58"/>
  <c r="L2" i="58"/>
  <c r="E2" i="58" s="1"/>
  <c r="A2" i="58"/>
  <c r="L143" i="57"/>
  <c r="E143" i="57" s="1"/>
  <c r="A143" i="57"/>
  <c r="L142" i="57"/>
  <c r="E142" i="57" s="1"/>
  <c r="A142" i="57"/>
  <c r="L141" i="57"/>
  <c r="E141" i="57" s="1"/>
  <c r="A141" i="57"/>
  <c r="L140" i="57"/>
  <c r="E140" i="57" s="1"/>
  <c r="A140" i="57"/>
  <c r="L139" i="57"/>
  <c r="E139" i="57" s="1"/>
  <c r="A139" i="57"/>
  <c r="L138" i="57"/>
  <c r="E138" i="57" s="1"/>
  <c r="A138" i="57"/>
  <c r="L137" i="57"/>
  <c r="E137" i="57"/>
  <c r="A137" i="57"/>
  <c r="L136" i="57"/>
  <c r="E136" i="57" s="1"/>
  <c r="A136" i="57"/>
  <c r="L135" i="57"/>
  <c r="E135" i="57" s="1"/>
  <c r="A135" i="57"/>
  <c r="L134" i="57"/>
  <c r="E134" i="57"/>
  <c r="A134" i="57"/>
  <c r="L133" i="57"/>
  <c r="E133" i="57"/>
  <c r="A133" i="57"/>
  <c r="L132" i="57"/>
  <c r="E132" i="57" s="1"/>
  <c r="A132" i="57"/>
  <c r="L131" i="57"/>
  <c r="E131" i="57" s="1"/>
  <c r="A131" i="57"/>
  <c r="L130" i="57"/>
  <c r="E130" i="57" s="1"/>
  <c r="A130" i="57"/>
  <c r="L129" i="57"/>
  <c r="E129" i="57"/>
  <c r="A129" i="57"/>
  <c r="L128" i="57"/>
  <c r="E128" i="57" s="1"/>
  <c r="A128" i="57"/>
  <c r="L127" i="57"/>
  <c r="E127" i="57" s="1"/>
  <c r="A127" i="57"/>
  <c r="L126" i="57"/>
  <c r="E126" i="57" s="1"/>
  <c r="A126" i="57"/>
  <c r="L125" i="57"/>
  <c r="E125" i="57" s="1"/>
  <c r="A125" i="57"/>
  <c r="L124" i="57"/>
  <c r="E124" i="57" s="1"/>
  <c r="A124" i="57"/>
  <c r="L123" i="57"/>
  <c r="E123" i="57"/>
  <c r="A123" i="57"/>
  <c r="L122" i="57"/>
  <c r="E122" i="57"/>
  <c r="A122" i="57"/>
  <c r="L121" i="57"/>
  <c r="E121" i="57" s="1"/>
  <c r="A121" i="57"/>
  <c r="L120" i="57"/>
  <c r="E120" i="57" s="1"/>
  <c r="A120" i="57"/>
  <c r="L119" i="57"/>
  <c r="E119" i="57" s="1"/>
  <c r="A119" i="57"/>
  <c r="L118" i="57"/>
  <c r="E118" i="57" s="1"/>
  <c r="A118" i="57"/>
  <c r="L117" i="57"/>
  <c r="E117" i="57" s="1"/>
  <c r="A117" i="57"/>
  <c r="L116" i="57"/>
  <c r="E116" i="57" s="1"/>
  <c r="A116" i="57"/>
  <c r="L115" i="57"/>
  <c r="E115" i="57" s="1"/>
  <c r="A115" i="57"/>
  <c r="L114" i="57"/>
  <c r="E114" i="57" s="1"/>
  <c r="A114" i="57"/>
  <c r="L113" i="57"/>
  <c r="E113" i="57"/>
  <c r="A113" i="57"/>
  <c r="L112" i="57"/>
  <c r="E112" i="57" s="1"/>
  <c r="A112" i="57"/>
  <c r="L111" i="57"/>
  <c r="E111" i="57" s="1"/>
  <c r="A111" i="57"/>
  <c r="L110" i="57"/>
  <c r="E110" i="57" s="1"/>
  <c r="A110" i="57"/>
  <c r="L109" i="57"/>
  <c r="E109" i="57" s="1"/>
  <c r="A109" i="57"/>
  <c r="L108" i="57"/>
  <c r="E108" i="57" s="1"/>
  <c r="A108" i="57"/>
  <c r="L107" i="57"/>
  <c r="E107" i="57" s="1"/>
  <c r="A107" i="57"/>
  <c r="L106" i="57"/>
  <c r="E106" i="57" s="1"/>
  <c r="A106" i="57"/>
  <c r="L105" i="57"/>
  <c r="E105" i="57"/>
  <c r="A105" i="57"/>
  <c r="L104" i="57"/>
  <c r="E104" i="57" s="1"/>
  <c r="A104" i="57"/>
  <c r="L103" i="57"/>
  <c r="E103" i="57" s="1"/>
  <c r="A103" i="57"/>
  <c r="L102" i="57"/>
  <c r="E102" i="57"/>
  <c r="A102" i="57"/>
  <c r="L101" i="57"/>
  <c r="E101" i="57" s="1"/>
  <c r="A101" i="57"/>
  <c r="L100" i="57"/>
  <c r="E100" i="57" s="1"/>
  <c r="A100" i="57"/>
  <c r="L99" i="57"/>
  <c r="E99" i="57" s="1"/>
  <c r="A99" i="57"/>
  <c r="L98" i="57"/>
  <c r="E98" i="57" s="1"/>
  <c r="A98" i="57"/>
  <c r="L97" i="57"/>
  <c r="E97" i="57" s="1"/>
  <c r="A97" i="57"/>
  <c r="L96" i="57"/>
  <c r="E96" i="57" s="1"/>
  <c r="A96" i="57"/>
  <c r="L95" i="57"/>
  <c r="E95" i="57" s="1"/>
  <c r="A95" i="57"/>
  <c r="L94" i="57"/>
  <c r="E94" i="57"/>
  <c r="A94" i="57"/>
  <c r="L93" i="57"/>
  <c r="E93" i="57" s="1"/>
  <c r="A93" i="57"/>
  <c r="L92" i="57"/>
  <c r="E92" i="57" s="1"/>
  <c r="A92" i="57"/>
  <c r="L91" i="57"/>
  <c r="E91" i="57" s="1"/>
  <c r="A91" i="57"/>
  <c r="L90" i="57"/>
  <c r="E90" i="57" s="1"/>
  <c r="A90" i="57"/>
  <c r="L89" i="57"/>
  <c r="E89" i="57" s="1"/>
  <c r="A89" i="57"/>
  <c r="L88" i="57"/>
  <c r="E88" i="57"/>
  <c r="A88" i="57"/>
  <c r="L87" i="57"/>
  <c r="E87" i="57" s="1"/>
  <c r="A87" i="57"/>
  <c r="L86" i="57"/>
  <c r="E86" i="57" s="1"/>
  <c r="A86" i="57"/>
  <c r="L85" i="57"/>
  <c r="E85" i="57"/>
  <c r="A85" i="57"/>
  <c r="L84" i="57"/>
  <c r="E84" i="57" s="1"/>
  <c r="A84" i="57"/>
  <c r="L83" i="57"/>
  <c r="E83" i="57" s="1"/>
  <c r="A83" i="57"/>
  <c r="L82" i="57"/>
  <c r="E82" i="57" s="1"/>
  <c r="A82" i="57"/>
  <c r="L81" i="57"/>
  <c r="E81" i="57" s="1"/>
  <c r="A81" i="57"/>
  <c r="L80" i="57"/>
  <c r="E80" i="57"/>
  <c r="A80" i="57"/>
  <c r="L79" i="57"/>
  <c r="E79" i="57" s="1"/>
  <c r="A79" i="57"/>
  <c r="L78" i="57"/>
  <c r="E78" i="57" s="1"/>
  <c r="A78" i="57"/>
  <c r="L77" i="57"/>
  <c r="E77" i="57"/>
  <c r="A77" i="57"/>
  <c r="L76" i="57"/>
  <c r="E76" i="57" s="1"/>
  <c r="A76" i="57"/>
  <c r="L75" i="57"/>
  <c r="E75" i="57" s="1"/>
  <c r="A75" i="57"/>
  <c r="L74" i="57"/>
  <c r="E74" i="57"/>
  <c r="A74" i="57"/>
  <c r="L73" i="57"/>
  <c r="E73" i="57"/>
  <c r="A73" i="57"/>
  <c r="L72" i="57"/>
  <c r="E72" i="57" s="1"/>
  <c r="A72" i="57"/>
  <c r="L71" i="57"/>
  <c r="E71" i="57"/>
  <c r="A71" i="57"/>
  <c r="L70" i="57"/>
  <c r="E70" i="57" s="1"/>
  <c r="A70" i="57"/>
  <c r="L69" i="57"/>
  <c r="E69" i="57" s="1"/>
  <c r="A69" i="57"/>
  <c r="L68" i="57"/>
  <c r="E68" i="57" s="1"/>
  <c r="A68" i="57"/>
  <c r="L67" i="57"/>
  <c r="E67" i="57" s="1"/>
  <c r="A67" i="57"/>
  <c r="L66" i="57"/>
  <c r="E66" i="57" s="1"/>
  <c r="A66" i="57"/>
  <c r="L65" i="57"/>
  <c r="E65" i="57" s="1"/>
  <c r="A65" i="57"/>
  <c r="L64" i="57"/>
  <c r="E64" i="57" s="1"/>
  <c r="A64" i="57"/>
  <c r="L63" i="57"/>
  <c r="E63" i="57" s="1"/>
  <c r="A63" i="57"/>
  <c r="L62" i="57"/>
  <c r="E62" i="57" s="1"/>
  <c r="A62" i="57"/>
  <c r="L61" i="57"/>
  <c r="E61" i="57" s="1"/>
  <c r="A61" i="57"/>
  <c r="L60" i="57"/>
  <c r="E60" i="57"/>
  <c r="A60" i="57"/>
  <c r="L59" i="57"/>
  <c r="E59" i="57"/>
  <c r="A59" i="57"/>
  <c r="L58" i="57"/>
  <c r="E58" i="57" s="1"/>
  <c r="A58" i="57"/>
  <c r="L57" i="57"/>
  <c r="E57" i="57"/>
  <c r="A57" i="57"/>
  <c r="L56" i="57"/>
  <c r="E56" i="57" s="1"/>
  <c r="A56" i="57"/>
  <c r="L55" i="57"/>
  <c r="E55" i="57" s="1"/>
  <c r="A55" i="57"/>
  <c r="L54" i="57"/>
  <c r="E54" i="57" s="1"/>
  <c r="A54" i="57"/>
  <c r="L53" i="57"/>
  <c r="E53" i="57" s="1"/>
  <c r="A53" i="57"/>
  <c r="L52" i="57"/>
  <c r="E52" i="57" s="1"/>
  <c r="A52" i="57"/>
  <c r="L51" i="57"/>
  <c r="E51" i="57" s="1"/>
  <c r="A51" i="57"/>
  <c r="L50" i="57"/>
  <c r="E50" i="57"/>
  <c r="A50" i="57"/>
  <c r="L49" i="57"/>
  <c r="E49" i="57"/>
  <c r="A49" i="57"/>
  <c r="L48" i="57"/>
  <c r="E48" i="57" s="1"/>
  <c r="A48" i="57"/>
  <c r="L47" i="57"/>
  <c r="E47" i="57" s="1"/>
  <c r="A47" i="57"/>
  <c r="L46" i="57"/>
  <c r="E46" i="57"/>
  <c r="A46" i="57"/>
  <c r="L45" i="57"/>
  <c r="E45" i="57" s="1"/>
  <c r="A45" i="57"/>
  <c r="L44" i="57"/>
  <c r="E44" i="57" s="1"/>
  <c r="A44" i="57"/>
  <c r="L43" i="57"/>
  <c r="E43" i="57"/>
  <c r="A43" i="57"/>
  <c r="L42" i="57"/>
  <c r="E42" i="57"/>
  <c r="A42" i="57"/>
  <c r="L41" i="57"/>
  <c r="E41" i="57" s="1"/>
  <c r="A41" i="57"/>
  <c r="L40" i="57"/>
  <c r="E40" i="57" s="1"/>
  <c r="A40" i="57"/>
  <c r="L39" i="57"/>
  <c r="E39" i="57" s="1"/>
  <c r="A39" i="57"/>
  <c r="L38" i="57"/>
  <c r="E38" i="57"/>
  <c r="A38" i="57"/>
  <c r="L37" i="57"/>
  <c r="E37" i="57" s="1"/>
  <c r="A37" i="57"/>
  <c r="L36" i="57"/>
  <c r="E36" i="57"/>
  <c r="A36" i="57"/>
  <c r="L35" i="57"/>
  <c r="E35" i="57" s="1"/>
  <c r="A35" i="57"/>
  <c r="L34" i="57"/>
  <c r="E34" i="57" s="1"/>
  <c r="A34" i="57"/>
  <c r="L33" i="57"/>
  <c r="E33" i="57" s="1"/>
  <c r="A33" i="57"/>
  <c r="L32" i="57"/>
  <c r="E32" i="57"/>
  <c r="A32" i="57"/>
  <c r="L31" i="57"/>
  <c r="E31" i="57" s="1"/>
  <c r="A31" i="57"/>
  <c r="L30" i="57"/>
  <c r="E30" i="57" s="1"/>
  <c r="A30" i="57"/>
  <c r="L29" i="57"/>
  <c r="E29" i="57"/>
  <c r="A29" i="57"/>
  <c r="L28" i="57"/>
  <c r="E28" i="57"/>
  <c r="A28" i="57"/>
  <c r="L27" i="57"/>
  <c r="E27" i="57" s="1"/>
  <c r="A27" i="57"/>
  <c r="L26" i="57"/>
  <c r="E26" i="57" s="1"/>
  <c r="A26" i="57"/>
  <c r="L25" i="57"/>
  <c r="E25" i="57"/>
  <c r="A25" i="57"/>
  <c r="L24" i="57"/>
  <c r="E24" i="57"/>
  <c r="A24" i="57"/>
  <c r="L23" i="57"/>
  <c r="E23" i="57" s="1"/>
  <c r="A23" i="57"/>
  <c r="L22" i="57"/>
  <c r="E22" i="57"/>
  <c r="A22" i="57"/>
  <c r="L21" i="57"/>
  <c r="E21" i="57" s="1"/>
  <c r="A21" i="57"/>
  <c r="L20" i="57"/>
  <c r="E20" i="57" s="1"/>
  <c r="A20" i="57"/>
  <c r="L19" i="57"/>
  <c r="E19" i="57" s="1"/>
  <c r="A19" i="57"/>
  <c r="L18" i="57"/>
  <c r="E18" i="57"/>
  <c r="A18" i="57"/>
  <c r="L17" i="57"/>
  <c r="E17" i="57"/>
  <c r="A17" i="57"/>
  <c r="L16" i="57"/>
  <c r="E16" i="57" s="1"/>
  <c r="A16" i="57"/>
  <c r="L15" i="57"/>
  <c r="E15" i="57" s="1"/>
  <c r="A15" i="57"/>
  <c r="L14" i="57"/>
  <c r="E14" i="57"/>
  <c r="A14" i="57"/>
  <c r="L13" i="57"/>
  <c r="E13" i="57" s="1"/>
  <c r="A13" i="57"/>
  <c r="L12" i="57"/>
  <c r="E12" i="57" s="1"/>
  <c r="A12" i="57"/>
  <c r="L11" i="57"/>
  <c r="E11" i="57" s="1"/>
  <c r="A11" i="57"/>
  <c r="L10" i="57"/>
  <c r="E10" i="57" s="1"/>
  <c r="A10" i="57"/>
  <c r="L9" i="57"/>
  <c r="E9" i="57" s="1"/>
  <c r="A9" i="57"/>
  <c r="L8" i="57"/>
  <c r="E8" i="57" s="1"/>
  <c r="A8" i="57"/>
  <c r="L7" i="57"/>
  <c r="E7" i="57" s="1"/>
  <c r="A7" i="57"/>
  <c r="L6" i="57"/>
  <c r="E6" i="57" s="1"/>
  <c r="A6" i="57"/>
  <c r="L5" i="57"/>
  <c r="E5" i="57" s="1"/>
  <c r="A5" i="57"/>
  <c r="L4" i="57"/>
  <c r="E4" i="57"/>
  <c r="A4" i="57"/>
  <c r="L3" i="57"/>
  <c r="E3" i="57"/>
  <c r="A3" i="57"/>
  <c r="L2" i="57"/>
  <c r="E2" i="57" s="1"/>
  <c r="A2" i="57"/>
  <c r="L100" i="56"/>
  <c r="E100" i="56" s="1"/>
  <c r="G100" i="56"/>
  <c r="A100" i="56"/>
  <c r="L119" i="56"/>
  <c r="E119" i="56" s="1"/>
  <c r="G119" i="56"/>
  <c r="A119" i="56"/>
  <c r="L121" i="56"/>
  <c r="E121" i="56" s="1"/>
  <c r="G121" i="56"/>
  <c r="A121" i="56"/>
  <c r="L73" i="56" l="1"/>
  <c r="E73" i="56" s="1"/>
  <c r="G73" i="56"/>
  <c r="A73" i="56"/>
  <c r="L50" i="56"/>
  <c r="E50" i="56" s="1"/>
  <c r="G50" i="56"/>
  <c r="A50" i="56"/>
  <c r="L49" i="56"/>
  <c r="E49" i="56" s="1"/>
  <c r="G49" i="56"/>
  <c r="A49" i="56"/>
  <c r="L12" i="56"/>
  <c r="E12" i="56" s="1"/>
  <c r="G12" i="56"/>
  <c r="A12" i="56"/>
  <c r="L143" i="56"/>
  <c r="E143" i="56" s="1"/>
  <c r="A143" i="56"/>
  <c r="L142" i="56"/>
  <c r="E142" i="56" s="1"/>
  <c r="A142" i="56"/>
  <c r="L141" i="56"/>
  <c r="E141" i="56"/>
  <c r="A141" i="56"/>
  <c r="L140" i="56"/>
  <c r="E140" i="56" s="1"/>
  <c r="A140" i="56"/>
  <c r="L139" i="56"/>
  <c r="E139" i="56" s="1"/>
  <c r="A139" i="56"/>
  <c r="L138" i="56"/>
  <c r="E138" i="56" s="1"/>
  <c r="G138" i="56"/>
  <c r="A138" i="56"/>
  <c r="L137" i="56"/>
  <c r="E137" i="56" s="1"/>
  <c r="G137" i="56"/>
  <c r="A137" i="56"/>
  <c r="L136" i="56"/>
  <c r="E136" i="56" s="1"/>
  <c r="G136" i="56"/>
  <c r="A136" i="56"/>
  <c r="L135" i="56"/>
  <c r="E135" i="56" s="1"/>
  <c r="G135" i="56"/>
  <c r="A135" i="56"/>
  <c r="L134" i="56"/>
  <c r="E134" i="56" s="1"/>
  <c r="G134" i="56"/>
  <c r="A134" i="56"/>
  <c r="L133" i="56"/>
  <c r="E133" i="56" s="1"/>
  <c r="G133" i="56"/>
  <c r="A133" i="56"/>
  <c r="L132" i="56"/>
  <c r="E132" i="56" s="1"/>
  <c r="G132" i="56"/>
  <c r="A132" i="56"/>
  <c r="L131" i="56"/>
  <c r="E131" i="56" s="1"/>
  <c r="G131" i="56"/>
  <c r="A131" i="56"/>
  <c r="L130" i="56"/>
  <c r="E130" i="56" s="1"/>
  <c r="G130" i="56"/>
  <c r="A130" i="56"/>
  <c r="L129" i="56"/>
  <c r="E129" i="56" s="1"/>
  <c r="G129" i="56"/>
  <c r="A129" i="56"/>
  <c r="L128" i="56"/>
  <c r="E128" i="56" s="1"/>
  <c r="G128" i="56"/>
  <c r="A128" i="56"/>
  <c r="L127" i="56"/>
  <c r="E127" i="56" s="1"/>
  <c r="G127" i="56"/>
  <c r="A127" i="56"/>
  <c r="L126" i="56"/>
  <c r="E126" i="56" s="1"/>
  <c r="G126" i="56"/>
  <c r="A126" i="56"/>
  <c r="L125" i="56"/>
  <c r="E125" i="56" s="1"/>
  <c r="G125" i="56"/>
  <c r="A125" i="56"/>
  <c r="L124" i="56"/>
  <c r="E124" i="56" s="1"/>
  <c r="G124" i="56"/>
  <c r="A124" i="56"/>
  <c r="L123" i="56"/>
  <c r="E123" i="56" s="1"/>
  <c r="G123" i="56"/>
  <c r="A123" i="56"/>
  <c r="L122" i="56"/>
  <c r="E122" i="56" s="1"/>
  <c r="G122" i="56"/>
  <c r="A122" i="56"/>
  <c r="L120" i="56"/>
  <c r="E120" i="56" s="1"/>
  <c r="G120" i="56"/>
  <c r="A120" i="56"/>
  <c r="L118" i="56"/>
  <c r="E118" i="56" s="1"/>
  <c r="G118" i="56"/>
  <c r="A118" i="56"/>
  <c r="L117" i="56"/>
  <c r="E117" i="56" s="1"/>
  <c r="G117" i="56"/>
  <c r="A117" i="56"/>
  <c r="L116" i="56"/>
  <c r="E116" i="56" s="1"/>
  <c r="G116" i="56"/>
  <c r="A116" i="56"/>
  <c r="L115" i="56"/>
  <c r="E115" i="56" s="1"/>
  <c r="G115" i="56"/>
  <c r="A115" i="56"/>
  <c r="L114" i="56"/>
  <c r="E114" i="56" s="1"/>
  <c r="G114" i="56"/>
  <c r="A114" i="56"/>
  <c r="L113" i="56"/>
  <c r="E113" i="56" s="1"/>
  <c r="G113" i="56"/>
  <c r="A113" i="56"/>
  <c r="L112" i="56"/>
  <c r="E112" i="56" s="1"/>
  <c r="G112" i="56"/>
  <c r="A112" i="56"/>
  <c r="L111" i="56"/>
  <c r="E111" i="56" s="1"/>
  <c r="G111" i="56"/>
  <c r="A111" i="56"/>
  <c r="L110" i="56"/>
  <c r="E110" i="56" s="1"/>
  <c r="G110" i="56"/>
  <c r="A110" i="56"/>
  <c r="L109" i="56"/>
  <c r="E109" i="56" s="1"/>
  <c r="G109" i="56"/>
  <c r="A109" i="56"/>
  <c r="L108" i="56"/>
  <c r="E108" i="56" s="1"/>
  <c r="G108" i="56"/>
  <c r="A108" i="56"/>
  <c r="L107" i="56"/>
  <c r="E107" i="56" s="1"/>
  <c r="G107" i="56"/>
  <c r="A107" i="56"/>
  <c r="L106" i="56"/>
  <c r="G106" i="56"/>
  <c r="E106" i="56"/>
  <c r="A106" i="56"/>
  <c r="L105" i="56"/>
  <c r="E105" i="56" s="1"/>
  <c r="G105" i="56"/>
  <c r="A105" i="56"/>
  <c r="L104" i="56"/>
  <c r="E104" i="56" s="1"/>
  <c r="G104" i="56"/>
  <c r="A104" i="56"/>
  <c r="L103" i="56"/>
  <c r="E103" i="56" s="1"/>
  <c r="G103" i="56"/>
  <c r="A103" i="56"/>
  <c r="L102" i="56"/>
  <c r="G102" i="56"/>
  <c r="E102" i="56"/>
  <c r="A102" i="56"/>
  <c r="L101" i="56"/>
  <c r="E101" i="56" s="1"/>
  <c r="G101" i="56"/>
  <c r="A101" i="56"/>
  <c r="L99" i="56"/>
  <c r="E99" i="56" s="1"/>
  <c r="G99" i="56"/>
  <c r="A99" i="56"/>
  <c r="L98" i="56"/>
  <c r="E98" i="56" s="1"/>
  <c r="G98" i="56"/>
  <c r="A98" i="56"/>
  <c r="L97" i="56"/>
  <c r="E97" i="56" s="1"/>
  <c r="G97" i="56"/>
  <c r="A97" i="56"/>
  <c r="L96" i="56"/>
  <c r="G96" i="56"/>
  <c r="E96" i="56"/>
  <c r="A96" i="56"/>
  <c r="L95" i="56"/>
  <c r="E95" i="56" s="1"/>
  <c r="G95" i="56"/>
  <c r="A95" i="56"/>
  <c r="L94" i="56"/>
  <c r="E94" i="56" s="1"/>
  <c r="G94" i="56"/>
  <c r="A94" i="56"/>
  <c r="L93" i="56"/>
  <c r="E93" i="56" s="1"/>
  <c r="G93" i="56"/>
  <c r="A93" i="56"/>
  <c r="L92" i="56"/>
  <c r="E92" i="56" s="1"/>
  <c r="G92" i="56"/>
  <c r="A92" i="56"/>
  <c r="L91" i="56"/>
  <c r="E91" i="56" s="1"/>
  <c r="G91" i="56"/>
  <c r="A91" i="56"/>
  <c r="L90" i="56"/>
  <c r="E90" i="56" s="1"/>
  <c r="G90" i="56"/>
  <c r="A90" i="56"/>
  <c r="L89" i="56"/>
  <c r="E89" i="56" s="1"/>
  <c r="G89" i="56"/>
  <c r="A89" i="56"/>
  <c r="L88" i="56"/>
  <c r="E88" i="56" s="1"/>
  <c r="G88" i="56"/>
  <c r="A88" i="56"/>
  <c r="L87" i="56"/>
  <c r="E87" i="56" s="1"/>
  <c r="G87" i="56"/>
  <c r="A87" i="56"/>
  <c r="L86" i="56"/>
  <c r="E86" i="56" s="1"/>
  <c r="G86" i="56"/>
  <c r="A86" i="56"/>
  <c r="L85" i="56"/>
  <c r="E85" i="56" s="1"/>
  <c r="G85" i="56"/>
  <c r="A85" i="56"/>
  <c r="L84" i="56"/>
  <c r="E84" i="56" s="1"/>
  <c r="G84" i="56"/>
  <c r="A84" i="56"/>
  <c r="L83" i="56"/>
  <c r="E83" i="56" s="1"/>
  <c r="G83" i="56"/>
  <c r="A83" i="56"/>
  <c r="L82" i="56"/>
  <c r="E82" i="56" s="1"/>
  <c r="G82" i="56"/>
  <c r="A82" i="56"/>
  <c r="L81" i="56"/>
  <c r="E81" i="56" s="1"/>
  <c r="G81" i="56"/>
  <c r="A81" i="56"/>
  <c r="L80" i="56"/>
  <c r="E80" i="56" s="1"/>
  <c r="G80" i="56"/>
  <c r="A80" i="56"/>
  <c r="L79" i="56"/>
  <c r="E79" i="56" s="1"/>
  <c r="G79" i="56"/>
  <c r="A79" i="56"/>
  <c r="L78" i="56"/>
  <c r="E78" i="56" s="1"/>
  <c r="G78" i="56"/>
  <c r="A78" i="56"/>
  <c r="L77" i="56"/>
  <c r="E77" i="56" s="1"/>
  <c r="G77" i="56"/>
  <c r="A77" i="56"/>
  <c r="L76" i="56"/>
  <c r="E76" i="56" s="1"/>
  <c r="G76" i="56"/>
  <c r="A76" i="56"/>
  <c r="L75" i="56"/>
  <c r="E75" i="56" s="1"/>
  <c r="G75" i="56"/>
  <c r="A75" i="56"/>
  <c r="L74" i="56"/>
  <c r="E74" i="56" s="1"/>
  <c r="G74" i="56"/>
  <c r="A74" i="56"/>
  <c r="L72" i="56"/>
  <c r="E72" i="56" s="1"/>
  <c r="G72" i="56"/>
  <c r="A72" i="56"/>
  <c r="L71" i="56"/>
  <c r="E71" i="56" s="1"/>
  <c r="G71" i="56"/>
  <c r="A71" i="56"/>
  <c r="L70" i="56"/>
  <c r="E70" i="56" s="1"/>
  <c r="G70" i="56"/>
  <c r="A70" i="56"/>
  <c r="L69" i="56"/>
  <c r="E69" i="56" s="1"/>
  <c r="G69" i="56"/>
  <c r="A69" i="56"/>
  <c r="L68" i="56"/>
  <c r="E68" i="56" s="1"/>
  <c r="G68" i="56"/>
  <c r="A68" i="56"/>
  <c r="L67" i="56"/>
  <c r="E67" i="56" s="1"/>
  <c r="G67" i="56"/>
  <c r="A67" i="56"/>
  <c r="L66" i="56"/>
  <c r="E66" i="56" s="1"/>
  <c r="G66" i="56"/>
  <c r="A66" i="56"/>
  <c r="L65" i="56"/>
  <c r="E65" i="56" s="1"/>
  <c r="G65" i="56"/>
  <c r="A65" i="56"/>
  <c r="L64" i="56"/>
  <c r="E64" i="56" s="1"/>
  <c r="G64" i="56"/>
  <c r="A64" i="56"/>
  <c r="L63" i="56"/>
  <c r="E63" i="56" s="1"/>
  <c r="G63" i="56"/>
  <c r="A63" i="56"/>
  <c r="L62" i="56"/>
  <c r="G62" i="56"/>
  <c r="E62" i="56"/>
  <c r="A62" i="56"/>
  <c r="L61" i="56"/>
  <c r="E61" i="56" s="1"/>
  <c r="G61" i="56"/>
  <c r="A61" i="56"/>
  <c r="L60" i="56"/>
  <c r="E60" i="56" s="1"/>
  <c r="G60" i="56"/>
  <c r="A60" i="56"/>
  <c r="L59" i="56"/>
  <c r="E59" i="56" s="1"/>
  <c r="G59" i="56"/>
  <c r="A59" i="56"/>
  <c r="L58" i="56"/>
  <c r="E58" i="56" s="1"/>
  <c r="G58" i="56"/>
  <c r="A58" i="56"/>
  <c r="L57" i="56"/>
  <c r="G57" i="56"/>
  <c r="E57" i="56"/>
  <c r="A57" i="56"/>
  <c r="L56" i="56"/>
  <c r="E56" i="56" s="1"/>
  <c r="G56" i="56"/>
  <c r="A56" i="56"/>
  <c r="L55" i="56"/>
  <c r="E55" i="56" s="1"/>
  <c r="G55" i="56"/>
  <c r="A55" i="56"/>
  <c r="L54" i="56"/>
  <c r="E54" i="56" s="1"/>
  <c r="G54" i="56"/>
  <c r="A54" i="56"/>
  <c r="L53" i="56"/>
  <c r="E53" i="56" s="1"/>
  <c r="G53" i="56"/>
  <c r="A53" i="56"/>
  <c r="L52" i="56"/>
  <c r="E52" i="56" s="1"/>
  <c r="G52" i="56"/>
  <c r="A52" i="56"/>
  <c r="L51" i="56"/>
  <c r="E51" i="56" s="1"/>
  <c r="G51" i="56"/>
  <c r="A51" i="56"/>
  <c r="L48" i="56"/>
  <c r="E48" i="56" s="1"/>
  <c r="G48" i="56"/>
  <c r="A48" i="56"/>
  <c r="L47" i="56"/>
  <c r="G47" i="56"/>
  <c r="E47" i="56"/>
  <c r="A47" i="56"/>
  <c r="L46" i="56"/>
  <c r="E46" i="56" s="1"/>
  <c r="G46" i="56"/>
  <c r="A46" i="56"/>
  <c r="L45" i="56"/>
  <c r="E45" i="56" s="1"/>
  <c r="G45" i="56"/>
  <c r="A45" i="56"/>
  <c r="L44" i="56"/>
  <c r="G44" i="56"/>
  <c r="E44" i="56"/>
  <c r="A44" i="56"/>
  <c r="L43" i="56"/>
  <c r="E43" i="56" s="1"/>
  <c r="G43" i="56"/>
  <c r="A43" i="56"/>
  <c r="L42" i="56"/>
  <c r="E42" i="56" s="1"/>
  <c r="G42" i="56"/>
  <c r="A42" i="56"/>
  <c r="L41" i="56"/>
  <c r="E41" i="56" s="1"/>
  <c r="G41" i="56"/>
  <c r="A41" i="56"/>
  <c r="L40" i="56"/>
  <c r="E40" i="56" s="1"/>
  <c r="G40" i="56"/>
  <c r="A40" i="56"/>
  <c r="L39" i="56"/>
  <c r="E39" i="56" s="1"/>
  <c r="G39" i="56"/>
  <c r="A39" i="56"/>
  <c r="L38" i="56"/>
  <c r="E38" i="56" s="1"/>
  <c r="G38" i="56"/>
  <c r="A38" i="56"/>
  <c r="L37" i="56"/>
  <c r="E37" i="56" s="1"/>
  <c r="G37" i="56"/>
  <c r="A37" i="56"/>
  <c r="L36" i="56"/>
  <c r="E36" i="56" s="1"/>
  <c r="G36" i="56"/>
  <c r="A36" i="56"/>
  <c r="L35" i="56"/>
  <c r="E35" i="56" s="1"/>
  <c r="G35" i="56"/>
  <c r="A35" i="56"/>
  <c r="L34" i="56"/>
  <c r="E34" i="56" s="1"/>
  <c r="G34" i="56"/>
  <c r="A34" i="56"/>
  <c r="L33" i="56"/>
  <c r="E33" i="56" s="1"/>
  <c r="G33" i="56"/>
  <c r="A33" i="56"/>
  <c r="L32" i="56"/>
  <c r="E32" i="56" s="1"/>
  <c r="G32" i="56"/>
  <c r="A32" i="56"/>
  <c r="L31" i="56"/>
  <c r="E31" i="56" s="1"/>
  <c r="G31" i="56"/>
  <c r="A31" i="56"/>
  <c r="L30" i="56"/>
  <c r="E30" i="56" s="1"/>
  <c r="G30" i="56"/>
  <c r="A30" i="56"/>
  <c r="L29" i="56"/>
  <c r="E29" i="56" s="1"/>
  <c r="G29" i="56"/>
  <c r="A29" i="56"/>
  <c r="L28" i="56"/>
  <c r="E28" i="56" s="1"/>
  <c r="G28" i="56"/>
  <c r="A28" i="56"/>
  <c r="L27" i="56"/>
  <c r="E27" i="56" s="1"/>
  <c r="G27" i="56"/>
  <c r="A27" i="56"/>
  <c r="L26" i="56"/>
  <c r="E26" i="56" s="1"/>
  <c r="G26" i="56"/>
  <c r="A26" i="56"/>
  <c r="L25" i="56"/>
  <c r="E25" i="56" s="1"/>
  <c r="G25" i="56"/>
  <c r="A25" i="56"/>
  <c r="L24" i="56"/>
  <c r="E24" i="56" s="1"/>
  <c r="G24" i="56"/>
  <c r="A24" i="56"/>
  <c r="L23" i="56"/>
  <c r="E23" i="56" s="1"/>
  <c r="G23" i="56"/>
  <c r="A23" i="56"/>
  <c r="L22" i="56"/>
  <c r="E22" i="56" s="1"/>
  <c r="G22" i="56"/>
  <c r="A22" i="56"/>
  <c r="L21" i="56"/>
  <c r="E21" i="56" s="1"/>
  <c r="G21" i="56"/>
  <c r="A21" i="56"/>
  <c r="L20" i="56"/>
  <c r="E20" i="56" s="1"/>
  <c r="G20" i="56"/>
  <c r="A20" i="56"/>
  <c r="L19" i="56"/>
  <c r="E19" i="56" s="1"/>
  <c r="G19" i="56"/>
  <c r="A19" i="56"/>
  <c r="L18" i="56"/>
  <c r="E18" i="56" s="1"/>
  <c r="G18" i="56"/>
  <c r="A18" i="56"/>
  <c r="L17" i="56"/>
  <c r="E17" i="56" s="1"/>
  <c r="G17" i="56"/>
  <c r="A17" i="56"/>
  <c r="L16" i="56"/>
  <c r="E16" i="56" s="1"/>
  <c r="G16" i="56"/>
  <c r="A16" i="56"/>
  <c r="L15" i="56"/>
  <c r="E15" i="56" s="1"/>
  <c r="G15" i="56"/>
  <c r="A15" i="56"/>
  <c r="L14" i="56"/>
  <c r="E14" i="56" s="1"/>
  <c r="G14" i="56"/>
  <c r="A14" i="56"/>
  <c r="L13" i="56"/>
  <c r="E13" i="56" s="1"/>
  <c r="G13" i="56"/>
  <c r="A13" i="56"/>
  <c r="L11" i="56"/>
  <c r="E11" i="56" s="1"/>
  <c r="G11" i="56"/>
  <c r="A11" i="56"/>
  <c r="L10" i="56"/>
  <c r="E10" i="56" s="1"/>
  <c r="G10" i="56"/>
  <c r="A10" i="56"/>
  <c r="L9" i="56"/>
  <c r="E9" i="56" s="1"/>
  <c r="G9" i="56"/>
  <c r="A9" i="56"/>
  <c r="L8" i="56"/>
  <c r="E8" i="56" s="1"/>
  <c r="G8" i="56"/>
  <c r="A8" i="56"/>
  <c r="L7" i="56"/>
  <c r="E7" i="56" s="1"/>
  <c r="G7" i="56"/>
  <c r="A7" i="56"/>
  <c r="L6" i="56"/>
  <c r="E6" i="56" s="1"/>
  <c r="G6" i="56"/>
  <c r="A6" i="56"/>
  <c r="L5" i="56"/>
  <c r="E5" i="56" s="1"/>
  <c r="G5" i="56"/>
  <c r="A5" i="56"/>
  <c r="L4" i="56"/>
  <c r="E4" i="56" s="1"/>
  <c r="G4" i="56"/>
  <c r="A4" i="56"/>
  <c r="L3" i="56"/>
  <c r="E3" i="56" s="1"/>
  <c r="G3" i="56"/>
  <c r="A3" i="56"/>
  <c r="L2" i="56"/>
  <c r="E2" i="56" s="1"/>
  <c r="G2" i="56"/>
  <c r="A2" i="56"/>
  <c r="L132" i="55"/>
  <c r="E132" i="55" s="1"/>
  <c r="A132" i="55"/>
  <c r="L126" i="54"/>
  <c r="E126" i="54" s="1"/>
  <c r="A126" i="54"/>
  <c r="L127" i="55" l="1"/>
  <c r="E127" i="55" s="1"/>
  <c r="G127" i="55"/>
  <c r="A127" i="55"/>
  <c r="L126" i="55"/>
  <c r="G126" i="55"/>
  <c r="E126" i="55"/>
  <c r="A126" i="55"/>
  <c r="L115" i="55"/>
  <c r="E115" i="55" s="1"/>
  <c r="G115" i="55"/>
  <c r="A115" i="55"/>
  <c r="L21" i="55" l="1"/>
  <c r="E21" i="55" s="1"/>
  <c r="G21" i="55"/>
  <c r="A21" i="55"/>
  <c r="L32" i="55"/>
  <c r="E32" i="55" s="1"/>
  <c r="G32" i="55"/>
  <c r="A32" i="55"/>
  <c r="L31" i="55"/>
  <c r="E31" i="55" s="1"/>
  <c r="G31" i="55"/>
  <c r="A31" i="55"/>
  <c r="L136" i="55" l="1"/>
  <c r="E136" i="55" s="1"/>
  <c r="A136" i="55"/>
  <c r="L135" i="55"/>
  <c r="E135" i="55" s="1"/>
  <c r="A135" i="55"/>
  <c r="L134" i="55"/>
  <c r="E134" i="55" s="1"/>
  <c r="A134" i="55"/>
  <c r="L133" i="55"/>
  <c r="E133" i="55" s="1"/>
  <c r="A133" i="55"/>
  <c r="L131" i="55"/>
  <c r="E131" i="55" s="1"/>
  <c r="G131" i="55"/>
  <c r="A131" i="55"/>
  <c r="L130" i="55"/>
  <c r="E130" i="55" s="1"/>
  <c r="G130" i="55"/>
  <c r="A130" i="55"/>
  <c r="L129" i="55"/>
  <c r="E129" i="55" s="1"/>
  <c r="G129" i="55"/>
  <c r="A129" i="55"/>
  <c r="L128" i="55"/>
  <c r="G128" i="55"/>
  <c r="E128" i="55"/>
  <c r="A128" i="55"/>
  <c r="L125" i="55"/>
  <c r="E125" i="55" s="1"/>
  <c r="G125" i="55"/>
  <c r="A125" i="55"/>
  <c r="L124" i="55"/>
  <c r="E124" i="55" s="1"/>
  <c r="G124" i="55"/>
  <c r="A124" i="55"/>
  <c r="L123" i="55"/>
  <c r="E123" i="55" s="1"/>
  <c r="G123" i="55"/>
  <c r="A123" i="55"/>
  <c r="L122" i="55"/>
  <c r="E122" i="55" s="1"/>
  <c r="G122" i="55"/>
  <c r="A122" i="55"/>
  <c r="L121" i="55"/>
  <c r="E121" i="55" s="1"/>
  <c r="G121" i="55"/>
  <c r="A121" i="55"/>
  <c r="L120" i="55"/>
  <c r="E120" i="55" s="1"/>
  <c r="G120" i="55"/>
  <c r="A120" i="55"/>
  <c r="L119" i="55"/>
  <c r="E119" i="55" s="1"/>
  <c r="G119" i="55"/>
  <c r="A119" i="55"/>
  <c r="L118" i="55"/>
  <c r="E118" i="55" s="1"/>
  <c r="G118" i="55"/>
  <c r="A118" i="55"/>
  <c r="L117" i="55"/>
  <c r="E117" i="55" s="1"/>
  <c r="G117" i="55"/>
  <c r="A117" i="55"/>
  <c r="L116" i="55"/>
  <c r="E116" i="55" s="1"/>
  <c r="G116" i="55"/>
  <c r="A116" i="55"/>
  <c r="L114" i="55"/>
  <c r="E114" i="55" s="1"/>
  <c r="G114" i="55"/>
  <c r="A114" i="55"/>
  <c r="L113" i="55"/>
  <c r="E113" i="55" s="1"/>
  <c r="G113" i="55"/>
  <c r="A113" i="55"/>
  <c r="L112" i="55"/>
  <c r="E112" i="55" s="1"/>
  <c r="G112" i="55"/>
  <c r="A112" i="55"/>
  <c r="L111" i="55"/>
  <c r="E111" i="55" s="1"/>
  <c r="G111" i="55"/>
  <c r="A111" i="55"/>
  <c r="L110" i="55"/>
  <c r="E110" i="55" s="1"/>
  <c r="G110" i="55"/>
  <c r="A110" i="55"/>
  <c r="L109" i="55"/>
  <c r="E109" i="55" s="1"/>
  <c r="G109" i="55"/>
  <c r="A109" i="55"/>
  <c r="L108" i="55"/>
  <c r="E108" i="55" s="1"/>
  <c r="G108" i="55"/>
  <c r="A108" i="55"/>
  <c r="L107" i="55"/>
  <c r="E107" i="55" s="1"/>
  <c r="G107" i="55"/>
  <c r="A107" i="55"/>
  <c r="L106" i="55"/>
  <c r="G106" i="55"/>
  <c r="E106" i="55"/>
  <c r="A106" i="55"/>
  <c r="L105" i="55"/>
  <c r="E105" i="55" s="1"/>
  <c r="G105" i="55"/>
  <c r="A105" i="55"/>
  <c r="L104" i="55"/>
  <c r="E104" i="55" s="1"/>
  <c r="G104" i="55"/>
  <c r="A104" i="55"/>
  <c r="L103" i="55"/>
  <c r="E103" i="55" s="1"/>
  <c r="G103" i="55"/>
  <c r="A103" i="55"/>
  <c r="L102" i="55"/>
  <c r="E102" i="55" s="1"/>
  <c r="G102" i="55"/>
  <c r="A102" i="55"/>
  <c r="L101" i="55"/>
  <c r="E101" i="55" s="1"/>
  <c r="G101" i="55"/>
  <c r="A101" i="55"/>
  <c r="L100" i="55"/>
  <c r="E100" i="55" s="1"/>
  <c r="G100" i="55"/>
  <c r="A100" i="55"/>
  <c r="L99" i="55"/>
  <c r="E99" i="55" s="1"/>
  <c r="G99" i="55"/>
  <c r="A99" i="55"/>
  <c r="L98" i="55"/>
  <c r="E98" i="55" s="1"/>
  <c r="G98" i="55"/>
  <c r="A98" i="55"/>
  <c r="L97" i="55"/>
  <c r="E97" i="55" s="1"/>
  <c r="G97" i="55"/>
  <c r="A97" i="55"/>
  <c r="L96" i="55"/>
  <c r="E96" i="55" s="1"/>
  <c r="G96" i="55"/>
  <c r="A96" i="55"/>
  <c r="L95" i="55"/>
  <c r="E95" i="55" s="1"/>
  <c r="G95" i="55"/>
  <c r="A95" i="55"/>
  <c r="L94" i="55"/>
  <c r="E94" i="55" s="1"/>
  <c r="G94" i="55"/>
  <c r="A94" i="55"/>
  <c r="L93" i="55"/>
  <c r="E93" i="55" s="1"/>
  <c r="G93" i="55"/>
  <c r="A93" i="55"/>
  <c r="L92" i="55"/>
  <c r="E92" i="55" s="1"/>
  <c r="G92" i="55"/>
  <c r="A92" i="55"/>
  <c r="L91" i="55"/>
  <c r="E91" i="55" s="1"/>
  <c r="G91" i="55"/>
  <c r="A91" i="55"/>
  <c r="L90" i="55"/>
  <c r="E90" i="55" s="1"/>
  <c r="G90" i="55"/>
  <c r="A90" i="55"/>
  <c r="L89" i="55"/>
  <c r="E89" i="55" s="1"/>
  <c r="G89" i="55"/>
  <c r="A89" i="55"/>
  <c r="L88" i="55"/>
  <c r="E88" i="55" s="1"/>
  <c r="G88" i="55"/>
  <c r="A88" i="55"/>
  <c r="L87" i="55"/>
  <c r="E87" i="55" s="1"/>
  <c r="G87" i="55"/>
  <c r="A87" i="55"/>
  <c r="L86" i="55"/>
  <c r="E86" i="55" s="1"/>
  <c r="G86" i="55"/>
  <c r="A86" i="55"/>
  <c r="L85" i="55"/>
  <c r="E85" i="55" s="1"/>
  <c r="G85" i="55"/>
  <c r="A85" i="55"/>
  <c r="L84" i="55"/>
  <c r="E84" i="55" s="1"/>
  <c r="G84" i="55"/>
  <c r="A84" i="55"/>
  <c r="L83" i="55"/>
  <c r="E83" i="55" s="1"/>
  <c r="G83" i="55"/>
  <c r="A83" i="55"/>
  <c r="L82" i="55"/>
  <c r="E82" i="55" s="1"/>
  <c r="G82" i="55"/>
  <c r="A82" i="55"/>
  <c r="L81" i="55"/>
  <c r="E81" i="55" s="1"/>
  <c r="G81" i="55"/>
  <c r="A81" i="55"/>
  <c r="L80" i="55"/>
  <c r="E80" i="55" s="1"/>
  <c r="G80" i="55"/>
  <c r="A80" i="55"/>
  <c r="L79" i="55"/>
  <c r="E79" i="55" s="1"/>
  <c r="G79" i="55"/>
  <c r="A79" i="55"/>
  <c r="L78" i="55"/>
  <c r="E78" i="55" s="1"/>
  <c r="G78" i="55"/>
  <c r="A78" i="55"/>
  <c r="L77" i="55"/>
  <c r="E77" i="55" s="1"/>
  <c r="G77" i="55"/>
  <c r="A77" i="55"/>
  <c r="L76" i="55"/>
  <c r="E76" i="55" s="1"/>
  <c r="G76" i="55"/>
  <c r="A76" i="55"/>
  <c r="L75" i="55"/>
  <c r="E75" i="55" s="1"/>
  <c r="G75" i="55"/>
  <c r="A75" i="55"/>
  <c r="L74" i="55"/>
  <c r="E74" i="55" s="1"/>
  <c r="G74" i="55"/>
  <c r="A74" i="55"/>
  <c r="L73" i="55"/>
  <c r="E73" i="55" s="1"/>
  <c r="G73" i="55"/>
  <c r="A73" i="55"/>
  <c r="L72" i="55"/>
  <c r="E72" i="55" s="1"/>
  <c r="G72" i="55"/>
  <c r="A72" i="55"/>
  <c r="L71" i="55"/>
  <c r="E71" i="55" s="1"/>
  <c r="G71" i="55"/>
  <c r="A71" i="55"/>
  <c r="L70" i="55"/>
  <c r="G70" i="55"/>
  <c r="E70" i="55"/>
  <c r="A70" i="55"/>
  <c r="L69" i="55"/>
  <c r="E69" i="55" s="1"/>
  <c r="G69" i="55"/>
  <c r="A69" i="55"/>
  <c r="L68" i="55"/>
  <c r="E68" i="55" s="1"/>
  <c r="G68" i="55"/>
  <c r="A68" i="55"/>
  <c r="L67" i="55"/>
  <c r="E67" i="55" s="1"/>
  <c r="G67" i="55"/>
  <c r="A67" i="55"/>
  <c r="L66" i="55"/>
  <c r="E66" i="55" s="1"/>
  <c r="G66" i="55"/>
  <c r="A66" i="55"/>
  <c r="L65" i="55"/>
  <c r="E65" i="55" s="1"/>
  <c r="G65" i="55"/>
  <c r="A65" i="55"/>
  <c r="L64" i="55"/>
  <c r="E64" i="55" s="1"/>
  <c r="G64" i="55"/>
  <c r="A64" i="55"/>
  <c r="L63" i="55"/>
  <c r="E63" i="55" s="1"/>
  <c r="G63" i="55"/>
  <c r="A63" i="55"/>
  <c r="L62" i="55"/>
  <c r="E62" i="55" s="1"/>
  <c r="G62" i="55"/>
  <c r="A62" i="55"/>
  <c r="L61" i="55"/>
  <c r="E61" i="55" s="1"/>
  <c r="G61" i="55"/>
  <c r="A61" i="55"/>
  <c r="L60" i="55"/>
  <c r="E60" i="55" s="1"/>
  <c r="G60" i="55"/>
  <c r="A60" i="55"/>
  <c r="L59" i="55"/>
  <c r="E59" i="55" s="1"/>
  <c r="G59" i="55"/>
  <c r="A59" i="55"/>
  <c r="L58" i="55"/>
  <c r="E58" i="55" s="1"/>
  <c r="G58" i="55"/>
  <c r="A58" i="55"/>
  <c r="L57" i="55"/>
  <c r="E57" i="55" s="1"/>
  <c r="G57" i="55"/>
  <c r="A57" i="55"/>
  <c r="L56" i="55"/>
  <c r="E56" i="55" s="1"/>
  <c r="G56" i="55"/>
  <c r="A56" i="55"/>
  <c r="L55" i="55"/>
  <c r="E55" i="55" s="1"/>
  <c r="G55" i="55"/>
  <c r="A55" i="55"/>
  <c r="L54" i="55"/>
  <c r="E54" i="55" s="1"/>
  <c r="G54" i="55"/>
  <c r="A54" i="55"/>
  <c r="L53" i="55"/>
  <c r="E53" i="55" s="1"/>
  <c r="G53" i="55"/>
  <c r="A53" i="55"/>
  <c r="L52" i="55"/>
  <c r="E52" i="55" s="1"/>
  <c r="G52" i="55"/>
  <c r="A52" i="55"/>
  <c r="L51" i="55"/>
  <c r="E51" i="55" s="1"/>
  <c r="G51" i="55"/>
  <c r="A51" i="55"/>
  <c r="L50" i="55"/>
  <c r="E50" i="55" s="1"/>
  <c r="G50" i="55"/>
  <c r="A50" i="55"/>
  <c r="L49" i="55"/>
  <c r="E49" i="55" s="1"/>
  <c r="G49" i="55"/>
  <c r="A49" i="55"/>
  <c r="L48" i="55"/>
  <c r="E48" i="55" s="1"/>
  <c r="G48" i="55"/>
  <c r="A48" i="55"/>
  <c r="L47" i="55"/>
  <c r="E47" i="55" s="1"/>
  <c r="G47" i="55"/>
  <c r="A47" i="55"/>
  <c r="L46" i="55"/>
  <c r="E46" i="55" s="1"/>
  <c r="G46" i="55"/>
  <c r="A46" i="55"/>
  <c r="L45" i="55"/>
  <c r="E45" i="55" s="1"/>
  <c r="G45" i="55"/>
  <c r="A45" i="55"/>
  <c r="L44" i="55"/>
  <c r="E44" i="55" s="1"/>
  <c r="G44" i="55"/>
  <c r="A44" i="55"/>
  <c r="L43" i="55"/>
  <c r="G43" i="55"/>
  <c r="E43" i="55"/>
  <c r="A43" i="55"/>
  <c r="L42" i="55"/>
  <c r="E42" i="55" s="1"/>
  <c r="G42" i="55"/>
  <c r="A42" i="55"/>
  <c r="L41" i="55"/>
  <c r="E41" i="55" s="1"/>
  <c r="G41" i="55"/>
  <c r="A41" i="55"/>
  <c r="L40" i="55"/>
  <c r="E40" i="55" s="1"/>
  <c r="G40" i="55"/>
  <c r="A40" i="55"/>
  <c r="L39" i="55"/>
  <c r="E39" i="55" s="1"/>
  <c r="G39" i="55"/>
  <c r="A39" i="55"/>
  <c r="L38" i="55"/>
  <c r="E38" i="55" s="1"/>
  <c r="G38" i="55"/>
  <c r="A38" i="55"/>
  <c r="L37" i="55"/>
  <c r="E37" i="55" s="1"/>
  <c r="G37" i="55"/>
  <c r="A37" i="55"/>
  <c r="L36" i="55"/>
  <c r="E36" i="55" s="1"/>
  <c r="G36" i="55"/>
  <c r="A36" i="55"/>
  <c r="L35" i="55"/>
  <c r="E35" i="55" s="1"/>
  <c r="G35" i="55"/>
  <c r="A35" i="55"/>
  <c r="L34" i="55"/>
  <c r="G34" i="55"/>
  <c r="E34" i="55"/>
  <c r="A34" i="55"/>
  <c r="L33" i="55"/>
  <c r="E33" i="55" s="1"/>
  <c r="G33" i="55"/>
  <c r="A33" i="55"/>
  <c r="L30" i="55"/>
  <c r="E30" i="55" s="1"/>
  <c r="G30" i="55"/>
  <c r="A30" i="55"/>
  <c r="L29" i="55"/>
  <c r="E29" i="55" s="1"/>
  <c r="G29" i="55"/>
  <c r="A29" i="55"/>
  <c r="L28" i="55"/>
  <c r="E28" i="55" s="1"/>
  <c r="G28" i="55"/>
  <c r="A28" i="55"/>
  <c r="L27" i="55"/>
  <c r="E27" i="55" s="1"/>
  <c r="G27" i="55"/>
  <c r="A27" i="55"/>
  <c r="L26" i="55"/>
  <c r="E26" i="55" s="1"/>
  <c r="G26" i="55"/>
  <c r="A26" i="55"/>
  <c r="L25" i="55"/>
  <c r="E25" i="55" s="1"/>
  <c r="G25" i="55"/>
  <c r="A25" i="55"/>
  <c r="L24" i="55"/>
  <c r="E24" i="55" s="1"/>
  <c r="G24" i="55"/>
  <c r="A24" i="55"/>
  <c r="L23" i="55"/>
  <c r="G23" i="55"/>
  <c r="E23" i="55"/>
  <c r="A23" i="55"/>
  <c r="L22" i="55"/>
  <c r="E22" i="55" s="1"/>
  <c r="G22" i="55"/>
  <c r="A22" i="55"/>
  <c r="L20" i="55"/>
  <c r="E20" i="55" s="1"/>
  <c r="G20" i="55"/>
  <c r="A20" i="55"/>
  <c r="L19" i="55"/>
  <c r="E19" i="55" s="1"/>
  <c r="G19" i="55"/>
  <c r="A19" i="55"/>
  <c r="L18" i="55"/>
  <c r="E18" i="55" s="1"/>
  <c r="G18" i="55"/>
  <c r="A18" i="55"/>
  <c r="L17" i="55"/>
  <c r="G17" i="55"/>
  <c r="E17" i="55"/>
  <c r="A17" i="55"/>
  <c r="L16" i="55"/>
  <c r="E16" i="55" s="1"/>
  <c r="G16" i="55"/>
  <c r="A16" i="55"/>
  <c r="L15" i="55"/>
  <c r="E15" i="55" s="1"/>
  <c r="G15" i="55"/>
  <c r="A15" i="55"/>
  <c r="L14" i="55"/>
  <c r="E14" i="55" s="1"/>
  <c r="G14" i="55"/>
  <c r="A14" i="55"/>
  <c r="L13" i="55"/>
  <c r="E13" i="55" s="1"/>
  <c r="G13" i="55"/>
  <c r="A13" i="55"/>
  <c r="L12" i="55"/>
  <c r="E12" i="55" s="1"/>
  <c r="G12" i="55"/>
  <c r="A12" i="55"/>
  <c r="L11" i="55"/>
  <c r="E11" i="55" s="1"/>
  <c r="G11" i="55"/>
  <c r="A11" i="55"/>
  <c r="L10" i="55"/>
  <c r="E10" i="55" s="1"/>
  <c r="G10" i="55"/>
  <c r="A10" i="55"/>
  <c r="L9" i="55"/>
  <c r="E9" i="55" s="1"/>
  <c r="G9" i="55"/>
  <c r="A9" i="55"/>
  <c r="L8" i="55"/>
  <c r="E8" i="55" s="1"/>
  <c r="G8" i="55"/>
  <c r="A8" i="55"/>
  <c r="L7" i="55"/>
  <c r="E7" i="55" s="1"/>
  <c r="G7" i="55"/>
  <c r="A7" i="55"/>
  <c r="L6" i="55"/>
  <c r="E6" i="55" s="1"/>
  <c r="G6" i="55"/>
  <c r="A6" i="55"/>
  <c r="L5" i="55"/>
  <c r="E5" i="55" s="1"/>
  <c r="G5" i="55"/>
  <c r="A5" i="55"/>
  <c r="L4" i="55"/>
  <c r="E4" i="55" s="1"/>
  <c r="G4" i="55"/>
  <c r="A4" i="55"/>
  <c r="L3" i="55"/>
  <c r="E3" i="55" s="1"/>
  <c r="G3" i="55"/>
  <c r="A3" i="55"/>
  <c r="L2" i="55"/>
  <c r="E2" i="55" s="1"/>
  <c r="G2" i="55"/>
  <c r="A2" i="55"/>
  <c r="L133" i="53"/>
  <c r="E133" i="53" s="1"/>
  <c r="A133" i="53"/>
  <c r="L130" i="54"/>
  <c r="E130" i="54" s="1"/>
  <c r="A130" i="54"/>
  <c r="L129" i="54"/>
  <c r="E129" i="54" s="1"/>
  <c r="A129" i="54"/>
  <c r="L128" i="54"/>
  <c r="E128" i="54" s="1"/>
  <c r="A128" i="54"/>
  <c r="L127" i="54"/>
  <c r="E127" i="54" s="1"/>
  <c r="A127" i="54"/>
  <c r="L137" i="53"/>
  <c r="E137" i="53" s="1"/>
  <c r="A137" i="53"/>
  <c r="L136" i="53"/>
  <c r="E136" i="53" s="1"/>
  <c r="A136" i="53"/>
  <c r="L135" i="53"/>
  <c r="E135" i="53" s="1"/>
  <c r="A135" i="53"/>
  <c r="L134" i="53"/>
  <c r="E134" i="53" s="1"/>
  <c r="A134" i="53"/>
  <c r="L61" i="54" l="1"/>
  <c r="G61" i="54"/>
  <c r="E61" i="54"/>
  <c r="A61" i="54"/>
  <c r="L60" i="54"/>
  <c r="G60" i="54"/>
  <c r="E60" i="54"/>
  <c r="A60" i="54"/>
  <c r="L59" i="54"/>
  <c r="E59" i="54" s="1"/>
  <c r="G59" i="54"/>
  <c r="A59" i="54"/>
  <c r="L58" i="54"/>
  <c r="E58" i="54" s="1"/>
  <c r="G58" i="54"/>
  <c r="A58" i="54"/>
  <c r="L68" i="54"/>
  <c r="E68" i="54" s="1"/>
  <c r="G68" i="54"/>
  <c r="A68" i="54"/>
  <c r="L21" i="54" l="1"/>
  <c r="E21" i="54" s="1"/>
  <c r="G21" i="54"/>
  <c r="A21" i="54"/>
  <c r="L20" i="54"/>
  <c r="E20" i="54" s="1"/>
  <c r="G20" i="54"/>
  <c r="A20" i="54"/>
  <c r="L19" i="54"/>
  <c r="E19" i="54" s="1"/>
  <c r="G19" i="54"/>
  <c r="A19" i="54"/>
  <c r="L18" i="54"/>
  <c r="E18" i="54" s="1"/>
  <c r="G18" i="54"/>
  <c r="A18" i="54"/>
  <c r="L17" i="54"/>
  <c r="E17" i="54" s="1"/>
  <c r="G17" i="54"/>
  <c r="A17" i="54"/>
  <c r="L16" i="54"/>
  <c r="E16" i="54" s="1"/>
  <c r="G16" i="54"/>
  <c r="A16" i="54"/>
  <c r="L15" i="54"/>
  <c r="E15" i="54" s="1"/>
  <c r="G15" i="54"/>
  <c r="A15" i="54"/>
  <c r="L29" i="54"/>
  <c r="E29" i="54" s="1"/>
  <c r="G29" i="54"/>
  <c r="A29" i="54"/>
  <c r="L28" i="54"/>
  <c r="E28" i="54" s="1"/>
  <c r="G28" i="54"/>
  <c r="A28" i="54"/>
  <c r="L39" i="54"/>
  <c r="E39" i="54" s="1"/>
  <c r="G39" i="54"/>
  <c r="A39" i="54"/>
  <c r="L38" i="54"/>
  <c r="E38" i="54" s="1"/>
  <c r="G38" i="54"/>
  <c r="A38" i="54"/>
  <c r="L41" i="54"/>
  <c r="E41" i="54" s="1"/>
  <c r="G41" i="54"/>
  <c r="A41" i="54"/>
  <c r="L40" i="54"/>
  <c r="E40" i="54" s="1"/>
  <c r="G40" i="54"/>
  <c r="A40" i="54"/>
  <c r="G125" i="54" l="1"/>
  <c r="G124" i="54"/>
  <c r="G123" i="54"/>
  <c r="G122" i="54"/>
  <c r="G121" i="54"/>
  <c r="G120" i="54"/>
  <c r="G119" i="54"/>
  <c r="G118" i="54"/>
  <c r="G117" i="54"/>
  <c r="G116" i="54"/>
  <c r="G115" i="54"/>
  <c r="G114" i="54"/>
  <c r="G113" i="54"/>
  <c r="G112" i="54"/>
  <c r="G111" i="54"/>
  <c r="G110" i="54"/>
  <c r="G109" i="54"/>
  <c r="G108" i="54"/>
  <c r="G107" i="54"/>
  <c r="G106" i="54"/>
  <c r="G105" i="54"/>
  <c r="G104" i="54"/>
  <c r="G103" i="54"/>
  <c r="G102" i="54"/>
  <c r="G101" i="54"/>
  <c r="G100" i="54"/>
  <c r="G99" i="54"/>
  <c r="G98" i="54"/>
  <c r="G97" i="54"/>
  <c r="G96" i="54"/>
  <c r="G95" i="54"/>
  <c r="G94" i="54"/>
  <c r="G93" i="54"/>
  <c r="G92" i="54"/>
  <c r="G91" i="54"/>
  <c r="G90" i="54"/>
  <c r="G89" i="54"/>
  <c r="G88" i="54"/>
  <c r="G87" i="54"/>
  <c r="G86" i="54"/>
  <c r="G85" i="54"/>
  <c r="G84" i="54"/>
  <c r="G83" i="54"/>
  <c r="G82" i="54"/>
  <c r="G81" i="54"/>
  <c r="G80" i="54"/>
  <c r="G79" i="54"/>
  <c r="G78" i="54"/>
  <c r="G77" i="54"/>
  <c r="G76" i="54"/>
  <c r="G75" i="54"/>
  <c r="G74" i="54"/>
  <c r="G73" i="54"/>
  <c r="G72" i="54"/>
  <c r="G71" i="54"/>
  <c r="G70" i="54"/>
  <c r="G69" i="54"/>
  <c r="G67" i="54"/>
  <c r="G66" i="54"/>
  <c r="G65" i="54"/>
  <c r="G64" i="54"/>
  <c r="G63" i="54"/>
  <c r="G62" i="54"/>
  <c r="G57" i="54"/>
  <c r="G56" i="54"/>
  <c r="G55" i="54"/>
  <c r="G54" i="54"/>
  <c r="G53" i="54"/>
  <c r="G52" i="54"/>
  <c r="G51" i="54"/>
  <c r="G50" i="54"/>
  <c r="G49" i="54"/>
  <c r="G48" i="54"/>
  <c r="G47" i="54"/>
  <c r="G46" i="54"/>
  <c r="G45" i="54"/>
  <c r="G44" i="54"/>
  <c r="G43" i="54"/>
  <c r="G42" i="54"/>
  <c r="G37" i="54"/>
  <c r="G36" i="54"/>
  <c r="G35" i="54"/>
  <c r="G34" i="54"/>
  <c r="G33" i="54"/>
  <c r="G32" i="54"/>
  <c r="G31" i="54"/>
  <c r="G30" i="54"/>
  <c r="G27" i="54"/>
  <c r="G26" i="54"/>
  <c r="G25" i="54"/>
  <c r="G24" i="54"/>
  <c r="G23" i="54"/>
  <c r="G22" i="54"/>
  <c r="G14" i="54"/>
  <c r="G13" i="54"/>
  <c r="G12" i="54"/>
  <c r="G11" i="54"/>
  <c r="G10" i="54"/>
  <c r="G9" i="54"/>
  <c r="G8" i="54"/>
  <c r="G7" i="54"/>
  <c r="G6" i="54"/>
  <c r="G5" i="54"/>
  <c r="G4" i="54"/>
  <c r="G3" i="54"/>
  <c r="G2" i="54"/>
  <c r="L125" i="54"/>
  <c r="E125" i="54" s="1"/>
  <c r="A125" i="54"/>
  <c r="L124" i="54"/>
  <c r="E124" i="54" s="1"/>
  <c r="A124" i="54"/>
  <c r="L123" i="54"/>
  <c r="E123" i="54" s="1"/>
  <c r="A123" i="54"/>
  <c r="L122" i="54"/>
  <c r="E122" i="54" s="1"/>
  <c r="A122" i="54"/>
  <c r="L121" i="54"/>
  <c r="E121" i="54" s="1"/>
  <c r="A121" i="54"/>
  <c r="L120" i="54"/>
  <c r="E120" i="54"/>
  <c r="A120" i="54"/>
  <c r="L119" i="54"/>
  <c r="E119" i="54" s="1"/>
  <c r="A119" i="54"/>
  <c r="L118" i="54"/>
  <c r="E118" i="54" s="1"/>
  <c r="A118" i="54"/>
  <c r="L117" i="54"/>
  <c r="E117" i="54" s="1"/>
  <c r="A117" i="54"/>
  <c r="L116" i="54"/>
  <c r="E116" i="54" s="1"/>
  <c r="A116" i="54"/>
  <c r="L115" i="54"/>
  <c r="E115" i="54" s="1"/>
  <c r="A115" i="54"/>
  <c r="L114" i="54"/>
  <c r="E114" i="54" s="1"/>
  <c r="A114" i="54"/>
  <c r="L113" i="54"/>
  <c r="E113" i="54" s="1"/>
  <c r="A113" i="54"/>
  <c r="L112" i="54"/>
  <c r="E112" i="54" s="1"/>
  <c r="A112" i="54"/>
  <c r="L111" i="54"/>
  <c r="E111" i="54" s="1"/>
  <c r="A111" i="54"/>
  <c r="L110" i="54"/>
  <c r="E110" i="54" s="1"/>
  <c r="A110" i="54"/>
  <c r="L109" i="54"/>
  <c r="E109" i="54" s="1"/>
  <c r="A109" i="54"/>
  <c r="L108" i="54"/>
  <c r="E108" i="54" s="1"/>
  <c r="A108" i="54"/>
  <c r="L107" i="54"/>
  <c r="E107" i="54" s="1"/>
  <c r="A107" i="54"/>
  <c r="L106" i="54"/>
  <c r="E106" i="54" s="1"/>
  <c r="A106" i="54"/>
  <c r="L105" i="54"/>
  <c r="E105" i="54" s="1"/>
  <c r="A105" i="54"/>
  <c r="L104" i="54"/>
  <c r="E104" i="54" s="1"/>
  <c r="A104" i="54"/>
  <c r="L103" i="54"/>
  <c r="E103" i="54" s="1"/>
  <c r="A103" i="54"/>
  <c r="L102" i="54"/>
  <c r="E102" i="54" s="1"/>
  <c r="A102" i="54"/>
  <c r="L101" i="54"/>
  <c r="E101" i="54" s="1"/>
  <c r="A101" i="54"/>
  <c r="L100" i="54"/>
  <c r="E100" i="54" s="1"/>
  <c r="A100" i="54"/>
  <c r="L99" i="54"/>
  <c r="E99" i="54" s="1"/>
  <c r="A99" i="54"/>
  <c r="L98" i="54"/>
  <c r="E98" i="54" s="1"/>
  <c r="A98" i="54"/>
  <c r="L97" i="54"/>
  <c r="E97" i="54" s="1"/>
  <c r="A97" i="54"/>
  <c r="L96" i="54"/>
  <c r="E96" i="54" s="1"/>
  <c r="A96" i="54"/>
  <c r="L95" i="54"/>
  <c r="E95" i="54" s="1"/>
  <c r="A95" i="54"/>
  <c r="L94" i="54"/>
  <c r="E94" i="54" s="1"/>
  <c r="A94" i="54"/>
  <c r="L93" i="54"/>
  <c r="E93" i="54" s="1"/>
  <c r="A93" i="54"/>
  <c r="L92" i="54"/>
  <c r="E92" i="54" s="1"/>
  <c r="A92" i="54"/>
  <c r="L91" i="54"/>
  <c r="E91" i="54" s="1"/>
  <c r="A91" i="54"/>
  <c r="L90" i="54"/>
  <c r="E90" i="54" s="1"/>
  <c r="A90" i="54"/>
  <c r="L89" i="54"/>
  <c r="E89" i="54" s="1"/>
  <c r="A89" i="54"/>
  <c r="L88" i="54"/>
  <c r="E88" i="54" s="1"/>
  <c r="A88" i="54"/>
  <c r="L87" i="54"/>
  <c r="E87" i="54" s="1"/>
  <c r="A87" i="54"/>
  <c r="L86" i="54"/>
  <c r="E86" i="54" s="1"/>
  <c r="A86" i="54"/>
  <c r="L85" i="54"/>
  <c r="E85" i="54" s="1"/>
  <c r="A85" i="54"/>
  <c r="L84" i="54"/>
  <c r="E84" i="54" s="1"/>
  <c r="A84" i="54"/>
  <c r="L83" i="54"/>
  <c r="E83" i="54" s="1"/>
  <c r="A83" i="54"/>
  <c r="L82" i="54"/>
  <c r="E82" i="54" s="1"/>
  <c r="A82" i="54"/>
  <c r="L81" i="54"/>
  <c r="E81" i="54" s="1"/>
  <c r="A81" i="54"/>
  <c r="L80" i="54"/>
  <c r="E80" i="54" s="1"/>
  <c r="A80" i="54"/>
  <c r="L79" i="54"/>
  <c r="E79" i="54" s="1"/>
  <c r="A79" i="54"/>
  <c r="L78" i="54"/>
  <c r="E78" i="54" s="1"/>
  <c r="A78" i="54"/>
  <c r="L77" i="54"/>
  <c r="E77" i="54" s="1"/>
  <c r="A77" i="54"/>
  <c r="L76" i="54"/>
  <c r="E76" i="54" s="1"/>
  <c r="A76" i="54"/>
  <c r="L75" i="54"/>
  <c r="E75" i="54" s="1"/>
  <c r="A75" i="54"/>
  <c r="L74" i="54"/>
  <c r="E74" i="54" s="1"/>
  <c r="A74" i="54"/>
  <c r="L73" i="54"/>
  <c r="E73" i="54" s="1"/>
  <c r="A73" i="54"/>
  <c r="L72" i="54"/>
  <c r="E72" i="54" s="1"/>
  <c r="A72" i="54"/>
  <c r="L71" i="54"/>
  <c r="E71" i="54" s="1"/>
  <c r="A71" i="54"/>
  <c r="L70" i="54"/>
  <c r="E70" i="54" s="1"/>
  <c r="A70" i="54"/>
  <c r="L69" i="54"/>
  <c r="E69" i="54" s="1"/>
  <c r="A69" i="54"/>
  <c r="L67" i="54"/>
  <c r="E67" i="54" s="1"/>
  <c r="A67" i="54"/>
  <c r="L66" i="54"/>
  <c r="E66" i="54" s="1"/>
  <c r="A66" i="54"/>
  <c r="L65" i="54"/>
  <c r="E65" i="54" s="1"/>
  <c r="A65" i="54"/>
  <c r="L64" i="54"/>
  <c r="E64" i="54" s="1"/>
  <c r="A64" i="54"/>
  <c r="L63" i="54"/>
  <c r="E63" i="54" s="1"/>
  <c r="A63" i="54"/>
  <c r="L62" i="54"/>
  <c r="E62" i="54" s="1"/>
  <c r="A62" i="54"/>
  <c r="L57" i="54"/>
  <c r="E57" i="54" s="1"/>
  <c r="A57" i="54"/>
  <c r="L56" i="54"/>
  <c r="E56" i="54" s="1"/>
  <c r="A56" i="54"/>
  <c r="L55" i="54"/>
  <c r="E55" i="54" s="1"/>
  <c r="A55" i="54"/>
  <c r="L54" i="54"/>
  <c r="E54" i="54" s="1"/>
  <c r="A54" i="54"/>
  <c r="L53" i="54"/>
  <c r="E53" i="54" s="1"/>
  <c r="A53" i="54"/>
  <c r="L52" i="54"/>
  <c r="E52" i="54" s="1"/>
  <c r="A52" i="54"/>
  <c r="L51" i="54"/>
  <c r="E51" i="54" s="1"/>
  <c r="A51" i="54"/>
  <c r="L50" i="54"/>
  <c r="E50" i="54" s="1"/>
  <c r="A50" i="54"/>
  <c r="L49" i="54"/>
  <c r="E49" i="54" s="1"/>
  <c r="A49" i="54"/>
  <c r="L48" i="54"/>
  <c r="E48" i="54" s="1"/>
  <c r="A48" i="54"/>
  <c r="L47" i="54"/>
  <c r="E47" i="54" s="1"/>
  <c r="A47" i="54"/>
  <c r="L46" i="54"/>
  <c r="E46" i="54" s="1"/>
  <c r="A46" i="54"/>
  <c r="L45" i="54"/>
  <c r="E45" i="54" s="1"/>
  <c r="A45" i="54"/>
  <c r="L44" i="54"/>
  <c r="E44" i="54" s="1"/>
  <c r="A44" i="54"/>
  <c r="L43" i="54"/>
  <c r="E43" i="54" s="1"/>
  <c r="A43" i="54"/>
  <c r="L42" i="54"/>
  <c r="E42" i="54" s="1"/>
  <c r="A42" i="54"/>
  <c r="L37" i="54"/>
  <c r="E37" i="54" s="1"/>
  <c r="A37" i="54"/>
  <c r="L36" i="54"/>
  <c r="E36" i="54" s="1"/>
  <c r="A36" i="54"/>
  <c r="L35" i="54"/>
  <c r="E35" i="54" s="1"/>
  <c r="A35" i="54"/>
  <c r="L34" i="54"/>
  <c r="E34" i="54" s="1"/>
  <c r="A34" i="54"/>
  <c r="L33" i="54"/>
  <c r="E33" i="54" s="1"/>
  <c r="A33" i="54"/>
  <c r="L32" i="54"/>
  <c r="E32" i="54" s="1"/>
  <c r="A32" i="54"/>
  <c r="L31" i="54"/>
  <c r="E31" i="54" s="1"/>
  <c r="A31" i="54"/>
  <c r="L30" i="54"/>
  <c r="E30" i="54" s="1"/>
  <c r="A30" i="54"/>
  <c r="L27" i="54"/>
  <c r="E27" i="54" s="1"/>
  <c r="A27" i="54"/>
  <c r="L26" i="54"/>
  <c r="E26" i="54" s="1"/>
  <c r="A26" i="54"/>
  <c r="L25" i="54"/>
  <c r="E25" i="54" s="1"/>
  <c r="A25" i="54"/>
  <c r="L24" i="54"/>
  <c r="E24" i="54" s="1"/>
  <c r="A24" i="54"/>
  <c r="L23" i="54"/>
  <c r="E23" i="54" s="1"/>
  <c r="A23" i="54"/>
  <c r="L22" i="54"/>
  <c r="E22" i="54" s="1"/>
  <c r="A22" i="54"/>
  <c r="L14" i="54"/>
  <c r="E14" i="54" s="1"/>
  <c r="A14" i="54"/>
  <c r="L13" i="54"/>
  <c r="E13" i="54" s="1"/>
  <c r="A13" i="54"/>
  <c r="L12" i="54"/>
  <c r="E12" i="54" s="1"/>
  <c r="A12" i="54"/>
  <c r="L11" i="54"/>
  <c r="E11" i="54" s="1"/>
  <c r="A11" i="54"/>
  <c r="L10" i="54"/>
  <c r="E10" i="54" s="1"/>
  <c r="A10" i="54"/>
  <c r="L9" i="54"/>
  <c r="E9" i="54" s="1"/>
  <c r="A9" i="54"/>
  <c r="L8" i="54"/>
  <c r="E8" i="54" s="1"/>
  <c r="A8" i="54"/>
  <c r="L7" i="54"/>
  <c r="E7" i="54" s="1"/>
  <c r="A7" i="54"/>
  <c r="L6" i="54"/>
  <c r="E6" i="54" s="1"/>
  <c r="A6" i="54"/>
  <c r="L5" i="54"/>
  <c r="E5" i="54" s="1"/>
  <c r="A5" i="54"/>
  <c r="L4" i="54"/>
  <c r="E4" i="54" s="1"/>
  <c r="A4" i="54"/>
  <c r="L3" i="54"/>
  <c r="E3" i="54" s="1"/>
  <c r="A3" i="54"/>
  <c r="L2" i="54"/>
  <c r="E2" i="54" s="1"/>
  <c r="A2" i="54"/>
  <c r="L56" i="53"/>
  <c r="E56" i="53" s="1"/>
  <c r="A56" i="53"/>
  <c r="L15" i="53"/>
  <c r="E15" i="53" s="1"/>
  <c r="A15" i="53"/>
  <c r="L128" i="53"/>
  <c r="E128" i="53" s="1"/>
  <c r="A128" i="53"/>
  <c r="L127" i="53"/>
  <c r="E127" i="53" s="1"/>
  <c r="A127" i="53"/>
  <c r="L48" i="53" l="1"/>
  <c r="E48" i="53" s="1"/>
  <c r="A48" i="53"/>
  <c r="L47" i="53"/>
  <c r="E47" i="53" s="1"/>
  <c r="A47" i="53"/>
  <c r="L46" i="53"/>
  <c r="E46" i="53" s="1"/>
  <c r="A46" i="53"/>
  <c r="L45" i="53"/>
  <c r="E45" i="53" s="1"/>
  <c r="A45" i="53"/>
  <c r="L44" i="53"/>
  <c r="E44" i="53" s="1"/>
  <c r="A44" i="53"/>
  <c r="L43" i="53"/>
  <c r="E43" i="53" s="1"/>
  <c r="A43" i="53"/>
  <c r="L42" i="53"/>
  <c r="E42" i="53" s="1"/>
  <c r="A42" i="53"/>
  <c r="L41" i="53"/>
  <c r="E41" i="53" s="1"/>
  <c r="A41" i="53"/>
  <c r="L40" i="53"/>
  <c r="E40" i="53"/>
  <c r="A40" i="53"/>
  <c r="L39" i="53"/>
  <c r="E39" i="53"/>
  <c r="A39" i="53"/>
  <c r="L38" i="53"/>
  <c r="E38" i="53" s="1"/>
  <c r="A38" i="53"/>
  <c r="L37" i="53"/>
  <c r="E37" i="53" s="1"/>
  <c r="A37" i="53"/>
  <c r="L36" i="53"/>
  <c r="E36" i="53" s="1"/>
  <c r="A36" i="53"/>
  <c r="L35" i="53"/>
  <c r="E35" i="53" s="1"/>
  <c r="A35" i="53"/>
  <c r="L34" i="53"/>
  <c r="E34" i="53" s="1"/>
  <c r="A34" i="53"/>
  <c r="L33" i="53"/>
  <c r="E33" i="53" s="1"/>
  <c r="A33" i="53"/>
  <c r="L32" i="53"/>
  <c r="E32" i="53" s="1"/>
  <c r="A32" i="53"/>
  <c r="L31" i="53"/>
  <c r="E31" i="53" s="1"/>
  <c r="A31" i="53"/>
  <c r="L30" i="53"/>
  <c r="E30" i="53" s="1"/>
  <c r="A30" i="53"/>
  <c r="L29" i="53"/>
  <c r="E29" i="53" s="1"/>
  <c r="A29" i="53"/>
  <c r="L28" i="53"/>
  <c r="E28" i="53" s="1"/>
  <c r="A28" i="53"/>
  <c r="L27" i="53"/>
  <c r="E27" i="53" s="1"/>
  <c r="A27" i="53"/>
  <c r="L26" i="53"/>
  <c r="E26" i="53" s="1"/>
  <c r="A26" i="53"/>
  <c r="L58" i="53" l="1"/>
  <c r="E58" i="53" s="1"/>
  <c r="A58" i="53"/>
  <c r="L57" i="53"/>
  <c r="E57" i="53" s="1"/>
  <c r="A57" i="53"/>
  <c r="L104" i="53" l="1"/>
  <c r="E104" i="53" s="1"/>
  <c r="A104" i="53"/>
  <c r="L103" i="53"/>
  <c r="E103" i="53" s="1"/>
  <c r="A103" i="53"/>
  <c r="L117" i="53" l="1"/>
  <c r="E117" i="53" s="1"/>
  <c r="A117" i="53"/>
  <c r="L50" i="53" l="1"/>
  <c r="E50" i="53" s="1"/>
  <c r="A50" i="53"/>
  <c r="L74" i="53" l="1"/>
  <c r="E74" i="53" s="1"/>
  <c r="L13" i="53"/>
  <c r="E13" i="53" s="1"/>
  <c r="A13" i="53"/>
  <c r="L132" i="53"/>
  <c r="E132" i="53" s="1"/>
  <c r="A132" i="53"/>
  <c r="L131" i="53"/>
  <c r="E131" i="53" s="1"/>
  <c r="A131" i="53"/>
  <c r="L130" i="53"/>
  <c r="E130" i="53" s="1"/>
  <c r="A130" i="53"/>
  <c r="L129" i="53"/>
  <c r="E129" i="53" s="1"/>
  <c r="A129" i="53"/>
  <c r="L126" i="53"/>
  <c r="E126" i="53" s="1"/>
  <c r="A126" i="53"/>
  <c r="L125" i="53"/>
  <c r="E125" i="53" s="1"/>
  <c r="A125" i="53"/>
  <c r="L124" i="53"/>
  <c r="E124" i="53" s="1"/>
  <c r="A124" i="53"/>
  <c r="L123" i="53"/>
  <c r="E123" i="53" s="1"/>
  <c r="A123" i="53"/>
  <c r="L122" i="53"/>
  <c r="E122" i="53" s="1"/>
  <c r="A122" i="53"/>
  <c r="L121" i="53"/>
  <c r="E121" i="53" s="1"/>
  <c r="A121" i="53"/>
  <c r="L120" i="53"/>
  <c r="E120" i="53" s="1"/>
  <c r="A120" i="53"/>
  <c r="L119" i="53"/>
  <c r="E119" i="53" s="1"/>
  <c r="A119" i="53"/>
  <c r="L118" i="53"/>
  <c r="E118" i="53" s="1"/>
  <c r="A118" i="53"/>
  <c r="L116" i="53"/>
  <c r="E116" i="53" s="1"/>
  <c r="A116" i="53"/>
  <c r="L115" i="53"/>
  <c r="E115" i="53" s="1"/>
  <c r="A115" i="53"/>
  <c r="L114" i="53"/>
  <c r="E114" i="53" s="1"/>
  <c r="A114" i="53"/>
  <c r="L113" i="53"/>
  <c r="E113" i="53" s="1"/>
  <c r="A113" i="53"/>
  <c r="L112" i="53"/>
  <c r="E112" i="53" s="1"/>
  <c r="A112" i="53"/>
  <c r="L111" i="53"/>
  <c r="E111" i="53" s="1"/>
  <c r="A111" i="53"/>
  <c r="L110" i="53"/>
  <c r="E110" i="53" s="1"/>
  <c r="A110" i="53"/>
  <c r="L109" i="53"/>
  <c r="E109" i="53" s="1"/>
  <c r="A109" i="53"/>
  <c r="L108" i="53"/>
  <c r="E108" i="53" s="1"/>
  <c r="A108" i="53"/>
  <c r="L107" i="53"/>
  <c r="E107" i="53" s="1"/>
  <c r="A107" i="53"/>
  <c r="L106" i="53"/>
  <c r="E106" i="53" s="1"/>
  <c r="A106" i="53"/>
  <c r="L105" i="53"/>
  <c r="E105" i="53" s="1"/>
  <c r="A105" i="53"/>
  <c r="L102" i="53"/>
  <c r="E102" i="53" s="1"/>
  <c r="A102" i="53"/>
  <c r="L101" i="53"/>
  <c r="E101" i="53" s="1"/>
  <c r="A101" i="53"/>
  <c r="L100" i="53"/>
  <c r="E100" i="53" s="1"/>
  <c r="A100" i="53"/>
  <c r="L99" i="53"/>
  <c r="E99" i="53" s="1"/>
  <c r="A99" i="53"/>
  <c r="L98" i="53"/>
  <c r="E98" i="53" s="1"/>
  <c r="A98" i="53"/>
  <c r="L97" i="53"/>
  <c r="E97" i="53" s="1"/>
  <c r="A97" i="53"/>
  <c r="L96" i="53"/>
  <c r="E96" i="53" s="1"/>
  <c r="A96" i="53"/>
  <c r="L95" i="53"/>
  <c r="E95" i="53" s="1"/>
  <c r="A95" i="53"/>
  <c r="L94" i="53"/>
  <c r="E94" i="53" s="1"/>
  <c r="A94" i="53"/>
  <c r="L93" i="53"/>
  <c r="E93" i="53" s="1"/>
  <c r="A93" i="53"/>
  <c r="L92" i="53"/>
  <c r="E92" i="53" s="1"/>
  <c r="A92" i="53"/>
  <c r="L91" i="53"/>
  <c r="E91" i="53" s="1"/>
  <c r="A91" i="53"/>
  <c r="L90" i="53"/>
  <c r="E90" i="53" s="1"/>
  <c r="A90" i="53"/>
  <c r="L89" i="53"/>
  <c r="E89" i="53" s="1"/>
  <c r="A89" i="53"/>
  <c r="L88" i="53"/>
  <c r="E88" i="53" s="1"/>
  <c r="A88" i="53"/>
  <c r="L87" i="53"/>
  <c r="E87" i="53" s="1"/>
  <c r="A87" i="53"/>
  <c r="L86" i="53"/>
  <c r="E86" i="53" s="1"/>
  <c r="A86" i="53"/>
  <c r="L85" i="53"/>
  <c r="E85" i="53" s="1"/>
  <c r="A85" i="53"/>
  <c r="L84" i="53"/>
  <c r="E84" i="53" s="1"/>
  <c r="A84" i="53"/>
  <c r="L83" i="53"/>
  <c r="E83" i="53" s="1"/>
  <c r="A83" i="53"/>
  <c r="L82" i="53"/>
  <c r="E82" i="53" s="1"/>
  <c r="A82" i="53"/>
  <c r="L81" i="53"/>
  <c r="E81" i="53" s="1"/>
  <c r="A81" i="53"/>
  <c r="L80" i="53"/>
  <c r="E80" i="53" s="1"/>
  <c r="A80" i="53"/>
  <c r="L79" i="53"/>
  <c r="E79" i="53" s="1"/>
  <c r="A79" i="53"/>
  <c r="L78" i="53"/>
  <c r="E78" i="53" s="1"/>
  <c r="A78" i="53"/>
  <c r="L77" i="53"/>
  <c r="E77" i="53" s="1"/>
  <c r="A77" i="53"/>
  <c r="L76" i="53"/>
  <c r="E76" i="53" s="1"/>
  <c r="A76" i="53"/>
  <c r="L75" i="53"/>
  <c r="E75" i="53" s="1"/>
  <c r="A75" i="53"/>
  <c r="L73" i="53"/>
  <c r="E73" i="53" s="1"/>
  <c r="A73" i="53"/>
  <c r="L72" i="53"/>
  <c r="E72" i="53" s="1"/>
  <c r="A72" i="53"/>
  <c r="L71" i="53"/>
  <c r="E71" i="53" s="1"/>
  <c r="A71" i="53"/>
  <c r="L70" i="53"/>
  <c r="E70" i="53" s="1"/>
  <c r="A70" i="53"/>
  <c r="L69" i="53"/>
  <c r="E69" i="53" s="1"/>
  <c r="A69" i="53"/>
  <c r="L68" i="53"/>
  <c r="E68" i="53" s="1"/>
  <c r="A68" i="53"/>
  <c r="L67" i="53"/>
  <c r="E67" i="53" s="1"/>
  <c r="A67" i="53"/>
  <c r="L66" i="53"/>
  <c r="E66" i="53" s="1"/>
  <c r="A66" i="53"/>
  <c r="L65" i="53"/>
  <c r="E65" i="53" s="1"/>
  <c r="A65" i="53"/>
  <c r="L64" i="53"/>
  <c r="E64" i="53" s="1"/>
  <c r="A64" i="53"/>
  <c r="L63" i="53"/>
  <c r="E63" i="53" s="1"/>
  <c r="A63" i="53"/>
  <c r="L62" i="53"/>
  <c r="E62" i="53" s="1"/>
  <c r="A62" i="53"/>
  <c r="L61" i="53"/>
  <c r="E61" i="53" s="1"/>
  <c r="A61" i="53"/>
  <c r="L60" i="53"/>
  <c r="E60" i="53" s="1"/>
  <c r="A60" i="53"/>
  <c r="L59" i="53"/>
  <c r="E59" i="53" s="1"/>
  <c r="A59" i="53"/>
  <c r="L55" i="53"/>
  <c r="E55" i="53" s="1"/>
  <c r="A55" i="53"/>
  <c r="L54" i="53"/>
  <c r="E54" i="53" s="1"/>
  <c r="A54" i="53"/>
  <c r="L53" i="53"/>
  <c r="E53" i="53" s="1"/>
  <c r="A53" i="53"/>
  <c r="L52" i="53"/>
  <c r="E52" i="53" s="1"/>
  <c r="A52" i="53"/>
  <c r="L51" i="53"/>
  <c r="E51" i="53" s="1"/>
  <c r="A51" i="53"/>
  <c r="L49" i="53"/>
  <c r="E49" i="53" s="1"/>
  <c r="A49" i="53"/>
  <c r="L25" i="53"/>
  <c r="E25" i="53" s="1"/>
  <c r="A25" i="53"/>
  <c r="L24" i="53"/>
  <c r="E24" i="53" s="1"/>
  <c r="A24" i="53"/>
  <c r="L23" i="53"/>
  <c r="E23" i="53" s="1"/>
  <c r="A23" i="53"/>
  <c r="L22" i="53"/>
  <c r="E22" i="53" s="1"/>
  <c r="A22" i="53"/>
  <c r="L21" i="53"/>
  <c r="E21" i="53" s="1"/>
  <c r="A21" i="53"/>
  <c r="L20" i="53"/>
  <c r="E20" i="53" s="1"/>
  <c r="A20" i="53"/>
  <c r="L19" i="53"/>
  <c r="E19" i="53" s="1"/>
  <c r="A19" i="53"/>
  <c r="L18" i="53"/>
  <c r="E18" i="53" s="1"/>
  <c r="A18" i="53"/>
  <c r="L17" i="53"/>
  <c r="E17" i="53" s="1"/>
  <c r="A17" i="53"/>
  <c r="L16" i="53"/>
  <c r="E16" i="53" s="1"/>
  <c r="A16" i="53"/>
  <c r="L14" i="53"/>
  <c r="E14" i="53" s="1"/>
  <c r="A14" i="53"/>
  <c r="L12" i="53"/>
  <c r="E12" i="53" s="1"/>
  <c r="A12" i="53"/>
  <c r="L11" i="53"/>
  <c r="E11" i="53" s="1"/>
  <c r="A11" i="53"/>
  <c r="L10" i="53"/>
  <c r="E10" i="53" s="1"/>
  <c r="A10" i="53"/>
  <c r="L9" i="53"/>
  <c r="E9" i="53" s="1"/>
  <c r="A9" i="53"/>
  <c r="L8" i="53"/>
  <c r="E8" i="53" s="1"/>
  <c r="A8" i="53"/>
  <c r="L7" i="53"/>
  <c r="E7" i="53" s="1"/>
  <c r="A7" i="53"/>
  <c r="L6" i="53"/>
  <c r="E6" i="53" s="1"/>
  <c r="A6" i="53"/>
  <c r="L5" i="53"/>
  <c r="E5" i="53" s="1"/>
  <c r="A5" i="53"/>
  <c r="L4" i="53"/>
  <c r="E4" i="53" s="1"/>
  <c r="A4" i="53"/>
  <c r="L3" i="53"/>
  <c r="E3" i="53" s="1"/>
  <c r="A3" i="53"/>
  <c r="L2" i="53"/>
  <c r="E2" i="53" s="1"/>
  <c r="A2" i="53"/>
  <c r="A74" i="53" l="1"/>
</calcChain>
</file>

<file path=xl/sharedStrings.xml><?xml version="1.0" encoding="utf-8"?>
<sst xmlns="http://schemas.openxmlformats.org/spreadsheetml/2006/main" count="5884" uniqueCount="94">
  <si>
    <t xml:space="preserve">HISTORICO </t>
  </si>
  <si>
    <t>DATA COMPETENCIA</t>
  </si>
  <si>
    <t>Conta Contabil</t>
  </si>
  <si>
    <t>BROKER</t>
  </si>
  <si>
    <t>VALOR</t>
  </si>
  <si>
    <t>FORNECEDOR</t>
  </si>
  <si>
    <t>DATA LANCAMENTO</t>
  </si>
  <si>
    <t>CÓDIGO DO CLIENTE</t>
  </si>
  <si>
    <t>HISTORICO</t>
  </si>
  <si>
    <t>ESPAÇO</t>
  </si>
  <si>
    <t>MÊS</t>
  </si>
  <si>
    <t>PERCENTUAL</t>
  </si>
  <si>
    <t>ALEXANDRE DA COSTA SOARES</t>
  </si>
  <si>
    <t>CLIENTE</t>
  </si>
  <si>
    <t>ASSET1</t>
  </si>
  <si>
    <t>QUATTRO</t>
  </si>
  <si>
    <t>RPS</t>
  </si>
  <si>
    <t>ITAÚ - MSCO</t>
  </si>
  <si>
    <t>ITAÚ - NASSAU</t>
  </si>
  <si>
    <t xml:space="preserve">NYSE ARCA </t>
  </si>
  <si>
    <t xml:space="preserve">VINLAND </t>
  </si>
  <si>
    <t>BGC</t>
  </si>
  <si>
    <t>DTCC</t>
  </si>
  <si>
    <t>OFFSHORE NY FEES</t>
  </si>
  <si>
    <t>GOLDMAN SACHS IL - BRAS</t>
  </si>
  <si>
    <t>DANIEL TEIXEIRA SIQUEIRA GONÇALVES</t>
  </si>
  <si>
    <t>KAPITALO</t>
  </si>
  <si>
    <t>BRADESCO_BZL</t>
  </si>
  <si>
    <t>ALINE FAUSTINI</t>
  </si>
  <si>
    <t xml:space="preserve"> - </t>
  </si>
  <si>
    <t xml:space="preserve">CUSTO OFFSHORE USD </t>
  </si>
  <si>
    <t>SPX_MO</t>
  </si>
  <si>
    <t>CARLOS BASILE</t>
  </si>
  <si>
    <t>INFOREACH</t>
  </si>
  <si>
    <t>BGC DI FUTURES</t>
  </si>
  <si>
    <t>BGC NDF OFFSHORE</t>
  </si>
  <si>
    <t>FIDESSA</t>
  </si>
  <si>
    <t>MOEDA</t>
  </si>
  <si>
    <t>USD</t>
  </si>
  <si>
    <t>DOLAR</t>
  </si>
  <si>
    <t>ARCA MEMBERSHIP &amp; CONNECTIVITY FEES</t>
  </si>
  <si>
    <t>RODRIGO BETTI MARQUES</t>
  </si>
  <si>
    <t>EDUARDO TADEU CARAPIA UTTEMBERG</t>
  </si>
  <si>
    <t>ALEXANDRE BRENO STEVENS</t>
  </si>
  <si>
    <t>CLEARING FEES</t>
  </si>
  <si>
    <t>HAMILTON DEL MONACO FILHO</t>
  </si>
  <si>
    <t>CHRISTIANO MARCONDES DE BARROS LIMA</t>
  </si>
  <si>
    <t>OFFSHORE LISTED</t>
  </si>
  <si>
    <t>CITIGBL_MO</t>
  </si>
  <si>
    <t>XPADVISORY_MO</t>
  </si>
  <si>
    <t>FELIPE GOMES BASILE</t>
  </si>
  <si>
    <t>BGC BONDS</t>
  </si>
  <si>
    <t>INTL</t>
  </si>
  <si>
    <t>TORONTO TSX</t>
  </si>
  <si>
    <t>BRL</t>
  </si>
  <si>
    <t>JPMPLC_MO</t>
  </si>
  <si>
    <t>SPRINGS_MO</t>
  </si>
  <si>
    <t>BNP_MO</t>
  </si>
  <si>
    <t>NDF</t>
  </si>
  <si>
    <t>SCHONFELD_MO</t>
  </si>
  <si>
    <t>JANEIRO 26</t>
  </si>
  <si>
    <t>CLAUDIO DE SOUZA PACINI</t>
  </si>
  <si>
    <t>BGC - AFIUZA</t>
  </si>
  <si>
    <t>BGC - CPACINI</t>
  </si>
  <si>
    <t>BGC - GALBUQUERQUE</t>
  </si>
  <si>
    <t>BGC - CMALTA</t>
  </si>
  <si>
    <t>BGC - JJUNQUEIRA</t>
  </si>
  <si>
    <t>BGC - ASOARES</t>
  </si>
  <si>
    <t>THINK EQUITY</t>
  </si>
  <si>
    <t>BRADESCO_MO</t>
  </si>
  <si>
    <t>KAPITALO_CP</t>
  </si>
  <si>
    <t>CLAVE_MO</t>
  </si>
  <si>
    <t>ABSOLUTE_CP</t>
  </si>
  <si>
    <t>BTGCAY_CP</t>
  </si>
  <si>
    <t>DIG_CP</t>
  </si>
  <si>
    <t>SHARP_CP</t>
  </si>
  <si>
    <t>TRUXT_CP</t>
  </si>
  <si>
    <t>ADAMGestao_MO</t>
  </si>
  <si>
    <t>BAY CREST</t>
  </si>
  <si>
    <t>TRADEMAS OPTIONS</t>
  </si>
  <si>
    <t>TRADEMAS CASH</t>
  </si>
  <si>
    <t>CLEARPOOL</t>
  </si>
  <si>
    <t>FEVEREIRO 26</t>
  </si>
  <si>
    <t>MATRIX</t>
  </si>
  <si>
    <t>MARÇO 26</t>
  </si>
  <si>
    <t>BRAMBRAD_MO</t>
  </si>
  <si>
    <t>VISTA_CP</t>
  </si>
  <si>
    <t>ABRIL 26</t>
  </si>
  <si>
    <t>RODRIGO PENTAGNA</t>
  </si>
  <si>
    <t>MSIPLC_SUN</t>
  </si>
  <si>
    <t>GENOA_MO</t>
  </si>
  <si>
    <t>AGENCY</t>
  </si>
  <si>
    <t>MAIO 26</t>
  </si>
  <si>
    <t>JUNHO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</si>
</sst>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(* #,##0.00_);_(* \(#,##0.00\);_(* &quot;-&quot;??_);_(@_)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0" xfId="0" applyFont="1" applyFill="1" applyAlignment="1">
      <alignment vertical="center"/>
    </xf>
    <xf numFmtId="14" fontId="2" fillId="2" borderId="0" xfId="0" applyNumberFormat="1" applyFont="1" applyFill="1" applyAlignment="1">
      <alignment vertical="center"/>
    </xf>
    <xf numFmtId="164" fontId="2" fillId="2" borderId="0" xfId="1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164" fontId="3" fillId="3" borderId="0" xfId="1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9" fontId="3" fillId="3" borderId="0" xfId="2" applyFont="1" applyFill="1" applyAlignment="1">
      <alignment vertical="center"/>
    </xf>
    <xf numFmtId="14" fontId="3" fillId="0" borderId="0" xfId="0" applyNumberFormat="1" applyFont="1" applyAlignment="1">
      <alignment vertical="center"/>
    </xf>
    <xf numFmtId="164" fontId="3" fillId="0" borderId="0" xfId="1" applyFont="1" applyAlignment="1">
      <alignment vertical="center"/>
    </xf>
    <xf numFmtId="49" fontId="3" fillId="0" borderId="0" xfId="0" applyNumberFormat="1" applyFont="1" applyAlignment="1">
      <alignment vertical="center"/>
    </xf>
    <xf numFmtId="164" fontId="3" fillId="0" borderId="0" xfId="1" applyFont="1" applyFill="1" applyAlignment="1">
      <alignment vertical="center"/>
    </xf>
    <xf numFmtId="0" fontId="3" fillId="4" borderId="0" xfId="0" applyFont="1" applyFill="1" applyAlignment="1">
      <alignment vertical="center"/>
    </xf>
    <xf numFmtId="164" fontId="3" fillId="4" borderId="0" xfId="1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9" fontId="3" fillId="4" borderId="0" xfId="2" applyFont="1" applyFill="1" applyAlignment="1">
      <alignment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9" fontId="3" fillId="4" borderId="1" xfId="2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4" borderId="0" xfId="0" applyNumberFormat="1" applyFont="1" applyFill="1" applyAlignment="1">
      <alignment vertical="center"/>
    </xf>
    <xf numFmtId="49" fontId="3" fillId="4" borderId="1" xfId="0" applyNumberFormat="1" applyFont="1" applyFill="1" applyBorder="1" applyAlignment="1">
      <alignment vertical="center"/>
    </xf>
    <xf numFmtId="164" fontId="3" fillId="0" borderId="1" xfId="1" applyFont="1" applyFill="1" applyBorder="1" applyAlignment="1">
      <alignment vertical="center"/>
    </xf>
    <xf numFmtId="9" fontId="3" fillId="4" borderId="0" xfId="2" applyFont="1" applyFill="1" applyBorder="1" applyAlignment="1">
      <alignment vertical="center"/>
    </xf>
    <xf numFmtId="164" fontId="3" fillId="0" borderId="0" xfId="1" applyFont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164" fontId="3" fillId="0" borderId="0" xfId="1" applyFont="1" applyFill="1" applyBorder="1" applyAlignment="1">
      <alignment vertical="center"/>
    </xf>
    <xf numFmtId="0" fontId="0" fillId="0" borderId="1" xfId="0" applyBorder="1"/>
    <xf numFmtId="0" fontId="3" fillId="0" borderId="0" xfId="0" applyFont="1" applyAlignment="1">
      <alignment horizontal="left" vertical="center"/>
    </xf>
    <xf numFmtId="164" fontId="3" fillId="4" borderId="1" xfId="1" applyFont="1" applyFill="1" applyBorder="1" applyAlignment="1">
      <alignment vertical="center"/>
    </xf>
    <xf numFmtId="164" fontId="3" fillId="4" borderId="0" xfId="1" applyFont="1" applyFill="1" applyBorder="1" applyAlignment="1">
      <alignment vertical="center"/>
    </xf>
    <xf numFmtId="164" fontId="3" fillId="0" borderId="2" xfId="1" applyFont="1" applyFill="1" applyBorder="1" applyAlignment="1">
      <alignment vertical="center"/>
    </xf>
    <xf numFmtId="164" fontId="3" fillId="0" borderId="3" xfId="1" applyFont="1" applyFill="1" applyBorder="1" applyAlignment="1">
      <alignment vertical="center"/>
    </xf>
    <xf numFmtId="164" fontId="3" fillId="0" borderId="4" xfId="1" applyFont="1" applyFill="1" applyBorder="1" applyAlignment="1">
      <alignment vertical="center"/>
    </xf>
    <xf numFmtId="0" fontId="4" fillId="5" borderId="0" xfId="0" applyFont="1" applyFill="1"/>
    <xf numFmtId="0" fontId="5" fillId="0" borderId="0" xfId="0" applyFont="1"/>
    <xf numFmtId="0" fontId="3" fillId="6" borderId="0" xfId="0" applyFont="1" applyFill="1" applyAlignment="1">
      <alignment vertical="center"/>
    </xf>
    <xf numFmtId="14" fontId="3" fillId="6" borderId="0" xfId="0" applyNumberFormat="1" applyFont="1" applyFill="1" applyAlignment="1">
      <alignment vertical="center"/>
    </xf>
    <xf numFmtId="49" fontId="3" fillId="6" borderId="0" xfId="0" applyNumberFormat="1" applyFont="1" applyFill="1" applyAlignment="1">
      <alignment vertical="center"/>
    </xf>
    <xf numFmtId="164" fontId="3" fillId="6" borderId="0" xfId="1" applyFont="1" applyFill="1" applyBorder="1" applyAlignment="1">
      <alignment vertical="center"/>
    </xf>
    <xf numFmtId="0" fontId="0" fillId="6" borderId="0" xfId="0" applyFill="1"/>
    <xf numFmtId="164" fontId="3" fillId="6" borderId="0" xfId="1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9" fontId="3" fillId="6" borderId="0" xfId="2" applyFont="1" applyFill="1" applyBorder="1" applyAlignment="1">
      <alignment vertical="center"/>
    </xf>
    <xf numFmtId="164" fontId="3" fillId="6" borderId="5" xfId="1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14" fontId="3" fillId="6" borderId="1" xfId="0" applyNumberFormat="1" applyFont="1" applyFill="1" applyBorder="1" applyAlignment="1">
      <alignment vertical="center"/>
    </xf>
    <xf numFmtId="49" fontId="3" fillId="6" borderId="1" xfId="0" applyNumberFormat="1" applyFont="1" applyFill="1" applyBorder="1" applyAlignment="1">
      <alignment vertical="center"/>
    </xf>
    <xf numFmtId="164" fontId="3" fillId="6" borderId="1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9" fontId="3" fillId="6" borderId="1" xfId="2" applyFont="1" applyFill="1" applyBorder="1" applyAlignment="1">
      <alignment vertical="center"/>
    </xf>
    <xf numFmtId="165" fontId="3" fillId="4" borderId="0" xfId="2" applyNumberFormat="1" applyFont="1" applyFill="1" applyAlignment="1">
      <alignment vertical="center"/>
    </xf>
    <xf numFmtId="165" fontId="3" fillId="4" borderId="1" xfId="2" applyNumberFormat="1" applyFont="1" applyFill="1" applyBorder="1" applyAlignment="1">
      <alignment vertical="center"/>
    </xf>
    <xf numFmtId="43" fontId="0" fillId="0" borderId="0" xfId="0" applyNumberFormat="1"/>
    <xf numFmtId="164" fontId="3" fillId="6" borderId="2" xfId="1" applyFont="1" applyFill="1" applyBorder="1" applyAlignment="1">
      <alignment vertical="center"/>
    </xf>
    <xf numFmtId="164" fontId="3" fillId="6" borderId="3" xfId="1" applyFont="1" applyFill="1" applyBorder="1" applyAlignment="1">
      <alignment vertical="center"/>
    </xf>
    <xf numFmtId="164" fontId="3" fillId="6" borderId="4" xfId="1" applyFont="1" applyFill="1" applyBorder="1" applyAlignment="1">
      <alignment vertical="center"/>
    </xf>
  </cellXfs>
  <cellStyles count="4">
    <cellStyle name="Comma" xfId="1" builtinId="3"/>
    <cellStyle name="Normal" xfId="0" builtinId="0"/>
    <cellStyle name="Percent" xfId="2" builtinId="5"/>
    <cellStyle name="Vírgula 2" xfId="3" xr:uid="{D851AC5C-E921-4C9B-98D3-76493B7C68B2}"/>
  </cellStyles>
  <dxfs count="0"/>
  <tableStyles count="1" defaultTableStyle="TableStyleMedium2" defaultPivotStyle="PivotStyleLight16">
    <tableStyle name="Invisible" pivot="0" table="0" count="0" xr9:uid="{7C29F196-FD38-457F-8D0D-23957D5894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5002-126C-44D1-BD2D-88A26C7E2A51}">
  <sheetPr codeName="Sheet1"/>
  <dimension ref="A1:S137"/>
  <sheetViews>
    <sheetView showGridLines="0" topLeftCell="A76" zoomScaleNormal="100" workbookViewId="0">
      <selection activeCell="E104" sqref="E1:E1048576"/>
    </sheetView>
  </sheetViews>
  <sheetFormatPr defaultRowHeight="15" x14ac:dyDescent="0.25"/>
  <cols>
    <col min="1" max="1" width="49" customWidth="1"/>
    <col min="2" max="2" width="10.5703125" customWidth="1"/>
    <col min="3" max="3" width="10.7109375" bestFit="1" customWidth="1"/>
    <col min="4" max="4" width="30" bestFit="1" customWidth="1"/>
    <col min="5" max="5" width="15.7109375" customWidth="1"/>
    <col min="6" max="6" width="17.28515625" bestFit="1" customWidth="1"/>
    <col min="7" max="7" width="11" customWidth="1"/>
    <col min="8" max="8" width="12.28515625" customWidth="1"/>
    <col min="9" max="9" width="2.7109375" customWidth="1"/>
    <col min="10" max="10" width="15.7109375" bestFit="1" customWidth="1"/>
    <col min="11" max="11" width="18.28515625" bestFit="1" customWidth="1"/>
    <col min="12" max="12" width="13.85546875" customWidth="1"/>
    <col min="14" max="14" width="10.85546875" bestFit="1" customWidth="1"/>
    <col min="15" max="15" width="10.85546875" customWidth="1"/>
    <col min="17" max="17" width="9.5703125" bestFit="1" customWidth="1"/>
    <col min="18" max="18" width="12.5703125" bestFit="1" customWidth="1"/>
    <col min="19" max="19" width="9.5703125" bestFit="1" customWidth="1"/>
  </cols>
  <sheetData>
    <row r="1" spans="1:19" x14ac:dyDescent="0.25">
      <c r="A1" s="29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2" t="s">
        <v>6</v>
      </c>
      <c r="H1" s="1" t="s">
        <v>7</v>
      </c>
      <c r="J1" s="5" t="s">
        <v>8</v>
      </c>
      <c r="K1" s="5" t="s">
        <v>13</v>
      </c>
      <c r="L1" s="6" t="s">
        <v>4</v>
      </c>
      <c r="M1" s="7" t="s">
        <v>9</v>
      </c>
      <c r="N1" s="5" t="s">
        <v>10</v>
      </c>
      <c r="O1" s="5" t="s">
        <v>37</v>
      </c>
      <c r="P1" s="8" t="s">
        <v>11</v>
      </c>
      <c r="Q1" s="6" t="s">
        <v>4</v>
      </c>
      <c r="R1" s="38" t="s">
        <v>39</v>
      </c>
      <c r="S1" s="39">
        <v>5.2301000000000002</v>
      </c>
    </row>
    <row r="2" spans="1:19" x14ac:dyDescent="0.25">
      <c r="A2" s="4" t="str">
        <f t="shared" ref="A2:A102" si="0">CONCATENATE(J2,Q2,M2,K2,M2,N2)</f>
        <v>CUSTO OFFSHORE USD 1,80464135089658 - ASSET1 - JANEIRO 26</v>
      </c>
      <c r="B2" s="9">
        <v>46023</v>
      </c>
      <c r="C2" s="4">
        <v>817395</v>
      </c>
      <c r="D2" s="11" t="s">
        <v>12</v>
      </c>
      <c r="E2" s="30">
        <f>-L2*P2</f>
        <v>-3.1467808067566967</v>
      </c>
      <c r="F2" s="4" t="s">
        <v>15</v>
      </c>
      <c r="G2" s="9">
        <v>46023</v>
      </c>
      <c r="H2" s="4">
        <v>80834</v>
      </c>
      <c r="J2" s="13" t="s">
        <v>30</v>
      </c>
      <c r="K2" s="13" t="s">
        <v>14</v>
      </c>
      <c r="L2" s="14">
        <f>IF(O2="USD",Q2*$S$1)</f>
        <v>9.438454729324226</v>
      </c>
      <c r="M2" s="15" t="s">
        <v>29</v>
      </c>
      <c r="N2" s="24" t="s">
        <v>60</v>
      </c>
      <c r="O2" s="24" t="s">
        <v>38</v>
      </c>
      <c r="P2" s="16">
        <v>0.33339999999999997</v>
      </c>
      <c r="Q2" s="35">
        <v>1.8046413508965844</v>
      </c>
    </row>
    <row r="3" spans="1:19" x14ac:dyDescent="0.25">
      <c r="A3" s="4" t="str">
        <f t="shared" si="0"/>
        <v>CUSTO OFFSHORE USD 1,80464135089658 - ASSET1 - JANEIRO 26</v>
      </c>
      <c r="B3" s="9">
        <v>46023</v>
      </c>
      <c r="C3" s="4">
        <v>817395</v>
      </c>
      <c r="D3" s="11" t="s">
        <v>45</v>
      </c>
      <c r="E3" s="30">
        <f t="shared" ref="E3:E64" si="1">-L3*P3</f>
        <v>-3.1458369612837642</v>
      </c>
      <c r="F3" s="4" t="s">
        <v>15</v>
      </c>
      <c r="G3" s="9">
        <v>46023</v>
      </c>
      <c r="H3" s="4">
        <v>80834</v>
      </c>
      <c r="J3" s="13" t="s">
        <v>30</v>
      </c>
      <c r="K3" s="13" t="s">
        <v>14</v>
      </c>
      <c r="L3" s="14">
        <f t="shared" ref="L3:L102" si="2">IF(O3="USD",Q3*$S$1)</f>
        <v>9.438454729324226</v>
      </c>
      <c r="M3" s="15" t="s">
        <v>29</v>
      </c>
      <c r="N3" s="24" t="s">
        <v>60</v>
      </c>
      <c r="O3" s="24" t="s">
        <v>38</v>
      </c>
      <c r="P3" s="16">
        <v>0.33329999999999999</v>
      </c>
      <c r="Q3" s="36">
        <v>1.8046413508965844</v>
      </c>
    </row>
    <row r="4" spans="1:19" x14ac:dyDescent="0.25">
      <c r="A4" s="4" t="str">
        <f t="shared" si="0"/>
        <v>CUSTO OFFSHORE USD 1,80464135089658 - ASSET1 - JANEIRO 26</v>
      </c>
      <c r="B4" s="9">
        <v>46023</v>
      </c>
      <c r="C4" s="4">
        <v>817395</v>
      </c>
      <c r="D4" s="11" t="s">
        <v>46</v>
      </c>
      <c r="E4" s="30">
        <f t="shared" si="1"/>
        <v>-3.1458369612837642</v>
      </c>
      <c r="F4" s="4" t="s">
        <v>15</v>
      </c>
      <c r="G4" s="9">
        <v>46023</v>
      </c>
      <c r="H4" s="4">
        <v>80834</v>
      </c>
      <c r="J4" s="13" t="s">
        <v>30</v>
      </c>
      <c r="K4" s="13" t="s">
        <v>14</v>
      </c>
      <c r="L4" s="14">
        <f t="shared" si="2"/>
        <v>9.438454729324226</v>
      </c>
      <c r="M4" s="15" t="s">
        <v>29</v>
      </c>
      <c r="N4" s="24" t="s">
        <v>60</v>
      </c>
      <c r="O4" s="24" t="s">
        <v>38</v>
      </c>
      <c r="P4" s="16">
        <v>0.33329999999999999</v>
      </c>
      <c r="Q4" s="37">
        <v>1.8046413508965844</v>
      </c>
    </row>
    <row r="5" spans="1:19" x14ac:dyDescent="0.25">
      <c r="A5" s="4" t="str">
        <f t="shared" si="0"/>
        <v>CUSTO OFFSHORE USD 0,532971456260066 - RPS - JANEIRO 26</v>
      </c>
      <c r="B5" s="9">
        <v>46023</v>
      </c>
      <c r="C5" s="4">
        <v>817395</v>
      </c>
      <c r="D5" s="11" t="s">
        <v>45</v>
      </c>
      <c r="E5" s="30">
        <f t="shared" si="1"/>
        <v>-1.3937470066928865</v>
      </c>
      <c r="F5" s="4" t="s">
        <v>15</v>
      </c>
      <c r="G5" s="9">
        <v>46023</v>
      </c>
      <c r="H5" s="4">
        <v>12339</v>
      </c>
      <c r="J5" s="13" t="s">
        <v>30</v>
      </c>
      <c r="K5" s="13" t="s">
        <v>16</v>
      </c>
      <c r="L5" s="14">
        <f t="shared" si="2"/>
        <v>2.7874940133857731</v>
      </c>
      <c r="M5" s="15" t="s">
        <v>29</v>
      </c>
      <c r="N5" s="24" t="s">
        <v>60</v>
      </c>
      <c r="O5" s="24" t="s">
        <v>38</v>
      </c>
      <c r="P5" s="16">
        <v>0.5</v>
      </c>
      <c r="Q5" s="35">
        <v>0.53297145626006637</v>
      </c>
    </row>
    <row r="6" spans="1:19" x14ac:dyDescent="0.25">
      <c r="A6" s="4" t="str">
        <f t="shared" si="0"/>
        <v>CUSTO OFFSHORE USD 0,532971456260066 - RPS - JANEIRO 26</v>
      </c>
      <c r="B6" s="9">
        <v>46023</v>
      </c>
      <c r="C6" s="4">
        <v>817395</v>
      </c>
      <c r="D6" s="11" t="s">
        <v>12</v>
      </c>
      <c r="E6" s="30">
        <f t="shared" si="1"/>
        <v>-1.3937470066928865</v>
      </c>
      <c r="F6" s="4" t="s">
        <v>15</v>
      </c>
      <c r="G6" s="9">
        <v>46023</v>
      </c>
      <c r="H6" s="4">
        <v>12339</v>
      </c>
      <c r="J6" s="13" t="s">
        <v>30</v>
      </c>
      <c r="K6" s="13" t="s">
        <v>16</v>
      </c>
      <c r="L6" s="14">
        <f t="shared" si="2"/>
        <v>2.7874940133857731</v>
      </c>
      <c r="M6" s="15" t="s">
        <v>29</v>
      </c>
      <c r="N6" s="24" t="s">
        <v>60</v>
      </c>
      <c r="O6" s="24" t="s">
        <v>38</v>
      </c>
      <c r="P6" s="16">
        <v>0.5</v>
      </c>
      <c r="Q6" s="37">
        <v>0.53297145626006637</v>
      </c>
    </row>
    <row r="7" spans="1:19" x14ac:dyDescent="0.25">
      <c r="A7" s="4" t="str">
        <f t="shared" si="0"/>
        <v>CUSTO OFFSHORE USD 3297,79019903925 - GOLDMAN SACHS IL - BRAS - JANEIRO 26</v>
      </c>
      <c r="B7" s="9">
        <v>46023</v>
      </c>
      <c r="C7" s="4">
        <v>817395</v>
      </c>
      <c r="D7" s="11" t="s">
        <v>12</v>
      </c>
      <c r="E7" s="30">
        <f t="shared" si="1"/>
        <v>-17247.772519995207</v>
      </c>
      <c r="F7" s="4" t="s">
        <v>15</v>
      </c>
      <c r="G7" s="9">
        <v>46023</v>
      </c>
      <c r="H7" s="4">
        <v>79791</v>
      </c>
      <c r="J7" s="13" t="s">
        <v>30</v>
      </c>
      <c r="K7" s="13" t="s">
        <v>24</v>
      </c>
      <c r="L7" s="14">
        <f t="shared" si="2"/>
        <v>17247.772519995207</v>
      </c>
      <c r="M7" s="15" t="s">
        <v>29</v>
      </c>
      <c r="N7" s="24" t="s">
        <v>60</v>
      </c>
      <c r="O7" s="24" t="s">
        <v>38</v>
      </c>
      <c r="P7" s="16">
        <v>1</v>
      </c>
      <c r="Q7" s="12">
        <v>3297.7901990392547</v>
      </c>
    </row>
    <row r="8" spans="1:19" x14ac:dyDescent="0.25">
      <c r="A8" s="4" t="str">
        <f t="shared" si="0"/>
        <v>CUSTO OFFSHORE USD 3,28896685658087 - ITAÚ - MSCO - JANEIRO 26</v>
      </c>
      <c r="B8" s="9">
        <v>46023</v>
      </c>
      <c r="C8" s="4">
        <v>817395</v>
      </c>
      <c r="D8" s="11" t="s">
        <v>12</v>
      </c>
      <c r="E8" s="30">
        <f t="shared" si="1"/>
        <v>-17.201625556603606</v>
      </c>
      <c r="F8" s="4" t="s">
        <v>15</v>
      </c>
      <c r="G8" s="9">
        <v>46023</v>
      </c>
      <c r="H8" s="4">
        <v>79460</v>
      </c>
      <c r="J8" s="13" t="s">
        <v>30</v>
      </c>
      <c r="K8" s="13" t="s">
        <v>17</v>
      </c>
      <c r="L8" s="14">
        <f t="shared" si="2"/>
        <v>17.201625556603606</v>
      </c>
      <c r="M8" s="15" t="s">
        <v>29</v>
      </c>
      <c r="N8" s="24" t="s">
        <v>60</v>
      </c>
      <c r="O8" s="24" t="s">
        <v>38</v>
      </c>
      <c r="P8" s="16">
        <v>1</v>
      </c>
      <c r="Q8" s="12">
        <v>3.2889668565808692</v>
      </c>
    </row>
    <row r="9" spans="1:19" x14ac:dyDescent="0.25">
      <c r="A9" s="4" t="str">
        <f t="shared" si="0"/>
        <v>CUSTO OFFSHORE USD 2235,05364279998 - ITAÚ - NASSAU - JANEIRO 26</v>
      </c>
      <c r="B9" s="9">
        <v>46023</v>
      </c>
      <c r="C9" s="4">
        <v>817395</v>
      </c>
      <c r="D9" s="11" t="s">
        <v>12</v>
      </c>
      <c r="E9" s="30">
        <f t="shared" si="1"/>
        <v>-11689.554057208188</v>
      </c>
      <c r="F9" s="4" t="s">
        <v>15</v>
      </c>
      <c r="G9" s="9">
        <v>46023</v>
      </c>
      <c r="H9" s="4">
        <v>79460</v>
      </c>
      <c r="J9" s="13" t="s">
        <v>30</v>
      </c>
      <c r="K9" s="13" t="s">
        <v>18</v>
      </c>
      <c r="L9" s="14">
        <f t="shared" si="2"/>
        <v>11689.554057208188</v>
      </c>
      <c r="M9" s="15" t="s">
        <v>29</v>
      </c>
      <c r="N9" s="24" t="s">
        <v>60</v>
      </c>
      <c r="O9" s="24" t="s">
        <v>38</v>
      </c>
      <c r="P9" s="16">
        <v>1</v>
      </c>
      <c r="Q9" s="12">
        <v>2235.0536427999823</v>
      </c>
    </row>
    <row r="10" spans="1:19" x14ac:dyDescent="0.25">
      <c r="A10" s="4" t="str">
        <f t="shared" si="0"/>
        <v>CUSTO OFFSHORE USD  - SPRINGS_MO - JANEIRO 26</v>
      </c>
      <c r="B10" s="9">
        <v>46023</v>
      </c>
      <c r="C10" s="4">
        <v>817395</v>
      </c>
      <c r="D10" s="11" t="s">
        <v>12</v>
      </c>
      <c r="E10" s="30">
        <f t="shared" si="1"/>
        <v>0</v>
      </c>
      <c r="F10" s="4" t="s">
        <v>15</v>
      </c>
      <c r="G10" s="9">
        <v>46023</v>
      </c>
      <c r="H10" s="4">
        <v>82748</v>
      </c>
      <c r="J10" s="13" t="s">
        <v>30</v>
      </c>
      <c r="K10" s="13" t="s">
        <v>56</v>
      </c>
      <c r="L10" s="14">
        <f t="shared" si="2"/>
        <v>0</v>
      </c>
      <c r="M10" s="15" t="s">
        <v>29</v>
      </c>
      <c r="N10" s="24" t="s">
        <v>60</v>
      </c>
      <c r="O10" s="24" t="s">
        <v>38</v>
      </c>
      <c r="P10" s="16">
        <v>0.66659999999999997</v>
      </c>
      <c r="Q10" s="12"/>
    </row>
    <row r="11" spans="1:19" x14ac:dyDescent="0.25">
      <c r="A11" s="4" t="str">
        <f t="shared" si="0"/>
        <v>CUSTO OFFSHORE USD  - SPRINGS_MO - JANEIRO 26</v>
      </c>
      <c r="B11" s="9">
        <v>46023</v>
      </c>
      <c r="C11" s="4">
        <v>817395</v>
      </c>
      <c r="D11" s="11" t="s">
        <v>45</v>
      </c>
      <c r="E11" s="30">
        <f t="shared" si="1"/>
        <v>0</v>
      </c>
      <c r="F11" s="4" t="s">
        <v>15</v>
      </c>
      <c r="G11" s="9">
        <v>46023</v>
      </c>
      <c r="H11" s="4">
        <v>82748</v>
      </c>
      <c r="J11" s="13" t="s">
        <v>30</v>
      </c>
      <c r="K11" s="13" t="s">
        <v>56</v>
      </c>
      <c r="L11" s="14">
        <f t="shared" si="2"/>
        <v>0</v>
      </c>
      <c r="M11" s="15" t="s">
        <v>29</v>
      </c>
      <c r="N11" s="24" t="s">
        <v>60</v>
      </c>
      <c r="O11" s="24" t="s">
        <v>38</v>
      </c>
      <c r="P11" s="16">
        <v>0.33329999999999999</v>
      </c>
      <c r="Q11" s="12"/>
    </row>
    <row r="12" spans="1:19" x14ac:dyDescent="0.25">
      <c r="A12" s="4" t="str">
        <f t="shared" si="0"/>
        <v>CUSTO OFFSHORE USD 349,799826172607 - VINLAND  - JANEIRO 26</v>
      </c>
      <c r="B12" s="9">
        <v>46023</v>
      </c>
      <c r="C12" s="4">
        <v>817395</v>
      </c>
      <c r="D12" s="11" t="s">
        <v>47</v>
      </c>
      <c r="E12" s="30">
        <f t="shared" si="1"/>
        <v>-1829.4880708653502</v>
      </c>
      <c r="F12" s="4" t="s">
        <v>15</v>
      </c>
      <c r="G12" s="9">
        <v>46023</v>
      </c>
      <c r="H12" s="4">
        <v>80359</v>
      </c>
      <c r="J12" s="13" t="s">
        <v>30</v>
      </c>
      <c r="K12" s="13" t="s">
        <v>20</v>
      </c>
      <c r="L12" s="14">
        <f t="shared" si="2"/>
        <v>1829.4880708653502</v>
      </c>
      <c r="M12" s="15" t="s">
        <v>29</v>
      </c>
      <c r="N12" s="24" t="s">
        <v>60</v>
      </c>
      <c r="O12" s="24" t="s">
        <v>38</v>
      </c>
      <c r="P12" s="27">
        <v>1</v>
      </c>
      <c r="Q12" s="35">
        <v>349.79982617260669</v>
      </c>
    </row>
    <row r="13" spans="1:19" x14ac:dyDescent="0.25">
      <c r="A13" s="4" t="str">
        <f t="shared" ref="A13" si="3">CONCATENATE(J13,Q13,M13,K13,M13,N13)</f>
        <v>CUSTO OFFSHORE USD 966,142408421066 - SCHONFELD_MO - JANEIRO 26</v>
      </c>
      <c r="B13" s="9">
        <v>46023</v>
      </c>
      <c r="C13" s="4">
        <v>817395</v>
      </c>
      <c r="D13" s="11" t="s">
        <v>47</v>
      </c>
      <c r="E13" s="30">
        <f t="shared" ref="E13" si="4">-L13*P13</f>
        <v>-5053.0214102830196</v>
      </c>
      <c r="F13" s="4" t="s">
        <v>15</v>
      </c>
      <c r="G13" s="9">
        <v>46023</v>
      </c>
      <c r="H13" s="4">
        <v>83061</v>
      </c>
      <c r="J13" s="13" t="s">
        <v>30</v>
      </c>
      <c r="K13" s="13" t="s">
        <v>59</v>
      </c>
      <c r="L13" s="14">
        <f t="shared" ref="L13" si="5">IF(O13="USD",Q13*$S$1)</f>
        <v>5053.0214102830196</v>
      </c>
      <c r="M13" s="15" t="s">
        <v>29</v>
      </c>
      <c r="N13" s="24" t="s">
        <v>60</v>
      </c>
      <c r="O13" s="24" t="s">
        <v>38</v>
      </c>
      <c r="P13" s="27">
        <v>1</v>
      </c>
      <c r="Q13" s="35">
        <v>966.14240842106642</v>
      </c>
    </row>
    <row r="14" spans="1:19" x14ac:dyDescent="0.25">
      <c r="A14" s="4" t="str">
        <f t="shared" si="0"/>
        <v>CUSTO OFFSHORE USD 399,15991165122 - XPADVISORY_MO - JANEIRO 26</v>
      </c>
      <c r="B14" s="9">
        <v>46023</v>
      </c>
      <c r="C14" s="4">
        <v>817395</v>
      </c>
      <c r="D14" s="11" t="s">
        <v>50</v>
      </c>
      <c r="E14" s="30">
        <f t="shared" si="1"/>
        <v>-2087.6462539270469</v>
      </c>
      <c r="F14" s="4" t="s">
        <v>15</v>
      </c>
      <c r="G14" s="9">
        <v>46023</v>
      </c>
      <c r="H14" s="4">
        <v>80769</v>
      </c>
      <c r="J14" s="13" t="s">
        <v>30</v>
      </c>
      <c r="K14" s="13" t="s">
        <v>49</v>
      </c>
      <c r="L14" s="14">
        <f t="shared" si="2"/>
        <v>2087.6462539270469</v>
      </c>
      <c r="M14" s="15" t="s">
        <v>29</v>
      </c>
      <c r="N14" s="24" t="s">
        <v>60</v>
      </c>
      <c r="O14" s="24" t="s">
        <v>38</v>
      </c>
      <c r="P14" s="27">
        <v>1</v>
      </c>
      <c r="Q14" s="35">
        <v>399.15991165122023</v>
      </c>
    </row>
    <row r="15" spans="1:19" x14ac:dyDescent="0.25">
      <c r="A15" s="4" t="str">
        <f>CONCATENATE(J15,Q15,M15,K15,M15,N15)</f>
        <v>CUSTO OFFSHORE USD 87,940290282911 - KAPITALO_CP - JANEIRO 26</v>
      </c>
      <c r="B15" s="9">
        <v>46023</v>
      </c>
      <c r="C15" s="4">
        <v>817395</v>
      </c>
      <c r="D15" s="11" t="s">
        <v>61</v>
      </c>
      <c r="E15" s="30">
        <f t="shared" ref="E15" si="6">-L15*P15</f>
        <v>-459.93651220865257</v>
      </c>
      <c r="F15" s="4" t="s">
        <v>15</v>
      </c>
      <c r="G15" s="9">
        <v>46023</v>
      </c>
      <c r="H15" s="4">
        <v>12413</v>
      </c>
      <c r="J15" s="13" t="s">
        <v>30</v>
      </c>
      <c r="K15" s="13" t="s">
        <v>70</v>
      </c>
      <c r="L15" s="14">
        <f>IF(O15="USD",Q15*$S$1)</f>
        <v>459.93651220865257</v>
      </c>
      <c r="M15" s="15" t="s">
        <v>29</v>
      </c>
      <c r="N15" s="24" t="s">
        <v>60</v>
      </c>
      <c r="O15" s="24" t="s">
        <v>38</v>
      </c>
      <c r="P15" s="27">
        <v>1</v>
      </c>
      <c r="Q15" s="35">
        <v>87.940290282910951</v>
      </c>
    </row>
    <row r="16" spans="1:19" x14ac:dyDescent="0.25">
      <c r="A16" s="4" t="str">
        <f t="shared" si="0"/>
        <v>CUSTO OFFSHORE USD  - CITIGBL_MO - JANEIRO 26</v>
      </c>
      <c r="B16" s="9">
        <v>46023</v>
      </c>
      <c r="C16" s="4">
        <v>817395</v>
      </c>
      <c r="D16" s="11" t="s">
        <v>12</v>
      </c>
      <c r="E16" s="30">
        <f t="shared" si="1"/>
        <v>0</v>
      </c>
      <c r="F16" s="4" t="s">
        <v>15</v>
      </c>
      <c r="G16" s="9">
        <v>46023</v>
      </c>
      <c r="H16" s="4">
        <v>79791</v>
      </c>
      <c r="J16" s="13" t="s">
        <v>30</v>
      </c>
      <c r="K16" s="13" t="s">
        <v>48</v>
      </c>
      <c r="L16" s="14">
        <f t="shared" si="2"/>
        <v>0</v>
      </c>
      <c r="M16" s="15" t="s">
        <v>29</v>
      </c>
      <c r="N16" s="24" t="s">
        <v>60</v>
      </c>
      <c r="O16" s="24" t="s">
        <v>38</v>
      </c>
      <c r="P16" s="27">
        <v>0.5</v>
      </c>
      <c r="Q16" s="35"/>
    </row>
    <row r="17" spans="1:17" x14ac:dyDescent="0.25">
      <c r="A17" s="4" t="str">
        <f t="shared" si="0"/>
        <v>CUSTO OFFSHORE USD  - CITIGBL_MO - JANEIRO 26</v>
      </c>
      <c r="B17" s="9">
        <v>46023</v>
      </c>
      <c r="C17" s="4">
        <v>817395</v>
      </c>
      <c r="D17" s="11" t="s">
        <v>45</v>
      </c>
      <c r="E17" s="30">
        <f t="shared" si="1"/>
        <v>0</v>
      </c>
      <c r="F17" s="4" t="s">
        <v>15</v>
      </c>
      <c r="G17" s="9">
        <v>46023</v>
      </c>
      <c r="H17" s="4">
        <v>79791</v>
      </c>
      <c r="J17" s="13" t="s">
        <v>30</v>
      </c>
      <c r="K17" s="13" t="s">
        <v>48</v>
      </c>
      <c r="L17" s="14">
        <f t="shared" si="2"/>
        <v>0</v>
      </c>
      <c r="M17" s="15" t="s">
        <v>29</v>
      </c>
      <c r="N17" s="24" t="s">
        <v>60</v>
      </c>
      <c r="O17" s="24" t="s">
        <v>38</v>
      </c>
      <c r="P17" s="27">
        <v>0.5</v>
      </c>
      <c r="Q17" s="37"/>
    </row>
    <row r="18" spans="1:17" x14ac:dyDescent="0.25">
      <c r="A18" s="4" t="str">
        <f>CONCATENATE(J18,Q18,M18,K18,M18,N18)</f>
        <v>CUSTO OFFSHORE USD 571,28570830769 - KAPITALO - JANEIRO 26</v>
      </c>
      <c r="B18" s="9">
        <v>46023</v>
      </c>
      <c r="C18" s="4">
        <v>817395</v>
      </c>
      <c r="D18" s="11" t="s">
        <v>12</v>
      </c>
      <c r="E18" s="30">
        <f t="shared" si="1"/>
        <v>-2240.9110372650375</v>
      </c>
      <c r="F18" s="4" t="s">
        <v>15</v>
      </c>
      <c r="G18" s="9">
        <v>46023</v>
      </c>
      <c r="H18" s="4">
        <v>12413</v>
      </c>
      <c r="J18" s="13" t="s">
        <v>30</v>
      </c>
      <c r="K18" s="13" t="s">
        <v>26</v>
      </c>
      <c r="L18" s="14">
        <f>IF(O18="USD",Q18*$S$1)</f>
        <v>2987.8813830200497</v>
      </c>
      <c r="M18" s="15" t="s">
        <v>29</v>
      </c>
      <c r="N18" s="24" t="s">
        <v>60</v>
      </c>
      <c r="O18" s="24" t="s">
        <v>38</v>
      </c>
      <c r="P18" s="27">
        <v>0.75</v>
      </c>
      <c r="Q18" s="36">
        <v>571.28570830769002</v>
      </c>
    </row>
    <row r="19" spans="1:17" x14ac:dyDescent="0.25">
      <c r="A19" s="4" t="str">
        <f>CONCATENATE(J19,Q19,M19,K19,M19,N19)</f>
        <v>CUSTO OFFSHORE USD 571,28570830769 - KAPITALO - JANEIRO 26</v>
      </c>
      <c r="B19" s="9">
        <v>46023</v>
      </c>
      <c r="C19" s="4">
        <v>817395</v>
      </c>
      <c r="D19" s="11" t="s">
        <v>45</v>
      </c>
      <c r="E19" s="30">
        <f t="shared" si="1"/>
        <v>-746.97034575501243</v>
      </c>
      <c r="F19" s="4" t="s">
        <v>15</v>
      </c>
      <c r="G19" s="9">
        <v>46023</v>
      </c>
      <c r="H19" s="4">
        <v>12413</v>
      </c>
      <c r="J19" s="13" t="s">
        <v>30</v>
      </c>
      <c r="K19" s="13" t="s">
        <v>26</v>
      </c>
      <c r="L19" s="14">
        <f>IF(O19="USD",Q19*$S$1)</f>
        <v>2987.8813830200497</v>
      </c>
      <c r="M19" s="15" t="s">
        <v>29</v>
      </c>
      <c r="N19" s="24" t="s">
        <v>60</v>
      </c>
      <c r="O19" s="24" t="s">
        <v>38</v>
      </c>
      <c r="P19" s="27">
        <v>0.25</v>
      </c>
      <c r="Q19" s="36">
        <v>571.28570830769002</v>
      </c>
    </row>
    <row r="20" spans="1:17" x14ac:dyDescent="0.25">
      <c r="A20" s="4" t="str">
        <f t="shared" si="0"/>
        <v>CUSTO OFFSHORE USD 800,096750137611 - BRADESCO_BZL - JANEIRO 26</v>
      </c>
      <c r="B20" s="9">
        <v>46023</v>
      </c>
      <c r="C20" s="4">
        <v>817395</v>
      </c>
      <c r="D20" s="11" t="s">
        <v>12</v>
      </c>
      <c r="E20" s="30">
        <f t="shared" si="1"/>
        <v>-3138.4395096710414</v>
      </c>
      <c r="F20" s="4" t="s">
        <v>15</v>
      </c>
      <c r="G20" s="9">
        <v>46023</v>
      </c>
      <c r="H20" s="4">
        <v>16705</v>
      </c>
      <c r="J20" s="13" t="s">
        <v>30</v>
      </c>
      <c r="K20" s="13" t="s">
        <v>27</v>
      </c>
      <c r="L20" s="14">
        <f t="shared" si="2"/>
        <v>4184.5860128947215</v>
      </c>
      <c r="M20" s="15" t="s">
        <v>29</v>
      </c>
      <c r="N20" s="24" t="s">
        <v>60</v>
      </c>
      <c r="O20" s="24" t="s">
        <v>38</v>
      </c>
      <c r="P20" s="27">
        <v>0.75</v>
      </c>
      <c r="Q20" s="35">
        <v>800.09675013761148</v>
      </c>
    </row>
    <row r="21" spans="1:17" x14ac:dyDescent="0.25">
      <c r="A21" s="4" t="str">
        <f t="shared" si="0"/>
        <v>CUSTO OFFSHORE USD 800,096750137611 - BRADESCO_BZL - JANEIRO 26</v>
      </c>
      <c r="B21" s="9">
        <v>46023</v>
      </c>
      <c r="C21" s="4">
        <v>817395</v>
      </c>
      <c r="D21" s="11" t="s">
        <v>45</v>
      </c>
      <c r="E21" s="30">
        <f t="shared" si="1"/>
        <v>-1046.1465032236804</v>
      </c>
      <c r="F21" s="4" t="s">
        <v>15</v>
      </c>
      <c r="G21" s="9">
        <v>46023</v>
      </c>
      <c r="H21" s="4">
        <v>16705</v>
      </c>
      <c r="J21" s="13" t="s">
        <v>30</v>
      </c>
      <c r="K21" s="13" t="s">
        <v>27</v>
      </c>
      <c r="L21" s="14">
        <f t="shared" si="2"/>
        <v>4184.5860128947215</v>
      </c>
      <c r="M21" s="15" t="s">
        <v>29</v>
      </c>
      <c r="N21" s="24" t="s">
        <v>60</v>
      </c>
      <c r="O21" s="24" t="s">
        <v>38</v>
      </c>
      <c r="P21" s="27">
        <v>0.25</v>
      </c>
      <c r="Q21" s="37">
        <v>800.09675013761148</v>
      </c>
    </row>
    <row r="22" spans="1:17" x14ac:dyDescent="0.25">
      <c r="A22" s="4" t="str">
        <f t="shared" si="0"/>
        <v>CUSTO OFFSHORE USD 4267,25675043302 - JPMPLC_MO - JANEIRO 26</v>
      </c>
      <c r="B22" s="9">
        <v>46023</v>
      </c>
      <c r="C22" s="4">
        <v>817395</v>
      </c>
      <c r="D22" s="11" t="s">
        <v>12</v>
      </c>
      <c r="E22" s="30">
        <f t="shared" si="1"/>
        <v>-14879.530292944159</v>
      </c>
      <c r="F22" s="4" t="s">
        <v>15</v>
      </c>
      <c r="G22" s="9">
        <v>46023</v>
      </c>
      <c r="H22" s="4">
        <v>81541</v>
      </c>
      <c r="J22" s="13" t="s">
        <v>30</v>
      </c>
      <c r="K22" s="13" t="s">
        <v>55</v>
      </c>
      <c r="L22" s="14">
        <f t="shared" si="2"/>
        <v>22318.179530439716</v>
      </c>
      <c r="M22" s="15" t="s">
        <v>29</v>
      </c>
      <c r="N22" s="24" t="s">
        <v>60</v>
      </c>
      <c r="O22" s="24" t="s">
        <v>38</v>
      </c>
      <c r="P22" s="27">
        <v>0.66669999999999996</v>
      </c>
      <c r="Q22" s="35">
        <v>4267.2567504330154</v>
      </c>
    </row>
    <row r="23" spans="1:17" x14ac:dyDescent="0.25">
      <c r="A23" s="4" t="str">
        <f t="shared" si="0"/>
        <v>CUSTO OFFSHORE USD 4267,25675043302 - JPMPLC_MO - JANEIRO 26</v>
      </c>
      <c r="B23" s="9">
        <v>46023</v>
      </c>
      <c r="C23" s="4">
        <v>817395</v>
      </c>
      <c r="D23" s="11" t="s">
        <v>45</v>
      </c>
      <c r="E23" s="30">
        <f t="shared" si="1"/>
        <v>-7438.6492374955569</v>
      </c>
      <c r="F23" s="4" t="s">
        <v>15</v>
      </c>
      <c r="G23" s="9">
        <v>46023</v>
      </c>
      <c r="H23" s="4">
        <v>81541</v>
      </c>
      <c r="J23" s="13" t="s">
        <v>30</v>
      </c>
      <c r="K23" s="13" t="s">
        <v>55</v>
      </c>
      <c r="L23" s="14">
        <f t="shared" si="2"/>
        <v>22318.179530439716</v>
      </c>
      <c r="M23" s="15" t="s">
        <v>29</v>
      </c>
      <c r="N23" s="24" t="s">
        <v>60</v>
      </c>
      <c r="O23" s="24" t="s">
        <v>38</v>
      </c>
      <c r="P23" s="27">
        <v>0.33329999999999999</v>
      </c>
      <c r="Q23" s="37">
        <v>4267.2567504330154</v>
      </c>
    </row>
    <row r="24" spans="1:17" x14ac:dyDescent="0.25">
      <c r="A24" s="4" t="str">
        <f t="shared" si="0"/>
        <v>CUSTO OFFSHORE USD 1255,11793309091 - SPX_MO - JANEIRO 26</v>
      </c>
      <c r="B24" s="9">
        <v>46023</v>
      </c>
      <c r="C24" s="4">
        <v>817395</v>
      </c>
      <c r="D24" s="11" t="s">
        <v>12</v>
      </c>
      <c r="E24" s="30">
        <f t="shared" si="1"/>
        <v>-3938.6353811152471</v>
      </c>
      <c r="F24" s="4" t="s">
        <v>15</v>
      </c>
      <c r="G24" s="9">
        <v>46023</v>
      </c>
      <c r="H24" s="4">
        <v>79931</v>
      </c>
      <c r="J24" s="13" t="s">
        <v>30</v>
      </c>
      <c r="K24" s="13" t="s">
        <v>31</v>
      </c>
      <c r="L24" s="14">
        <f t="shared" si="2"/>
        <v>6564.3923018587457</v>
      </c>
      <c r="M24" s="15" t="s">
        <v>29</v>
      </c>
      <c r="N24" s="24" t="s">
        <v>60</v>
      </c>
      <c r="O24" s="24" t="s">
        <v>38</v>
      </c>
      <c r="P24" s="27">
        <v>0.6</v>
      </c>
      <c r="Q24" s="35">
        <v>1255.1179330909056</v>
      </c>
    </row>
    <row r="25" spans="1:17" x14ac:dyDescent="0.25">
      <c r="A25" s="17" t="str">
        <f t="shared" si="0"/>
        <v>CUSTO OFFSHORE USD 1255,11793309091 - SPX_MO - JANEIRO 26</v>
      </c>
      <c r="B25" s="18">
        <v>46023</v>
      </c>
      <c r="C25" s="17">
        <v>817395</v>
      </c>
      <c r="D25" s="23" t="s">
        <v>45</v>
      </c>
      <c r="E25" s="26">
        <f t="shared" si="1"/>
        <v>-2625.7569207434985</v>
      </c>
      <c r="F25" s="17" t="s">
        <v>15</v>
      </c>
      <c r="G25" s="18">
        <v>46023</v>
      </c>
      <c r="H25" s="17">
        <v>79931</v>
      </c>
      <c r="J25" s="20" t="s">
        <v>30</v>
      </c>
      <c r="K25" s="20" t="s">
        <v>31</v>
      </c>
      <c r="L25" s="33">
        <f t="shared" si="2"/>
        <v>6564.3923018587457</v>
      </c>
      <c r="M25" s="21" t="s">
        <v>29</v>
      </c>
      <c r="N25" s="25" t="s">
        <v>60</v>
      </c>
      <c r="O25" s="25" t="s">
        <v>38</v>
      </c>
      <c r="P25" s="22">
        <v>0.4</v>
      </c>
      <c r="Q25" s="37">
        <v>1255.1179330909056</v>
      </c>
    </row>
    <row r="26" spans="1:17" x14ac:dyDescent="0.25">
      <c r="A26" s="4" t="str">
        <f t="shared" ref="A26:A40" si="7">CONCATENATE(J26,Q26,M26,K26,M26,N26)</f>
        <v>CUSTO OFFSHORE USD  - ASSET1 - JANEIRO 26</v>
      </c>
      <c r="B26" s="9">
        <v>46023</v>
      </c>
      <c r="C26" s="4">
        <v>817395</v>
      </c>
      <c r="D26" s="11" t="s">
        <v>12</v>
      </c>
      <c r="E26" s="30">
        <f>-L26*P26</f>
        <v>0</v>
      </c>
      <c r="F26" s="4" t="s">
        <v>68</v>
      </c>
      <c r="G26" s="9">
        <v>46023</v>
      </c>
      <c r="H26" s="4">
        <v>80834</v>
      </c>
      <c r="J26" s="13" t="s">
        <v>30</v>
      </c>
      <c r="K26" s="13" t="s">
        <v>14</v>
      </c>
      <c r="L26" s="14">
        <f>IF(O26="USD",Q26*$S$1)</f>
        <v>0</v>
      </c>
      <c r="M26" s="15" t="s">
        <v>29</v>
      </c>
      <c r="N26" s="24" t="s">
        <v>60</v>
      </c>
      <c r="O26" s="24" t="s">
        <v>38</v>
      </c>
      <c r="P26" s="16">
        <v>0.33339999999999997</v>
      </c>
      <c r="Q26" s="35"/>
    </row>
    <row r="27" spans="1:17" x14ac:dyDescent="0.25">
      <c r="A27" s="4" t="str">
        <f t="shared" si="7"/>
        <v>CUSTO OFFSHORE USD  - ASSET1 - JANEIRO 26</v>
      </c>
      <c r="B27" s="9">
        <v>46023</v>
      </c>
      <c r="C27" s="4">
        <v>817395</v>
      </c>
      <c r="D27" s="11" t="s">
        <v>45</v>
      </c>
      <c r="E27" s="30">
        <f t="shared" ref="E27:E48" si="8">-L27*P27</f>
        <v>0</v>
      </c>
      <c r="F27" s="4" t="s">
        <v>68</v>
      </c>
      <c r="G27" s="9">
        <v>46023</v>
      </c>
      <c r="H27" s="4">
        <v>80834</v>
      </c>
      <c r="J27" s="13" t="s">
        <v>30</v>
      </c>
      <c r="K27" s="13" t="s">
        <v>14</v>
      </c>
      <c r="L27" s="14">
        <f t="shared" ref="L27:L40" si="9">IF(O27="USD",Q27*$S$1)</f>
        <v>0</v>
      </c>
      <c r="M27" s="15" t="s">
        <v>29</v>
      </c>
      <c r="N27" s="24" t="s">
        <v>60</v>
      </c>
      <c r="O27" s="24" t="s">
        <v>38</v>
      </c>
      <c r="P27" s="16">
        <v>0.33329999999999999</v>
      </c>
      <c r="Q27" s="36"/>
    </row>
    <row r="28" spans="1:17" x14ac:dyDescent="0.25">
      <c r="A28" s="4" t="str">
        <f t="shared" si="7"/>
        <v>CUSTO OFFSHORE USD  - ASSET1 - JANEIRO 26</v>
      </c>
      <c r="B28" s="9">
        <v>46023</v>
      </c>
      <c r="C28" s="4">
        <v>817395</v>
      </c>
      <c r="D28" s="11" t="s">
        <v>46</v>
      </c>
      <c r="E28" s="30">
        <f t="shared" si="8"/>
        <v>0</v>
      </c>
      <c r="F28" s="4" t="s">
        <v>68</v>
      </c>
      <c r="G28" s="9">
        <v>46023</v>
      </c>
      <c r="H28" s="4">
        <v>80834</v>
      </c>
      <c r="J28" s="13" t="s">
        <v>30</v>
      </c>
      <c r="K28" s="13" t="s">
        <v>14</v>
      </c>
      <c r="L28" s="14">
        <f t="shared" si="9"/>
        <v>0</v>
      </c>
      <c r="M28" s="15" t="s">
        <v>29</v>
      </c>
      <c r="N28" s="24" t="s">
        <v>60</v>
      </c>
      <c r="O28" s="24" t="s">
        <v>38</v>
      </c>
      <c r="P28" s="16">
        <v>0.33329999999999999</v>
      </c>
      <c r="Q28" s="37"/>
    </row>
    <row r="29" spans="1:17" x14ac:dyDescent="0.25">
      <c r="A29" s="4" t="str">
        <f t="shared" si="7"/>
        <v>CUSTO OFFSHORE USD 0,372753016006197 - RPS - JANEIRO 26</v>
      </c>
      <c r="B29" s="9">
        <v>46023</v>
      </c>
      <c r="C29" s="4">
        <v>817395</v>
      </c>
      <c r="D29" s="11" t="s">
        <v>45</v>
      </c>
      <c r="E29" s="30">
        <f t="shared" si="8"/>
        <v>-0.97476777450700514</v>
      </c>
      <c r="F29" s="4" t="s">
        <v>68</v>
      </c>
      <c r="G29" s="9">
        <v>46023</v>
      </c>
      <c r="H29" s="4">
        <v>12339</v>
      </c>
      <c r="J29" s="13" t="s">
        <v>30</v>
      </c>
      <c r="K29" s="13" t="s">
        <v>16</v>
      </c>
      <c r="L29" s="14">
        <f t="shared" si="9"/>
        <v>1.9495355490140103</v>
      </c>
      <c r="M29" s="15" t="s">
        <v>29</v>
      </c>
      <c r="N29" s="24" t="s">
        <v>60</v>
      </c>
      <c r="O29" s="24" t="s">
        <v>38</v>
      </c>
      <c r="P29" s="16">
        <v>0.5</v>
      </c>
      <c r="Q29" s="35">
        <v>0.37275301600619687</v>
      </c>
    </row>
    <row r="30" spans="1:17" x14ac:dyDescent="0.25">
      <c r="A30" s="4" t="str">
        <f t="shared" si="7"/>
        <v>CUSTO OFFSHORE USD 0,372753016006197 - RPS - JANEIRO 26</v>
      </c>
      <c r="B30" s="9">
        <v>46023</v>
      </c>
      <c r="C30" s="4">
        <v>817395</v>
      </c>
      <c r="D30" s="11" t="s">
        <v>12</v>
      </c>
      <c r="E30" s="30">
        <f t="shared" si="8"/>
        <v>-0.97476777450700514</v>
      </c>
      <c r="F30" s="4" t="s">
        <v>68</v>
      </c>
      <c r="G30" s="9">
        <v>46023</v>
      </c>
      <c r="H30" s="4">
        <v>12339</v>
      </c>
      <c r="J30" s="13" t="s">
        <v>30</v>
      </c>
      <c r="K30" s="13" t="s">
        <v>16</v>
      </c>
      <c r="L30" s="14">
        <f t="shared" si="9"/>
        <v>1.9495355490140103</v>
      </c>
      <c r="M30" s="15" t="s">
        <v>29</v>
      </c>
      <c r="N30" s="24" t="s">
        <v>60</v>
      </c>
      <c r="O30" s="24" t="s">
        <v>38</v>
      </c>
      <c r="P30" s="16">
        <v>0.5</v>
      </c>
      <c r="Q30" s="37">
        <v>0.37275301600619687</v>
      </c>
    </row>
    <row r="31" spans="1:17" x14ac:dyDescent="0.25">
      <c r="A31" s="4" t="str">
        <f t="shared" si="7"/>
        <v>CUSTO OFFSHORE USD 4587,35022325806 - GOLDMAN SACHS IL - BRAS - JANEIRO 26</v>
      </c>
      <c r="B31" s="9">
        <v>46023</v>
      </c>
      <c r="C31" s="4">
        <v>817395</v>
      </c>
      <c r="D31" s="11" t="s">
        <v>12</v>
      </c>
      <c r="E31" s="30">
        <f t="shared" si="8"/>
        <v>-23992.300402661996</v>
      </c>
      <c r="F31" s="4" t="s">
        <v>68</v>
      </c>
      <c r="G31" s="9">
        <v>46023</v>
      </c>
      <c r="H31" s="4">
        <v>79791</v>
      </c>
      <c r="J31" s="13" t="s">
        <v>30</v>
      </c>
      <c r="K31" s="13" t="s">
        <v>24</v>
      </c>
      <c r="L31" s="14">
        <f t="shared" si="9"/>
        <v>23992.300402661996</v>
      </c>
      <c r="M31" s="15" t="s">
        <v>29</v>
      </c>
      <c r="N31" s="24" t="s">
        <v>60</v>
      </c>
      <c r="O31" s="24" t="s">
        <v>38</v>
      </c>
      <c r="P31" s="16">
        <v>1</v>
      </c>
      <c r="Q31" s="12">
        <v>4587.3502232580631</v>
      </c>
    </row>
    <row r="32" spans="1:17" x14ac:dyDescent="0.25">
      <c r="A32" s="4" t="str">
        <f t="shared" si="7"/>
        <v>CUSTO OFFSHORE USD 9,31882540015492 - ITAÚ - MSCO - JANEIRO 26</v>
      </c>
      <c r="B32" s="9">
        <v>46023</v>
      </c>
      <c r="C32" s="4">
        <v>817395</v>
      </c>
      <c r="D32" s="11" t="s">
        <v>12</v>
      </c>
      <c r="E32" s="30">
        <f t="shared" si="8"/>
        <v>-48.738388725350255</v>
      </c>
      <c r="F32" s="4" t="s">
        <v>68</v>
      </c>
      <c r="G32" s="9">
        <v>46023</v>
      </c>
      <c r="H32" s="4">
        <v>79460</v>
      </c>
      <c r="J32" s="13" t="s">
        <v>30</v>
      </c>
      <c r="K32" s="13" t="s">
        <v>17</v>
      </c>
      <c r="L32" s="14">
        <f t="shared" si="9"/>
        <v>48.738388725350255</v>
      </c>
      <c r="M32" s="15" t="s">
        <v>29</v>
      </c>
      <c r="N32" s="24" t="s">
        <v>60</v>
      </c>
      <c r="O32" s="24" t="s">
        <v>38</v>
      </c>
      <c r="P32" s="16">
        <v>1</v>
      </c>
      <c r="Q32" s="12">
        <v>9.3188254001549211</v>
      </c>
    </row>
    <row r="33" spans="1:17" x14ac:dyDescent="0.25">
      <c r="A33" s="4" t="str">
        <f t="shared" si="7"/>
        <v>CUSTO OFFSHORE USD 3235,12591093789 - ITAÚ - NASSAU - JANEIRO 26</v>
      </c>
      <c r="B33" s="9">
        <v>46023</v>
      </c>
      <c r="C33" s="4">
        <v>817395</v>
      </c>
      <c r="D33" s="11" t="s">
        <v>12</v>
      </c>
      <c r="E33" s="30">
        <f t="shared" si="8"/>
        <v>-16920.032026796252</v>
      </c>
      <c r="F33" s="4" t="s">
        <v>68</v>
      </c>
      <c r="G33" s="9">
        <v>46023</v>
      </c>
      <c r="H33" s="4">
        <v>79460</v>
      </c>
      <c r="J33" s="13" t="s">
        <v>30</v>
      </c>
      <c r="K33" s="13" t="s">
        <v>18</v>
      </c>
      <c r="L33" s="14">
        <f t="shared" si="9"/>
        <v>16920.032026796252</v>
      </c>
      <c r="M33" s="15" t="s">
        <v>29</v>
      </c>
      <c r="N33" s="24" t="s">
        <v>60</v>
      </c>
      <c r="O33" s="24" t="s">
        <v>38</v>
      </c>
      <c r="P33" s="16">
        <v>1</v>
      </c>
      <c r="Q33" s="12">
        <v>3235.1259109378889</v>
      </c>
    </row>
    <row r="34" spans="1:17" x14ac:dyDescent="0.25">
      <c r="A34" s="4" t="str">
        <f t="shared" si="7"/>
        <v>CUSTO OFFSHORE USD  - SPRINGS_MO - JANEIRO 26</v>
      </c>
      <c r="B34" s="9">
        <v>46023</v>
      </c>
      <c r="C34" s="4">
        <v>817395</v>
      </c>
      <c r="D34" s="11" t="s">
        <v>12</v>
      </c>
      <c r="E34" s="30">
        <f t="shared" si="8"/>
        <v>0</v>
      </c>
      <c r="F34" s="4" t="s">
        <v>68</v>
      </c>
      <c r="G34" s="9">
        <v>46023</v>
      </c>
      <c r="H34" s="4">
        <v>82748</v>
      </c>
      <c r="J34" s="13" t="s">
        <v>30</v>
      </c>
      <c r="K34" s="13" t="s">
        <v>56</v>
      </c>
      <c r="L34" s="14">
        <f t="shared" si="9"/>
        <v>0</v>
      </c>
      <c r="M34" s="15" t="s">
        <v>29</v>
      </c>
      <c r="N34" s="24" t="s">
        <v>60</v>
      </c>
      <c r="O34" s="24" t="s">
        <v>38</v>
      </c>
      <c r="P34" s="16">
        <v>0.66659999999999997</v>
      </c>
      <c r="Q34" s="12"/>
    </row>
    <row r="35" spans="1:17" x14ac:dyDescent="0.25">
      <c r="A35" s="4" t="str">
        <f t="shared" si="7"/>
        <v>CUSTO OFFSHORE USD  - SPRINGS_MO - JANEIRO 26</v>
      </c>
      <c r="B35" s="9">
        <v>46023</v>
      </c>
      <c r="C35" s="4">
        <v>817395</v>
      </c>
      <c r="D35" s="11" t="s">
        <v>45</v>
      </c>
      <c r="E35" s="30">
        <f t="shared" si="8"/>
        <v>0</v>
      </c>
      <c r="F35" s="4" t="s">
        <v>68</v>
      </c>
      <c r="G35" s="9">
        <v>46023</v>
      </c>
      <c r="H35" s="4">
        <v>82748</v>
      </c>
      <c r="J35" s="13" t="s">
        <v>30</v>
      </c>
      <c r="K35" s="13" t="s">
        <v>56</v>
      </c>
      <c r="L35" s="14">
        <f t="shared" si="9"/>
        <v>0</v>
      </c>
      <c r="M35" s="15" t="s">
        <v>29</v>
      </c>
      <c r="N35" s="24" t="s">
        <v>60</v>
      </c>
      <c r="O35" s="24" t="s">
        <v>38</v>
      </c>
      <c r="P35" s="16">
        <v>0.33329999999999999</v>
      </c>
      <c r="Q35" s="12"/>
    </row>
    <row r="36" spans="1:17" x14ac:dyDescent="0.25">
      <c r="A36" s="4" t="str">
        <f t="shared" si="7"/>
        <v>CUSTO OFFSHORE USD 102,031819306296 - VINLAND  - JANEIRO 26</v>
      </c>
      <c r="B36" s="9">
        <v>46023</v>
      </c>
      <c r="C36" s="4">
        <v>817395</v>
      </c>
      <c r="D36" s="11" t="s">
        <v>47</v>
      </c>
      <c r="E36" s="30">
        <f t="shared" si="8"/>
        <v>-533.6366181538599</v>
      </c>
      <c r="F36" s="4" t="s">
        <v>68</v>
      </c>
      <c r="G36" s="9">
        <v>46023</v>
      </c>
      <c r="H36" s="4">
        <v>80359</v>
      </c>
      <c r="J36" s="13" t="s">
        <v>30</v>
      </c>
      <c r="K36" s="13" t="s">
        <v>20</v>
      </c>
      <c r="L36" s="14">
        <f t="shared" si="9"/>
        <v>533.6366181538599</v>
      </c>
      <c r="M36" s="15" t="s">
        <v>29</v>
      </c>
      <c r="N36" s="24" t="s">
        <v>60</v>
      </c>
      <c r="O36" s="24" t="s">
        <v>38</v>
      </c>
      <c r="P36" s="27">
        <v>1</v>
      </c>
      <c r="Q36" s="35">
        <v>102.03181930629623</v>
      </c>
    </row>
    <row r="37" spans="1:17" x14ac:dyDescent="0.25">
      <c r="A37" s="4" t="str">
        <f t="shared" si="7"/>
        <v>CUSTO OFFSHORE USD 521,668467155699 - SCHONFELD_MO - JANEIRO 26</v>
      </c>
      <c r="B37" s="9">
        <v>46023</v>
      </c>
      <c r="C37" s="4">
        <v>817395</v>
      </c>
      <c r="D37" s="11" t="s">
        <v>47</v>
      </c>
      <c r="E37" s="30">
        <f t="shared" si="8"/>
        <v>-2728.3782500710226</v>
      </c>
      <c r="F37" s="4" t="s">
        <v>68</v>
      </c>
      <c r="G37" s="9">
        <v>46023</v>
      </c>
      <c r="H37" s="4">
        <v>83061</v>
      </c>
      <c r="J37" s="13" t="s">
        <v>30</v>
      </c>
      <c r="K37" s="13" t="s">
        <v>59</v>
      </c>
      <c r="L37" s="14">
        <f t="shared" si="9"/>
        <v>2728.3782500710226</v>
      </c>
      <c r="M37" s="15" t="s">
        <v>29</v>
      </c>
      <c r="N37" s="24" t="s">
        <v>60</v>
      </c>
      <c r="O37" s="24" t="s">
        <v>38</v>
      </c>
      <c r="P37" s="27">
        <v>1</v>
      </c>
      <c r="Q37" s="35">
        <v>521.6684671556992</v>
      </c>
    </row>
    <row r="38" spans="1:17" x14ac:dyDescent="0.25">
      <c r="A38" s="4" t="str">
        <f t="shared" si="7"/>
        <v>CUSTO OFFSHORE USD 5148,66594370623 - XPADVISORY_MO - JANEIRO 26</v>
      </c>
      <c r="B38" s="9">
        <v>46023</v>
      </c>
      <c r="C38" s="4">
        <v>817395</v>
      </c>
      <c r="D38" s="11" t="s">
        <v>50</v>
      </c>
      <c r="E38" s="30">
        <f t="shared" si="8"/>
        <v>-26928.037752177977</v>
      </c>
      <c r="F38" s="4" t="s">
        <v>68</v>
      </c>
      <c r="G38" s="9">
        <v>46023</v>
      </c>
      <c r="H38" s="4">
        <v>80769</v>
      </c>
      <c r="J38" s="13" t="s">
        <v>30</v>
      </c>
      <c r="K38" s="13" t="s">
        <v>49</v>
      </c>
      <c r="L38" s="14">
        <f t="shared" si="9"/>
        <v>26928.037752177977</v>
      </c>
      <c r="M38" s="15" t="s">
        <v>29</v>
      </c>
      <c r="N38" s="24" t="s">
        <v>60</v>
      </c>
      <c r="O38" s="24" t="s">
        <v>38</v>
      </c>
      <c r="P38" s="27">
        <v>1</v>
      </c>
      <c r="Q38" s="35">
        <v>5148.6659437062344</v>
      </c>
    </row>
    <row r="39" spans="1:17" x14ac:dyDescent="0.25">
      <c r="A39" s="4" t="str">
        <f t="shared" si="7"/>
        <v>CUSTO OFFSHORE USD  - CITIGBL_MO - JANEIRO 26</v>
      </c>
      <c r="B39" s="9">
        <v>46023</v>
      </c>
      <c r="C39" s="4">
        <v>817395</v>
      </c>
      <c r="D39" s="11" t="s">
        <v>12</v>
      </c>
      <c r="E39" s="30">
        <f t="shared" si="8"/>
        <v>0</v>
      </c>
      <c r="F39" s="4" t="s">
        <v>68</v>
      </c>
      <c r="G39" s="9">
        <v>46023</v>
      </c>
      <c r="H39" s="4">
        <v>79791</v>
      </c>
      <c r="J39" s="13" t="s">
        <v>30</v>
      </c>
      <c r="K39" s="13" t="s">
        <v>48</v>
      </c>
      <c r="L39" s="14">
        <f t="shared" si="9"/>
        <v>0</v>
      </c>
      <c r="M39" s="15" t="s">
        <v>29</v>
      </c>
      <c r="N39" s="24" t="s">
        <v>60</v>
      </c>
      <c r="O39" s="24" t="s">
        <v>38</v>
      </c>
      <c r="P39" s="27">
        <v>0.5</v>
      </c>
      <c r="Q39" s="35"/>
    </row>
    <row r="40" spans="1:17" x14ac:dyDescent="0.25">
      <c r="A40" s="4" t="str">
        <f t="shared" si="7"/>
        <v>CUSTO OFFSHORE USD  - CITIGBL_MO - JANEIRO 26</v>
      </c>
      <c r="B40" s="9">
        <v>46023</v>
      </c>
      <c r="C40" s="4">
        <v>817395</v>
      </c>
      <c r="D40" s="11" t="s">
        <v>45</v>
      </c>
      <c r="E40" s="30">
        <f t="shared" si="8"/>
        <v>0</v>
      </c>
      <c r="F40" s="4" t="s">
        <v>68</v>
      </c>
      <c r="G40" s="9">
        <v>46023</v>
      </c>
      <c r="H40" s="4">
        <v>79791</v>
      </c>
      <c r="J40" s="13" t="s">
        <v>30</v>
      </c>
      <c r="K40" s="13" t="s">
        <v>48</v>
      </c>
      <c r="L40" s="14">
        <f t="shared" si="9"/>
        <v>0</v>
      </c>
      <c r="M40" s="15" t="s">
        <v>29</v>
      </c>
      <c r="N40" s="24" t="s">
        <v>60</v>
      </c>
      <c r="O40" s="24" t="s">
        <v>38</v>
      </c>
      <c r="P40" s="27">
        <v>0.5</v>
      </c>
      <c r="Q40" s="37"/>
    </row>
    <row r="41" spans="1:17" x14ac:dyDescent="0.25">
      <c r="A41" s="4" t="str">
        <f>CONCATENATE(J41,Q41,M41,K41,M41,N41)</f>
        <v>CUSTO OFFSHORE USD 106,798709125989 - KAPITALO - JANEIRO 26</v>
      </c>
      <c r="B41" s="9">
        <v>46023</v>
      </c>
      <c r="C41" s="4">
        <v>817395</v>
      </c>
      <c r="D41" s="11" t="s">
        <v>12</v>
      </c>
      <c r="E41" s="30">
        <f t="shared" si="8"/>
        <v>-418.9259464498756</v>
      </c>
      <c r="F41" s="4" t="s">
        <v>68</v>
      </c>
      <c r="G41" s="9">
        <v>46023</v>
      </c>
      <c r="H41" s="4">
        <v>12413</v>
      </c>
      <c r="J41" s="13" t="s">
        <v>30</v>
      </c>
      <c r="K41" s="13" t="s">
        <v>26</v>
      </c>
      <c r="L41" s="14">
        <f>IF(O41="USD",Q41*$S$1)</f>
        <v>558.56792859983409</v>
      </c>
      <c r="M41" s="15" t="s">
        <v>29</v>
      </c>
      <c r="N41" s="24" t="s">
        <v>60</v>
      </c>
      <c r="O41" s="24" t="s">
        <v>38</v>
      </c>
      <c r="P41" s="27">
        <v>0.75</v>
      </c>
      <c r="Q41" s="36">
        <v>106.79870912598881</v>
      </c>
    </row>
    <row r="42" spans="1:17" x14ac:dyDescent="0.25">
      <c r="A42" s="4" t="str">
        <f>CONCATENATE(J42,Q42,M42,K42,M42,N42)</f>
        <v>CUSTO OFFSHORE USD 106,798709125989 - KAPITALO - JANEIRO 26</v>
      </c>
      <c r="B42" s="9">
        <v>46023</v>
      </c>
      <c r="C42" s="4">
        <v>817395</v>
      </c>
      <c r="D42" s="11" t="s">
        <v>45</v>
      </c>
      <c r="E42" s="30">
        <f t="shared" si="8"/>
        <v>-139.64198214995852</v>
      </c>
      <c r="F42" s="4" t="s">
        <v>68</v>
      </c>
      <c r="G42" s="9">
        <v>46023</v>
      </c>
      <c r="H42" s="4">
        <v>12413</v>
      </c>
      <c r="J42" s="13" t="s">
        <v>30</v>
      </c>
      <c r="K42" s="13" t="s">
        <v>26</v>
      </c>
      <c r="L42" s="14">
        <f>IF(O42="USD",Q42*$S$1)</f>
        <v>558.56792859983409</v>
      </c>
      <c r="M42" s="15" t="s">
        <v>29</v>
      </c>
      <c r="N42" s="24" t="s">
        <v>60</v>
      </c>
      <c r="O42" s="24" t="s">
        <v>38</v>
      </c>
      <c r="P42" s="27">
        <v>0.25</v>
      </c>
      <c r="Q42" s="36">
        <v>106.79870912598881</v>
      </c>
    </row>
    <row r="43" spans="1:17" x14ac:dyDescent="0.25">
      <c r="A43" s="4" t="str">
        <f t="shared" ref="A43:A48" si="10">CONCATENATE(J43,Q43,M43,K43,M43,N43)</f>
        <v>CUSTO OFFSHORE USD 885,86183140434 - BRADESCO_BZL - JANEIRO 26</v>
      </c>
      <c r="B43" s="9">
        <v>46023</v>
      </c>
      <c r="C43" s="4">
        <v>817395</v>
      </c>
      <c r="D43" s="11" t="s">
        <v>12</v>
      </c>
      <c r="E43" s="30">
        <f t="shared" si="8"/>
        <v>-3474.8594733208811</v>
      </c>
      <c r="F43" s="4" t="s">
        <v>68</v>
      </c>
      <c r="G43" s="9">
        <v>46023</v>
      </c>
      <c r="H43" s="4">
        <v>16705</v>
      </c>
      <c r="J43" s="13" t="s">
        <v>30</v>
      </c>
      <c r="K43" s="13" t="s">
        <v>27</v>
      </c>
      <c r="L43" s="14">
        <f t="shared" ref="L43:L48" si="11">IF(O43="USD",Q43*$S$1)</f>
        <v>4633.1459644278411</v>
      </c>
      <c r="M43" s="15" t="s">
        <v>29</v>
      </c>
      <c r="N43" s="24" t="s">
        <v>60</v>
      </c>
      <c r="O43" s="24" t="s">
        <v>38</v>
      </c>
      <c r="P43" s="27">
        <v>0.75</v>
      </c>
      <c r="Q43" s="35">
        <v>885.86183140434036</v>
      </c>
    </row>
    <row r="44" spans="1:17" x14ac:dyDescent="0.25">
      <c r="A44" s="4" t="str">
        <f t="shared" si="10"/>
        <v>CUSTO OFFSHORE USD 885,86183140434 - BRADESCO_BZL - JANEIRO 26</v>
      </c>
      <c r="B44" s="9">
        <v>46023</v>
      </c>
      <c r="C44" s="4">
        <v>817395</v>
      </c>
      <c r="D44" s="11" t="s">
        <v>45</v>
      </c>
      <c r="E44" s="30">
        <f t="shared" si="8"/>
        <v>-1158.2864911069603</v>
      </c>
      <c r="F44" s="4" t="s">
        <v>68</v>
      </c>
      <c r="G44" s="9">
        <v>46023</v>
      </c>
      <c r="H44" s="4">
        <v>16705</v>
      </c>
      <c r="J44" s="13" t="s">
        <v>30</v>
      </c>
      <c r="K44" s="13" t="s">
        <v>27</v>
      </c>
      <c r="L44" s="14">
        <f t="shared" si="11"/>
        <v>4633.1459644278411</v>
      </c>
      <c r="M44" s="15" t="s">
        <v>29</v>
      </c>
      <c r="N44" s="24" t="s">
        <v>60</v>
      </c>
      <c r="O44" s="24" t="s">
        <v>38</v>
      </c>
      <c r="P44" s="27">
        <v>0.25</v>
      </c>
      <c r="Q44" s="37">
        <v>885.86183140434036</v>
      </c>
    </row>
    <row r="45" spans="1:17" x14ac:dyDescent="0.25">
      <c r="A45" s="4" t="str">
        <f t="shared" si="10"/>
        <v>CUSTO OFFSHORE USD 5216,85551668933 - JPMPLC_MO - JANEIRO 26</v>
      </c>
      <c r="B45" s="9">
        <v>46023</v>
      </c>
      <c r="C45" s="4">
        <v>817395</v>
      </c>
      <c r="D45" s="11" t="s">
        <v>12</v>
      </c>
      <c r="E45" s="30">
        <f t="shared" si="8"/>
        <v>-18190.693514425828</v>
      </c>
      <c r="F45" s="4" t="s">
        <v>68</v>
      </c>
      <c r="G45" s="9">
        <v>46023</v>
      </c>
      <c r="H45" s="4">
        <v>81541</v>
      </c>
      <c r="J45" s="13" t="s">
        <v>30</v>
      </c>
      <c r="K45" s="13" t="s">
        <v>55</v>
      </c>
      <c r="L45" s="14">
        <f t="shared" si="11"/>
        <v>27284.676037836853</v>
      </c>
      <c r="M45" s="15" t="s">
        <v>29</v>
      </c>
      <c r="N45" s="24" t="s">
        <v>60</v>
      </c>
      <c r="O45" s="24" t="s">
        <v>38</v>
      </c>
      <c r="P45" s="27">
        <v>0.66669999999999996</v>
      </c>
      <c r="Q45" s="35">
        <v>5216.8555166893275</v>
      </c>
    </row>
    <row r="46" spans="1:17" x14ac:dyDescent="0.25">
      <c r="A46" s="4" t="str">
        <f t="shared" si="10"/>
        <v>CUSTO OFFSHORE USD 5216,85551668933 - JPMPLC_MO - JANEIRO 26</v>
      </c>
      <c r="B46" s="9">
        <v>46023</v>
      </c>
      <c r="C46" s="4">
        <v>817395</v>
      </c>
      <c r="D46" s="11" t="s">
        <v>45</v>
      </c>
      <c r="E46" s="30">
        <f t="shared" si="8"/>
        <v>-9093.9825234110231</v>
      </c>
      <c r="F46" s="4" t="s">
        <v>68</v>
      </c>
      <c r="G46" s="9">
        <v>46023</v>
      </c>
      <c r="H46" s="4">
        <v>81541</v>
      </c>
      <c r="J46" s="13" t="s">
        <v>30</v>
      </c>
      <c r="K46" s="13" t="s">
        <v>55</v>
      </c>
      <c r="L46" s="14">
        <f t="shared" si="11"/>
        <v>27284.676037836853</v>
      </c>
      <c r="M46" s="15" t="s">
        <v>29</v>
      </c>
      <c r="N46" s="24" t="s">
        <v>60</v>
      </c>
      <c r="O46" s="24" t="s">
        <v>38</v>
      </c>
      <c r="P46" s="27">
        <v>0.33329999999999999</v>
      </c>
      <c r="Q46" s="37">
        <v>5216.8555166893275</v>
      </c>
    </row>
    <row r="47" spans="1:17" x14ac:dyDescent="0.25">
      <c r="A47" s="4" t="str">
        <f t="shared" si="10"/>
        <v>CUSTO OFFSHORE USD  - SPX_MO - JANEIRO 26</v>
      </c>
      <c r="B47" s="9">
        <v>46023</v>
      </c>
      <c r="C47" s="4">
        <v>817395</v>
      </c>
      <c r="D47" s="11" t="s">
        <v>12</v>
      </c>
      <c r="E47" s="30">
        <f t="shared" si="8"/>
        <v>0</v>
      </c>
      <c r="F47" s="4" t="s">
        <v>68</v>
      </c>
      <c r="G47" s="9">
        <v>46023</v>
      </c>
      <c r="H47" s="4">
        <v>79931</v>
      </c>
      <c r="J47" s="13" t="s">
        <v>30</v>
      </c>
      <c r="K47" s="13" t="s">
        <v>31</v>
      </c>
      <c r="L47" s="14">
        <f t="shared" si="11"/>
        <v>0</v>
      </c>
      <c r="M47" s="15" t="s">
        <v>29</v>
      </c>
      <c r="N47" s="24" t="s">
        <v>60</v>
      </c>
      <c r="O47" s="24" t="s">
        <v>38</v>
      </c>
      <c r="P47" s="27">
        <v>0.6</v>
      </c>
      <c r="Q47" s="35"/>
    </row>
    <row r="48" spans="1:17" x14ac:dyDescent="0.25">
      <c r="A48" s="17" t="str">
        <f t="shared" si="10"/>
        <v>CUSTO OFFSHORE USD  - SPX_MO - JANEIRO 26</v>
      </c>
      <c r="B48" s="18">
        <v>46023</v>
      </c>
      <c r="C48" s="17">
        <v>817395</v>
      </c>
      <c r="D48" s="23" t="s">
        <v>45</v>
      </c>
      <c r="E48" s="26">
        <f t="shared" si="8"/>
        <v>0</v>
      </c>
      <c r="F48" s="17" t="s">
        <v>68</v>
      </c>
      <c r="G48" s="18">
        <v>46023</v>
      </c>
      <c r="H48" s="17">
        <v>79931</v>
      </c>
      <c r="J48" s="20" t="s">
        <v>30</v>
      </c>
      <c r="K48" s="20" t="s">
        <v>31</v>
      </c>
      <c r="L48" s="33">
        <f t="shared" si="11"/>
        <v>0</v>
      </c>
      <c r="M48" s="21" t="s">
        <v>29</v>
      </c>
      <c r="N48" s="25" t="s">
        <v>60</v>
      </c>
      <c r="O48" s="25" t="s">
        <v>38</v>
      </c>
      <c r="P48" s="22">
        <v>0.4</v>
      </c>
      <c r="Q48" s="37"/>
    </row>
    <row r="49" spans="1:17" x14ac:dyDescent="0.25">
      <c r="A49" s="4" t="str">
        <f t="shared" si="0"/>
        <v>CUSTO OFFSHORE USD -58,2967516824849 - VINLAND  - JANEIRO 26</v>
      </c>
      <c r="B49" s="9">
        <v>46023</v>
      </c>
      <c r="C49" s="4">
        <v>817395</v>
      </c>
      <c r="D49" s="11" t="s">
        <v>47</v>
      </c>
      <c r="E49" s="10">
        <f t="shared" si="1"/>
        <v>304.89784097456436</v>
      </c>
      <c r="F49" s="4" t="s">
        <v>19</v>
      </c>
      <c r="G49" s="9">
        <v>46023</v>
      </c>
      <c r="H49" s="4">
        <v>80359</v>
      </c>
      <c r="J49" s="13" t="s">
        <v>30</v>
      </c>
      <c r="K49" s="13" t="s">
        <v>20</v>
      </c>
      <c r="L49" s="14">
        <f t="shared" si="2"/>
        <v>-304.89784097456436</v>
      </c>
      <c r="M49" s="15" t="s">
        <v>29</v>
      </c>
      <c r="N49" s="24" t="s">
        <v>60</v>
      </c>
      <c r="O49" s="24" t="s">
        <v>38</v>
      </c>
      <c r="P49" s="16">
        <v>1</v>
      </c>
      <c r="Q49" s="30">
        <v>-58.29675168248491</v>
      </c>
    </row>
    <row r="50" spans="1:17" x14ac:dyDescent="0.25">
      <c r="A50" s="4" t="str">
        <f t="shared" si="0"/>
        <v>CUSTO OFFSHORE USD -217,843248317515 - SCHONFELD_MO - JANEIRO 26</v>
      </c>
      <c r="B50" s="9">
        <v>46023</v>
      </c>
      <c r="C50" s="4">
        <v>817395</v>
      </c>
      <c r="D50" s="11" t="s">
        <v>47</v>
      </c>
      <c r="E50" s="30">
        <f t="shared" si="1"/>
        <v>1139.3419730254359</v>
      </c>
      <c r="F50" s="4" t="s">
        <v>19</v>
      </c>
      <c r="G50" s="9">
        <v>46023</v>
      </c>
      <c r="H50" s="4">
        <v>83061</v>
      </c>
      <c r="J50" s="13" t="s">
        <v>30</v>
      </c>
      <c r="K50" s="13" t="s">
        <v>59</v>
      </c>
      <c r="L50" s="14">
        <f t="shared" si="2"/>
        <v>-1139.3419730254359</v>
      </c>
      <c r="M50" s="15" t="s">
        <v>29</v>
      </c>
      <c r="N50" s="24" t="s">
        <v>60</v>
      </c>
      <c r="O50" s="24" t="s">
        <v>38</v>
      </c>
      <c r="P50" s="27">
        <v>1</v>
      </c>
      <c r="Q50" s="30">
        <v>-217.84324831751513</v>
      </c>
    </row>
    <row r="51" spans="1:17" x14ac:dyDescent="0.25">
      <c r="A51" s="4" t="str">
        <f t="shared" si="0"/>
        <v>CUSTO OFFSHORE USD -161,564157871927 - GOLDMAN SACHS IL - BRAS - JANEIRO 26</v>
      </c>
      <c r="B51" s="9">
        <v>46023</v>
      </c>
      <c r="C51" s="4">
        <v>817395</v>
      </c>
      <c r="D51" s="11" t="s">
        <v>12</v>
      </c>
      <c r="E51" s="10">
        <f t="shared" si="1"/>
        <v>844.9967020859641</v>
      </c>
      <c r="F51" s="4" t="s">
        <v>19</v>
      </c>
      <c r="G51" s="9">
        <v>46023</v>
      </c>
      <c r="H51" s="4">
        <v>79791</v>
      </c>
      <c r="J51" s="13" t="s">
        <v>30</v>
      </c>
      <c r="K51" s="13" t="s">
        <v>24</v>
      </c>
      <c r="L51" s="14">
        <f t="shared" si="2"/>
        <v>-844.9967020859641</v>
      </c>
      <c r="M51" s="15" t="s">
        <v>29</v>
      </c>
      <c r="N51" s="24" t="s">
        <v>60</v>
      </c>
      <c r="O51" s="24" t="s">
        <v>38</v>
      </c>
      <c r="P51" s="16">
        <v>1</v>
      </c>
      <c r="Q51" s="30">
        <v>-161.56415787192674</v>
      </c>
    </row>
    <row r="52" spans="1:17" x14ac:dyDescent="0.25">
      <c r="A52" s="4" t="str">
        <f t="shared" si="0"/>
        <v>CUSTO OFFSHORE USD -3,48939360219273 - ITAÚ - NASSAU - JANEIRO 26</v>
      </c>
      <c r="B52" s="9">
        <v>46023</v>
      </c>
      <c r="C52" s="4">
        <v>817395</v>
      </c>
      <c r="D52" s="11" t="s">
        <v>12</v>
      </c>
      <c r="E52" s="30">
        <f t="shared" si="1"/>
        <v>18.249877478828207</v>
      </c>
      <c r="F52" s="4" t="s">
        <v>19</v>
      </c>
      <c r="G52" s="9">
        <v>46023</v>
      </c>
      <c r="H52" s="4">
        <v>79460</v>
      </c>
      <c r="J52" s="13" t="s">
        <v>30</v>
      </c>
      <c r="K52" s="13" t="s">
        <v>18</v>
      </c>
      <c r="L52" s="14">
        <f t="shared" si="2"/>
        <v>-18.249877478828207</v>
      </c>
      <c r="M52" s="15" t="s">
        <v>29</v>
      </c>
      <c r="N52" s="24" t="s">
        <v>60</v>
      </c>
      <c r="O52" s="24" t="s">
        <v>38</v>
      </c>
      <c r="P52" s="16">
        <v>1</v>
      </c>
      <c r="Q52" s="12">
        <v>-3.4893936021927314</v>
      </c>
    </row>
    <row r="53" spans="1:17" x14ac:dyDescent="0.25">
      <c r="A53" s="4" t="str">
        <f t="shared" si="0"/>
        <v>CUSTO OFFSHORE USD  - ASSET1 - JANEIRO 26</v>
      </c>
      <c r="B53" s="9">
        <v>46023</v>
      </c>
      <c r="C53" s="4">
        <v>817395</v>
      </c>
      <c r="D53" s="11" t="s">
        <v>12</v>
      </c>
      <c r="E53" s="30">
        <f>-L53*P53</f>
        <v>0</v>
      </c>
      <c r="F53" s="4" t="s">
        <v>19</v>
      </c>
      <c r="G53" s="9">
        <v>46023</v>
      </c>
      <c r="H53" s="4">
        <v>80834</v>
      </c>
      <c r="J53" s="13" t="s">
        <v>30</v>
      </c>
      <c r="K53" s="13" t="s">
        <v>14</v>
      </c>
      <c r="L53" s="14">
        <f>IF(O53="USD",Q53*$S$1)</f>
        <v>0</v>
      </c>
      <c r="M53" s="15" t="s">
        <v>29</v>
      </c>
      <c r="N53" s="24" t="s">
        <v>60</v>
      </c>
      <c r="O53" s="24" t="s">
        <v>38</v>
      </c>
      <c r="P53" s="16">
        <v>0.33339999999999997</v>
      </c>
      <c r="Q53" s="35"/>
    </row>
    <row r="54" spans="1:17" x14ac:dyDescent="0.25">
      <c r="A54" s="4" t="str">
        <f t="shared" si="0"/>
        <v>CUSTO OFFSHORE USD  - ASSET1 - JANEIRO 26</v>
      </c>
      <c r="B54" s="9">
        <v>46023</v>
      </c>
      <c r="C54" s="4">
        <v>817395</v>
      </c>
      <c r="D54" s="11" t="s">
        <v>45</v>
      </c>
      <c r="E54" s="30">
        <f t="shared" ref="E54:E58" si="12">-L54*P54</f>
        <v>0</v>
      </c>
      <c r="F54" s="4" t="s">
        <v>19</v>
      </c>
      <c r="G54" s="9">
        <v>46023</v>
      </c>
      <c r="H54" s="4">
        <v>80834</v>
      </c>
      <c r="J54" s="13" t="s">
        <v>30</v>
      </c>
      <c r="K54" s="13" t="s">
        <v>14</v>
      </c>
      <c r="L54" s="14">
        <f t="shared" ref="L54:L55" si="13">IF(O54="USD",Q54*$S$1)</f>
        <v>0</v>
      </c>
      <c r="M54" s="15" t="s">
        <v>29</v>
      </c>
      <c r="N54" s="24" t="s">
        <v>60</v>
      </c>
      <c r="O54" s="24" t="s">
        <v>38</v>
      </c>
      <c r="P54" s="16">
        <v>0.33329999999999999</v>
      </c>
      <c r="Q54" s="36"/>
    </row>
    <row r="55" spans="1:17" x14ac:dyDescent="0.25">
      <c r="A55" s="4" t="str">
        <f t="shared" si="0"/>
        <v>CUSTO OFFSHORE USD  - ASSET1 - JANEIRO 26</v>
      </c>
      <c r="B55" s="9">
        <v>46023</v>
      </c>
      <c r="C55" s="4">
        <v>817395</v>
      </c>
      <c r="D55" s="11" t="s">
        <v>46</v>
      </c>
      <c r="E55" s="30">
        <f t="shared" si="12"/>
        <v>0</v>
      </c>
      <c r="F55" s="4" t="s">
        <v>19</v>
      </c>
      <c r="G55" s="9">
        <v>46023</v>
      </c>
      <c r="H55" s="4">
        <v>80834</v>
      </c>
      <c r="J55" s="13" t="s">
        <v>30</v>
      </c>
      <c r="K55" s="13" t="s">
        <v>14</v>
      </c>
      <c r="L55" s="14">
        <f t="shared" si="13"/>
        <v>0</v>
      </c>
      <c r="M55" s="15" t="s">
        <v>29</v>
      </c>
      <c r="N55" s="24" t="s">
        <v>60</v>
      </c>
      <c r="O55" s="24" t="s">
        <v>38</v>
      </c>
      <c r="P55" s="16">
        <v>0.33329999999999999</v>
      </c>
      <c r="Q55" s="37"/>
    </row>
    <row r="56" spans="1:17" s="44" customFormat="1" x14ac:dyDescent="0.25">
      <c r="A56" s="40" t="str">
        <f>CONCATENATE(J56,Q56,M56,K56,M56,N56)</f>
        <v>CUSTO OFFSHORE USD 24 - KAPITALO - JANEIRO 26</v>
      </c>
      <c r="B56" s="41">
        <v>46023</v>
      </c>
      <c r="C56" s="40">
        <v>817395</v>
      </c>
      <c r="D56" s="42" t="s">
        <v>61</v>
      </c>
      <c r="E56" s="43">
        <f t="shared" ref="E56" si="14">-L56*P56</f>
        <v>-125.5224</v>
      </c>
      <c r="F56" s="40" t="s">
        <v>19</v>
      </c>
      <c r="G56" s="41">
        <v>46023</v>
      </c>
      <c r="H56" s="40">
        <v>12413</v>
      </c>
      <c r="J56" s="40" t="s">
        <v>30</v>
      </c>
      <c r="K56" s="40" t="s">
        <v>26</v>
      </c>
      <c r="L56" s="45">
        <f>IF(O56="USD",Q56*$S$1)</f>
        <v>125.5224</v>
      </c>
      <c r="M56" s="46" t="s">
        <v>29</v>
      </c>
      <c r="N56" s="42" t="s">
        <v>60</v>
      </c>
      <c r="O56" s="42" t="s">
        <v>38</v>
      </c>
      <c r="P56" s="47">
        <v>1</v>
      </c>
      <c r="Q56" s="48">
        <v>24</v>
      </c>
    </row>
    <row r="57" spans="1:17" x14ac:dyDescent="0.25">
      <c r="A57" s="4" t="str">
        <f>CONCATENATE(J57,Q57,M57,K57,M57,N57)</f>
        <v>CUSTO OFFSHORE USD -4,48701123305963 - KAPITALO - JANEIRO 26</v>
      </c>
      <c r="B57" s="9">
        <v>46023</v>
      </c>
      <c r="C57" s="4">
        <v>817395</v>
      </c>
      <c r="D57" s="11" t="s">
        <v>12</v>
      </c>
      <c r="E57" s="30">
        <f t="shared" si="12"/>
        <v>17.600638087518892</v>
      </c>
      <c r="F57" s="4" t="s">
        <v>19</v>
      </c>
      <c r="G57" s="9">
        <v>46023</v>
      </c>
      <c r="H57" s="4">
        <v>12413</v>
      </c>
      <c r="J57" s="13" t="s">
        <v>30</v>
      </c>
      <c r="K57" s="13" t="s">
        <v>26</v>
      </c>
      <c r="L57" s="14">
        <f>IF(O57="USD",Q57*$S$1)</f>
        <v>-23.467517450025188</v>
      </c>
      <c r="M57" s="15" t="s">
        <v>29</v>
      </c>
      <c r="N57" s="24" t="s">
        <v>60</v>
      </c>
      <c r="O57" s="24" t="s">
        <v>38</v>
      </c>
      <c r="P57" s="27">
        <v>0.75</v>
      </c>
      <c r="Q57" s="36">
        <v>-4.4870112330596328</v>
      </c>
    </row>
    <row r="58" spans="1:17" x14ac:dyDescent="0.25">
      <c r="A58" s="4" t="str">
        <f>CONCATENATE(J58,Q58,M58,K58,M58,N58)</f>
        <v>CUSTO OFFSHORE USD -4,48701123305963 - KAPITALO - JANEIRO 26</v>
      </c>
      <c r="B58" s="9">
        <v>46023</v>
      </c>
      <c r="C58" s="4">
        <v>817395</v>
      </c>
      <c r="D58" s="11" t="s">
        <v>45</v>
      </c>
      <c r="E58" s="30">
        <f t="shared" si="12"/>
        <v>5.8668793625062969</v>
      </c>
      <c r="F58" s="4" t="s">
        <v>19</v>
      </c>
      <c r="G58" s="9">
        <v>46023</v>
      </c>
      <c r="H58" s="4">
        <v>12413</v>
      </c>
      <c r="J58" s="13" t="s">
        <v>30</v>
      </c>
      <c r="K58" s="13" t="s">
        <v>26</v>
      </c>
      <c r="L58" s="14">
        <f>IF(O58="USD",Q58*$S$1)</f>
        <v>-23.467517450025188</v>
      </c>
      <c r="M58" s="15" t="s">
        <v>29</v>
      </c>
      <c r="N58" s="24" t="s">
        <v>60</v>
      </c>
      <c r="O58" s="24" t="s">
        <v>38</v>
      </c>
      <c r="P58" s="27">
        <v>0.25</v>
      </c>
      <c r="Q58" s="36">
        <v>-4.4870112330596328</v>
      </c>
    </row>
    <row r="59" spans="1:17" x14ac:dyDescent="0.25">
      <c r="A59" s="4" t="str">
        <f t="shared" si="0"/>
        <v>CUSTO OFFSHORE USD  - SPRINGS_MO - JANEIRO 26</v>
      </c>
      <c r="B59" s="9">
        <v>46023</v>
      </c>
      <c r="C59" s="4">
        <v>817395</v>
      </c>
      <c r="D59" s="11" t="s">
        <v>12</v>
      </c>
      <c r="E59" s="28">
        <f t="shared" si="1"/>
        <v>0</v>
      </c>
      <c r="F59" s="4" t="s">
        <v>19</v>
      </c>
      <c r="G59" s="9">
        <v>46023</v>
      </c>
      <c r="H59" s="4">
        <v>82748</v>
      </c>
      <c r="J59" s="13" t="s">
        <v>30</v>
      </c>
      <c r="K59" s="13" t="s">
        <v>56</v>
      </c>
      <c r="L59" s="14">
        <f t="shared" si="2"/>
        <v>0</v>
      </c>
      <c r="M59" s="15" t="s">
        <v>29</v>
      </c>
      <c r="N59" s="24" t="s">
        <v>60</v>
      </c>
      <c r="O59" s="24" t="s">
        <v>38</v>
      </c>
      <c r="P59" s="27">
        <v>0.66659999999999997</v>
      </c>
      <c r="Q59" s="35"/>
    </row>
    <row r="60" spans="1:17" x14ac:dyDescent="0.25">
      <c r="A60" s="4" t="str">
        <f t="shared" si="0"/>
        <v>CUSTO OFFSHORE USD  - SPRINGS_MO - JANEIRO 26</v>
      </c>
      <c r="B60" s="9">
        <v>46023</v>
      </c>
      <c r="C60" s="4">
        <v>817395</v>
      </c>
      <c r="D60" s="11" t="s">
        <v>45</v>
      </c>
      <c r="E60" s="28">
        <f t="shared" si="1"/>
        <v>0</v>
      </c>
      <c r="F60" s="4" t="s">
        <v>19</v>
      </c>
      <c r="G60" s="9">
        <v>46023</v>
      </c>
      <c r="H60" s="4">
        <v>82748</v>
      </c>
      <c r="J60" s="13" t="s">
        <v>30</v>
      </c>
      <c r="K60" s="13" t="s">
        <v>56</v>
      </c>
      <c r="L60" s="14">
        <f t="shared" si="2"/>
        <v>0</v>
      </c>
      <c r="M60" s="15" t="s">
        <v>29</v>
      </c>
      <c r="N60" s="24" t="s">
        <v>60</v>
      </c>
      <c r="O60" s="24" t="s">
        <v>38</v>
      </c>
      <c r="P60" s="27">
        <v>0.33329999999999999</v>
      </c>
      <c r="Q60" s="37"/>
    </row>
    <row r="61" spans="1:17" x14ac:dyDescent="0.25">
      <c r="A61" s="4" t="str">
        <f t="shared" si="0"/>
        <v>CUSTO OFFSHORE USD  - BRADESCO_BZL - JANEIRO 26</v>
      </c>
      <c r="B61" s="9">
        <v>46023</v>
      </c>
      <c r="C61" s="4">
        <v>817395</v>
      </c>
      <c r="D61" s="11" t="s">
        <v>12</v>
      </c>
      <c r="E61" s="28">
        <f t="shared" si="1"/>
        <v>0</v>
      </c>
      <c r="F61" s="4" t="s">
        <v>19</v>
      </c>
      <c r="G61" s="9">
        <v>46023</v>
      </c>
      <c r="H61" s="4">
        <v>16705</v>
      </c>
      <c r="J61" s="13" t="s">
        <v>30</v>
      </c>
      <c r="K61" s="13" t="s">
        <v>27</v>
      </c>
      <c r="L61" s="14">
        <f t="shared" si="2"/>
        <v>0</v>
      </c>
      <c r="M61" s="15" t="s">
        <v>29</v>
      </c>
      <c r="N61" s="24" t="s">
        <v>60</v>
      </c>
      <c r="O61" s="24" t="s">
        <v>38</v>
      </c>
      <c r="P61" s="27">
        <v>0.75</v>
      </c>
      <c r="Q61" s="35"/>
    </row>
    <row r="62" spans="1:17" x14ac:dyDescent="0.25">
      <c r="A62" s="4" t="str">
        <f>CONCATENATE(J62,Q62,M62,K62,M62,N62)</f>
        <v>CUSTO OFFSHORE USD  - BRADESCO_BZL - JANEIRO 26</v>
      </c>
      <c r="B62" s="9">
        <v>46023</v>
      </c>
      <c r="C62" s="4">
        <v>817395</v>
      </c>
      <c r="D62" s="11" t="s">
        <v>45</v>
      </c>
      <c r="E62" s="28">
        <f t="shared" si="1"/>
        <v>0</v>
      </c>
      <c r="F62" s="4" t="s">
        <v>19</v>
      </c>
      <c r="G62" s="9">
        <v>46023</v>
      </c>
      <c r="H62" s="4">
        <v>16705</v>
      </c>
      <c r="J62" s="13" t="s">
        <v>30</v>
      </c>
      <c r="K62" s="13" t="s">
        <v>27</v>
      </c>
      <c r="L62" s="14">
        <f>IF(O62="USD",Q62*$S$1)</f>
        <v>0</v>
      </c>
      <c r="M62" s="15" t="s">
        <v>29</v>
      </c>
      <c r="N62" s="24" t="s">
        <v>60</v>
      </c>
      <c r="O62" s="24" t="s">
        <v>38</v>
      </c>
      <c r="P62" s="27">
        <v>0.25</v>
      </c>
      <c r="Q62" s="37"/>
    </row>
    <row r="63" spans="1:17" x14ac:dyDescent="0.25">
      <c r="A63" s="4" t="str">
        <f>CONCATENATE(J63,Q63,M63,K63,M63,N63)</f>
        <v>CUSTO OFFSHORE USD -9,19943729282092 - RPS - JANEIRO 26</v>
      </c>
      <c r="B63" s="9">
        <v>46023</v>
      </c>
      <c r="C63" s="4">
        <v>817395</v>
      </c>
      <c r="D63" s="11" t="s">
        <v>45</v>
      </c>
      <c r="E63" s="10">
        <f t="shared" si="1"/>
        <v>24.056988492591341</v>
      </c>
      <c r="F63" s="4" t="s">
        <v>19</v>
      </c>
      <c r="G63" s="9">
        <v>46023</v>
      </c>
      <c r="H63" s="4">
        <v>12339</v>
      </c>
      <c r="J63" s="13" t="s">
        <v>30</v>
      </c>
      <c r="K63" s="13" t="s">
        <v>16</v>
      </c>
      <c r="L63" s="14">
        <f>IF(O63="USD",Q63*$S$1)</f>
        <v>-48.113976985182681</v>
      </c>
      <c r="M63" s="15" t="s">
        <v>29</v>
      </c>
      <c r="N63" s="24" t="s">
        <v>60</v>
      </c>
      <c r="O63" s="24" t="s">
        <v>38</v>
      </c>
      <c r="P63" s="16">
        <v>0.5</v>
      </c>
      <c r="Q63" s="35">
        <v>-9.1994372928209174</v>
      </c>
    </row>
    <row r="64" spans="1:17" x14ac:dyDescent="0.25">
      <c r="A64" s="17" t="str">
        <f>CONCATENATE(J64,Q64,M64,K64,M64,N64)</f>
        <v>CUSTO OFFSHORE USD -9,19943729282092 - RPS - JANEIRO 26</v>
      </c>
      <c r="B64" s="18">
        <v>46023</v>
      </c>
      <c r="C64" s="17">
        <v>817395</v>
      </c>
      <c r="D64" s="23" t="s">
        <v>12</v>
      </c>
      <c r="E64" s="19">
        <f t="shared" si="1"/>
        <v>24.056988492591341</v>
      </c>
      <c r="F64" s="17" t="s">
        <v>19</v>
      </c>
      <c r="G64" s="18">
        <v>46023</v>
      </c>
      <c r="H64" s="17">
        <v>12339</v>
      </c>
      <c r="I64" s="31"/>
      <c r="J64" s="20" t="s">
        <v>30</v>
      </c>
      <c r="K64" s="20" t="s">
        <v>16</v>
      </c>
      <c r="L64" s="33">
        <f>IF(O64="USD",Q64*$S$1)</f>
        <v>-48.113976985182681</v>
      </c>
      <c r="M64" s="21" t="s">
        <v>29</v>
      </c>
      <c r="N64" s="25" t="s">
        <v>60</v>
      </c>
      <c r="O64" s="25" t="s">
        <v>38</v>
      </c>
      <c r="P64" s="22">
        <v>0.5</v>
      </c>
      <c r="Q64" s="37">
        <v>-9.1994372928209174</v>
      </c>
    </row>
    <row r="65" spans="1:17" x14ac:dyDescent="0.25">
      <c r="A65" s="4" t="str">
        <f t="shared" si="0"/>
        <v>CUSTO OFFSHORE USD 56,8664228450015 - ASSET1 - JANEIRO 26</v>
      </c>
      <c r="B65" s="9">
        <v>46023</v>
      </c>
      <c r="C65" s="4">
        <v>817395</v>
      </c>
      <c r="D65" s="11" t="s">
        <v>12</v>
      </c>
      <c r="E65" s="12">
        <f>-L65*P65</f>
        <v>-99.15885384575553</v>
      </c>
      <c r="F65" s="4" t="s">
        <v>52</v>
      </c>
      <c r="G65" s="9">
        <v>46023</v>
      </c>
      <c r="H65" s="4">
        <v>80834</v>
      </c>
      <c r="J65" s="13" t="s">
        <v>30</v>
      </c>
      <c r="K65" s="13" t="s">
        <v>14</v>
      </c>
      <c r="L65" s="14">
        <f>IF(O65="USD",Q65*$S$1)</f>
        <v>297.41707812164231</v>
      </c>
      <c r="M65" s="15" t="s">
        <v>29</v>
      </c>
      <c r="N65" s="24" t="s">
        <v>60</v>
      </c>
      <c r="O65" s="24" t="s">
        <v>38</v>
      </c>
      <c r="P65" s="16">
        <v>0.33339999999999997</v>
      </c>
      <c r="Q65" s="36">
        <v>56.866422845001487</v>
      </c>
    </row>
    <row r="66" spans="1:17" x14ac:dyDescent="0.25">
      <c r="A66" s="4" t="str">
        <f t="shared" si="0"/>
        <v>CUSTO OFFSHORE USD 56,8664228450015 - ASSET1 - JANEIRO 26</v>
      </c>
      <c r="B66" s="9">
        <v>46023</v>
      </c>
      <c r="C66" s="4">
        <v>817395</v>
      </c>
      <c r="D66" s="11" t="s">
        <v>45</v>
      </c>
      <c r="E66" s="12">
        <f t="shared" ref="E66:E72" si="15">-L66*P66</f>
        <v>-99.12911213794338</v>
      </c>
      <c r="F66" s="4" t="s">
        <v>52</v>
      </c>
      <c r="G66" s="9">
        <v>46023</v>
      </c>
      <c r="H66" s="4">
        <v>80834</v>
      </c>
      <c r="J66" s="13" t="s">
        <v>30</v>
      </c>
      <c r="K66" s="13" t="s">
        <v>14</v>
      </c>
      <c r="L66" s="14">
        <f t="shared" ref="L66:L72" si="16">IF(O66="USD",Q66*$S$1)</f>
        <v>297.41707812164231</v>
      </c>
      <c r="M66" s="15" t="s">
        <v>29</v>
      </c>
      <c r="N66" s="24" t="s">
        <v>60</v>
      </c>
      <c r="O66" s="24" t="s">
        <v>38</v>
      </c>
      <c r="P66" s="16">
        <v>0.33329999999999999</v>
      </c>
      <c r="Q66" s="36">
        <v>56.866422845001487</v>
      </c>
    </row>
    <row r="67" spans="1:17" x14ac:dyDescent="0.25">
      <c r="A67" s="4" t="str">
        <f t="shared" si="0"/>
        <v>CUSTO OFFSHORE USD 56,8664228450015 - ASSET1 - JANEIRO 26</v>
      </c>
      <c r="B67" s="9">
        <v>46023</v>
      </c>
      <c r="C67" s="4">
        <v>817395</v>
      </c>
      <c r="D67" s="11" t="s">
        <v>46</v>
      </c>
      <c r="E67" s="12">
        <f t="shared" si="15"/>
        <v>-99.12911213794338</v>
      </c>
      <c r="F67" s="4" t="s">
        <v>52</v>
      </c>
      <c r="G67" s="9">
        <v>46023</v>
      </c>
      <c r="H67" s="4">
        <v>80834</v>
      </c>
      <c r="J67" s="13" t="s">
        <v>30</v>
      </c>
      <c r="K67" s="13" t="s">
        <v>14</v>
      </c>
      <c r="L67" s="14">
        <f t="shared" si="16"/>
        <v>297.41707812164231</v>
      </c>
      <c r="M67" s="15" t="s">
        <v>29</v>
      </c>
      <c r="N67" s="24" t="s">
        <v>60</v>
      </c>
      <c r="O67" s="24" t="s">
        <v>38</v>
      </c>
      <c r="P67" s="16">
        <v>0.33329999999999999</v>
      </c>
      <c r="Q67" s="37">
        <v>56.866422845001487</v>
      </c>
    </row>
    <row r="68" spans="1:17" x14ac:dyDescent="0.25">
      <c r="A68" s="4" t="str">
        <f t="shared" si="0"/>
        <v>CUSTO OFFSHORE USD 5,39726660310859 - BRADESCO_BZL - JANEIRO 26</v>
      </c>
      <c r="B68" s="9">
        <v>46023</v>
      </c>
      <c r="C68" s="4">
        <v>817395</v>
      </c>
      <c r="D68" s="11" t="s">
        <v>12</v>
      </c>
      <c r="E68" s="28">
        <f t="shared" si="15"/>
        <v>-21.171183045688686</v>
      </c>
      <c r="F68" s="4" t="s">
        <v>52</v>
      </c>
      <c r="G68" s="9">
        <v>46023</v>
      </c>
      <c r="H68" s="4">
        <v>16705</v>
      </c>
      <c r="J68" s="13" t="s">
        <v>30</v>
      </c>
      <c r="K68" s="13" t="s">
        <v>27</v>
      </c>
      <c r="L68" s="14">
        <f t="shared" si="16"/>
        <v>28.228244060918247</v>
      </c>
      <c r="M68" s="15" t="s">
        <v>29</v>
      </c>
      <c r="N68" s="24" t="s">
        <v>60</v>
      </c>
      <c r="O68" s="24" t="s">
        <v>38</v>
      </c>
      <c r="P68" s="27">
        <v>0.75</v>
      </c>
      <c r="Q68" s="35">
        <v>5.3972666031085916</v>
      </c>
    </row>
    <row r="69" spans="1:17" x14ac:dyDescent="0.25">
      <c r="A69" s="4" t="str">
        <f t="shared" si="0"/>
        <v>CUSTO OFFSHORE USD 5,39726660310859 - BRADESCO_BZL - JANEIRO 26</v>
      </c>
      <c r="B69" s="9">
        <v>46023</v>
      </c>
      <c r="C69" s="4">
        <v>817395</v>
      </c>
      <c r="D69" s="11" t="s">
        <v>45</v>
      </c>
      <c r="E69" s="28">
        <f t="shared" si="15"/>
        <v>-7.0570610152295616</v>
      </c>
      <c r="F69" s="4" t="s">
        <v>52</v>
      </c>
      <c r="G69" s="9">
        <v>46023</v>
      </c>
      <c r="H69" s="4">
        <v>16705</v>
      </c>
      <c r="J69" s="13" t="s">
        <v>30</v>
      </c>
      <c r="K69" s="13" t="s">
        <v>27</v>
      </c>
      <c r="L69" s="14">
        <f t="shared" si="16"/>
        <v>28.228244060918247</v>
      </c>
      <c r="M69" s="15" t="s">
        <v>29</v>
      </c>
      <c r="N69" s="24" t="s">
        <v>60</v>
      </c>
      <c r="O69" s="24" t="s">
        <v>38</v>
      </c>
      <c r="P69" s="27">
        <v>0.25</v>
      </c>
      <c r="Q69" s="37">
        <v>5.3972666031085916</v>
      </c>
    </row>
    <row r="70" spans="1:17" x14ac:dyDescent="0.25">
      <c r="A70" s="4" t="str">
        <f t="shared" si="0"/>
        <v>CUSTO OFFSHORE USD 148,519652272555 - CITIGBL_MO - JANEIRO 26</v>
      </c>
      <c r="B70" s="9">
        <v>46023</v>
      </c>
      <c r="C70" s="4">
        <v>817395</v>
      </c>
      <c r="D70" s="11" t="s">
        <v>12</v>
      </c>
      <c r="E70" s="28">
        <f t="shared" si="15"/>
        <v>-388.38631667534406</v>
      </c>
      <c r="F70" s="4" t="s">
        <v>52</v>
      </c>
      <c r="G70" s="9">
        <v>46023</v>
      </c>
      <c r="H70" s="4">
        <v>79791</v>
      </c>
      <c r="J70" s="13" t="s">
        <v>30</v>
      </c>
      <c r="K70" s="13" t="s">
        <v>48</v>
      </c>
      <c r="L70" s="14">
        <f t="shared" si="16"/>
        <v>776.77263335068812</v>
      </c>
      <c r="M70" s="15" t="s">
        <v>29</v>
      </c>
      <c r="N70" s="24" t="s">
        <v>60</v>
      </c>
      <c r="O70" s="24" t="s">
        <v>38</v>
      </c>
      <c r="P70" s="27">
        <v>0.5</v>
      </c>
      <c r="Q70" s="35">
        <v>148.51965227255465</v>
      </c>
    </row>
    <row r="71" spans="1:17" x14ac:dyDescent="0.25">
      <c r="A71" s="4" t="str">
        <f t="shared" si="0"/>
        <v>CUSTO OFFSHORE USD 148,519652272555 - CITIGBL_MO - JANEIRO 26</v>
      </c>
      <c r="B71" s="9">
        <v>46023</v>
      </c>
      <c r="C71" s="4">
        <v>817395</v>
      </c>
      <c r="D71" s="11" t="s">
        <v>45</v>
      </c>
      <c r="E71" s="28">
        <f t="shared" si="15"/>
        <v>-388.38631667534406</v>
      </c>
      <c r="F71" s="4" t="s">
        <v>52</v>
      </c>
      <c r="G71" s="9">
        <v>46023</v>
      </c>
      <c r="H71" s="4">
        <v>79791</v>
      </c>
      <c r="J71" s="13" t="s">
        <v>30</v>
      </c>
      <c r="K71" s="13" t="s">
        <v>48</v>
      </c>
      <c r="L71" s="14">
        <f t="shared" si="16"/>
        <v>776.77263335068812</v>
      </c>
      <c r="M71" s="15" t="s">
        <v>29</v>
      </c>
      <c r="N71" s="24" t="s">
        <v>60</v>
      </c>
      <c r="O71" s="24" t="s">
        <v>38</v>
      </c>
      <c r="P71" s="27">
        <v>0.5</v>
      </c>
      <c r="Q71" s="37">
        <v>148.51965227255465</v>
      </c>
    </row>
    <row r="72" spans="1:17" x14ac:dyDescent="0.25">
      <c r="A72" s="4" t="str">
        <f t="shared" si="0"/>
        <v>CUSTO OFFSHORE USD 6916,77440768625 - GOLDMAN SACHS IL - BRAS - JANEIRO 26</v>
      </c>
      <c r="B72" s="9">
        <v>46023</v>
      </c>
      <c r="C72" s="4">
        <v>817395</v>
      </c>
      <c r="D72" s="11" t="s">
        <v>12</v>
      </c>
      <c r="E72" s="10">
        <f t="shared" si="15"/>
        <v>-36175.421829639869</v>
      </c>
      <c r="F72" s="4" t="s">
        <v>52</v>
      </c>
      <c r="G72" s="9">
        <v>46023</v>
      </c>
      <c r="H72" s="4">
        <v>79791</v>
      </c>
      <c r="J72" s="13" t="s">
        <v>30</v>
      </c>
      <c r="K72" s="13" t="s">
        <v>24</v>
      </c>
      <c r="L72" s="14">
        <f t="shared" si="16"/>
        <v>36175.421829639869</v>
      </c>
      <c r="M72" s="15" t="s">
        <v>29</v>
      </c>
      <c r="N72" s="24" t="s">
        <v>60</v>
      </c>
      <c r="O72" s="24" t="s">
        <v>38</v>
      </c>
      <c r="P72" s="16">
        <v>1</v>
      </c>
      <c r="Q72" s="12">
        <v>6916.7744076862527</v>
      </c>
    </row>
    <row r="73" spans="1:17" x14ac:dyDescent="0.25">
      <c r="A73" s="4" t="str">
        <f t="shared" si="0"/>
        <v>CUSTO OFFSHORE USD 335,242498452313 - ITAÚ - MSCO - JANEIRO 26</v>
      </c>
      <c r="B73" s="9">
        <v>46023</v>
      </c>
      <c r="C73" s="4">
        <v>817395</v>
      </c>
      <c r="D73" s="11" t="s">
        <v>12</v>
      </c>
      <c r="E73" s="10">
        <f>-L73*P73</f>
        <v>-1753.3517911554434</v>
      </c>
      <c r="F73" s="4" t="s">
        <v>52</v>
      </c>
      <c r="G73" s="9">
        <v>46023</v>
      </c>
      <c r="H73" s="4">
        <v>79460</v>
      </c>
      <c r="J73" s="13" t="s">
        <v>30</v>
      </c>
      <c r="K73" s="13" t="s">
        <v>17</v>
      </c>
      <c r="L73" s="14">
        <f>IF(O73="USD",Q73*$S$1)</f>
        <v>1753.3517911554434</v>
      </c>
      <c r="M73" s="15" t="s">
        <v>29</v>
      </c>
      <c r="N73" s="24" t="s">
        <v>60</v>
      </c>
      <c r="O73" s="24" t="s">
        <v>38</v>
      </c>
      <c r="P73" s="16">
        <v>1</v>
      </c>
      <c r="Q73" s="12">
        <v>335.24249845231321</v>
      </c>
    </row>
    <row r="74" spans="1:17" x14ac:dyDescent="0.25">
      <c r="A74" s="4" t="str">
        <f t="shared" si="0"/>
        <v>CUSTO OFFSHORE USD 393,575291751293 - ITAÚ - NASSAU - JANEIRO 26</v>
      </c>
      <c r="B74" s="9">
        <v>46023</v>
      </c>
      <c r="C74" s="4">
        <v>817395</v>
      </c>
      <c r="D74" s="11" t="s">
        <v>12</v>
      </c>
      <c r="E74" s="10">
        <f>-L74*P74</f>
        <v>-2058.4381333884371</v>
      </c>
      <c r="F74" s="4" t="s">
        <v>52</v>
      </c>
      <c r="G74" s="9">
        <v>46023</v>
      </c>
      <c r="H74" s="4">
        <v>79460</v>
      </c>
      <c r="J74" s="13" t="s">
        <v>30</v>
      </c>
      <c r="K74" s="13" t="s">
        <v>18</v>
      </c>
      <c r="L74" s="14">
        <f>IF(O74="USD",Q74*$S$1)</f>
        <v>2058.4381333884371</v>
      </c>
      <c r="M74" s="15" t="s">
        <v>29</v>
      </c>
      <c r="N74" s="24" t="s">
        <v>60</v>
      </c>
      <c r="O74" s="24" t="s">
        <v>38</v>
      </c>
      <c r="P74" s="16">
        <v>1</v>
      </c>
      <c r="Q74" s="12">
        <v>393.57529175129292</v>
      </c>
    </row>
    <row r="75" spans="1:17" x14ac:dyDescent="0.25">
      <c r="A75" s="4" t="str">
        <f t="shared" si="0"/>
        <v>CUSTO OFFSHORE USD  - BNP_MO - JANEIRO 26</v>
      </c>
      <c r="B75" s="9">
        <v>46023</v>
      </c>
      <c r="C75" s="4">
        <v>817395</v>
      </c>
      <c r="D75" s="11" t="s">
        <v>12</v>
      </c>
      <c r="E75" s="30">
        <f t="shared" ref="E75:E106" si="17">-L75*P75</f>
        <v>0</v>
      </c>
      <c r="F75" s="4" t="s">
        <v>52</v>
      </c>
      <c r="G75" s="9">
        <v>46023</v>
      </c>
      <c r="H75" s="4">
        <v>95005</v>
      </c>
      <c r="J75" s="13" t="s">
        <v>30</v>
      </c>
      <c r="K75" s="13" t="s">
        <v>57</v>
      </c>
      <c r="L75" s="14">
        <f t="shared" ref="L75:L85" si="18">IF(O75="USD",Q75*$S$1)</f>
        <v>0</v>
      </c>
      <c r="M75" s="15" t="s">
        <v>29</v>
      </c>
      <c r="N75" s="24" t="s">
        <v>60</v>
      </c>
      <c r="O75" s="24" t="s">
        <v>38</v>
      </c>
      <c r="P75" s="16">
        <v>1</v>
      </c>
      <c r="Q75" s="12"/>
    </row>
    <row r="76" spans="1:17" x14ac:dyDescent="0.25">
      <c r="A76" s="4" t="str">
        <f t="shared" si="0"/>
        <v>CUSTO OFFSHORE USD 12,1825293878006 - SPRINGS_MO - JANEIRO 26</v>
      </c>
      <c r="B76" s="9">
        <v>46023</v>
      </c>
      <c r="C76" s="4">
        <v>817395</v>
      </c>
      <c r="D76" s="11" t="s">
        <v>12</v>
      </c>
      <c r="E76" s="30">
        <f t="shared" si="17"/>
        <v>-42.472983577627197</v>
      </c>
      <c r="F76" s="4" t="s">
        <v>52</v>
      </c>
      <c r="G76" s="9">
        <v>46023</v>
      </c>
      <c r="H76" s="4">
        <v>82748</v>
      </c>
      <c r="J76" s="13" t="s">
        <v>30</v>
      </c>
      <c r="K76" s="13" t="s">
        <v>56</v>
      </c>
      <c r="L76" s="14">
        <f t="shared" si="18"/>
        <v>63.715846951135916</v>
      </c>
      <c r="M76" s="15" t="s">
        <v>29</v>
      </c>
      <c r="N76" s="24" t="s">
        <v>60</v>
      </c>
      <c r="O76" s="24" t="s">
        <v>38</v>
      </c>
      <c r="P76" s="16">
        <v>0.66659999999999997</v>
      </c>
      <c r="Q76" s="35">
        <v>12.182529387800599</v>
      </c>
    </row>
    <row r="77" spans="1:17" x14ac:dyDescent="0.25">
      <c r="A77" s="4" t="str">
        <f t="shared" si="0"/>
        <v>CUSTO OFFSHORE USD 12,1825293878006 - SPRINGS_MO - JANEIRO 26</v>
      </c>
      <c r="B77" s="9">
        <v>46023</v>
      </c>
      <c r="C77" s="4">
        <v>817395</v>
      </c>
      <c r="D77" s="11" t="s">
        <v>45</v>
      </c>
      <c r="E77" s="30">
        <f t="shared" si="17"/>
        <v>-21.236491788813598</v>
      </c>
      <c r="F77" s="4" t="s">
        <v>52</v>
      </c>
      <c r="G77" s="9">
        <v>46023</v>
      </c>
      <c r="H77" s="4">
        <v>82748</v>
      </c>
      <c r="J77" s="13" t="s">
        <v>30</v>
      </c>
      <c r="K77" s="13" t="s">
        <v>56</v>
      </c>
      <c r="L77" s="14">
        <f t="shared" si="18"/>
        <v>63.715846951135916</v>
      </c>
      <c r="M77" s="15" t="s">
        <v>29</v>
      </c>
      <c r="N77" s="24" t="s">
        <v>60</v>
      </c>
      <c r="O77" s="24" t="s">
        <v>38</v>
      </c>
      <c r="P77" s="16">
        <v>0.33329999999999999</v>
      </c>
      <c r="Q77" s="37">
        <v>12.182529387800599</v>
      </c>
    </row>
    <row r="78" spans="1:17" x14ac:dyDescent="0.25">
      <c r="A78" s="4" t="str">
        <f t="shared" si="0"/>
        <v>CUSTO OFFSHORE USD 0,580700567485162 - JPMPLC_MO - JANEIRO 26</v>
      </c>
      <c r="B78" s="9">
        <v>46023</v>
      </c>
      <c r="C78" s="4">
        <v>817395</v>
      </c>
      <c r="D78" s="11" t="s">
        <v>12</v>
      </c>
      <c r="E78" s="30">
        <f t="shared" si="17"/>
        <v>-2.0248492627373635</v>
      </c>
      <c r="F78" s="4" t="s">
        <v>52</v>
      </c>
      <c r="G78" s="9">
        <v>46023</v>
      </c>
      <c r="H78" s="4">
        <v>81541</v>
      </c>
      <c r="J78" s="13" t="s">
        <v>30</v>
      </c>
      <c r="K78" s="13" t="s">
        <v>55</v>
      </c>
      <c r="L78" s="14">
        <f t="shared" si="18"/>
        <v>3.0371220380041453</v>
      </c>
      <c r="M78" s="15" t="s">
        <v>29</v>
      </c>
      <c r="N78" s="24" t="s">
        <v>60</v>
      </c>
      <c r="O78" s="24" t="s">
        <v>38</v>
      </c>
      <c r="P78" s="27">
        <v>0.66669999999999996</v>
      </c>
      <c r="Q78" s="35">
        <v>0.58070056748516186</v>
      </c>
    </row>
    <row r="79" spans="1:17" x14ac:dyDescent="0.25">
      <c r="A79" s="4" t="str">
        <f t="shared" si="0"/>
        <v>CUSTO OFFSHORE USD 0,580700567485162 - JPMPLC_MO - JANEIRO 26</v>
      </c>
      <c r="B79" s="9">
        <v>46023</v>
      </c>
      <c r="C79" s="4">
        <v>817395</v>
      </c>
      <c r="D79" s="11" t="s">
        <v>45</v>
      </c>
      <c r="E79" s="30">
        <f t="shared" si="17"/>
        <v>-1.0122727752667815</v>
      </c>
      <c r="F79" s="4" t="s">
        <v>52</v>
      </c>
      <c r="G79" s="9">
        <v>46023</v>
      </c>
      <c r="H79" s="4">
        <v>81541</v>
      </c>
      <c r="J79" s="13" t="s">
        <v>30</v>
      </c>
      <c r="K79" s="13" t="s">
        <v>55</v>
      </c>
      <c r="L79" s="14">
        <f t="shared" si="18"/>
        <v>3.0371220380041453</v>
      </c>
      <c r="M79" s="15" t="s">
        <v>29</v>
      </c>
      <c r="N79" s="24" t="s">
        <v>60</v>
      </c>
      <c r="O79" s="24" t="s">
        <v>38</v>
      </c>
      <c r="P79" s="27">
        <v>0.33329999999999999</v>
      </c>
      <c r="Q79" s="37">
        <v>0.58070056748516186</v>
      </c>
    </row>
    <row r="80" spans="1:17" x14ac:dyDescent="0.25">
      <c r="A80" s="4" t="str">
        <f t="shared" si="0"/>
        <v>CUSTO OFFSHORE USD 81,2168625853373 - KAPITALO - JANEIRO 26</v>
      </c>
      <c r="B80" s="9">
        <v>46023</v>
      </c>
      <c r="C80" s="4">
        <v>817395</v>
      </c>
      <c r="D80" s="11" t="s">
        <v>12</v>
      </c>
      <c r="E80" s="28">
        <f t="shared" si="17"/>
        <v>-318.57923475567952</v>
      </c>
      <c r="F80" s="4" t="s">
        <v>52</v>
      </c>
      <c r="G80" s="9">
        <v>46023</v>
      </c>
      <c r="H80" s="4">
        <v>12413</v>
      </c>
      <c r="J80" s="13" t="s">
        <v>30</v>
      </c>
      <c r="K80" s="13" t="s">
        <v>26</v>
      </c>
      <c r="L80" s="14">
        <f t="shared" si="18"/>
        <v>424.77231300757268</v>
      </c>
      <c r="M80" s="15" t="s">
        <v>29</v>
      </c>
      <c r="N80" s="24" t="s">
        <v>60</v>
      </c>
      <c r="O80" s="24" t="s">
        <v>38</v>
      </c>
      <c r="P80" s="27">
        <v>0.75</v>
      </c>
      <c r="Q80" s="35">
        <v>81.21686258533731</v>
      </c>
    </row>
    <row r="81" spans="1:17" x14ac:dyDescent="0.25">
      <c r="A81" s="4" t="str">
        <f t="shared" si="0"/>
        <v>CUSTO OFFSHORE USD 81,2168625853373 - KAPITALO - JANEIRO 26</v>
      </c>
      <c r="B81" s="9">
        <v>46023</v>
      </c>
      <c r="C81" s="4">
        <v>817395</v>
      </c>
      <c r="D81" s="11" t="s">
        <v>45</v>
      </c>
      <c r="E81" s="28">
        <f t="shared" si="17"/>
        <v>-106.19307825189317</v>
      </c>
      <c r="F81" s="4" t="s">
        <v>52</v>
      </c>
      <c r="G81" s="9">
        <v>46023</v>
      </c>
      <c r="H81" s="4">
        <v>12413</v>
      </c>
      <c r="J81" s="13" t="s">
        <v>30</v>
      </c>
      <c r="K81" s="13" t="s">
        <v>26</v>
      </c>
      <c r="L81" s="14">
        <f t="shared" si="18"/>
        <v>424.77231300757268</v>
      </c>
      <c r="M81" s="15" t="s">
        <v>29</v>
      </c>
      <c r="N81" s="24" t="s">
        <v>60</v>
      </c>
      <c r="O81" s="24" t="s">
        <v>38</v>
      </c>
      <c r="P81" s="27">
        <v>0.25</v>
      </c>
      <c r="Q81" s="37">
        <v>81.21686258533731</v>
      </c>
    </row>
    <row r="82" spans="1:17" x14ac:dyDescent="0.25">
      <c r="A82" s="4" t="str">
        <f t="shared" si="0"/>
        <v>CUSTO OFFSHORE USD 210,358983613656 - RPS - JANEIRO 26</v>
      </c>
      <c r="B82" s="9">
        <v>46023</v>
      </c>
      <c r="C82" s="4">
        <v>817395</v>
      </c>
      <c r="D82" s="11" t="s">
        <v>45</v>
      </c>
      <c r="E82" s="10">
        <f t="shared" si="17"/>
        <v>-550.09926009889205</v>
      </c>
      <c r="F82" s="4" t="s">
        <v>52</v>
      </c>
      <c r="G82" s="9">
        <v>46023</v>
      </c>
      <c r="H82" s="4">
        <v>12339</v>
      </c>
      <c r="J82" s="13" t="s">
        <v>30</v>
      </c>
      <c r="K82" s="13" t="s">
        <v>16</v>
      </c>
      <c r="L82" s="14">
        <f t="shared" si="18"/>
        <v>1100.1985201977841</v>
      </c>
      <c r="M82" s="15" t="s">
        <v>29</v>
      </c>
      <c r="N82" s="24" t="s">
        <v>60</v>
      </c>
      <c r="O82" s="24" t="s">
        <v>38</v>
      </c>
      <c r="P82" s="16">
        <v>0.5</v>
      </c>
      <c r="Q82" s="35">
        <v>210.35898361365636</v>
      </c>
    </row>
    <row r="83" spans="1:17" x14ac:dyDescent="0.25">
      <c r="A83" s="4" t="str">
        <f t="shared" si="0"/>
        <v>CUSTO OFFSHORE USD 210,358983613656 - RPS - JANEIRO 26</v>
      </c>
      <c r="B83" s="9">
        <v>46023</v>
      </c>
      <c r="C83" s="4">
        <v>817395</v>
      </c>
      <c r="D83" s="11" t="s">
        <v>12</v>
      </c>
      <c r="E83" s="28">
        <f t="shared" si="17"/>
        <v>-550.09926009889205</v>
      </c>
      <c r="F83" s="4" t="s">
        <v>52</v>
      </c>
      <c r="G83" s="9">
        <v>46023</v>
      </c>
      <c r="H83" s="4">
        <v>12339</v>
      </c>
      <c r="J83" s="13" t="s">
        <v>30</v>
      </c>
      <c r="K83" s="13" t="s">
        <v>16</v>
      </c>
      <c r="L83" s="34">
        <f t="shared" si="18"/>
        <v>1100.1985201977841</v>
      </c>
      <c r="M83" s="15" t="s">
        <v>29</v>
      </c>
      <c r="N83" s="24" t="s">
        <v>60</v>
      </c>
      <c r="O83" s="24" t="s">
        <v>38</v>
      </c>
      <c r="P83" s="27">
        <v>0.5</v>
      </c>
      <c r="Q83" s="37">
        <v>210.35898361365636</v>
      </c>
    </row>
    <row r="84" spans="1:17" x14ac:dyDescent="0.25">
      <c r="A84" s="4" t="str">
        <f t="shared" si="0"/>
        <v>CUSTO OFFSHORE USD 72,8153842351971 - SPX_MO - JANEIRO 26</v>
      </c>
      <c r="B84" s="9">
        <v>46023</v>
      </c>
      <c r="C84" s="4">
        <v>817395</v>
      </c>
      <c r="D84" s="11" t="s">
        <v>12</v>
      </c>
      <c r="E84" s="28">
        <f t="shared" si="17"/>
        <v>-228.49904465310263</v>
      </c>
      <c r="F84" s="4" t="s">
        <v>52</v>
      </c>
      <c r="G84" s="9">
        <v>46023</v>
      </c>
      <c r="H84" s="4">
        <v>79931</v>
      </c>
      <c r="J84" s="13" t="s">
        <v>30</v>
      </c>
      <c r="K84" s="13" t="s">
        <v>31</v>
      </c>
      <c r="L84" s="34">
        <f t="shared" si="18"/>
        <v>380.83174108850437</v>
      </c>
      <c r="M84" s="15" t="s">
        <v>29</v>
      </c>
      <c r="N84" s="24" t="s">
        <v>60</v>
      </c>
      <c r="O84" s="24" t="s">
        <v>38</v>
      </c>
      <c r="P84" s="27">
        <v>0.6</v>
      </c>
      <c r="Q84" s="36">
        <v>72.815384235197101</v>
      </c>
    </row>
    <row r="85" spans="1:17" x14ac:dyDescent="0.25">
      <c r="A85" s="17" t="str">
        <f t="shared" si="0"/>
        <v>CUSTO OFFSHORE USD 72,8153842351971 - SPX_MO - JANEIRO 26</v>
      </c>
      <c r="B85" s="18">
        <v>46023</v>
      </c>
      <c r="C85" s="17">
        <v>817395</v>
      </c>
      <c r="D85" s="23" t="s">
        <v>45</v>
      </c>
      <c r="E85" s="19">
        <f t="shared" si="17"/>
        <v>-152.33269643540174</v>
      </c>
      <c r="F85" s="17" t="s">
        <v>52</v>
      </c>
      <c r="G85" s="18">
        <v>46023</v>
      </c>
      <c r="H85" s="17">
        <v>79931</v>
      </c>
      <c r="I85" s="31"/>
      <c r="J85" s="20" t="s">
        <v>30</v>
      </c>
      <c r="K85" s="20" t="s">
        <v>31</v>
      </c>
      <c r="L85" s="33">
        <f t="shared" si="18"/>
        <v>380.83174108850437</v>
      </c>
      <c r="M85" s="21" t="s">
        <v>29</v>
      </c>
      <c r="N85" s="25" t="s">
        <v>60</v>
      </c>
      <c r="O85" s="25" t="s">
        <v>38</v>
      </c>
      <c r="P85" s="22">
        <v>0.4</v>
      </c>
      <c r="Q85" s="37">
        <v>72.815384235197101</v>
      </c>
    </row>
    <row r="86" spans="1:17" x14ac:dyDescent="0.25">
      <c r="A86" s="17" t="str">
        <f t="shared" si="0"/>
        <v>CUSTO OFFSHORE USD 408,28 - BGC - JANEIRO 26</v>
      </c>
      <c r="B86" s="18">
        <v>46023</v>
      </c>
      <c r="C86" s="17">
        <v>817395</v>
      </c>
      <c r="D86" s="23" t="s">
        <v>12</v>
      </c>
      <c r="E86" s="19">
        <f t="shared" si="17"/>
        <v>-2135.3452280000001</v>
      </c>
      <c r="F86" s="17" t="s">
        <v>33</v>
      </c>
      <c r="G86" s="18">
        <v>46023</v>
      </c>
      <c r="H86" s="17">
        <v>1170</v>
      </c>
      <c r="I86" s="31"/>
      <c r="J86" s="20" t="s">
        <v>30</v>
      </c>
      <c r="K86" s="20" t="s">
        <v>21</v>
      </c>
      <c r="L86" s="33">
        <f t="shared" si="2"/>
        <v>2135.3452280000001</v>
      </c>
      <c r="M86" s="21" t="s">
        <v>29</v>
      </c>
      <c r="N86" s="25" t="s">
        <v>60</v>
      </c>
      <c r="O86" s="25" t="s">
        <v>38</v>
      </c>
      <c r="P86" s="22">
        <v>1</v>
      </c>
      <c r="Q86" s="26">
        <v>408.28</v>
      </c>
    </row>
    <row r="87" spans="1:17" ht="12.75" customHeight="1" x14ac:dyDescent="0.25">
      <c r="A87" s="17" t="str">
        <f t="shared" si="0"/>
        <v>CUSTO OFFSHORE USD 844,91 - BGC - JANEIRO 26</v>
      </c>
      <c r="B87" s="18">
        <v>46023</v>
      </c>
      <c r="C87" s="17">
        <v>817395</v>
      </c>
      <c r="D87" s="23" t="s">
        <v>12</v>
      </c>
      <c r="E87" s="19">
        <f t="shared" si="17"/>
        <v>-4418.9637910000001</v>
      </c>
      <c r="F87" s="17" t="s">
        <v>40</v>
      </c>
      <c r="G87" s="18">
        <v>46023</v>
      </c>
      <c r="H87" s="17">
        <v>1170</v>
      </c>
      <c r="J87" s="20" t="s">
        <v>30</v>
      </c>
      <c r="K87" s="20" t="s">
        <v>21</v>
      </c>
      <c r="L87" s="33">
        <f t="shared" si="2"/>
        <v>4418.9637910000001</v>
      </c>
      <c r="M87" s="21" t="s">
        <v>29</v>
      </c>
      <c r="N87" s="25" t="s">
        <v>60</v>
      </c>
      <c r="O87" s="25" t="s">
        <v>38</v>
      </c>
      <c r="P87" s="22">
        <v>1</v>
      </c>
      <c r="Q87" s="26">
        <v>844.91</v>
      </c>
    </row>
    <row r="88" spans="1:17" x14ac:dyDescent="0.25">
      <c r="A88" s="4" t="str">
        <f t="shared" si="0"/>
        <v>CUSTO OFFSHORE USD 85,72 - BGC - JANEIRO 26</v>
      </c>
      <c r="B88" s="9">
        <v>46023</v>
      </c>
      <c r="C88" s="4">
        <v>817395</v>
      </c>
      <c r="D88" s="11" t="s">
        <v>47</v>
      </c>
      <c r="E88" s="12">
        <f t="shared" si="17"/>
        <v>-448.32417200000003</v>
      </c>
      <c r="F88" s="4" t="s">
        <v>22</v>
      </c>
      <c r="G88" s="9">
        <v>46023</v>
      </c>
      <c r="H88" s="4">
        <v>1170</v>
      </c>
      <c r="J88" s="13" t="s">
        <v>30</v>
      </c>
      <c r="K88" s="13" t="s">
        <v>21</v>
      </c>
      <c r="L88" s="14">
        <f t="shared" si="2"/>
        <v>448.32417200000003</v>
      </c>
      <c r="M88" s="15" t="s">
        <v>29</v>
      </c>
      <c r="N88" s="24" t="s">
        <v>60</v>
      </c>
      <c r="O88" s="24" t="s">
        <v>38</v>
      </c>
      <c r="P88" s="16">
        <v>1</v>
      </c>
      <c r="Q88" s="12">
        <v>85.72</v>
      </c>
    </row>
    <row r="89" spans="1:17" x14ac:dyDescent="0.25">
      <c r="A89" s="17" t="str">
        <f t="shared" si="0"/>
        <v>CUSTO OFFSHORE USD 85,72 - BGC - JANEIRO 26</v>
      </c>
      <c r="B89" s="18">
        <v>46023</v>
      </c>
      <c r="C89" s="17">
        <v>817395</v>
      </c>
      <c r="D89" s="23" t="s">
        <v>12</v>
      </c>
      <c r="E89" s="26">
        <f t="shared" si="17"/>
        <v>-448.32417200000003</v>
      </c>
      <c r="F89" s="17" t="s">
        <v>22</v>
      </c>
      <c r="G89" s="18">
        <v>46023</v>
      </c>
      <c r="H89" s="17">
        <v>1170</v>
      </c>
      <c r="J89" s="20" t="s">
        <v>30</v>
      </c>
      <c r="K89" s="20" t="s">
        <v>21</v>
      </c>
      <c r="L89" s="33">
        <f t="shared" si="2"/>
        <v>448.32417200000003</v>
      </c>
      <c r="M89" s="21" t="s">
        <v>29</v>
      </c>
      <c r="N89" s="25" t="s">
        <v>60</v>
      </c>
      <c r="O89" s="25" t="s">
        <v>38</v>
      </c>
      <c r="P89" s="22">
        <v>1</v>
      </c>
      <c r="Q89" s="26">
        <v>85.72</v>
      </c>
    </row>
    <row r="90" spans="1:17" x14ac:dyDescent="0.25">
      <c r="A90" s="4" t="str">
        <f>CONCATENATE(J90,Q90,M90,K90,M90,N90)</f>
        <v>CUSTO OFFSHORE USD 608,42 - BGC BONDS - JANEIRO 26</v>
      </c>
      <c r="B90" s="9">
        <v>46023</v>
      </c>
      <c r="C90" s="4">
        <v>817395</v>
      </c>
      <c r="D90" s="11" t="s">
        <v>32</v>
      </c>
      <c r="E90" s="10">
        <f>-L90*P90</f>
        <v>-3182.0974419999998</v>
      </c>
      <c r="F90" s="4" t="s">
        <v>23</v>
      </c>
      <c r="G90" s="9">
        <v>46023</v>
      </c>
      <c r="H90" s="4">
        <v>1170</v>
      </c>
      <c r="J90" s="13" t="s">
        <v>30</v>
      </c>
      <c r="K90" s="13" t="s">
        <v>51</v>
      </c>
      <c r="L90" s="14">
        <f>IF(O90="USD",Q90*$S$1)</f>
        <v>3182.0974419999998</v>
      </c>
      <c r="M90" s="15" t="s">
        <v>29</v>
      </c>
      <c r="N90" s="24" t="s">
        <v>60</v>
      </c>
      <c r="O90" s="24" t="s">
        <v>38</v>
      </c>
      <c r="P90" s="16">
        <v>1</v>
      </c>
      <c r="Q90" s="12">
        <v>608.41999999999996</v>
      </c>
    </row>
    <row r="91" spans="1:17" x14ac:dyDescent="0.25">
      <c r="A91" s="4" t="str">
        <f>CONCATENATE(J91,Q91,M91,K91,M91,N91)</f>
        <v>CUSTO OFFSHORE USD 2915,69 - BGC - JANEIRO 26</v>
      </c>
      <c r="B91" s="9">
        <v>46023</v>
      </c>
      <c r="C91" s="4">
        <v>817395</v>
      </c>
      <c r="D91" s="11" t="s">
        <v>46</v>
      </c>
      <c r="E91" s="10">
        <f>-L91*P91</f>
        <v>-15249.350269</v>
      </c>
      <c r="F91" s="4" t="s">
        <v>23</v>
      </c>
      <c r="G91" s="9">
        <v>46023</v>
      </c>
      <c r="H91" s="4">
        <v>1170</v>
      </c>
      <c r="J91" s="13" t="s">
        <v>30</v>
      </c>
      <c r="K91" s="13" t="s">
        <v>21</v>
      </c>
      <c r="L91" s="14">
        <f>IF(O91="USD",Q91*$S$1)</f>
        <v>15249.350269</v>
      </c>
      <c r="M91" s="15" t="s">
        <v>29</v>
      </c>
      <c r="N91" s="24" t="s">
        <v>60</v>
      </c>
      <c r="O91" s="24" t="s">
        <v>38</v>
      </c>
      <c r="P91" s="16">
        <v>1</v>
      </c>
      <c r="Q91" s="12">
        <v>2915.69</v>
      </c>
    </row>
    <row r="92" spans="1:17" x14ac:dyDescent="0.25">
      <c r="A92" s="4" t="str">
        <f>CONCATENATE(J92,Q92,M92,K92,M92,N92)</f>
        <v>CUSTO OFFSHORE USD  - VINLAND  - JANEIRO 26</v>
      </c>
      <c r="B92" s="9">
        <v>46023</v>
      </c>
      <c r="C92" s="4">
        <v>817395</v>
      </c>
      <c r="D92" s="11" t="s">
        <v>47</v>
      </c>
      <c r="E92" s="10">
        <f>-L92*P92</f>
        <v>0</v>
      </c>
      <c r="F92" s="4" t="s">
        <v>23</v>
      </c>
      <c r="G92" s="9">
        <v>46023</v>
      </c>
      <c r="H92" s="4">
        <v>80359</v>
      </c>
      <c r="J92" s="13" t="s">
        <v>30</v>
      </c>
      <c r="K92" s="13" t="s">
        <v>20</v>
      </c>
      <c r="L92" s="14">
        <f>IF(O92="USD",Q92*$S$1)</f>
        <v>0</v>
      </c>
      <c r="M92" s="15" t="s">
        <v>29</v>
      </c>
      <c r="N92" s="24" t="s">
        <v>60</v>
      </c>
      <c r="O92" s="24" t="s">
        <v>38</v>
      </c>
      <c r="P92" s="16">
        <v>1</v>
      </c>
      <c r="Q92" s="12"/>
    </row>
    <row r="93" spans="1:17" x14ac:dyDescent="0.25">
      <c r="A93" s="4" t="str">
        <f>CONCATENATE(J93,Q93,M93,K93,M93,N93)</f>
        <v>CUSTO OFFSHORE USD 6965 - BGC NDF OFFSHORE - JANEIRO 26</v>
      </c>
      <c r="B93" s="9">
        <v>46023</v>
      </c>
      <c r="C93" s="4">
        <v>817395</v>
      </c>
      <c r="D93" s="11" t="s">
        <v>58</v>
      </c>
      <c r="E93" s="10">
        <f t="shared" si="17"/>
        <v>-36171.371600000006</v>
      </c>
      <c r="F93" s="4" t="s">
        <v>23</v>
      </c>
      <c r="G93" s="9">
        <v>46023</v>
      </c>
      <c r="H93" s="4">
        <v>1170</v>
      </c>
      <c r="J93" s="13" t="s">
        <v>30</v>
      </c>
      <c r="K93" s="13" t="s">
        <v>35</v>
      </c>
      <c r="L93" s="14">
        <f>IF(O93="USD",Q93*$S$1)</f>
        <v>36427.646500000003</v>
      </c>
      <c r="M93" s="15" t="s">
        <v>29</v>
      </c>
      <c r="N93" s="24" t="s">
        <v>60</v>
      </c>
      <c r="O93" s="24" t="s">
        <v>38</v>
      </c>
      <c r="P93" s="16">
        <v>0.99296482412060305</v>
      </c>
      <c r="Q93" s="30">
        <v>6965</v>
      </c>
    </row>
    <row r="94" spans="1:17" x14ac:dyDescent="0.25">
      <c r="A94" s="4" t="str">
        <f>CONCATENATE(J94,Q94,M94,K94,M94,N94)</f>
        <v>CUSTO OFFSHORE USD 6965 - BGC NDF OFFSHORE - JANEIRO 26</v>
      </c>
      <c r="B94" s="9">
        <v>46023</v>
      </c>
      <c r="C94" s="4">
        <v>817395</v>
      </c>
      <c r="D94" s="11" t="s">
        <v>43</v>
      </c>
      <c r="E94" s="10">
        <f t="shared" si="17"/>
        <v>-73.221400000000017</v>
      </c>
      <c r="F94" s="4" t="s">
        <v>23</v>
      </c>
      <c r="G94" s="9">
        <v>46023</v>
      </c>
      <c r="H94" s="4">
        <v>1170</v>
      </c>
      <c r="J94" s="13" t="s">
        <v>30</v>
      </c>
      <c r="K94" s="13" t="s">
        <v>35</v>
      </c>
      <c r="L94" s="14">
        <f>IF(O94="USD",Q94*$S$1)</f>
        <v>36427.646500000003</v>
      </c>
      <c r="M94" s="15" t="s">
        <v>29</v>
      </c>
      <c r="N94" s="24" t="s">
        <v>60</v>
      </c>
      <c r="O94" s="24" t="s">
        <v>38</v>
      </c>
      <c r="P94" s="16">
        <v>2.0100502512562816E-3</v>
      </c>
      <c r="Q94" s="30">
        <v>6965</v>
      </c>
    </row>
    <row r="95" spans="1:17" x14ac:dyDescent="0.25">
      <c r="A95" s="17" t="str">
        <f t="shared" si="0"/>
        <v>CUSTO OFFSHORE USD 6965 - BGC NDF OFFSHORE - JANEIRO 26</v>
      </c>
      <c r="B95" s="18">
        <v>46023</v>
      </c>
      <c r="C95" s="17">
        <v>817395</v>
      </c>
      <c r="D95" s="23" t="s">
        <v>42</v>
      </c>
      <c r="E95" s="19">
        <f t="shared" si="17"/>
        <v>-183.05350000000001</v>
      </c>
      <c r="F95" s="17" t="s">
        <v>23</v>
      </c>
      <c r="G95" s="18">
        <v>46023</v>
      </c>
      <c r="H95" s="17">
        <v>1170</v>
      </c>
      <c r="I95" s="31"/>
      <c r="J95" s="20" t="s">
        <v>30</v>
      </c>
      <c r="K95" s="20" t="s">
        <v>35</v>
      </c>
      <c r="L95" s="33">
        <f t="shared" si="2"/>
        <v>36427.646500000003</v>
      </c>
      <c r="M95" s="21" t="s">
        <v>29</v>
      </c>
      <c r="N95" s="25" t="s">
        <v>60</v>
      </c>
      <c r="O95" s="25" t="s">
        <v>38</v>
      </c>
      <c r="P95" s="22">
        <v>5.0251256281407036E-3</v>
      </c>
      <c r="Q95" s="26">
        <v>6965</v>
      </c>
    </row>
    <row r="96" spans="1:17" x14ac:dyDescent="0.25">
      <c r="A96" s="4" t="str">
        <f t="shared" si="0"/>
        <v>CUSTO OFFSHORE USD 1574,13 - BGC DI FUTURES - JANEIRO 26</v>
      </c>
      <c r="B96" s="9">
        <v>46023</v>
      </c>
      <c r="C96" s="4">
        <v>817395</v>
      </c>
      <c r="D96" s="32" t="s">
        <v>28</v>
      </c>
      <c r="E96" s="10">
        <f t="shared" si="17"/>
        <v>-2137.3764177980765</v>
      </c>
      <c r="F96" s="4" t="s">
        <v>23</v>
      </c>
      <c r="G96" s="9">
        <v>46023</v>
      </c>
      <c r="H96" s="4">
        <v>1170</v>
      </c>
      <c r="J96" s="13" t="s">
        <v>30</v>
      </c>
      <c r="K96" s="13" t="s">
        <v>34</v>
      </c>
      <c r="L96" s="14">
        <f t="shared" si="2"/>
        <v>8232.8573130000004</v>
      </c>
      <c r="M96" s="15" t="s">
        <v>29</v>
      </c>
      <c r="N96" s="24" t="s">
        <v>60</v>
      </c>
      <c r="O96" s="24" t="s">
        <v>38</v>
      </c>
      <c r="P96" s="27">
        <v>0.25961538461538458</v>
      </c>
      <c r="Q96" s="30">
        <v>1574.13</v>
      </c>
    </row>
    <row r="97" spans="1:17" x14ac:dyDescent="0.25">
      <c r="A97" s="4" t="str">
        <f t="shared" si="0"/>
        <v>CUSTO OFFSHORE USD 1574,13 - BGC DI FUTURES - JANEIRO 26</v>
      </c>
      <c r="B97" s="9">
        <v>46023</v>
      </c>
      <c r="C97" s="4">
        <v>817395</v>
      </c>
      <c r="D97" s="32" t="s">
        <v>32</v>
      </c>
      <c r="E97" s="10">
        <f t="shared" si="17"/>
        <v>0</v>
      </c>
      <c r="F97" s="4" t="s">
        <v>23</v>
      </c>
      <c r="G97" s="9">
        <v>46023</v>
      </c>
      <c r="H97" s="4">
        <v>1170</v>
      </c>
      <c r="J97" s="13" t="s">
        <v>30</v>
      </c>
      <c r="K97" s="13" t="s">
        <v>34</v>
      </c>
      <c r="L97" s="14">
        <f t="shared" si="2"/>
        <v>8232.8573130000004</v>
      </c>
      <c r="M97" s="15" t="s">
        <v>29</v>
      </c>
      <c r="N97" s="24" t="s">
        <v>60</v>
      </c>
      <c r="O97" s="24" t="s">
        <v>38</v>
      </c>
      <c r="P97" s="27">
        <v>0</v>
      </c>
      <c r="Q97" s="30">
        <v>1574.13</v>
      </c>
    </row>
    <row r="98" spans="1:17" x14ac:dyDescent="0.25">
      <c r="A98" s="4" t="str">
        <f t="shared" si="0"/>
        <v>CUSTO OFFSHORE USD 1574,13 - BGC DI FUTURES - JANEIRO 26</v>
      </c>
      <c r="B98" s="9">
        <v>46023</v>
      </c>
      <c r="C98" s="4">
        <v>817395</v>
      </c>
      <c r="D98" s="32" t="s">
        <v>25</v>
      </c>
      <c r="E98" s="10">
        <f t="shared" si="17"/>
        <v>-1345.7555223173074</v>
      </c>
      <c r="F98" s="4" t="s">
        <v>23</v>
      </c>
      <c r="G98" s="9">
        <v>46023</v>
      </c>
      <c r="H98" s="4">
        <v>1170</v>
      </c>
      <c r="J98" s="13" t="s">
        <v>30</v>
      </c>
      <c r="K98" s="13" t="s">
        <v>34</v>
      </c>
      <c r="L98" s="14">
        <f t="shared" si="2"/>
        <v>8232.8573130000004</v>
      </c>
      <c r="M98" s="15" t="s">
        <v>29</v>
      </c>
      <c r="N98" s="24" t="s">
        <v>60</v>
      </c>
      <c r="O98" s="24" t="s">
        <v>38</v>
      </c>
      <c r="P98" s="27">
        <v>0.16346153846153841</v>
      </c>
      <c r="Q98" s="30">
        <v>1574.13</v>
      </c>
    </row>
    <row r="99" spans="1:17" x14ac:dyDescent="0.25">
      <c r="A99" s="17" t="str">
        <f t="shared" si="0"/>
        <v>CUSTO OFFSHORE USD 1574,13 - BGC DI FUTURES - JANEIRO 26</v>
      </c>
      <c r="B99" s="18">
        <v>46023</v>
      </c>
      <c r="C99" s="17">
        <v>817395</v>
      </c>
      <c r="D99" s="23" t="s">
        <v>41</v>
      </c>
      <c r="E99" s="19">
        <f t="shared" si="17"/>
        <v>-4749.7253728846172</v>
      </c>
      <c r="F99" s="17" t="s">
        <v>23</v>
      </c>
      <c r="G99" s="18">
        <v>46023</v>
      </c>
      <c r="H99" s="17">
        <v>1170</v>
      </c>
      <c r="J99" s="20" t="s">
        <v>30</v>
      </c>
      <c r="K99" s="20" t="s">
        <v>34</v>
      </c>
      <c r="L99" s="33">
        <f t="shared" si="2"/>
        <v>8232.8573130000004</v>
      </c>
      <c r="M99" s="21" t="s">
        <v>29</v>
      </c>
      <c r="N99" s="25" t="s">
        <v>60</v>
      </c>
      <c r="O99" s="25" t="s">
        <v>38</v>
      </c>
      <c r="P99" s="22">
        <v>0.57692307692307709</v>
      </c>
      <c r="Q99" s="26">
        <v>1574.13</v>
      </c>
    </row>
    <row r="100" spans="1:17" x14ac:dyDescent="0.25">
      <c r="A100" s="17" t="str">
        <f t="shared" si="0"/>
        <v>CUSTO OFFSHORE USD 1782,3 - BGC - JANEIRO 26</v>
      </c>
      <c r="B100" s="18">
        <v>46023</v>
      </c>
      <c r="C100" s="17">
        <v>817395</v>
      </c>
      <c r="D100" s="23" t="s">
        <v>12</v>
      </c>
      <c r="E100" s="26">
        <f t="shared" si="17"/>
        <v>-1782.3</v>
      </c>
      <c r="F100" s="17" t="s">
        <v>53</v>
      </c>
      <c r="G100" s="18">
        <v>46023</v>
      </c>
      <c r="H100" s="17">
        <v>1170</v>
      </c>
      <c r="I100" s="31"/>
      <c r="J100" s="20" t="s">
        <v>30</v>
      </c>
      <c r="K100" s="20" t="s">
        <v>21</v>
      </c>
      <c r="L100" s="33">
        <f>IF(O100="USD",Q100*$S$1,Q100)</f>
        <v>1782.3</v>
      </c>
      <c r="M100" s="21" t="s">
        <v>29</v>
      </c>
      <c r="N100" s="25" t="s">
        <v>60</v>
      </c>
      <c r="O100" s="25" t="s">
        <v>54</v>
      </c>
      <c r="P100" s="22">
        <v>1</v>
      </c>
      <c r="Q100" s="26">
        <v>1782.3</v>
      </c>
    </row>
    <row r="101" spans="1:17" x14ac:dyDescent="0.25">
      <c r="A101" s="4" t="str">
        <f t="shared" si="0"/>
        <v>CUSTO OFFSHORE USD 3413,29 - BGC - GALBUQUERQUE - JANEIRO 26</v>
      </c>
      <c r="B101" s="9">
        <v>46023</v>
      </c>
      <c r="C101" s="4">
        <v>817395</v>
      </c>
      <c r="D101" s="11" t="s">
        <v>47</v>
      </c>
      <c r="E101" s="12">
        <f t="shared" si="17"/>
        <v>-17851.848029000001</v>
      </c>
      <c r="F101" s="4" t="s">
        <v>36</v>
      </c>
      <c r="G101" s="9">
        <v>46023</v>
      </c>
      <c r="H101" s="4">
        <v>1170</v>
      </c>
      <c r="J101" s="13" t="s">
        <v>30</v>
      </c>
      <c r="K101" s="13" t="s">
        <v>64</v>
      </c>
      <c r="L101" s="14">
        <f t="shared" si="2"/>
        <v>17851.848029000001</v>
      </c>
      <c r="M101" s="15" t="s">
        <v>29</v>
      </c>
      <c r="N101" s="24" t="s">
        <v>60</v>
      </c>
      <c r="O101" s="24" t="s">
        <v>38</v>
      </c>
      <c r="P101" s="16">
        <v>1</v>
      </c>
      <c r="Q101" s="12">
        <v>3413.29</v>
      </c>
    </row>
    <row r="102" spans="1:17" x14ac:dyDescent="0.25">
      <c r="A102" s="4" t="str">
        <f t="shared" si="0"/>
        <v>CUSTO OFFSHORE USD 3413,29 - BGC - CMALTA - JANEIRO 26</v>
      </c>
      <c r="B102" s="9">
        <v>46023</v>
      </c>
      <c r="C102" s="4">
        <v>817395</v>
      </c>
      <c r="D102" s="11" t="s">
        <v>47</v>
      </c>
      <c r="E102" s="12">
        <f t="shared" si="17"/>
        <v>-17851.848029000001</v>
      </c>
      <c r="F102" s="4" t="s">
        <v>36</v>
      </c>
      <c r="G102" s="9">
        <v>46023</v>
      </c>
      <c r="H102" s="4">
        <v>1170</v>
      </c>
      <c r="J102" s="13" t="s">
        <v>30</v>
      </c>
      <c r="K102" s="13" t="s">
        <v>65</v>
      </c>
      <c r="L102" s="14">
        <f t="shared" si="2"/>
        <v>17851.848029000001</v>
      </c>
      <c r="M102" s="15" t="s">
        <v>29</v>
      </c>
      <c r="N102" s="24" t="s">
        <v>60</v>
      </c>
      <c r="O102" s="24" t="s">
        <v>38</v>
      </c>
      <c r="P102" s="16">
        <v>1</v>
      </c>
      <c r="Q102" s="12">
        <v>3413.29</v>
      </c>
    </row>
    <row r="103" spans="1:17" x14ac:dyDescent="0.25">
      <c r="A103" s="4" t="str">
        <f t="shared" ref="A103:A104" si="19">CONCATENATE(J103,Q103,M103,K103,M103,N103)</f>
        <v>CUSTO OFFSHORE USD 3413,29 - BGC - CPACINI - JANEIRO 26</v>
      </c>
      <c r="B103" s="9">
        <v>46023</v>
      </c>
      <c r="C103" s="4">
        <v>817395</v>
      </c>
      <c r="D103" s="11" t="s">
        <v>61</v>
      </c>
      <c r="E103" s="30">
        <f t="shared" ref="E103:E104" si="20">-L103*P103</f>
        <v>-17851.848029000001</v>
      </c>
      <c r="F103" s="4" t="s">
        <v>36</v>
      </c>
      <c r="G103" s="9">
        <v>46023</v>
      </c>
      <c r="H103" s="4">
        <v>1170</v>
      </c>
      <c r="J103" s="13" t="s">
        <v>30</v>
      </c>
      <c r="K103" s="13" t="s">
        <v>63</v>
      </c>
      <c r="L103" s="14">
        <f t="shared" ref="L103:L104" si="21">IF(O103="USD",Q103*$S$1)</f>
        <v>17851.848029000001</v>
      </c>
      <c r="M103" s="15" t="s">
        <v>29</v>
      </c>
      <c r="N103" s="24" t="s">
        <v>60</v>
      </c>
      <c r="O103" s="24" t="s">
        <v>38</v>
      </c>
      <c r="P103" s="27">
        <v>1</v>
      </c>
      <c r="Q103" s="30">
        <v>3413.29</v>
      </c>
    </row>
    <row r="104" spans="1:17" x14ac:dyDescent="0.25">
      <c r="A104" s="4" t="str">
        <f t="shared" si="19"/>
        <v>CUSTO OFFSHORE USD 3413,29 - BGC - AFIUZA - JANEIRO 26</v>
      </c>
      <c r="B104" s="9">
        <v>46023</v>
      </c>
      <c r="C104" s="4">
        <v>817395</v>
      </c>
      <c r="D104" s="11" t="s">
        <v>61</v>
      </c>
      <c r="E104" s="30">
        <f t="shared" si="20"/>
        <v>-17851.848029000001</v>
      </c>
      <c r="F104" s="4" t="s">
        <v>36</v>
      </c>
      <c r="G104" s="9">
        <v>46023</v>
      </c>
      <c r="H104" s="4">
        <v>1170</v>
      </c>
      <c r="J104" s="13" t="s">
        <v>30</v>
      </c>
      <c r="K104" s="13" t="s">
        <v>62</v>
      </c>
      <c r="L104" s="14">
        <f t="shared" si="21"/>
        <v>17851.848029000001</v>
      </c>
      <c r="M104" s="15" t="s">
        <v>29</v>
      </c>
      <c r="N104" s="24" t="s">
        <v>60</v>
      </c>
      <c r="O104" s="24" t="s">
        <v>38</v>
      </c>
      <c r="P104" s="27">
        <v>1</v>
      </c>
      <c r="Q104" s="30">
        <v>3413.29</v>
      </c>
    </row>
    <row r="105" spans="1:17" x14ac:dyDescent="0.25">
      <c r="A105" s="4" t="str">
        <f>CONCATENATE(J105,Q106,M105,K105,M105,N105)</f>
        <v>CUSTO OFFSHORE USD 3413,29 - BGC - JJUNQUEIRA - JANEIRO 26</v>
      </c>
      <c r="B105" s="9">
        <v>46023</v>
      </c>
      <c r="C105" s="4">
        <v>817395</v>
      </c>
      <c r="D105" s="11" t="s">
        <v>12</v>
      </c>
      <c r="E105" s="30">
        <f t="shared" si="17"/>
        <v>-17851.848029000001</v>
      </c>
      <c r="F105" s="4" t="s">
        <v>36</v>
      </c>
      <c r="G105" s="9">
        <v>46023</v>
      </c>
      <c r="H105" s="4">
        <v>1170</v>
      </c>
      <c r="J105" s="13" t="s">
        <v>30</v>
      </c>
      <c r="K105" s="13" t="s">
        <v>66</v>
      </c>
      <c r="L105" s="14">
        <f>IF(O105="USD",Q106*$S$1)</f>
        <v>17851.848029000001</v>
      </c>
      <c r="M105" s="15" t="s">
        <v>29</v>
      </c>
      <c r="N105" s="24" t="s">
        <v>60</v>
      </c>
      <c r="O105" s="24" t="s">
        <v>38</v>
      </c>
      <c r="P105" s="27">
        <v>1</v>
      </c>
      <c r="Q105" s="30">
        <v>3413.29</v>
      </c>
    </row>
    <row r="106" spans="1:17" x14ac:dyDescent="0.25">
      <c r="A106" s="17" t="str">
        <f>CONCATENATE(J106,Q106,M106,K106,M106,N106)</f>
        <v>CUSTO OFFSHORE USD 3413,29 - BGC - ASOARES - JANEIRO 26</v>
      </c>
      <c r="B106" s="18">
        <v>46023</v>
      </c>
      <c r="C106" s="17">
        <v>817395</v>
      </c>
      <c r="D106" s="23" t="s">
        <v>12</v>
      </c>
      <c r="E106" s="19">
        <f t="shared" si="17"/>
        <v>-17851.848029000001</v>
      </c>
      <c r="F106" s="17" t="s">
        <v>36</v>
      </c>
      <c r="G106" s="18">
        <v>46023</v>
      </c>
      <c r="H106" s="17">
        <v>1170</v>
      </c>
      <c r="J106" s="20" t="s">
        <v>30</v>
      </c>
      <c r="K106" s="20" t="s">
        <v>67</v>
      </c>
      <c r="L106" s="33">
        <f>IF(O106="USD",Q106*$S$1)</f>
        <v>17851.848029000001</v>
      </c>
      <c r="M106" s="21" t="s">
        <v>29</v>
      </c>
      <c r="N106" s="25" t="s">
        <v>60</v>
      </c>
      <c r="O106" s="25" t="s">
        <v>38</v>
      </c>
      <c r="P106" s="22">
        <v>1</v>
      </c>
      <c r="Q106" s="30">
        <v>3413.29</v>
      </c>
    </row>
    <row r="107" spans="1:17" x14ac:dyDescent="0.25">
      <c r="A107" s="4" t="str">
        <f t="shared" ref="A107:A137" si="22">CONCATENATE(J107,Q107,M107,K107,M107,N107)</f>
        <v>CUSTO OFFSHORE USD 33,3684142684448 - ASSET1 - JANEIRO 26</v>
      </c>
      <c r="B107" s="9">
        <v>46023</v>
      </c>
      <c r="C107" s="4">
        <v>817395</v>
      </c>
      <c r="D107" s="11" t="s">
        <v>12</v>
      </c>
      <c r="E107" s="12">
        <f>-L107*P107</f>
        <v>-58.18501583136208</v>
      </c>
      <c r="F107" s="4" t="s">
        <v>44</v>
      </c>
      <c r="G107" s="9">
        <v>46023</v>
      </c>
      <c r="H107" s="4">
        <v>80834</v>
      </c>
      <c r="J107" s="13" t="s">
        <v>30</v>
      </c>
      <c r="K107" s="13" t="s">
        <v>14</v>
      </c>
      <c r="L107" s="14">
        <f>IF(O107="USD",Q107*$S$1)</f>
        <v>174.52014346539318</v>
      </c>
      <c r="M107" s="15" t="s">
        <v>29</v>
      </c>
      <c r="N107" s="24" t="s">
        <v>60</v>
      </c>
      <c r="O107" s="24" t="s">
        <v>38</v>
      </c>
      <c r="P107" s="16">
        <v>0.33339999999999997</v>
      </c>
      <c r="Q107" s="35">
        <v>33.368414268444802</v>
      </c>
    </row>
    <row r="108" spans="1:17" x14ac:dyDescent="0.25">
      <c r="A108" s="4" t="str">
        <f t="shared" si="22"/>
        <v>CUSTO OFFSHORE USD 33,3684142684448 - ASSET1 - JANEIRO 26</v>
      </c>
      <c r="B108" s="9">
        <v>46023</v>
      </c>
      <c r="C108" s="4">
        <v>817395</v>
      </c>
      <c r="D108" s="11" t="s">
        <v>45</v>
      </c>
      <c r="E108" s="12">
        <f t="shared" ref="E108:E137" si="23">-L108*P108</f>
        <v>-58.167563817015541</v>
      </c>
      <c r="F108" s="4" t="s">
        <v>44</v>
      </c>
      <c r="G108" s="9">
        <v>46023</v>
      </c>
      <c r="H108" s="4">
        <v>80834</v>
      </c>
      <c r="J108" s="13" t="s">
        <v>30</v>
      </c>
      <c r="K108" s="13" t="s">
        <v>14</v>
      </c>
      <c r="L108" s="14">
        <f t="shared" ref="L108:L132" si="24">IF(O108="USD",Q108*$S$1)</f>
        <v>174.52014346539318</v>
      </c>
      <c r="M108" s="15" t="s">
        <v>29</v>
      </c>
      <c r="N108" s="24" t="s">
        <v>60</v>
      </c>
      <c r="O108" s="24" t="s">
        <v>38</v>
      </c>
      <c r="P108" s="16">
        <v>0.33329999999999999</v>
      </c>
      <c r="Q108" s="36">
        <v>33.368414268444802</v>
      </c>
    </row>
    <row r="109" spans="1:17" x14ac:dyDescent="0.25">
      <c r="A109" s="4" t="str">
        <f>CONCATENATE(J109,Q109,M109,K109,M109,N109)</f>
        <v>CUSTO OFFSHORE USD 33,3684142684448 - ASSET1 - JANEIRO 26</v>
      </c>
      <c r="B109" s="9">
        <v>46023</v>
      </c>
      <c r="C109" s="4">
        <v>817395</v>
      </c>
      <c r="D109" s="11" t="s">
        <v>46</v>
      </c>
      <c r="E109" s="12">
        <f t="shared" si="23"/>
        <v>-58.167563817015541</v>
      </c>
      <c r="F109" s="4" t="s">
        <v>44</v>
      </c>
      <c r="G109" s="9">
        <v>46023</v>
      </c>
      <c r="H109" s="4">
        <v>80834</v>
      </c>
      <c r="J109" s="13" t="s">
        <v>30</v>
      </c>
      <c r="K109" s="13" t="s">
        <v>14</v>
      </c>
      <c r="L109" s="14">
        <f t="shared" si="24"/>
        <v>174.52014346539318</v>
      </c>
      <c r="M109" s="15" t="s">
        <v>29</v>
      </c>
      <c r="N109" s="24" t="s">
        <v>60</v>
      </c>
      <c r="O109" s="24" t="s">
        <v>38</v>
      </c>
      <c r="P109" s="16">
        <v>0.33329999999999999</v>
      </c>
      <c r="Q109" s="37">
        <v>33.368414268444802</v>
      </c>
    </row>
    <row r="110" spans="1:17" x14ac:dyDescent="0.25">
      <c r="A110" s="4" t="str">
        <f t="shared" si="22"/>
        <v>CUSTO OFFSHORE USD 127,027607752744 - RPS - JANEIRO 26</v>
      </c>
      <c r="B110" s="9">
        <v>46023</v>
      </c>
      <c r="C110" s="4">
        <v>817395</v>
      </c>
      <c r="D110" s="11" t="s">
        <v>45</v>
      </c>
      <c r="E110" s="10">
        <f t="shared" si="23"/>
        <v>-332.18354565381287</v>
      </c>
      <c r="F110" s="4" t="s">
        <v>44</v>
      </c>
      <c r="G110" s="9">
        <v>46023</v>
      </c>
      <c r="H110" s="4">
        <v>12339</v>
      </c>
      <c r="J110" s="13" t="s">
        <v>30</v>
      </c>
      <c r="K110" s="13" t="s">
        <v>16</v>
      </c>
      <c r="L110" s="14">
        <f t="shared" si="24"/>
        <v>664.36709130762574</v>
      </c>
      <c r="M110" s="15" t="s">
        <v>29</v>
      </c>
      <c r="N110" s="24" t="s">
        <v>60</v>
      </c>
      <c r="O110" s="24" t="s">
        <v>38</v>
      </c>
      <c r="P110" s="16">
        <v>0.5</v>
      </c>
      <c r="Q110" s="35">
        <v>127.02760775274386</v>
      </c>
    </row>
    <row r="111" spans="1:17" x14ac:dyDescent="0.25">
      <c r="A111" s="4" t="str">
        <f t="shared" si="22"/>
        <v>CUSTO OFFSHORE USD 127,027607752744 - RPS - JANEIRO 26</v>
      </c>
      <c r="B111" s="9">
        <v>46023</v>
      </c>
      <c r="C111" s="4">
        <v>817395</v>
      </c>
      <c r="D111" s="11" t="s">
        <v>12</v>
      </c>
      <c r="E111" s="10">
        <f t="shared" si="23"/>
        <v>-332.18354565381287</v>
      </c>
      <c r="F111" s="4" t="s">
        <v>44</v>
      </c>
      <c r="G111" s="9">
        <v>46023</v>
      </c>
      <c r="H111" s="4">
        <v>12339</v>
      </c>
      <c r="J111" s="13" t="s">
        <v>30</v>
      </c>
      <c r="K111" s="13" t="s">
        <v>16</v>
      </c>
      <c r="L111" s="14">
        <f t="shared" si="24"/>
        <v>664.36709130762574</v>
      </c>
      <c r="M111" s="15" t="s">
        <v>29</v>
      </c>
      <c r="N111" s="24" t="s">
        <v>60</v>
      </c>
      <c r="O111" s="24" t="s">
        <v>38</v>
      </c>
      <c r="P111" s="16">
        <v>0.5</v>
      </c>
      <c r="Q111" s="37">
        <v>127.02760775274386</v>
      </c>
    </row>
    <row r="112" spans="1:17" x14ac:dyDescent="0.25">
      <c r="A112" s="4" t="str">
        <f t="shared" si="22"/>
        <v>CUSTO OFFSHORE USD 7228,11568489549 - GOLDMAN SACHS IL - BRAS - JANEIRO 26</v>
      </c>
      <c r="B112" s="9">
        <v>46023</v>
      </c>
      <c r="C112" s="4">
        <v>817395</v>
      </c>
      <c r="D112" s="11" t="s">
        <v>12</v>
      </c>
      <c r="E112" s="10">
        <f t="shared" si="23"/>
        <v>-37803.767843571928</v>
      </c>
      <c r="F112" s="4" t="s">
        <v>44</v>
      </c>
      <c r="G112" s="9">
        <v>46023</v>
      </c>
      <c r="H112" s="4">
        <v>79791</v>
      </c>
      <c r="J112" s="13" t="s">
        <v>30</v>
      </c>
      <c r="K112" s="13" t="s">
        <v>24</v>
      </c>
      <c r="L112" s="14">
        <f t="shared" si="24"/>
        <v>37803.767843571928</v>
      </c>
      <c r="M112" s="15" t="s">
        <v>29</v>
      </c>
      <c r="N112" s="24" t="s">
        <v>60</v>
      </c>
      <c r="O112" s="24" t="s">
        <v>38</v>
      </c>
      <c r="P112" s="16">
        <v>1</v>
      </c>
      <c r="Q112" s="12">
        <v>7228.1156848954943</v>
      </c>
    </row>
    <row r="113" spans="1:17" x14ac:dyDescent="0.25">
      <c r="A113" s="4" t="str">
        <f t="shared" si="22"/>
        <v>CUSTO OFFSHORE USD 196,996999967771 - ITAÚ - MSCO - JANEIRO 26</v>
      </c>
      <c r="B113" s="9">
        <v>46023</v>
      </c>
      <c r="C113" s="4">
        <v>817395</v>
      </c>
      <c r="D113" s="11" t="s">
        <v>12</v>
      </c>
      <c r="E113" s="10">
        <f t="shared" si="23"/>
        <v>-1030.3140095314368</v>
      </c>
      <c r="F113" s="4" t="s">
        <v>44</v>
      </c>
      <c r="G113" s="9">
        <v>46023</v>
      </c>
      <c r="H113" s="4">
        <v>79460</v>
      </c>
      <c r="J113" s="13" t="s">
        <v>30</v>
      </c>
      <c r="K113" s="13" t="s">
        <v>17</v>
      </c>
      <c r="L113" s="14">
        <f t="shared" si="24"/>
        <v>1030.3140095314368</v>
      </c>
      <c r="M113" s="15" t="s">
        <v>29</v>
      </c>
      <c r="N113" s="24" t="s">
        <v>60</v>
      </c>
      <c r="O113" s="24" t="s">
        <v>38</v>
      </c>
      <c r="P113" s="16">
        <v>1</v>
      </c>
      <c r="Q113" s="12">
        <v>196.99699996777053</v>
      </c>
    </row>
    <row r="114" spans="1:17" x14ac:dyDescent="0.25">
      <c r="A114" s="4" t="str">
        <f t="shared" si="22"/>
        <v>CUSTO OFFSHORE USD 2415,03985514982 - ITAÚ - NASSAU - JANEIRO 26</v>
      </c>
      <c r="B114" s="9">
        <v>46023</v>
      </c>
      <c r="C114" s="4">
        <v>817395</v>
      </c>
      <c r="D114" s="11" t="s">
        <v>12</v>
      </c>
      <c r="E114" s="10">
        <f t="shared" si="23"/>
        <v>-12630.899946419053</v>
      </c>
      <c r="F114" s="4" t="s">
        <v>44</v>
      </c>
      <c r="G114" s="9">
        <v>46023</v>
      </c>
      <c r="H114" s="4">
        <v>79460</v>
      </c>
      <c r="J114" s="13" t="s">
        <v>30</v>
      </c>
      <c r="K114" s="13" t="s">
        <v>18</v>
      </c>
      <c r="L114" s="14">
        <f t="shared" si="24"/>
        <v>12630.899946419053</v>
      </c>
      <c r="M114" s="15" t="s">
        <v>29</v>
      </c>
      <c r="N114" s="24" t="s">
        <v>60</v>
      </c>
      <c r="O114" s="24" t="s">
        <v>38</v>
      </c>
      <c r="P114" s="16">
        <v>1</v>
      </c>
      <c r="Q114" s="12">
        <v>2415.039855149816</v>
      </c>
    </row>
    <row r="115" spans="1:17" x14ac:dyDescent="0.25">
      <c r="A115" s="4" t="str">
        <f t="shared" si="22"/>
        <v>CUSTO OFFSHORE USD 2102,41274487169 - XPADVISORY_MO - JANEIRO 26</v>
      </c>
      <c r="B115" s="9">
        <v>46023</v>
      </c>
      <c r="C115" s="4">
        <v>817395</v>
      </c>
      <c r="D115" s="11" t="s">
        <v>50</v>
      </c>
      <c r="E115" s="28">
        <f t="shared" si="23"/>
        <v>-10995.828896953441</v>
      </c>
      <c r="F115" s="4" t="s">
        <v>44</v>
      </c>
      <c r="G115" s="9">
        <v>46023</v>
      </c>
      <c r="H115" s="4">
        <v>80769</v>
      </c>
      <c r="J115" s="13" t="s">
        <v>30</v>
      </c>
      <c r="K115" s="13" t="s">
        <v>49</v>
      </c>
      <c r="L115" s="14">
        <f t="shared" si="24"/>
        <v>10995.828896953441</v>
      </c>
      <c r="M115" s="15" t="s">
        <v>29</v>
      </c>
      <c r="N115" s="24" t="s">
        <v>60</v>
      </c>
      <c r="O115" s="24" t="s">
        <v>38</v>
      </c>
      <c r="P115" s="27">
        <v>1</v>
      </c>
      <c r="Q115" s="30">
        <v>2102.4127448716927</v>
      </c>
    </row>
    <row r="116" spans="1:17" x14ac:dyDescent="0.25">
      <c r="A116" s="4" t="str">
        <f>CONCATENATE(J116,Q116,M116,K116,M116,N116)</f>
        <v>CUSTO OFFSHORE USD 199,44852749595 - VINLAND  - JANEIRO 26</v>
      </c>
      <c r="B116" s="9">
        <v>46023</v>
      </c>
      <c r="C116" s="4">
        <v>817395</v>
      </c>
      <c r="D116" s="11" t="s">
        <v>47</v>
      </c>
      <c r="E116" s="28">
        <f t="shared" si="23"/>
        <v>-1043.1357436565697</v>
      </c>
      <c r="F116" s="4" t="s">
        <v>44</v>
      </c>
      <c r="G116" s="9">
        <v>46023</v>
      </c>
      <c r="H116" s="4">
        <v>80359</v>
      </c>
      <c r="J116" s="13" t="s">
        <v>30</v>
      </c>
      <c r="K116" s="13" t="s">
        <v>20</v>
      </c>
      <c r="L116" s="14">
        <f>IF(O116="USD",Q116*$S$1)</f>
        <v>1043.1357436565697</v>
      </c>
      <c r="M116" s="15" t="s">
        <v>29</v>
      </c>
      <c r="N116" s="24" t="s">
        <v>60</v>
      </c>
      <c r="O116" s="24" t="s">
        <v>38</v>
      </c>
      <c r="P116" s="27">
        <v>1</v>
      </c>
      <c r="Q116" s="30">
        <v>199.44852749595032</v>
      </c>
    </row>
    <row r="117" spans="1:17" x14ac:dyDescent="0.25">
      <c r="A117" s="4" t="str">
        <f>CONCATENATE(J117,Q117,M117,K117,M117,N117)</f>
        <v>CUSTO OFFSHORE USD 649,024521827869 - SCHONFELD_MO - JANEIRO 26</v>
      </c>
      <c r="B117" s="9">
        <v>46023</v>
      </c>
      <c r="C117" s="4">
        <v>817395</v>
      </c>
      <c r="D117" s="11" t="s">
        <v>47</v>
      </c>
      <c r="E117" s="30">
        <f t="shared" si="23"/>
        <v>-3394.4631516119352</v>
      </c>
      <c r="F117" s="4" t="s">
        <v>44</v>
      </c>
      <c r="G117" s="9">
        <v>46023</v>
      </c>
      <c r="H117" s="4">
        <v>83061</v>
      </c>
      <c r="J117" s="13" t="s">
        <v>30</v>
      </c>
      <c r="K117" s="13" t="s">
        <v>59</v>
      </c>
      <c r="L117" s="14">
        <f>IF(O117="USD",Q117*$S$1)</f>
        <v>3394.4631516119352</v>
      </c>
      <c r="M117" s="15" t="s">
        <v>29</v>
      </c>
      <c r="N117" s="24" t="s">
        <v>60</v>
      </c>
      <c r="O117" s="24" t="s">
        <v>38</v>
      </c>
      <c r="P117" s="27">
        <v>1</v>
      </c>
      <c r="Q117" s="30">
        <v>649.02452182786851</v>
      </c>
    </row>
    <row r="118" spans="1:17" x14ac:dyDescent="0.25">
      <c r="A118" s="4" t="str">
        <f t="shared" si="22"/>
        <v>CUSTO OFFSHORE USD  - BNP_MO - JANEIRO 26</v>
      </c>
      <c r="B118" s="9">
        <v>46023</v>
      </c>
      <c r="C118" s="4">
        <v>817395</v>
      </c>
      <c r="D118" s="11" t="s">
        <v>12</v>
      </c>
      <c r="E118" s="30">
        <f t="shared" si="23"/>
        <v>0</v>
      </c>
      <c r="F118" s="4" t="s">
        <v>44</v>
      </c>
      <c r="G118" s="9">
        <v>46023</v>
      </c>
      <c r="H118" s="4">
        <v>95005</v>
      </c>
      <c r="J118" s="13" t="s">
        <v>30</v>
      </c>
      <c r="K118" s="13" t="s">
        <v>57</v>
      </c>
      <c r="L118" s="14">
        <f t="shared" si="24"/>
        <v>0</v>
      </c>
      <c r="M118" s="15" t="s">
        <v>29</v>
      </c>
      <c r="N118" s="24" t="s">
        <v>60</v>
      </c>
      <c r="O118" s="24" t="s">
        <v>38</v>
      </c>
      <c r="P118" s="16">
        <v>1</v>
      </c>
      <c r="Q118" s="12"/>
    </row>
    <row r="119" spans="1:17" x14ac:dyDescent="0.25">
      <c r="A119" s="4" t="str">
        <f t="shared" si="22"/>
        <v>CUSTO OFFSHORE USD 6,97976898978779 - SPRINGS_MO - JANEIRO 26</v>
      </c>
      <c r="B119" s="9">
        <v>46023</v>
      </c>
      <c r="C119" s="4">
        <v>817395</v>
      </c>
      <c r="D119" s="11" t="s">
        <v>12</v>
      </c>
      <c r="E119" s="30">
        <f t="shared" si="23"/>
        <v>-24.334159536339843</v>
      </c>
      <c r="F119" s="4" t="s">
        <v>44</v>
      </c>
      <c r="G119" s="9">
        <v>46023</v>
      </c>
      <c r="H119" s="4">
        <v>82748</v>
      </c>
      <c r="J119" s="13" t="s">
        <v>30</v>
      </c>
      <c r="K119" s="13" t="s">
        <v>56</v>
      </c>
      <c r="L119" s="14">
        <f t="shared" si="24"/>
        <v>36.504889793489113</v>
      </c>
      <c r="M119" s="15" t="s">
        <v>29</v>
      </c>
      <c r="N119" s="24" t="s">
        <v>60</v>
      </c>
      <c r="O119" s="24" t="s">
        <v>38</v>
      </c>
      <c r="P119" s="16">
        <v>0.66659999999999997</v>
      </c>
      <c r="Q119" s="35">
        <v>6.9797689897877877</v>
      </c>
    </row>
    <row r="120" spans="1:17" x14ac:dyDescent="0.25">
      <c r="A120" s="4" t="str">
        <f t="shared" si="22"/>
        <v>CUSTO OFFSHORE USD 6,97976898978779 - SPRINGS_MO - JANEIRO 26</v>
      </c>
      <c r="B120" s="9">
        <v>46023</v>
      </c>
      <c r="C120" s="4">
        <v>817395</v>
      </c>
      <c r="D120" s="11" t="s">
        <v>45</v>
      </c>
      <c r="E120" s="30">
        <f t="shared" si="23"/>
        <v>-12.167079768169922</v>
      </c>
      <c r="F120" s="4" t="s">
        <v>44</v>
      </c>
      <c r="G120" s="9">
        <v>46023</v>
      </c>
      <c r="H120" s="4">
        <v>82748</v>
      </c>
      <c r="J120" s="13" t="s">
        <v>30</v>
      </c>
      <c r="K120" s="13" t="s">
        <v>56</v>
      </c>
      <c r="L120" s="14">
        <f t="shared" si="24"/>
        <v>36.504889793489113</v>
      </c>
      <c r="M120" s="15" t="s">
        <v>29</v>
      </c>
      <c r="N120" s="24" t="s">
        <v>60</v>
      </c>
      <c r="O120" s="24" t="s">
        <v>38</v>
      </c>
      <c r="P120" s="16">
        <v>0.33329999999999999</v>
      </c>
      <c r="Q120" s="37">
        <v>6.9797689897877877</v>
      </c>
    </row>
    <row r="121" spans="1:17" x14ac:dyDescent="0.25">
      <c r="A121" s="4" t="str">
        <f t="shared" si="22"/>
        <v>CUSTO OFFSHORE USD 338,903846593978 - KAPITALO - JANEIRO 26</v>
      </c>
      <c r="B121" s="9">
        <v>46023</v>
      </c>
      <c r="C121" s="4">
        <v>817395</v>
      </c>
      <c r="D121" s="11" t="s">
        <v>12</v>
      </c>
      <c r="E121" s="28">
        <f t="shared" si="23"/>
        <v>-1329.375756053372</v>
      </c>
      <c r="F121" s="4" t="s">
        <v>44</v>
      </c>
      <c r="G121" s="9">
        <v>46023</v>
      </c>
      <c r="H121" s="4">
        <v>12413</v>
      </c>
      <c r="J121" s="13" t="s">
        <v>30</v>
      </c>
      <c r="K121" s="13" t="s">
        <v>26</v>
      </c>
      <c r="L121" s="14">
        <f t="shared" si="24"/>
        <v>1772.5010080711627</v>
      </c>
      <c r="M121" s="15" t="s">
        <v>29</v>
      </c>
      <c r="N121" s="24" t="s">
        <v>60</v>
      </c>
      <c r="O121" s="24" t="s">
        <v>38</v>
      </c>
      <c r="P121" s="27">
        <v>0.75</v>
      </c>
      <c r="Q121" s="35">
        <v>338.90384659397768</v>
      </c>
    </row>
    <row r="122" spans="1:17" x14ac:dyDescent="0.25">
      <c r="A122" s="4" t="str">
        <f t="shared" si="22"/>
        <v>CUSTO OFFSHORE USD 338,903846593978 - KAPITALO - JANEIRO 26</v>
      </c>
      <c r="B122" s="9">
        <v>46023</v>
      </c>
      <c r="C122" s="4">
        <v>817395</v>
      </c>
      <c r="D122" s="11" t="s">
        <v>45</v>
      </c>
      <c r="E122" s="28">
        <f t="shared" si="23"/>
        <v>-443.12525201779067</v>
      </c>
      <c r="F122" s="4" t="s">
        <v>44</v>
      </c>
      <c r="G122" s="9">
        <v>46023</v>
      </c>
      <c r="H122" s="4">
        <v>12413</v>
      </c>
      <c r="J122" s="13" t="s">
        <v>30</v>
      </c>
      <c r="K122" s="13" t="s">
        <v>26</v>
      </c>
      <c r="L122" s="14">
        <f t="shared" si="24"/>
        <v>1772.5010080711627</v>
      </c>
      <c r="M122" s="15" t="s">
        <v>29</v>
      </c>
      <c r="N122" s="24" t="s">
        <v>60</v>
      </c>
      <c r="O122" s="24" t="s">
        <v>38</v>
      </c>
      <c r="P122" s="27">
        <v>0.25</v>
      </c>
      <c r="Q122" s="36">
        <v>338.90384659397768</v>
      </c>
    </row>
    <row r="123" spans="1:17" x14ac:dyDescent="0.25">
      <c r="A123" s="4" t="str">
        <f t="shared" si="22"/>
        <v>CUSTO OFFSHORE USD 85,0917597083009 - CITIGBL_MO - JANEIRO 26</v>
      </c>
      <c r="B123" s="9">
        <v>46023</v>
      </c>
      <c r="C123" s="4">
        <v>817395</v>
      </c>
      <c r="D123" s="11" t="s">
        <v>12</v>
      </c>
      <c r="E123" s="28">
        <f t="shared" si="23"/>
        <v>-222.51920622519219</v>
      </c>
      <c r="F123" s="4" t="s">
        <v>44</v>
      </c>
      <c r="G123" s="9">
        <v>46023</v>
      </c>
      <c r="H123" s="4">
        <v>79791</v>
      </c>
      <c r="J123" s="13" t="s">
        <v>30</v>
      </c>
      <c r="K123" s="13" t="s">
        <v>48</v>
      </c>
      <c r="L123" s="14">
        <f t="shared" si="24"/>
        <v>445.03841245038439</v>
      </c>
      <c r="M123" s="15" t="s">
        <v>29</v>
      </c>
      <c r="N123" s="24" t="s">
        <v>60</v>
      </c>
      <c r="O123" s="24" t="s">
        <v>38</v>
      </c>
      <c r="P123" s="27">
        <v>0.5</v>
      </c>
      <c r="Q123" s="35">
        <v>85.09175970830087</v>
      </c>
    </row>
    <row r="124" spans="1:17" x14ac:dyDescent="0.25">
      <c r="A124" s="4" t="str">
        <f t="shared" si="22"/>
        <v>CUSTO OFFSHORE USD 85,0917597083009 - CITIGBL_MO - JANEIRO 26</v>
      </c>
      <c r="B124" s="9">
        <v>46023</v>
      </c>
      <c r="C124" s="4">
        <v>817395</v>
      </c>
      <c r="D124" s="11" t="s">
        <v>45</v>
      </c>
      <c r="E124" s="28">
        <f t="shared" si="23"/>
        <v>-222.51920622519219</v>
      </c>
      <c r="F124" s="4" t="s">
        <v>44</v>
      </c>
      <c r="G124" s="9">
        <v>46023</v>
      </c>
      <c r="H124" s="4">
        <v>79791</v>
      </c>
      <c r="J124" s="13" t="s">
        <v>30</v>
      </c>
      <c r="K124" s="13" t="s">
        <v>48</v>
      </c>
      <c r="L124" s="14">
        <f t="shared" si="24"/>
        <v>445.03841245038439</v>
      </c>
      <c r="M124" s="15" t="s">
        <v>29</v>
      </c>
      <c r="N124" s="24" t="s">
        <v>60</v>
      </c>
      <c r="O124" s="24" t="s">
        <v>38</v>
      </c>
      <c r="P124" s="27">
        <v>0.5</v>
      </c>
      <c r="Q124" s="37">
        <v>85.09175970830087</v>
      </c>
    </row>
    <row r="125" spans="1:17" x14ac:dyDescent="0.25">
      <c r="A125" s="4" t="str">
        <f t="shared" si="22"/>
        <v>CUSTO OFFSHORE USD 3,09227032144232 - BRADESCO_BZL - JANEIRO 26</v>
      </c>
      <c r="B125" s="9">
        <v>46023</v>
      </c>
      <c r="C125" s="4">
        <v>817395</v>
      </c>
      <c r="D125" s="11" t="s">
        <v>12</v>
      </c>
      <c r="E125" s="28">
        <f t="shared" si="23"/>
        <v>-12.129662256131596</v>
      </c>
      <c r="F125" s="4" t="s">
        <v>44</v>
      </c>
      <c r="G125" s="9">
        <v>46023</v>
      </c>
      <c r="H125" s="4">
        <v>16705</v>
      </c>
      <c r="J125" s="13" t="s">
        <v>30</v>
      </c>
      <c r="K125" s="13" t="s">
        <v>27</v>
      </c>
      <c r="L125" s="14">
        <f t="shared" si="24"/>
        <v>16.172883008175461</v>
      </c>
      <c r="M125" s="15" t="s">
        <v>29</v>
      </c>
      <c r="N125" s="24" t="s">
        <v>60</v>
      </c>
      <c r="O125" s="24" t="s">
        <v>38</v>
      </c>
      <c r="P125" s="27">
        <v>0.75</v>
      </c>
      <c r="Q125" s="35">
        <v>3.0922703214423164</v>
      </c>
    </row>
    <row r="126" spans="1:17" x14ac:dyDescent="0.25">
      <c r="A126" s="4" t="str">
        <f t="shared" si="22"/>
        <v>CUSTO OFFSHORE USD 3,09227032144232 - BRADESCO_BZL - JANEIRO 26</v>
      </c>
      <c r="B126" s="9">
        <v>46023</v>
      </c>
      <c r="C126" s="4">
        <v>817395</v>
      </c>
      <c r="D126" s="11" t="s">
        <v>45</v>
      </c>
      <c r="E126" s="28">
        <f t="shared" si="23"/>
        <v>-4.0432207520438652</v>
      </c>
      <c r="F126" s="4" t="s">
        <v>44</v>
      </c>
      <c r="G126" s="9">
        <v>46023</v>
      </c>
      <c r="H126" s="4">
        <v>16705</v>
      </c>
      <c r="J126" s="13" t="s">
        <v>30</v>
      </c>
      <c r="K126" s="13" t="s">
        <v>27</v>
      </c>
      <c r="L126" s="14">
        <f t="shared" si="24"/>
        <v>16.172883008175461</v>
      </c>
      <c r="M126" s="15" t="s">
        <v>29</v>
      </c>
      <c r="N126" s="24" t="s">
        <v>60</v>
      </c>
      <c r="O126" s="24" t="s">
        <v>38</v>
      </c>
      <c r="P126" s="27">
        <v>0.25</v>
      </c>
      <c r="Q126" s="37">
        <v>3.0922703214423164</v>
      </c>
    </row>
    <row r="127" spans="1:17" x14ac:dyDescent="0.25">
      <c r="A127" s="4" t="str">
        <f t="shared" ref="A127:A128" si="25">CONCATENATE(J127,Q127,M127,K127,M127,N127)</f>
        <v>CUSTO OFFSHORE USD 681,02141148982 - BRADESCO_MO - JANEIRO 26</v>
      </c>
      <c r="B127" s="9">
        <v>46023</v>
      </c>
      <c r="C127" s="4">
        <v>817395</v>
      </c>
      <c r="D127" s="11" t="s">
        <v>12</v>
      </c>
      <c r="E127" s="28">
        <f t="shared" ref="E127:E128" si="26">-L127*P127</f>
        <v>-2671.3575631746808</v>
      </c>
      <c r="F127" s="4" t="s">
        <v>44</v>
      </c>
      <c r="G127" s="9">
        <v>46023</v>
      </c>
      <c r="H127" s="4">
        <v>16705</v>
      </c>
      <c r="J127" s="13" t="s">
        <v>30</v>
      </c>
      <c r="K127" s="13" t="s">
        <v>69</v>
      </c>
      <c r="L127" s="14">
        <f t="shared" ref="L127:L128" si="27">IF(O127="USD",Q127*$S$1)</f>
        <v>3561.8100842329077</v>
      </c>
      <c r="M127" s="15" t="s">
        <v>29</v>
      </c>
      <c r="N127" s="24" t="s">
        <v>60</v>
      </c>
      <c r="O127" s="24" t="s">
        <v>38</v>
      </c>
      <c r="P127" s="27">
        <v>0.75</v>
      </c>
      <c r="Q127" s="35">
        <v>681.02141148982003</v>
      </c>
    </row>
    <row r="128" spans="1:17" x14ac:dyDescent="0.25">
      <c r="A128" s="4" t="str">
        <f t="shared" si="25"/>
        <v>CUSTO OFFSHORE USD 681,02141148982 - BRADESCO_MO - JANEIRO 26</v>
      </c>
      <c r="B128" s="9">
        <v>46023</v>
      </c>
      <c r="C128" s="4">
        <v>817395</v>
      </c>
      <c r="D128" s="11" t="s">
        <v>45</v>
      </c>
      <c r="E128" s="28">
        <f t="shared" si="26"/>
        <v>-890.45252105822692</v>
      </c>
      <c r="F128" s="4" t="s">
        <v>44</v>
      </c>
      <c r="G128" s="9">
        <v>46023</v>
      </c>
      <c r="H128" s="4">
        <v>16705</v>
      </c>
      <c r="J128" s="13" t="s">
        <v>30</v>
      </c>
      <c r="K128" s="13" t="s">
        <v>69</v>
      </c>
      <c r="L128" s="14">
        <f t="shared" si="27"/>
        <v>3561.8100842329077</v>
      </c>
      <c r="M128" s="15" t="s">
        <v>29</v>
      </c>
      <c r="N128" s="24" t="s">
        <v>60</v>
      </c>
      <c r="O128" s="24" t="s">
        <v>38</v>
      </c>
      <c r="P128" s="27">
        <v>0.25</v>
      </c>
      <c r="Q128" s="37">
        <v>681.02141148982003</v>
      </c>
    </row>
    <row r="129" spans="1:17" x14ac:dyDescent="0.25">
      <c r="A129" s="4" t="str">
        <f t="shared" si="22"/>
        <v>CUSTO OFFSHORE USD 3816,82943795974 - JPMPLC_MO - JANEIRO 26</v>
      </c>
      <c r="B129" s="9">
        <v>46023</v>
      </c>
      <c r="C129" s="4">
        <v>817395</v>
      </c>
      <c r="D129" s="11" t="s">
        <v>12</v>
      </c>
      <c r="E129" s="30">
        <f t="shared" si="23"/>
        <v>-13308.931842303591</v>
      </c>
      <c r="F129" s="4" t="s">
        <v>44</v>
      </c>
      <c r="G129" s="9">
        <v>46023</v>
      </c>
      <c r="H129" s="4">
        <v>81541</v>
      </c>
      <c r="J129" s="13" t="s">
        <v>30</v>
      </c>
      <c r="K129" s="13" t="s">
        <v>55</v>
      </c>
      <c r="L129" s="14">
        <f t="shared" si="24"/>
        <v>19962.399643473214</v>
      </c>
      <c r="M129" s="15" t="s">
        <v>29</v>
      </c>
      <c r="N129" s="24" t="s">
        <v>60</v>
      </c>
      <c r="O129" s="24" t="s">
        <v>38</v>
      </c>
      <c r="P129" s="27">
        <v>0.66669999999999996</v>
      </c>
      <c r="Q129" s="36">
        <v>3816.8294379597355</v>
      </c>
    </row>
    <row r="130" spans="1:17" x14ac:dyDescent="0.25">
      <c r="A130" s="4" t="str">
        <f t="shared" si="22"/>
        <v>CUSTO OFFSHORE USD 3816,82943795974 - JPMPLC_MO - JANEIRO 26</v>
      </c>
      <c r="B130" s="9">
        <v>46023</v>
      </c>
      <c r="C130" s="4">
        <v>817395</v>
      </c>
      <c r="D130" s="11" t="s">
        <v>45</v>
      </c>
      <c r="E130" s="30">
        <f t="shared" si="23"/>
        <v>-6653.4678011696224</v>
      </c>
      <c r="F130" s="4" t="s">
        <v>44</v>
      </c>
      <c r="G130" s="9">
        <v>46023</v>
      </c>
      <c r="H130" s="4">
        <v>81541</v>
      </c>
      <c r="J130" s="13" t="s">
        <v>30</v>
      </c>
      <c r="K130" s="13" t="s">
        <v>55</v>
      </c>
      <c r="L130" s="34">
        <f t="shared" si="24"/>
        <v>19962.399643473214</v>
      </c>
      <c r="M130" s="15" t="s">
        <v>29</v>
      </c>
      <c r="N130" s="24" t="s">
        <v>60</v>
      </c>
      <c r="O130" s="24" t="s">
        <v>38</v>
      </c>
      <c r="P130" s="27">
        <v>0.33329999999999999</v>
      </c>
      <c r="Q130" s="37">
        <v>3816.8294379597355</v>
      </c>
    </row>
    <row r="131" spans="1:17" x14ac:dyDescent="0.25">
      <c r="A131" s="4" t="str">
        <f t="shared" si="22"/>
        <v>CUSTO OFFSHORE USD 589,617148707155 - SPX_MO - JANEIRO 26</v>
      </c>
      <c r="B131" s="9">
        <v>46023</v>
      </c>
      <c r="C131" s="4">
        <v>817395</v>
      </c>
      <c r="D131" s="11" t="s">
        <v>12</v>
      </c>
      <c r="E131" s="28">
        <f t="shared" si="23"/>
        <v>-1850.253989671975</v>
      </c>
      <c r="F131" s="4" t="s">
        <v>44</v>
      </c>
      <c r="G131" s="9">
        <v>46023</v>
      </c>
      <c r="H131" s="4">
        <v>79931</v>
      </c>
      <c r="J131" s="13" t="s">
        <v>30</v>
      </c>
      <c r="K131" s="13" t="s">
        <v>31</v>
      </c>
      <c r="L131" s="34">
        <f t="shared" si="24"/>
        <v>3083.7566494532916</v>
      </c>
      <c r="M131" s="15" t="s">
        <v>29</v>
      </c>
      <c r="N131" s="24" t="s">
        <v>60</v>
      </c>
      <c r="O131" s="24" t="s">
        <v>38</v>
      </c>
      <c r="P131" s="27">
        <v>0.6</v>
      </c>
      <c r="Q131" s="35">
        <v>589.61714870715502</v>
      </c>
    </row>
    <row r="132" spans="1:17" x14ac:dyDescent="0.25">
      <c r="A132" s="17" t="str">
        <f t="shared" si="22"/>
        <v>CUSTO OFFSHORE USD 589,617148707155 - SPX_MO - JANEIRO 26</v>
      </c>
      <c r="B132" s="18">
        <v>46023</v>
      </c>
      <c r="C132" s="17">
        <v>817395</v>
      </c>
      <c r="D132" s="23" t="s">
        <v>45</v>
      </c>
      <c r="E132" s="19">
        <f t="shared" si="23"/>
        <v>-1233.5026597813167</v>
      </c>
      <c r="F132" s="17" t="s">
        <v>44</v>
      </c>
      <c r="G132" s="18">
        <v>46023</v>
      </c>
      <c r="H132" s="17">
        <v>79931</v>
      </c>
      <c r="J132" s="20" t="s">
        <v>30</v>
      </c>
      <c r="K132" s="20" t="s">
        <v>31</v>
      </c>
      <c r="L132" s="33">
        <f t="shared" si="24"/>
        <v>3083.7566494532916</v>
      </c>
      <c r="M132" s="21" t="s">
        <v>29</v>
      </c>
      <c r="N132" s="25" t="s">
        <v>60</v>
      </c>
      <c r="O132" s="25" t="s">
        <v>38</v>
      </c>
      <c r="P132" s="22">
        <v>0.4</v>
      </c>
      <c r="Q132" s="37">
        <v>589.61714870715502</v>
      </c>
    </row>
    <row r="133" spans="1:17" x14ac:dyDescent="0.25">
      <c r="A133" s="17" t="str">
        <f t="shared" ref="A133" si="28">CONCATENATE(J133,Q133,M133,K133,M133,N133)</f>
        <v>CUSTO OFFSHORE USD 3981,5 - BGC - JANEIRO 26</v>
      </c>
      <c r="B133" s="18">
        <v>46023</v>
      </c>
      <c r="C133" s="17">
        <v>817395</v>
      </c>
      <c r="D133" s="23" t="s">
        <v>61</v>
      </c>
      <c r="E133" s="26">
        <f t="shared" ref="E133" si="29">-L133*P133</f>
        <v>-20823.64315</v>
      </c>
      <c r="F133" s="17" t="s">
        <v>83</v>
      </c>
      <c r="G133" s="18">
        <v>46023</v>
      </c>
      <c r="H133" s="17">
        <v>1170</v>
      </c>
      <c r="I133" s="31"/>
      <c r="J133" s="20" t="s">
        <v>30</v>
      </c>
      <c r="K133" s="20" t="s">
        <v>21</v>
      </c>
      <c r="L133" s="33">
        <f t="shared" ref="L133" si="30">IF(O133="USD",Q133*$S$1,Q133)</f>
        <v>20823.64315</v>
      </c>
      <c r="M133" s="21" t="s">
        <v>29</v>
      </c>
      <c r="N133" s="25" t="s">
        <v>60</v>
      </c>
      <c r="O133" s="25" t="s">
        <v>38</v>
      </c>
      <c r="P133" s="22">
        <v>1</v>
      </c>
      <c r="Q133" s="26">
        <v>3981.5</v>
      </c>
    </row>
    <row r="134" spans="1:17" x14ac:dyDescent="0.25">
      <c r="A134" s="17" t="str">
        <f t="shared" si="22"/>
        <v>CUSTO OFFSHORE USD  - BGC - JANEIRO 26</v>
      </c>
      <c r="B134" s="18">
        <v>46023</v>
      </c>
      <c r="C134" s="17">
        <v>817395</v>
      </c>
      <c r="D134" s="23" t="s">
        <v>61</v>
      </c>
      <c r="E134" s="26">
        <f t="shared" si="23"/>
        <v>0</v>
      </c>
      <c r="F134" s="17" t="s">
        <v>78</v>
      </c>
      <c r="G134" s="18">
        <v>46023</v>
      </c>
      <c r="H134" s="17">
        <v>1170</v>
      </c>
      <c r="I134" s="31"/>
      <c r="J134" s="20" t="s">
        <v>30</v>
      </c>
      <c r="K134" s="20" t="s">
        <v>21</v>
      </c>
      <c r="L134" s="33">
        <f t="shared" ref="L134:L137" si="31">IF(O134="USD",Q134*$S$1,Q134)</f>
        <v>0</v>
      </c>
      <c r="M134" s="21" t="s">
        <v>29</v>
      </c>
      <c r="N134" s="25" t="s">
        <v>60</v>
      </c>
      <c r="O134" s="25" t="s">
        <v>38</v>
      </c>
      <c r="P134" s="22">
        <v>1</v>
      </c>
      <c r="Q134" s="26"/>
    </row>
    <row r="135" spans="1:17" x14ac:dyDescent="0.25">
      <c r="A135" s="17" t="str">
        <f t="shared" si="22"/>
        <v>CUSTO OFFSHORE USD 1461,63 - BGC - JANEIRO 26</v>
      </c>
      <c r="B135" s="18">
        <v>46023</v>
      </c>
      <c r="C135" s="17">
        <v>817395</v>
      </c>
      <c r="D135" s="23" t="s">
        <v>61</v>
      </c>
      <c r="E135" s="26">
        <f t="shared" si="23"/>
        <v>-7644.4710630000009</v>
      </c>
      <c r="F135" s="17" t="s">
        <v>79</v>
      </c>
      <c r="G135" s="18">
        <v>46023</v>
      </c>
      <c r="H135" s="17">
        <v>1170</v>
      </c>
      <c r="I135" s="31"/>
      <c r="J135" s="20" t="s">
        <v>30</v>
      </c>
      <c r="K135" s="20" t="s">
        <v>21</v>
      </c>
      <c r="L135" s="33">
        <f t="shared" si="31"/>
        <v>7644.4710630000009</v>
      </c>
      <c r="M135" s="21" t="s">
        <v>29</v>
      </c>
      <c r="N135" s="25" t="s">
        <v>60</v>
      </c>
      <c r="O135" s="25" t="s">
        <v>38</v>
      </c>
      <c r="P135" s="22">
        <v>1</v>
      </c>
      <c r="Q135" s="26">
        <v>1461.63</v>
      </c>
    </row>
    <row r="136" spans="1:17" x14ac:dyDescent="0.25">
      <c r="A136" s="17" t="str">
        <f t="shared" si="22"/>
        <v>CUSTO OFFSHORE USD 247,5 - BGC - JANEIRO 26</v>
      </c>
      <c r="B136" s="18">
        <v>46023</v>
      </c>
      <c r="C136" s="17">
        <v>817395</v>
      </c>
      <c r="D136" s="23" t="s">
        <v>61</v>
      </c>
      <c r="E136" s="26">
        <f t="shared" si="23"/>
        <v>-1294.44975</v>
      </c>
      <c r="F136" s="17" t="s">
        <v>80</v>
      </c>
      <c r="G136" s="18">
        <v>46023</v>
      </c>
      <c r="H136" s="17">
        <v>1170</v>
      </c>
      <c r="I136" s="31"/>
      <c r="J136" s="20" t="s">
        <v>30</v>
      </c>
      <c r="K136" s="20" t="s">
        <v>21</v>
      </c>
      <c r="L136" s="33">
        <f t="shared" si="31"/>
        <v>1294.44975</v>
      </c>
      <c r="M136" s="21" t="s">
        <v>29</v>
      </c>
      <c r="N136" s="25" t="s">
        <v>60</v>
      </c>
      <c r="O136" s="25" t="s">
        <v>38</v>
      </c>
      <c r="P136" s="22">
        <v>1</v>
      </c>
      <c r="Q136" s="26">
        <v>247.5</v>
      </c>
    </row>
    <row r="137" spans="1:17" x14ac:dyDescent="0.25">
      <c r="A137" s="17" t="str">
        <f t="shared" si="22"/>
        <v>CUSTO OFFSHORE USD 1949,5 - BGC - JANEIRO 26</v>
      </c>
      <c r="B137" s="18">
        <v>46023</v>
      </c>
      <c r="C137" s="17">
        <v>817395</v>
      </c>
      <c r="D137" s="23" t="s">
        <v>61</v>
      </c>
      <c r="E137" s="26">
        <f t="shared" si="23"/>
        <v>-10196.079950000001</v>
      </c>
      <c r="F137" s="17" t="s">
        <v>81</v>
      </c>
      <c r="G137" s="18">
        <v>46023</v>
      </c>
      <c r="H137" s="17">
        <v>1170</v>
      </c>
      <c r="I137" s="31"/>
      <c r="J137" s="20" t="s">
        <v>30</v>
      </c>
      <c r="K137" s="20" t="s">
        <v>21</v>
      </c>
      <c r="L137" s="33">
        <f t="shared" si="31"/>
        <v>10196.079950000001</v>
      </c>
      <c r="M137" s="21" t="s">
        <v>29</v>
      </c>
      <c r="N137" s="25" t="s">
        <v>60</v>
      </c>
      <c r="O137" s="25" t="s">
        <v>38</v>
      </c>
      <c r="P137" s="22">
        <v>1</v>
      </c>
      <c r="Q137" s="26">
        <v>1949.5</v>
      </c>
    </row>
  </sheetData>
  <autoFilter ref="A1:Q137" xr:uid="{86920FE8-52B5-46CC-9B38-62C273FC0EBA}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B688A-091F-499F-80CC-49DB4ECE3585}">
  <sheetPr codeName="Sheet2"/>
  <dimension ref="A1:S130"/>
  <sheetViews>
    <sheetView showGridLines="0" topLeftCell="A100" zoomScaleNormal="100" workbookViewId="0">
      <selection activeCell="Q130" sqref="Q130"/>
    </sheetView>
  </sheetViews>
  <sheetFormatPr defaultRowHeight="15" x14ac:dyDescent="0.25"/>
  <cols>
    <col min="1" max="1" width="49" customWidth="1"/>
    <col min="2" max="2" width="10.5703125" customWidth="1"/>
    <col min="3" max="3" width="10.7109375" bestFit="1" customWidth="1"/>
    <col min="4" max="4" width="30" bestFit="1" customWidth="1"/>
    <col min="5" max="5" width="15.7109375" customWidth="1"/>
    <col min="6" max="6" width="17.28515625" bestFit="1" customWidth="1"/>
    <col min="7" max="7" width="11" customWidth="1"/>
    <col min="8" max="8" width="12.28515625" customWidth="1"/>
    <col min="9" max="9" width="2.7109375" customWidth="1"/>
    <col min="10" max="10" width="15.7109375" bestFit="1" customWidth="1"/>
    <col min="11" max="11" width="18.28515625" bestFit="1" customWidth="1"/>
    <col min="12" max="12" width="13.85546875" customWidth="1"/>
    <col min="14" max="14" width="10.85546875" bestFit="1" customWidth="1"/>
    <col min="15" max="15" width="10.85546875" customWidth="1"/>
    <col min="17" max="17" width="11.7109375" bestFit="1" customWidth="1"/>
    <col min="18" max="18" width="12.5703125" bestFit="1" customWidth="1"/>
    <col min="19" max="19" width="9.5703125" bestFit="1" customWidth="1"/>
  </cols>
  <sheetData>
    <row r="1" spans="1:19" x14ac:dyDescent="0.25">
      <c r="A1" s="29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2" t="s">
        <v>6</v>
      </c>
      <c r="H1" s="1" t="s">
        <v>7</v>
      </c>
      <c r="J1" s="5" t="s">
        <v>8</v>
      </c>
      <c r="K1" s="5" t="s">
        <v>13</v>
      </c>
      <c r="L1" s="6" t="s">
        <v>4</v>
      </c>
      <c r="M1" s="7" t="s">
        <v>9</v>
      </c>
      <c r="N1" s="5" t="s">
        <v>10</v>
      </c>
      <c r="O1" s="5" t="s">
        <v>37</v>
      </c>
      <c r="P1" s="8" t="s">
        <v>11</v>
      </c>
      <c r="Q1" s="6" t="s">
        <v>4</v>
      </c>
      <c r="R1" s="38" t="s">
        <v>39</v>
      </c>
      <c r="S1" s="39">
        <v>5.1494999999999997</v>
      </c>
    </row>
    <row r="2" spans="1:19" x14ac:dyDescent="0.25">
      <c r="A2" s="4" t="str">
        <f t="shared" ref="A2:A95" si="0">CONCATENATE(J2,Q2,M2,K2,M2,N2)</f>
        <v>CUSTO OFFSHORE USD 16,2632959059402 - ASSET1 - FEVEREIRO 26</v>
      </c>
      <c r="B2" s="9">
        <v>46054</v>
      </c>
      <c r="C2" s="4">
        <v>817395</v>
      </c>
      <c r="D2" s="11" t="s">
        <v>12</v>
      </c>
      <c r="E2" s="30">
        <f>-L2*P2</f>
        <v>-27.921530612030924</v>
      </c>
      <c r="F2" s="4" t="s">
        <v>68</v>
      </c>
      <c r="G2" s="9">
        <f t="shared" ref="G2:G54" si="1">B2</f>
        <v>46054</v>
      </c>
      <c r="H2" s="4">
        <v>80834</v>
      </c>
      <c r="J2" s="13" t="s">
        <v>30</v>
      </c>
      <c r="K2" s="13" t="s">
        <v>14</v>
      </c>
      <c r="L2" s="14">
        <f>IF(O2="USD",Q2*$S$1)</f>
        <v>83.747842267639257</v>
      </c>
      <c r="M2" s="15" t="s">
        <v>29</v>
      </c>
      <c r="N2" s="24" t="s">
        <v>82</v>
      </c>
      <c r="O2" s="24" t="s">
        <v>38</v>
      </c>
      <c r="P2" s="16">
        <v>0.33339999999999997</v>
      </c>
      <c r="Q2" s="35">
        <v>16.26329590594024</v>
      </c>
    </row>
    <row r="3" spans="1:19" x14ac:dyDescent="0.25">
      <c r="A3" s="4" t="str">
        <f t="shared" si="0"/>
        <v>CUSTO OFFSHORE USD 16,2632959059402 - ASSET1 - FEVEREIRO 26</v>
      </c>
      <c r="B3" s="9">
        <v>46054</v>
      </c>
      <c r="C3" s="4">
        <v>817395</v>
      </c>
      <c r="D3" s="11" t="s">
        <v>45</v>
      </c>
      <c r="E3" s="30">
        <f t="shared" ref="E3:E33" si="2">-L3*P3</f>
        <v>-27.913155827804164</v>
      </c>
      <c r="F3" s="4" t="s">
        <v>68</v>
      </c>
      <c r="G3" s="9">
        <f t="shared" si="1"/>
        <v>46054</v>
      </c>
      <c r="H3" s="4">
        <v>80834</v>
      </c>
      <c r="J3" s="13" t="s">
        <v>30</v>
      </c>
      <c r="K3" s="13" t="s">
        <v>14</v>
      </c>
      <c r="L3" s="14">
        <f t="shared" ref="L3:L23" si="3">IF(O3="USD",Q3*$S$1)</f>
        <v>83.747842267639257</v>
      </c>
      <c r="M3" s="15" t="s">
        <v>29</v>
      </c>
      <c r="N3" s="24" t="s">
        <v>82</v>
      </c>
      <c r="O3" s="24" t="s">
        <v>38</v>
      </c>
      <c r="P3" s="16">
        <v>0.33329999999999999</v>
      </c>
      <c r="Q3" s="36">
        <v>16.26329590594024</v>
      </c>
    </row>
    <row r="4" spans="1:19" x14ac:dyDescent="0.25">
      <c r="A4" s="4" t="str">
        <f t="shared" si="0"/>
        <v>CUSTO OFFSHORE USD 16,2632959059402 - ASSET1 - FEVEREIRO 26</v>
      </c>
      <c r="B4" s="9">
        <v>46054</v>
      </c>
      <c r="C4" s="4">
        <v>817395</v>
      </c>
      <c r="D4" s="11" t="s">
        <v>46</v>
      </c>
      <c r="E4" s="30">
        <f t="shared" si="2"/>
        <v>-27.913155827804164</v>
      </c>
      <c r="F4" s="4" t="s">
        <v>68</v>
      </c>
      <c r="G4" s="9">
        <f t="shared" si="1"/>
        <v>46054</v>
      </c>
      <c r="H4" s="4">
        <v>80834</v>
      </c>
      <c r="J4" s="13" t="s">
        <v>30</v>
      </c>
      <c r="K4" s="13" t="s">
        <v>14</v>
      </c>
      <c r="L4" s="14">
        <f t="shared" si="3"/>
        <v>83.747842267639257</v>
      </c>
      <c r="M4" s="15" t="s">
        <v>29</v>
      </c>
      <c r="N4" s="24" t="s">
        <v>82</v>
      </c>
      <c r="O4" s="24" t="s">
        <v>38</v>
      </c>
      <c r="P4" s="16">
        <v>0.33329999999999999</v>
      </c>
      <c r="Q4" s="37">
        <v>16.26329590594024</v>
      </c>
    </row>
    <row r="5" spans="1:19" x14ac:dyDescent="0.25">
      <c r="A5" s="4" t="str">
        <f t="shared" si="0"/>
        <v>CUSTO OFFSHORE USD 49,7753055581066 - RPS - FEVEREIRO 26</v>
      </c>
      <c r="B5" s="9">
        <v>46054</v>
      </c>
      <c r="C5" s="4">
        <v>817395</v>
      </c>
      <c r="D5" s="11" t="s">
        <v>45</v>
      </c>
      <c r="E5" s="30">
        <f t="shared" si="2"/>
        <v>-128.15896798573502</v>
      </c>
      <c r="F5" s="4" t="s">
        <v>68</v>
      </c>
      <c r="G5" s="9">
        <f t="shared" si="1"/>
        <v>46054</v>
      </c>
      <c r="H5" s="4">
        <v>12339</v>
      </c>
      <c r="J5" s="13" t="s">
        <v>30</v>
      </c>
      <c r="K5" s="13" t="s">
        <v>16</v>
      </c>
      <c r="L5" s="14">
        <f t="shared" si="3"/>
        <v>256.31793597147004</v>
      </c>
      <c r="M5" s="15" t="s">
        <v>29</v>
      </c>
      <c r="N5" s="24" t="s">
        <v>82</v>
      </c>
      <c r="O5" s="24" t="s">
        <v>38</v>
      </c>
      <c r="P5" s="16">
        <v>0.5</v>
      </c>
      <c r="Q5" s="35">
        <v>49.775305558106623</v>
      </c>
    </row>
    <row r="6" spans="1:19" x14ac:dyDescent="0.25">
      <c r="A6" s="4" t="str">
        <f t="shared" si="0"/>
        <v>CUSTO OFFSHORE USD 49,7753055581066 - RPS - FEVEREIRO 26</v>
      </c>
      <c r="B6" s="9">
        <v>46054</v>
      </c>
      <c r="C6" s="4">
        <v>817395</v>
      </c>
      <c r="D6" s="11" t="s">
        <v>12</v>
      </c>
      <c r="E6" s="30">
        <f t="shared" si="2"/>
        <v>-128.15896798573502</v>
      </c>
      <c r="F6" s="4" t="s">
        <v>68</v>
      </c>
      <c r="G6" s="9">
        <f t="shared" si="1"/>
        <v>46054</v>
      </c>
      <c r="H6" s="4">
        <v>12339</v>
      </c>
      <c r="J6" s="13" t="s">
        <v>30</v>
      </c>
      <c r="K6" s="13" t="s">
        <v>16</v>
      </c>
      <c r="L6" s="14">
        <f t="shared" si="3"/>
        <v>256.31793597147004</v>
      </c>
      <c r="M6" s="15" t="s">
        <v>29</v>
      </c>
      <c r="N6" s="24" t="s">
        <v>82</v>
      </c>
      <c r="O6" s="24" t="s">
        <v>38</v>
      </c>
      <c r="P6" s="16">
        <v>0.5</v>
      </c>
      <c r="Q6" s="37">
        <v>49.775305558106623</v>
      </c>
    </row>
    <row r="7" spans="1:19" x14ac:dyDescent="0.25">
      <c r="A7" s="4" t="str">
        <f t="shared" si="0"/>
        <v>CUSTO OFFSHORE USD 12125,5280666688 - GOLDMAN SACHS IL - BRAS - FEVEREIRO 26</v>
      </c>
      <c r="B7" s="9">
        <v>46054</v>
      </c>
      <c r="C7" s="4">
        <v>817395</v>
      </c>
      <c r="D7" s="11" t="s">
        <v>12</v>
      </c>
      <c r="E7" s="30">
        <f t="shared" si="2"/>
        <v>-62440.406779311139</v>
      </c>
      <c r="F7" s="4" t="s">
        <v>68</v>
      </c>
      <c r="G7" s="9">
        <f t="shared" si="1"/>
        <v>46054</v>
      </c>
      <c r="H7" s="4">
        <v>79791</v>
      </c>
      <c r="J7" s="13" t="s">
        <v>30</v>
      </c>
      <c r="K7" s="13" t="s">
        <v>24</v>
      </c>
      <c r="L7" s="14">
        <f t="shared" si="3"/>
        <v>62440.406779311139</v>
      </c>
      <c r="M7" s="15" t="s">
        <v>29</v>
      </c>
      <c r="N7" s="24" t="s">
        <v>82</v>
      </c>
      <c r="O7" s="24" t="s">
        <v>38</v>
      </c>
      <c r="P7" s="16">
        <v>1</v>
      </c>
      <c r="Q7" s="12">
        <v>12125.52806666883</v>
      </c>
    </row>
    <row r="8" spans="1:19" x14ac:dyDescent="0.25">
      <c r="A8" s="4" t="str">
        <f t="shared" si="0"/>
        <v>CUSTO OFFSHORE USD 24,3288963396378 - ITAÚ - MSCO - FEVEREIRO 26</v>
      </c>
      <c r="B8" s="9">
        <v>46054</v>
      </c>
      <c r="C8" s="4">
        <v>817395</v>
      </c>
      <c r="D8" s="11" t="s">
        <v>12</v>
      </c>
      <c r="E8" s="30">
        <f t="shared" si="2"/>
        <v>-125.28165170096487</v>
      </c>
      <c r="F8" s="4" t="s">
        <v>68</v>
      </c>
      <c r="G8" s="9">
        <f t="shared" si="1"/>
        <v>46054</v>
      </c>
      <c r="H8" s="4">
        <v>79460</v>
      </c>
      <c r="J8" s="13" t="s">
        <v>30</v>
      </c>
      <c r="K8" s="13" t="s">
        <v>17</v>
      </c>
      <c r="L8" s="14">
        <f t="shared" si="3"/>
        <v>125.28165170096487</v>
      </c>
      <c r="M8" s="15" t="s">
        <v>29</v>
      </c>
      <c r="N8" s="24" t="s">
        <v>82</v>
      </c>
      <c r="O8" s="24" t="s">
        <v>38</v>
      </c>
      <c r="P8" s="16">
        <v>1</v>
      </c>
      <c r="Q8" s="12">
        <v>24.328896339637804</v>
      </c>
    </row>
    <row r="9" spans="1:19" x14ac:dyDescent="0.25">
      <c r="A9" s="4" t="str">
        <f t="shared" si="0"/>
        <v>CUSTO OFFSHORE USD 1455,17 - ITAÚ - NASSAU - FEVEREIRO 26</v>
      </c>
      <c r="B9" s="9">
        <v>46054</v>
      </c>
      <c r="C9" s="4">
        <v>817395</v>
      </c>
      <c r="D9" s="11" t="s">
        <v>12</v>
      </c>
      <c r="E9" s="30">
        <f t="shared" si="2"/>
        <v>-7493.3979149999996</v>
      </c>
      <c r="F9" s="4" t="s">
        <v>68</v>
      </c>
      <c r="G9" s="9">
        <f t="shared" si="1"/>
        <v>46054</v>
      </c>
      <c r="H9" s="4">
        <v>79460</v>
      </c>
      <c r="J9" s="13" t="s">
        <v>30</v>
      </c>
      <c r="K9" s="13" t="s">
        <v>18</v>
      </c>
      <c r="L9" s="14">
        <f t="shared" si="3"/>
        <v>7493.3979149999996</v>
      </c>
      <c r="M9" s="15" t="s">
        <v>29</v>
      </c>
      <c r="N9" s="24" t="s">
        <v>82</v>
      </c>
      <c r="O9" s="24" t="s">
        <v>38</v>
      </c>
      <c r="P9" s="16">
        <v>1</v>
      </c>
      <c r="Q9" s="26">
        <v>1455.17</v>
      </c>
    </row>
    <row r="10" spans="1:19" x14ac:dyDescent="0.25">
      <c r="A10" s="4" t="str">
        <f t="shared" si="0"/>
        <v>CUSTO OFFSHORE USD 42,8612171481821 - SPRINGS_MO - FEVEREIRO 26</v>
      </c>
      <c r="B10" s="9">
        <v>46054</v>
      </c>
      <c r="C10" s="4">
        <v>817395</v>
      </c>
      <c r="D10" s="11" t="s">
        <v>12</v>
      </c>
      <c r="E10" s="30">
        <f t="shared" si="2"/>
        <v>-147.12784421386203</v>
      </c>
      <c r="F10" s="4" t="s">
        <v>68</v>
      </c>
      <c r="G10" s="9">
        <f t="shared" si="1"/>
        <v>46054</v>
      </c>
      <c r="H10" s="4">
        <v>82748</v>
      </c>
      <c r="J10" s="13" t="s">
        <v>30</v>
      </c>
      <c r="K10" s="13" t="s">
        <v>56</v>
      </c>
      <c r="L10" s="14">
        <f t="shared" si="3"/>
        <v>220.71383770456353</v>
      </c>
      <c r="M10" s="15" t="s">
        <v>29</v>
      </c>
      <c r="N10" s="24" t="s">
        <v>82</v>
      </c>
      <c r="O10" s="24" t="s">
        <v>38</v>
      </c>
      <c r="P10" s="16">
        <v>0.66659999999999997</v>
      </c>
      <c r="Q10" s="35">
        <v>42.861217148182064</v>
      </c>
    </row>
    <row r="11" spans="1:19" x14ac:dyDescent="0.25">
      <c r="A11" s="4" t="str">
        <f t="shared" si="0"/>
        <v>CUSTO OFFSHORE USD 42,8612171481821 - SPRINGS_MO - FEVEREIRO 26</v>
      </c>
      <c r="B11" s="9">
        <v>46054</v>
      </c>
      <c r="C11" s="4">
        <v>817395</v>
      </c>
      <c r="D11" s="11" t="s">
        <v>45</v>
      </c>
      <c r="E11" s="30">
        <f t="shared" si="2"/>
        <v>-73.563922106931017</v>
      </c>
      <c r="F11" s="4" t="s">
        <v>68</v>
      </c>
      <c r="G11" s="9">
        <f t="shared" si="1"/>
        <v>46054</v>
      </c>
      <c r="H11" s="4">
        <v>82748</v>
      </c>
      <c r="J11" s="13" t="s">
        <v>30</v>
      </c>
      <c r="K11" s="13" t="s">
        <v>56</v>
      </c>
      <c r="L11" s="14">
        <f t="shared" si="3"/>
        <v>220.71383770456353</v>
      </c>
      <c r="M11" s="15" t="s">
        <v>29</v>
      </c>
      <c r="N11" s="24" t="s">
        <v>82</v>
      </c>
      <c r="O11" s="24" t="s">
        <v>38</v>
      </c>
      <c r="P11" s="16">
        <v>0.33329999999999999</v>
      </c>
      <c r="Q11" s="37">
        <v>42.861217148182064</v>
      </c>
    </row>
    <row r="12" spans="1:19" x14ac:dyDescent="0.25">
      <c r="A12" s="4" t="str">
        <f t="shared" si="0"/>
        <v>CUSTO OFFSHORE USD 199,686453415854 - VINLAND  - FEVEREIRO 26</v>
      </c>
      <c r="B12" s="9">
        <v>46054</v>
      </c>
      <c r="C12" s="4">
        <v>817395</v>
      </c>
      <c r="D12" s="11" t="s">
        <v>47</v>
      </c>
      <c r="E12" s="30">
        <f t="shared" si="2"/>
        <v>-1028.2853918649412</v>
      </c>
      <c r="F12" s="4" t="s">
        <v>68</v>
      </c>
      <c r="G12" s="9">
        <f t="shared" si="1"/>
        <v>46054</v>
      </c>
      <c r="H12" s="4">
        <v>80359</v>
      </c>
      <c r="J12" s="13" t="s">
        <v>30</v>
      </c>
      <c r="K12" s="13" t="s">
        <v>20</v>
      </c>
      <c r="L12" s="14">
        <f t="shared" si="3"/>
        <v>1028.2853918649412</v>
      </c>
      <c r="M12" s="15" t="s">
        <v>29</v>
      </c>
      <c r="N12" s="24" t="s">
        <v>82</v>
      </c>
      <c r="O12" s="24" t="s">
        <v>38</v>
      </c>
      <c r="P12" s="27">
        <v>1</v>
      </c>
      <c r="Q12" s="30">
        <v>199.6864534158542</v>
      </c>
    </row>
    <row r="13" spans="1:19" x14ac:dyDescent="0.25">
      <c r="A13" s="4" t="str">
        <f t="shared" si="0"/>
        <v>CUSTO OFFSHORE USD 1893,15042119451 - SCHONFELD_MO - FEVEREIRO 26</v>
      </c>
      <c r="B13" s="9">
        <v>46054</v>
      </c>
      <c r="C13" s="4">
        <v>817395</v>
      </c>
      <c r="D13" s="11" t="s">
        <v>47</v>
      </c>
      <c r="E13" s="30">
        <f t="shared" si="2"/>
        <v>-9748.7780939411514</v>
      </c>
      <c r="F13" s="4" t="s">
        <v>68</v>
      </c>
      <c r="G13" s="9">
        <f t="shared" si="1"/>
        <v>46054</v>
      </c>
      <c r="H13" s="4">
        <v>83061</v>
      </c>
      <c r="J13" s="13" t="s">
        <v>30</v>
      </c>
      <c r="K13" s="13" t="s">
        <v>59</v>
      </c>
      <c r="L13" s="14">
        <f t="shared" si="3"/>
        <v>9748.7780939411514</v>
      </c>
      <c r="M13" s="15" t="s">
        <v>29</v>
      </c>
      <c r="N13" s="24" t="s">
        <v>82</v>
      </c>
      <c r="O13" s="24" t="s">
        <v>38</v>
      </c>
      <c r="P13" s="27">
        <v>1</v>
      </c>
      <c r="Q13" s="30">
        <v>1893.1504211945144</v>
      </c>
    </row>
    <row r="14" spans="1:19" x14ac:dyDescent="0.25">
      <c r="A14" s="4" t="str">
        <f t="shared" si="0"/>
        <v>CUSTO OFFSHORE USD 5618,78006811608 - XPADVISORY_MO - FEVEREIRO 26</v>
      </c>
      <c r="B14" s="9">
        <v>46054</v>
      </c>
      <c r="C14" s="4">
        <v>817395</v>
      </c>
      <c r="D14" s="11" t="s">
        <v>50</v>
      </c>
      <c r="E14" s="30">
        <f t="shared" si="2"/>
        <v>-28933.907960763736</v>
      </c>
      <c r="F14" s="4" t="s">
        <v>68</v>
      </c>
      <c r="G14" s="9">
        <f t="shared" si="1"/>
        <v>46054</v>
      </c>
      <c r="H14" s="4">
        <v>80769</v>
      </c>
      <c r="J14" s="13" t="s">
        <v>30</v>
      </c>
      <c r="K14" s="13" t="s">
        <v>49</v>
      </c>
      <c r="L14" s="14">
        <f t="shared" si="3"/>
        <v>28933.907960763736</v>
      </c>
      <c r="M14" s="15" t="s">
        <v>29</v>
      </c>
      <c r="N14" s="24" t="s">
        <v>82</v>
      </c>
      <c r="O14" s="24" t="s">
        <v>38</v>
      </c>
      <c r="P14" s="27">
        <v>1</v>
      </c>
      <c r="Q14" s="30">
        <v>5618.780068116077</v>
      </c>
    </row>
    <row r="15" spans="1:19" x14ac:dyDescent="0.25">
      <c r="A15" s="4" t="str">
        <f t="shared" ref="A15:A21" si="4">CONCATENATE(J15,Q15,M15,K15,M15,N15)</f>
        <v>CUSTO OFFSHORE USD 3,21041106337489 - ABSOLUTE_CP - FEVEREIRO 26</v>
      </c>
      <c r="B15" s="9">
        <v>46054</v>
      </c>
      <c r="C15" s="4">
        <v>817395</v>
      </c>
      <c r="D15" s="11" t="s">
        <v>61</v>
      </c>
      <c r="E15" s="30">
        <f t="shared" ref="E15:E21" si="5">-L15*P15</f>
        <v>-16.532011770848971</v>
      </c>
      <c r="F15" s="4" t="s">
        <v>68</v>
      </c>
      <c r="G15" s="9">
        <f t="shared" ref="G15:G21" si="6">B15</f>
        <v>46054</v>
      </c>
      <c r="H15" s="4">
        <v>144548</v>
      </c>
      <c r="J15" s="13" t="s">
        <v>30</v>
      </c>
      <c r="K15" s="13" t="s">
        <v>72</v>
      </c>
      <c r="L15" s="14">
        <f t="shared" ref="L15:L21" si="7">IF(O15="USD",Q15*$S$1)</f>
        <v>16.532011770848971</v>
      </c>
      <c r="M15" s="15" t="s">
        <v>29</v>
      </c>
      <c r="N15" s="24" t="s">
        <v>82</v>
      </c>
      <c r="O15" s="24" t="s">
        <v>38</v>
      </c>
      <c r="P15" s="27">
        <v>1</v>
      </c>
      <c r="Q15" s="30">
        <v>3.210411063374885</v>
      </c>
    </row>
    <row r="16" spans="1:19" x14ac:dyDescent="0.25">
      <c r="A16" s="4" t="str">
        <f t="shared" si="4"/>
        <v>CUSTO OFFSHORE USD 32,0483743305653 - BTGCAY_CP - FEVEREIRO 26</v>
      </c>
      <c r="B16" s="9">
        <v>46054</v>
      </c>
      <c r="C16" s="4">
        <v>817395</v>
      </c>
      <c r="D16" s="11" t="s">
        <v>61</v>
      </c>
      <c r="E16" s="30">
        <f t="shared" si="5"/>
        <v>-165.03310361524584</v>
      </c>
      <c r="F16" s="4" t="s">
        <v>68</v>
      </c>
      <c r="G16" s="9">
        <f t="shared" si="6"/>
        <v>46054</v>
      </c>
      <c r="H16" s="4">
        <v>82964</v>
      </c>
      <c r="J16" s="13" t="s">
        <v>30</v>
      </c>
      <c r="K16" s="13" t="s">
        <v>73</v>
      </c>
      <c r="L16" s="14">
        <f t="shared" si="7"/>
        <v>165.03310361524584</v>
      </c>
      <c r="M16" s="15" t="s">
        <v>29</v>
      </c>
      <c r="N16" s="24" t="s">
        <v>82</v>
      </c>
      <c r="O16" s="24" t="s">
        <v>38</v>
      </c>
      <c r="P16" s="27">
        <v>1</v>
      </c>
      <c r="Q16" s="30">
        <v>32.048374330565267</v>
      </c>
    </row>
    <row r="17" spans="1:17" x14ac:dyDescent="0.25">
      <c r="A17" s="4" t="str">
        <f t="shared" si="4"/>
        <v>CUSTO OFFSHORE USD 113,574979723269 - DIG_CP - FEVEREIRO 26</v>
      </c>
      <c r="B17" s="9">
        <v>46054</v>
      </c>
      <c r="C17" s="4">
        <v>817395</v>
      </c>
      <c r="D17" s="11" t="s">
        <v>61</v>
      </c>
      <c r="E17" s="30">
        <f t="shared" si="5"/>
        <v>-584.85435808497164</v>
      </c>
      <c r="F17" s="4" t="s">
        <v>68</v>
      </c>
      <c r="G17" s="9">
        <f t="shared" si="6"/>
        <v>46054</v>
      </c>
      <c r="H17" s="4">
        <v>125520</v>
      </c>
      <c r="J17" s="13" t="s">
        <v>30</v>
      </c>
      <c r="K17" s="13" t="s">
        <v>74</v>
      </c>
      <c r="L17" s="14">
        <f t="shared" si="7"/>
        <v>584.85435808497164</v>
      </c>
      <c r="M17" s="15" t="s">
        <v>29</v>
      </c>
      <c r="N17" s="24" t="s">
        <v>82</v>
      </c>
      <c r="O17" s="24" t="s">
        <v>38</v>
      </c>
      <c r="P17" s="27">
        <v>1</v>
      </c>
      <c r="Q17" s="30">
        <v>113.5749797232686</v>
      </c>
    </row>
    <row r="18" spans="1:17" x14ac:dyDescent="0.25">
      <c r="A18" s="4" t="str">
        <f t="shared" si="4"/>
        <v>CUSTO OFFSHORE USD 17,8356170187494 - KAPITALO_CP - FEVEREIRO 26</v>
      </c>
      <c r="B18" s="9">
        <v>46054</v>
      </c>
      <c r="C18" s="4">
        <v>817395</v>
      </c>
      <c r="D18" s="11" t="s">
        <v>61</v>
      </c>
      <c r="E18" s="30">
        <f t="shared" si="5"/>
        <v>-91.844509838049845</v>
      </c>
      <c r="F18" s="4" t="s">
        <v>68</v>
      </c>
      <c r="G18" s="9">
        <f t="shared" si="6"/>
        <v>46054</v>
      </c>
      <c r="H18" s="4">
        <v>12413</v>
      </c>
      <c r="J18" s="13" t="s">
        <v>30</v>
      </c>
      <c r="K18" s="13" t="s">
        <v>70</v>
      </c>
      <c r="L18" s="14">
        <f t="shared" si="7"/>
        <v>91.844509838049845</v>
      </c>
      <c r="M18" s="15" t="s">
        <v>29</v>
      </c>
      <c r="N18" s="24" t="s">
        <v>82</v>
      </c>
      <c r="O18" s="24" t="s">
        <v>38</v>
      </c>
      <c r="P18" s="27">
        <v>1</v>
      </c>
      <c r="Q18" s="30">
        <v>17.835617018749364</v>
      </c>
    </row>
    <row r="19" spans="1:17" x14ac:dyDescent="0.25">
      <c r="A19" s="4" t="str">
        <f t="shared" si="4"/>
        <v>CUSTO OFFSHORE USD 95,4032727963222 - SHARP_CP - FEVEREIRO 26</v>
      </c>
      <c r="B19" s="9">
        <v>46054</v>
      </c>
      <c r="C19" s="4">
        <v>817395</v>
      </c>
      <c r="D19" s="11" t="s">
        <v>61</v>
      </c>
      <c r="E19" s="30">
        <f t="shared" si="5"/>
        <v>-491.27915326466098</v>
      </c>
      <c r="F19" s="4" t="s">
        <v>68</v>
      </c>
      <c r="G19" s="9">
        <f t="shared" si="6"/>
        <v>46054</v>
      </c>
      <c r="H19" s="4">
        <v>80515</v>
      </c>
      <c r="J19" s="13" t="s">
        <v>30</v>
      </c>
      <c r="K19" s="13" t="s">
        <v>75</v>
      </c>
      <c r="L19" s="14">
        <f t="shared" si="7"/>
        <v>491.27915326466098</v>
      </c>
      <c r="M19" s="15" t="s">
        <v>29</v>
      </c>
      <c r="N19" s="24" t="s">
        <v>82</v>
      </c>
      <c r="O19" s="24" t="s">
        <v>38</v>
      </c>
      <c r="P19" s="27">
        <v>1</v>
      </c>
      <c r="Q19" s="30">
        <v>95.40327279632217</v>
      </c>
    </row>
    <row r="20" spans="1:17" x14ac:dyDescent="0.25">
      <c r="A20" s="4" t="str">
        <f t="shared" si="4"/>
        <v>CUSTO OFFSHORE USD 153,862851753464 - TRUXT_CP - FEVEREIRO 26</v>
      </c>
      <c r="B20" s="9">
        <v>46054</v>
      </c>
      <c r="C20" s="4">
        <v>817395</v>
      </c>
      <c r="D20" s="11" t="s">
        <v>61</v>
      </c>
      <c r="E20" s="30">
        <f t="shared" si="5"/>
        <v>-792.31675510446405</v>
      </c>
      <c r="F20" s="4" t="s">
        <v>68</v>
      </c>
      <c r="G20" s="9">
        <f t="shared" si="6"/>
        <v>46054</v>
      </c>
      <c r="H20" s="4">
        <v>12402</v>
      </c>
      <c r="J20" s="13" t="s">
        <v>30</v>
      </c>
      <c r="K20" s="13" t="s">
        <v>76</v>
      </c>
      <c r="L20" s="14">
        <f t="shared" si="7"/>
        <v>792.31675510446405</v>
      </c>
      <c r="M20" s="15" t="s">
        <v>29</v>
      </c>
      <c r="N20" s="24" t="s">
        <v>82</v>
      </c>
      <c r="O20" s="24" t="s">
        <v>38</v>
      </c>
      <c r="P20" s="27">
        <v>1</v>
      </c>
      <c r="Q20" s="30">
        <v>153.86285175346424</v>
      </c>
    </row>
    <row r="21" spans="1:17" x14ac:dyDescent="0.25">
      <c r="A21" s="4" t="str">
        <f t="shared" si="4"/>
        <v>CUSTO OFFSHORE USD 0,28 - ADAMGestao_MO - FEVEREIRO 26</v>
      </c>
      <c r="B21" s="9">
        <v>46054</v>
      </c>
      <c r="C21" s="4">
        <v>817395</v>
      </c>
      <c r="D21" s="11" t="s">
        <v>12</v>
      </c>
      <c r="E21" s="30">
        <f t="shared" si="5"/>
        <v>-1.4418600000000001</v>
      </c>
      <c r="F21" s="4" t="s">
        <v>68</v>
      </c>
      <c r="G21" s="9">
        <f t="shared" si="6"/>
        <v>46054</v>
      </c>
      <c r="H21" s="4">
        <v>79973</v>
      </c>
      <c r="J21" s="13" t="s">
        <v>30</v>
      </c>
      <c r="K21" s="13" t="s">
        <v>77</v>
      </c>
      <c r="L21" s="14">
        <f t="shared" si="7"/>
        <v>1.4418600000000001</v>
      </c>
      <c r="M21" s="15" t="s">
        <v>29</v>
      </c>
      <c r="N21" s="24" t="s">
        <v>82</v>
      </c>
      <c r="O21" s="24" t="s">
        <v>38</v>
      </c>
      <c r="P21" s="27">
        <v>1</v>
      </c>
      <c r="Q21" s="26">
        <v>0.28000000000000003</v>
      </c>
    </row>
    <row r="22" spans="1:17" x14ac:dyDescent="0.25">
      <c r="A22" s="4" t="str">
        <f t="shared" si="0"/>
        <v>CUSTO OFFSHORE USD 22,5776616936094 - CITIGBL_MO - FEVEREIRO 26</v>
      </c>
      <c r="B22" s="9">
        <v>46054</v>
      </c>
      <c r="C22" s="4">
        <v>817395</v>
      </c>
      <c r="D22" s="11" t="s">
        <v>12</v>
      </c>
      <c r="E22" s="30">
        <f t="shared" si="2"/>
        <v>-58.131834445620669</v>
      </c>
      <c r="F22" s="4" t="s">
        <v>68</v>
      </c>
      <c r="G22" s="9">
        <f t="shared" si="1"/>
        <v>46054</v>
      </c>
      <c r="H22" s="4">
        <v>79791</v>
      </c>
      <c r="J22" s="13" t="s">
        <v>30</v>
      </c>
      <c r="K22" s="13" t="s">
        <v>48</v>
      </c>
      <c r="L22" s="14">
        <f t="shared" si="3"/>
        <v>116.26366889124134</v>
      </c>
      <c r="M22" s="15" t="s">
        <v>29</v>
      </c>
      <c r="N22" s="24" t="s">
        <v>82</v>
      </c>
      <c r="O22" s="24" t="s">
        <v>38</v>
      </c>
      <c r="P22" s="27">
        <v>0.5</v>
      </c>
      <c r="Q22" s="36">
        <v>22.57766169360935</v>
      </c>
    </row>
    <row r="23" spans="1:17" x14ac:dyDescent="0.25">
      <c r="A23" s="4" t="str">
        <f t="shared" si="0"/>
        <v>CUSTO OFFSHORE USD 22,5776616936094 - CITIGBL_MO - FEVEREIRO 26</v>
      </c>
      <c r="B23" s="9">
        <v>46054</v>
      </c>
      <c r="C23" s="4">
        <v>817395</v>
      </c>
      <c r="D23" s="11" t="s">
        <v>45</v>
      </c>
      <c r="E23" s="30">
        <f t="shared" si="2"/>
        <v>-58.131834445620669</v>
      </c>
      <c r="F23" s="4" t="s">
        <v>68</v>
      </c>
      <c r="G23" s="9">
        <f t="shared" si="1"/>
        <v>46054</v>
      </c>
      <c r="H23" s="4">
        <v>79791</v>
      </c>
      <c r="J23" s="13" t="s">
        <v>30</v>
      </c>
      <c r="K23" s="13" t="s">
        <v>48</v>
      </c>
      <c r="L23" s="14">
        <f t="shared" si="3"/>
        <v>116.26366889124134</v>
      </c>
      <c r="M23" s="15" t="s">
        <v>29</v>
      </c>
      <c r="N23" s="24" t="s">
        <v>82</v>
      </c>
      <c r="O23" s="24" t="s">
        <v>38</v>
      </c>
      <c r="P23" s="27">
        <v>0.5</v>
      </c>
      <c r="Q23" s="37">
        <v>22.57766169360935</v>
      </c>
    </row>
    <row r="24" spans="1:17" x14ac:dyDescent="0.25">
      <c r="A24" s="4" t="str">
        <f>CONCATENATE(J24,Q24,M24,K24,M24,N24)</f>
        <v>CUSTO OFFSHORE USD 2858,77072658961 - KAPITALO - FEVEREIRO 26</v>
      </c>
      <c r="B24" s="9">
        <v>46054</v>
      </c>
      <c r="C24" s="4">
        <v>817395</v>
      </c>
      <c r="D24" s="11" t="s">
        <v>12</v>
      </c>
      <c r="E24" s="30">
        <f t="shared" si="2"/>
        <v>-11040.929892429878</v>
      </c>
      <c r="F24" s="4" t="s">
        <v>68</v>
      </c>
      <c r="G24" s="9">
        <f t="shared" si="1"/>
        <v>46054</v>
      </c>
      <c r="H24" s="4">
        <v>12413</v>
      </c>
      <c r="J24" s="13" t="s">
        <v>30</v>
      </c>
      <c r="K24" s="13" t="s">
        <v>26</v>
      </c>
      <c r="L24" s="14">
        <f>IF(O24="USD",Q24*$S$1)</f>
        <v>14721.239856573171</v>
      </c>
      <c r="M24" s="15" t="s">
        <v>29</v>
      </c>
      <c r="N24" s="24" t="s">
        <v>82</v>
      </c>
      <c r="O24" s="24" t="s">
        <v>38</v>
      </c>
      <c r="P24" s="27">
        <v>0.75</v>
      </c>
      <c r="Q24" s="36">
        <v>2858.7707265896051</v>
      </c>
    </row>
    <row r="25" spans="1:17" x14ac:dyDescent="0.25">
      <c r="A25" s="4" t="str">
        <f>CONCATENATE(J25,Q25,M25,K25,M25,N25)</f>
        <v>CUSTO OFFSHORE USD 2858,77072658961 - KAPITALO - FEVEREIRO 26</v>
      </c>
      <c r="B25" s="9">
        <v>46054</v>
      </c>
      <c r="C25" s="4">
        <v>817395</v>
      </c>
      <c r="D25" s="11" t="s">
        <v>45</v>
      </c>
      <c r="E25" s="30">
        <f t="shared" si="2"/>
        <v>-3680.3099641432927</v>
      </c>
      <c r="F25" s="4" t="s">
        <v>68</v>
      </c>
      <c r="G25" s="9">
        <f t="shared" si="1"/>
        <v>46054</v>
      </c>
      <c r="H25" s="4">
        <v>12413</v>
      </c>
      <c r="J25" s="13" t="s">
        <v>30</v>
      </c>
      <c r="K25" s="13" t="s">
        <v>26</v>
      </c>
      <c r="L25" s="14">
        <f>IF(O25="USD",Q25*$S$1)</f>
        <v>14721.239856573171</v>
      </c>
      <c r="M25" s="15" t="s">
        <v>29</v>
      </c>
      <c r="N25" s="24" t="s">
        <v>82</v>
      </c>
      <c r="O25" s="24" t="s">
        <v>38</v>
      </c>
      <c r="P25" s="27">
        <v>0.25</v>
      </c>
      <c r="Q25" s="36">
        <v>2858.7707265896051</v>
      </c>
    </row>
    <row r="26" spans="1:17" x14ac:dyDescent="0.25">
      <c r="A26" s="4" t="str">
        <f t="shared" ref="A26:A33" si="8">CONCATENATE(J26,Q26,M26,K26,M26,N26)</f>
        <v>CUSTO OFFSHORE USD 6,16164831694607 - BRADESCO_BZL - FEVEREIRO 26</v>
      </c>
      <c r="B26" s="9">
        <v>46054</v>
      </c>
      <c r="C26" s="4">
        <v>817395</v>
      </c>
      <c r="D26" s="11" t="s">
        <v>12</v>
      </c>
      <c r="E26" s="30">
        <f t="shared" si="2"/>
        <v>-23.797056006085334</v>
      </c>
      <c r="F26" s="4" t="s">
        <v>68</v>
      </c>
      <c r="G26" s="9">
        <f t="shared" si="1"/>
        <v>46054</v>
      </c>
      <c r="H26" s="4">
        <v>16705</v>
      </c>
      <c r="J26" s="13" t="s">
        <v>30</v>
      </c>
      <c r="K26" s="13" t="s">
        <v>27</v>
      </c>
      <c r="L26" s="14">
        <f t="shared" ref="L26:L33" si="9">IF(O26="USD",Q26*$S$1)</f>
        <v>31.729408008113779</v>
      </c>
      <c r="M26" s="15" t="s">
        <v>29</v>
      </c>
      <c r="N26" s="24" t="s">
        <v>82</v>
      </c>
      <c r="O26" s="24" t="s">
        <v>38</v>
      </c>
      <c r="P26" s="27">
        <v>0.75</v>
      </c>
      <c r="Q26" s="35">
        <v>6.161648316946069</v>
      </c>
    </row>
    <row r="27" spans="1:17" x14ac:dyDescent="0.25">
      <c r="A27" s="4" t="str">
        <f t="shared" si="8"/>
        <v>CUSTO OFFSHORE USD 6,16164831694607 - BRADESCO_BZL - FEVEREIRO 26</v>
      </c>
      <c r="B27" s="9">
        <v>46054</v>
      </c>
      <c r="C27" s="4">
        <v>817395</v>
      </c>
      <c r="D27" s="11" t="s">
        <v>45</v>
      </c>
      <c r="E27" s="30">
        <f t="shared" si="2"/>
        <v>-7.9323520020284448</v>
      </c>
      <c r="F27" s="4" t="s">
        <v>68</v>
      </c>
      <c r="G27" s="9">
        <f t="shared" si="1"/>
        <v>46054</v>
      </c>
      <c r="H27" s="4">
        <v>16705</v>
      </c>
      <c r="J27" s="13" t="s">
        <v>30</v>
      </c>
      <c r="K27" s="13" t="s">
        <v>27</v>
      </c>
      <c r="L27" s="14">
        <f t="shared" si="9"/>
        <v>31.729408008113779</v>
      </c>
      <c r="M27" s="15" t="s">
        <v>29</v>
      </c>
      <c r="N27" s="24" t="s">
        <v>82</v>
      </c>
      <c r="O27" s="24" t="s">
        <v>38</v>
      </c>
      <c r="P27" s="27">
        <v>0.25</v>
      </c>
      <c r="Q27" s="37">
        <v>6.161648316946069</v>
      </c>
    </row>
    <row r="28" spans="1:17" x14ac:dyDescent="0.25">
      <c r="A28" s="4" t="str">
        <f t="shared" ref="A28:A29" si="10">CONCATENATE(J28,Q28,M28,K28,M28,N28)</f>
        <v>CUSTO OFFSHORE USD 1719,57976999836 - BRADESCO_MO - FEVEREIRO 26</v>
      </c>
      <c r="B28" s="9">
        <v>46054</v>
      </c>
      <c r="C28" s="4">
        <v>817395</v>
      </c>
      <c r="D28" s="11" t="s">
        <v>12</v>
      </c>
      <c r="E28" s="30">
        <f t="shared" ref="E28:E29" si="11">-L28*P28</f>
        <v>-6641.232019204931</v>
      </c>
      <c r="F28" s="4" t="s">
        <v>68</v>
      </c>
      <c r="G28" s="9">
        <f t="shared" ref="G28:G29" si="12">B28</f>
        <v>46054</v>
      </c>
      <c r="H28" s="4">
        <v>16705</v>
      </c>
      <c r="J28" s="13" t="s">
        <v>30</v>
      </c>
      <c r="K28" s="13" t="s">
        <v>69</v>
      </c>
      <c r="L28" s="14">
        <f t="shared" ref="L28:L29" si="13">IF(O28="USD",Q28*$S$1)</f>
        <v>8854.9760256065747</v>
      </c>
      <c r="M28" s="15" t="s">
        <v>29</v>
      </c>
      <c r="N28" s="24" t="s">
        <v>82</v>
      </c>
      <c r="O28" s="24" t="s">
        <v>38</v>
      </c>
      <c r="P28" s="27">
        <v>0.75</v>
      </c>
      <c r="Q28" s="35">
        <v>1719.5797699983639</v>
      </c>
    </row>
    <row r="29" spans="1:17" x14ac:dyDescent="0.25">
      <c r="A29" s="4" t="str">
        <f t="shared" si="10"/>
        <v>CUSTO OFFSHORE USD 1719,57976999836 - BRADESCO_MO - FEVEREIRO 26</v>
      </c>
      <c r="B29" s="9">
        <v>46054</v>
      </c>
      <c r="C29" s="4">
        <v>817395</v>
      </c>
      <c r="D29" s="11" t="s">
        <v>45</v>
      </c>
      <c r="E29" s="30">
        <f t="shared" si="11"/>
        <v>-2213.7440064016437</v>
      </c>
      <c r="F29" s="4" t="s">
        <v>68</v>
      </c>
      <c r="G29" s="9">
        <f t="shared" si="12"/>
        <v>46054</v>
      </c>
      <c r="H29" s="4">
        <v>16705</v>
      </c>
      <c r="J29" s="13" t="s">
        <v>30</v>
      </c>
      <c r="K29" s="13" t="s">
        <v>69</v>
      </c>
      <c r="L29" s="14">
        <f t="shared" si="13"/>
        <v>8854.9760256065747</v>
      </c>
      <c r="M29" s="15" t="s">
        <v>29</v>
      </c>
      <c r="N29" s="24" t="s">
        <v>82</v>
      </c>
      <c r="O29" s="24" t="s">
        <v>38</v>
      </c>
      <c r="P29" s="27">
        <v>0.25</v>
      </c>
      <c r="Q29" s="37">
        <v>1719.5797699983639</v>
      </c>
    </row>
    <row r="30" spans="1:17" x14ac:dyDescent="0.25">
      <c r="A30" s="4" t="str">
        <f t="shared" si="8"/>
        <v>CUSTO OFFSHORE USD 18175,6413525882 - JPMPLC_MO - FEVEREIRO 26</v>
      </c>
      <c r="B30" s="9">
        <v>46054</v>
      </c>
      <c r="C30" s="4">
        <v>817395</v>
      </c>
      <c r="D30" s="11" t="s">
        <v>12</v>
      </c>
      <c r="E30" s="30">
        <f t="shared" si="2"/>
        <v>-62400.096612273286</v>
      </c>
      <c r="F30" s="4" t="s">
        <v>68</v>
      </c>
      <c r="G30" s="9">
        <f t="shared" si="1"/>
        <v>46054</v>
      </c>
      <c r="H30" s="4">
        <v>81541</v>
      </c>
      <c r="J30" s="13" t="s">
        <v>30</v>
      </c>
      <c r="K30" s="13" t="s">
        <v>55</v>
      </c>
      <c r="L30" s="14">
        <f t="shared" si="9"/>
        <v>93595.465145152673</v>
      </c>
      <c r="M30" s="15" t="s">
        <v>29</v>
      </c>
      <c r="N30" s="24" t="s">
        <v>82</v>
      </c>
      <c r="O30" s="24" t="s">
        <v>38</v>
      </c>
      <c r="P30" s="27">
        <v>0.66669999999999996</v>
      </c>
      <c r="Q30" s="35">
        <v>18175.641352588151</v>
      </c>
    </row>
    <row r="31" spans="1:17" x14ac:dyDescent="0.25">
      <c r="A31" s="4" t="str">
        <f t="shared" si="8"/>
        <v>CUSTO OFFSHORE USD 18175,6413525882 - JPMPLC_MO - FEVEREIRO 26</v>
      </c>
      <c r="B31" s="9">
        <v>46054</v>
      </c>
      <c r="C31" s="4">
        <v>817395</v>
      </c>
      <c r="D31" s="11" t="s">
        <v>45</v>
      </c>
      <c r="E31" s="30">
        <f t="shared" si="2"/>
        <v>-31195.368532879384</v>
      </c>
      <c r="F31" s="4" t="s">
        <v>68</v>
      </c>
      <c r="G31" s="9">
        <f t="shared" si="1"/>
        <v>46054</v>
      </c>
      <c r="H31" s="4">
        <v>81541</v>
      </c>
      <c r="J31" s="13" t="s">
        <v>30</v>
      </c>
      <c r="K31" s="13" t="s">
        <v>55</v>
      </c>
      <c r="L31" s="14">
        <f t="shared" si="9"/>
        <v>93595.465145152673</v>
      </c>
      <c r="M31" s="15" t="s">
        <v>29</v>
      </c>
      <c r="N31" s="24" t="s">
        <v>82</v>
      </c>
      <c r="O31" s="24" t="s">
        <v>38</v>
      </c>
      <c r="P31" s="27">
        <v>0.33329999999999999</v>
      </c>
      <c r="Q31" s="37">
        <v>18175.641352588151</v>
      </c>
    </row>
    <row r="32" spans="1:17" x14ac:dyDescent="0.25">
      <c r="A32" s="4" t="str">
        <f t="shared" si="8"/>
        <v>CUSTO OFFSHORE USD 2233,85529529517 - SPX_MO - FEVEREIRO 26</v>
      </c>
      <c r="B32" s="9">
        <v>46054</v>
      </c>
      <c r="C32" s="4">
        <v>817395</v>
      </c>
      <c r="D32" s="11" t="s">
        <v>12</v>
      </c>
      <c r="E32" s="30">
        <f t="shared" si="2"/>
        <v>-6901.9427058734991</v>
      </c>
      <c r="F32" s="4" t="s">
        <v>68</v>
      </c>
      <c r="G32" s="9">
        <f t="shared" si="1"/>
        <v>46054</v>
      </c>
      <c r="H32" s="4">
        <v>79931</v>
      </c>
      <c r="J32" s="13" t="s">
        <v>30</v>
      </c>
      <c r="K32" s="13" t="s">
        <v>31</v>
      </c>
      <c r="L32" s="14">
        <f t="shared" si="9"/>
        <v>11503.237843122499</v>
      </c>
      <c r="M32" s="15" t="s">
        <v>29</v>
      </c>
      <c r="N32" s="24" t="s">
        <v>82</v>
      </c>
      <c r="O32" s="24" t="s">
        <v>38</v>
      </c>
      <c r="P32" s="27">
        <v>0.6</v>
      </c>
      <c r="Q32" s="35">
        <v>2233.8552952951741</v>
      </c>
    </row>
    <row r="33" spans="1:17" x14ac:dyDescent="0.25">
      <c r="A33" s="17" t="str">
        <f t="shared" si="8"/>
        <v>CUSTO OFFSHORE USD 2233,85529529517 - SPX_MO - FEVEREIRO 26</v>
      </c>
      <c r="B33" s="18">
        <v>46054</v>
      </c>
      <c r="C33" s="17">
        <v>817395</v>
      </c>
      <c r="D33" s="23" t="s">
        <v>45</v>
      </c>
      <c r="E33" s="26">
        <f t="shared" si="2"/>
        <v>-4601.2951372489997</v>
      </c>
      <c r="F33" s="17" t="s">
        <v>68</v>
      </c>
      <c r="G33" s="18">
        <f t="shared" si="1"/>
        <v>46054</v>
      </c>
      <c r="H33" s="17">
        <v>79931</v>
      </c>
      <c r="J33" s="20" t="s">
        <v>30</v>
      </c>
      <c r="K33" s="20" t="s">
        <v>31</v>
      </c>
      <c r="L33" s="33">
        <f t="shared" si="9"/>
        <v>11503.237843122499</v>
      </c>
      <c r="M33" s="21" t="s">
        <v>29</v>
      </c>
      <c r="N33" s="25" t="s">
        <v>82</v>
      </c>
      <c r="O33" s="25" t="s">
        <v>38</v>
      </c>
      <c r="P33" s="22">
        <v>0.4</v>
      </c>
      <c r="Q33" s="37">
        <v>2233.8552952951741</v>
      </c>
    </row>
    <row r="34" spans="1:17" x14ac:dyDescent="0.25">
      <c r="A34" s="4" t="str">
        <f t="shared" si="0"/>
        <v>CUSTO OFFSHORE USD -1,62026525630594 - VINLAND  - FEVEREIRO 26</v>
      </c>
      <c r="B34" s="9">
        <v>46054</v>
      </c>
      <c r="C34" s="4">
        <v>817395</v>
      </c>
      <c r="D34" s="11" t="s">
        <v>47</v>
      </c>
      <c r="E34" s="10">
        <f t="shared" ref="E34:E52" si="14">-L34*P34</f>
        <v>8.3435559373474355</v>
      </c>
      <c r="F34" s="4" t="s">
        <v>19</v>
      </c>
      <c r="G34" s="9">
        <f t="shared" si="1"/>
        <v>46054</v>
      </c>
      <c r="H34" s="4">
        <v>80359</v>
      </c>
      <c r="J34" s="13" t="s">
        <v>30</v>
      </c>
      <c r="K34" s="13" t="s">
        <v>20</v>
      </c>
      <c r="L34" s="14">
        <f t="shared" ref="L34:L95" si="15">IF(O34="USD",Q34*$S$1)</f>
        <v>-8.3435559373474355</v>
      </c>
      <c r="M34" s="15" t="s">
        <v>29</v>
      </c>
      <c r="N34" s="24" t="s">
        <v>82</v>
      </c>
      <c r="O34" s="24" t="s">
        <v>38</v>
      </c>
      <c r="P34" s="16">
        <v>1</v>
      </c>
      <c r="Q34" s="30">
        <v>-1.6202652563059396</v>
      </c>
    </row>
    <row r="35" spans="1:17" x14ac:dyDescent="0.25">
      <c r="A35" s="4" t="str">
        <f t="shared" si="0"/>
        <v>CUSTO OFFSHORE USD -30,1897347436941 - SCHONFELD_MO - FEVEREIRO 26</v>
      </c>
      <c r="B35" s="9">
        <v>46054</v>
      </c>
      <c r="C35" s="4">
        <v>817395</v>
      </c>
      <c r="D35" s="11" t="s">
        <v>47</v>
      </c>
      <c r="E35" s="30">
        <f t="shared" si="14"/>
        <v>155.46203906265254</v>
      </c>
      <c r="F35" s="4" t="s">
        <v>19</v>
      </c>
      <c r="G35" s="9">
        <f t="shared" si="1"/>
        <v>46054</v>
      </c>
      <c r="H35" s="4">
        <v>83061</v>
      </c>
      <c r="J35" s="13" t="s">
        <v>30</v>
      </c>
      <c r="K35" s="13" t="s">
        <v>59</v>
      </c>
      <c r="L35" s="14">
        <f t="shared" si="15"/>
        <v>-155.46203906265254</v>
      </c>
      <c r="M35" s="15" t="s">
        <v>29</v>
      </c>
      <c r="N35" s="24" t="s">
        <v>82</v>
      </c>
      <c r="O35" s="24" t="s">
        <v>38</v>
      </c>
      <c r="P35" s="27">
        <v>1</v>
      </c>
      <c r="Q35" s="30">
        <v>-30.189734743694057</v>
      </c>
    </row>
    <row r="36" spans="1:17" x14ac:dyDescent="0.25">
      <c r="A36" s="4" t="str">
        <f t="shared" si="0"/>
        <v>CUSTO OFFSHORE USD -23,0044541467918 - GOLDMAN SACHS IL - BRAS - FEVEREIRO 26</v>
      </c>
      <c r="B36" s="9">
        <v>46054</v>
      </c>
      <c r="C36" s="4">
        <v>817395</v>
      </c>
      <c r="D36" s="11" t="s">
        <v>12</v>
      </c>
      <c r="E36" s="10">
        <f t="shared" si="14"/>
        <v>118.46143662890447</v>
      </c>
      <c r="F36" s="4" t="s">
        <v>19</v>
      </c>
      <c r="G36" s="9">
        <f t="shared" si="1"/>
        <v>46054</v>
      </c>
      <c r="H36" s="4">
        <v>79791</v>
      </c>
      <c r="J36" s="13" t="s">
        <v>30</v>
      </c>
      <c r="K36" s="13" t="s">
        <v>24</v>
      </c>
      <c r="L36" s="14">
        <f t="shared" si="15"/>
        <v>-118.46143662890447</v>
      </c>
      <c r="M36" s="15" t="s">
        <v>29</v>
      </c>
      <c r="N36" s="24" t="s">
        <v>82</v>
      </c>
      <c r="O36" s="24" t="s">
        <v>38</v>
      </c>
      <c r="P36" s="16">
        <v>1</v>
      </c>
      <c r="Q36" s="30">
        <v>-23.004454146791819</v>
      </c>
    </row>
    <row r="37" spans="1:17" x14ac:dyDescent="0.25">
      <c r="A37" s="4" t="str">
        <f t="shared" si="0"/>
        <v>CUSTO OFFSHORE USD -20,57 - ITAÚ - NASSAU - FEVEREIRO 26</v>
      </c>
      <c r="B37" s="9">
        <v>46054</v>
      </c>
      <c r="C37" s="4">
        <v>817395</v>
      </c>
      <c r="D37" s="11" t="s">
        <v>12</v>
      </c>
      <c r="E37" s="30">
        <f t="shared" si="14"/>
        <v>105.92521499999999</v>
      </c>
      <c r="F37" s="4" t="s">
        <v>19</v>
      </c>
      <c r="G37" s="9">
        <f t="shared" si="1"/>
        <v>46054</v>
      </c>
      <c r="H37" s="4">
        <v>79460</v>
      </c>
      <c r="J37" s="13" t="s">
        <v>30</v>
      </c>
      <c r="K37" s="13" t="s">
        <v>18</v>
      </c>
      <c r="L37" s="14">
        <f t="shared" si="15"/>
        <v>-105.92521499999999</v>
      </c>
      <c r="M37" s="15" t="s">
        <v>29</v>
      </c>
      <c r="N37" s="24" t="s">
        <v>82</v>
      </c>
      <c r="O37" s="24" t="s">
        <v>38</v>
      </c>
      <c r="P37" s="16">
        <v>1</v>
      </c>
      <c r="Q37" s="12">
        <v>-20.57</v>
      </c>
    </row>
    <row r="38" spans="1:17" x14ac:dyDescent="0.25">
      <c r="A38" s="4" t="str">
        <f t="shared" si="0"/>
        <v>CUSTO OFFSHORE USD -0,460110786274812 - CLAVE_MO - FEVEREIRO 26</v>
      </c>
      <c r="B38" s="9">
        <v>46054</v>
      </c>
      <c r="C38" s="4">
        <v>817395</v>
      </c>
      <c r="D38" s="11" t="s">
        <v>12</v>
      </c>
      <c r="E38" s="30">
        <f t="shared" si="14"/>
        <v>1.579639307297892</v>
      </c>
      <c r="F38" s="4" t="s">
        <v>19</v>
      </c>
      <c r="G38" s="9">
        <f t="shared" ref="G38:G39" si="16">B38</f>
        <v>46054</v>
      </c>
      <c r="H38" s="4">
        <v>81541</v>
      </c>
      <c r="J38" s="13" t="s">
        <v>30</v>
      </c>
      <c r="K38" s="13" t="s">
        <v>71</v>
      </c>
      <c r="L38" s="14">
        <f t="shared" si="15"/>
        <v>-2.3693404939221421</v>
      </c>
      <c r="M38" s="15" t="s">
        <v>29</v>
      </c>
      <c r="N38" s="24" t="s">
        <v>82</v>
      </c>
      <c r="O38" s="24" t="s">
        <v>38</v>
      </c>
      <c r="P38" s="27">
        <v>0.66669999999999996</v>
      </c>
      <c r="Q38" s="35">
        <v>-0.46011078627481161</v>
      </c>
    </row>
    <row r="39" spans="1:17" x14ac:dyDescent="0.25">
      <c r="A39" s="4" t="str">
        <f t="shared" si="0"/>
        <v>CUSTO OFFSHORE USD -0,460110786274812 - CLAVE_MO - FEVEREIRO 26</v>
      </c>
      <c r="B39" s="9">
        <v>46054</v>
      </c>
      <c r="C39" s="4">
        <v>817395</v>
      </c>
      <c r="D39" s="11" t="s">
        <v>45</v>
      </c>
      <c r="E39" s="30">
        <f t="shared" si="14"/>
        <v>0.78970118662424993</v>
      </c>
      <c r="F39" s="4" t="s">
        <v>19</v>
      </c>
      <c r="G39" s="9">
        <f t="shared" si="16"/>
        <v>46054</v>
      </c>
      <c r="H39" s="4">
        <v>81541</v>
      </c>
      <c r="J39" s="13" t="s">
        <v>30</v>
      </c>
      <c r="K39" s="13" t="s">
        <v>71</v>
      </c>
      <c r="L39" s="14">
        <f t="shared" si="15"/>
        <v>-2.3693404939221421</v>
      </c>
      <c r="M39" s="15" t="s">
        <v>29</v>
      </c>
      <c r="N39" s="24" t="s">
        <v>82</v>
      </c>
      <c r="O39" s="24" t="s">
        <v>38</v>
      </c>
      <c r="P39" s="27">
        <v>0.33329999999999999</v>
      </c>
      <c r="Q39" s="37">
        <v>-0.46011078627481161</v>
      </c>
    </row>
    <row r="40" spans="1:17" x14ac:dyDescent="0.25">
      <c r="A40" s="4" t="str">
        <f t="shared" ref="A40:A41" si="17">CONCATENATE(J40,Q40,M40,K40,M40,N40)</f>
        <v>CUSTO OFFSHORE USD -1,3000300046161 - CITIGBL_MO - FEVEREIRO 26</v>
      </c>
      <c r="B40" s="9">
        <v>46054</v>
      </c>
      <c r="C40" s="4">
        <v>817395</v>
      </c>
      <c r="D40" s="11" t="s">
        <v>12</v>
      </c>
      <c r="E40" s="30">
        <f t="shared" si="14"/>
        <v>3.3472522543852907</v>
      </c>
      <c r="F40" s="4" t="s">
        <v>19</v>
      </c>
      <c r="G40" s="9">
        <f t="shared" ref="G40:G41" si="18">B40</f>
        <v>46054</v>
      </c>
      <c r="H40" s="4">
        <v>79791</v>
      </c>
      <c r="J40" s="13" t="s">
        <v>30</v>
      </c>
      <c r="K40" s="13" t="s">
        <v>48</v>
      </c>
      <c r="L40" s="14">
        <f t="shared" si="15"/>
        <v>-6.6945045087705815</v>
      </c>
      <c r="M40" s="15" t="s">
        <v>29</v>
      </c>
      <c r="N40" s="24" t="s">
        <v>82</v>
      </c>
      <c r="O40" s="24" t="s">
        <v>38</v>
      </c>
      <c r="P40" s="27">
        <v>0.5</v>
      </c>
      <c r="Q40" s="35">
        <v>-1.3000300046160951</v>
      </c>
    </row>
    <row r="41" spans="1:17" x14ac:dyDescent="0.25">
      <c r="A41" s="4" t="str">
        <f t="shared" si="17"/>
        <v>CUSTO OFFSHORE USD -1,3000300046161 - CITIGBL_MO - FEVEREIRO 26</v>
      </c>
      <c r="B41" s="9">
        <v>46054</v>
      </c>
      <c r="C41" s="4">
        <v>817395</v>
      </c>
      <c r="D41" s="11" t="s">
        <v>45</v>
      </c>
      <c r="E41" s="30">
        <f t="shared" si="14"/>
        <v>3.3472522543852907</v>
      </c>
      <c r="F41" s="4" t="s">
        <v>19</v>
      </c>
      <c r="G41" s="9">
        <f t="shared" si="18"/>
        <v>46054</v>
      </c>
      <c r="H41" s="4">
        <v>79791</v>
      </c>
      <c r="J41" s="13" t="s">
        <v>30</v>
      </c>
      <c r="K41" s="13" t="s">
        <v>48</v>
      </c>
      <c r="L41" s="14">
        <f t="shared" si="15"/>
        <v>-6.6945045087705815</v>
      </c>
      <c r="M41" s="15" t="s">
        <v>29</v>
      </c>
      <c r="N41" s="24" t="s">
        <v>82</v>
      </c>
      <c r="O41" s="24" t="s">
        <v>38</v>
      </c>
      <c r="P41" s="27">
        <v>0.5</v>
      </c>
      <c r="Q41" s="37">
        <v>-1.3000300046160951</v>
      </c>
    </row>
    <row r="42" spans="1:17" x14ac:dyDescent="0.25">
      <c r="A42" s="4" t="str">
        <f t="shared" si="0"/>
        <v>CUSTO OFFSHORE USD -1,35645868595168 - ASSET1 - FEVEREIRO 26</v>
      </c>
      <c r="B42" s="9">
        <v>46054</v>
      </c>
      <c r="C42" s="4">
        <v>817395</v>
      </c>
      <c r="D42" s="11" t="s">
        <v>12</v>
      </c>
      <c r="E42" s="30">
        <f>-L42*P42</f>
        <v>2.3288270067029542</v>
      </c>
      <c r="F42" s="4" t="s">
        <v>19</v>
      </c>
      <c r="G42" s="9">
        <f t="shared" si="1"/>
        <v>46054</v>
      </c>
      <c r="H42" s="4">
        <v>80834</v>
      </c>
      <c r="J42" s="13" t="s">
        <v>30</v>
      </c>
      <c r="K42" s="13" t="s">
        <v>14</v>
      </c>
      <c r="L42" s="14">
        <f>IF(O42="USD",Q42*$S$1)</f>
        <v>-6.9850840033082013</v>
      </c>
      <c r="M42" s="15" t="s">
        <v>29</v>
      </c>
      <c r="N42" s="24" t="s">
        <v>82</v>
      </c>
      <c r="O42" s="24" t="s">
        <v>38</v>
      </c>
      <c r="P42" s="16">
        <v>0.33339999999999997</v>
      </c>
      <c r="Q42" s="35">
        <v>-1.356458685951685</v>
      </c>
    </row>
    <row r="43" spans="1:17" x14ac:dyDescent="0.25">
      <c r="A43" s="4" t="str">
        <f t="shared" si="0"/>
        <v>CUSTO OFFSHORE USD -1,35645868595168 - ASSET1 - FEVEREIRO 26</v>
      </c>
      <c r="B43" s="9">
        <v>46054</v>
      </c>
      <c r="C43" s="4">
        <v>817395</v>
      </c>
      <c r="D43" s="11" t="s">
        <v>45</v>
      </c>
      <c r="E43" s="30">
        <f t="shared" ref="E43:E46" si="19">-L43*P43</f>
        <v>2.3281284983026236</v>
      </c>
      <c r="F43" s="4" t="s">
        <v>19</v>
      </c>
      <c r="G43" s="9">
        <f t="shared" si="1"/>
        <v>46054</v>
      </c>
      <c r="H43" s="4">
        <v>80834</v>
      </c>
      <c r="J43" s="13" t="s">
        <v>30</v>
      </c>
      <c r="K43" s="13" t="s">
        <v>14</v>
      </c>
      <c r="L43" s="14">
        <f t="shared" ref="L43:L44" si="20">IF(O43="USD",Q43*$S$1)</f>
        <v>-6.9850840033082013</v>
      </c>
      <c r="M43" s="15" t="s">
        <v>29</v>
      </c>
      <c r="N43" s="24" t="s">
        <v>82</v>
      </c>
      <c r="O43" s="24" t="s">
        <v>38</v>
      </c>
      <c r="P43" s="16">
        <v>0.33329999999999999</v>
      </c>
      <c r="Q43" s="36">
        <v>-1.356458685951685</v>
      </c>
    </row>
    <row r="44" spans="1:17" x14ac:dyDescent="0.25">
      <c r="A44" s="4" t="str">
        <f t="shared" si="0"/>
        <v>CUSTO OFFSHORE USD -1,35645868595168 - ASSET1 - FEVEREIRO 26</v>
      </c>
      <c r="B44" s="9">
        <v>46054</v>
      </c>
      <c r="C44" s="4">
        <v>817395</v>
      </c>
      <c r="D44" s="11" t="s">
        <v>46</v>
      </c>
      <c r="E44" s="30">
        <f t="shared" si="19"/>
        <v>2.3281284983026236</v>
      </c>
      <c r="F44" s="4" t="s">
        <v>19</v>
      </c>
      <c r="G44" s="9">
        <f t="shared" si="1"/>
        <v>46054</v>
      </c>
      <c r="H44" s="4">
        <v>80834</v>
      </c>
      <c r="J44" s="13" t="s">
        <v>30</v>
      </c>
      <c r="K44" s="13" t="s">
        <v>14</v>
      </c>
      <c r="L44" s="14">
        <f t="shared" si="20"/>
        <v>-6.9850840033082013</v>
      </c>
      <c r="M44" s="15" t="s">
        <v>29</v>
      </c>
      <c r="N44" s="24" t="s">
        <v>82</v>
      </c>
      <c r="O44" s="24" t="s">
        <v>38</v>
      </c>
      <c r="P44" s="16">
        <v>0.33329999999999999</v>
      </c>
      <c r="Q44" s="37">
        <v>-1.356458685951685</v>
      </c>
    </row>
    <row r="45" spans="1:17" x14ac:dyDescent="0.25">
      <c r="A45" s="4" t="str">
        <f>CONCATENATE(J45,Q45,M45,K45,M45,N45)</f>
        <v>CUSTO OFFSHORE USD -51,545430066164 - KAPITALO - FEVEREIRO 26</v>
      </c>
      <c r="B45" s="9">
        <v>46054</v>
      </c>
      <c r="C45" s="4">
        <v>817395</v>
      </c>
      <c r="D45" s="11" t="s">
        <v>12</v>
      </c>
      <c r="E45" s="30">
        <f t="shared" si="19"/>
        <v>199.07489409428376</v>
      </c>
      <c r="F45" s="4" t="s">
        <v>19</v>
      </c>
      <c r="G45" s="9">
        <f t="shared" si="1"/>
        <v>46054</v>
      </c>
      <c r="H45" s="4">
        <v>12413</v>
      </c>
      <c r="J45" s="13" t="s">
        <v>30</v>
      </c>
      <c r="K45" s="13" t="s">
        <v>26</v>
      </c>
      <c r="L45" s="14">
        <f>IF(O45="USD",Q45*$S$1)</f>
        <v>-265.43319212571168</v>
      </c>
      <c r="M45" s="15" t="s">
        <v>29</v>
      </c>
      <c r="N45" s="24" t="s">
        <v>82</v>
      </c>
      <c r="O45" s="24" t="s">
        <v>38</v>
      </c>
      <c r="P45" s="27">
        <v>0.75</v>
      </c>
      <c r="Q45" s="36">
        <v>-51.54543006616403</v>
      </c>
    </row>
    <row r="46" spans="1:17" x14ac:dyDescent="0.25">
      <c r="A46" s="4" t="str">
        <f>CONCATENATE(J46,Q46,M46,K46,M46,N46)</f>
        <v>CUSTO OFFSHORE USD -51,545430066164 - KAPITALO - FEVEREIRO 26</v>
      </c>
      <c r="B46" s="9">
        <v>46054</v>
      </c>
      <c r="C46" s="4">
        <v>817395</v>
      </c>
      <c r="D46" s="11" t="s">
        <v>45</v>
      </c>
      <c r="E46" s="30">
        <f t="shared" si="19"/>
        <v>66.358298031427921</v>
      </c>
      <c r="F46" s="4" t="s">
        <v>19</v>
      </c>
      <c r="G46" s="9">
        <f t="shared" si="1"/>
        <v>46054</v>
      </c>
      <c r="H46" s="4">
        <v>12413</v>
      </c>
      <c r="J46" s="13" t="s">
        <v>30</v>
      </c>
      <c r="K46" s="13" t="s">
        <v>26</v>
      </c>
      <c r="L46" s="14">
        <f>IF(O46="USD",Q46*$S$1)</f>
        <v>-265.43319212571168</v>
      </c>
      <c r="M46" s="15" t="s">
        <v>29</v>
      </c>
      <c r="N46" s="24" t="s">
        <v>82</v>
      </c>
      <c r="O46" s="24" t="s">
        <v>38</v>
      </c>
      <c r="P46" s="27">
        <v>0.25</v>
      </c>
      <c r="Q46" s="36">
        <v>-51.54543006616403</v>
      </c>
    </row>
    <row r="47" spans="1:17" x14ac:dyDescent="0.25">
      <c r="A47" s="4" t="str">
        <f t="shared" si="0"/>
        <v>CUSTO OFFSHORE USD -6,26683912909678 - SPRINGS_MO - FEVEREIRO 26</v>
      </c>
      <c r="B47" s="9">
        <v>46054</v>
      </c>
      <c r="C47" s="4">
        <v>817395</v>
      </c>
      <c r="D47" s="11" t="s">
        <v>12</v>
      </c>
      <c r="E47" s="28">
        <f t="shared" si="14"/>
        <v>21.511907324316244</v>
      </c>
      <c r="F47" s="4" t="s">
        <v>19</v>
      </c>
      <c r="G47" s="9">
        <f t="shared" si="1"/>
        <v>46054</v>
      </c>
      <c r="H47" s="4">
        <v>82748</v>
      </c>
      <c r="J47" s="13" t="s">
        <v>30</v>
      </c>
      <c r="K47" s="13" t="s">
        <v>56</v>
      </c>
      <c r="L47" s="14">
        <f t="shared" si="15"/>
        <v>-32.271088095283893</v>
      </c>
      <c r="M47" s="15" t="s">
        <v>29</v>
      </c>
      <c r="N47" s="24" t="s">
        <v>82</v>
      </c>
      <c r="O47" s="24" t="s">
        <v>38</v>
      </c>
      <c r="P47" s="27">
        <v>0.66659999999999997</v>
      </c>
      <c r="Q47" s="35">
        <v>-6.2668391290967849</v>
      </c>
    </row>
    <row r="48" spans="1:17" x14ac:dyDescent="0.25">
      <c r="A48" s="4" t="str">
        <f t="shared" si="0"/>
        <v>CUSTO OFFSHORE USD -6,26683912909678 - SPRINGS_MO - FEVEREIRO 26</v>
      </c>
      <c r="B48" s="9">
        <v>46054</v>
      </c>
      <c r="C48" s="4">
        <v>817395</v>
      </c>
      <c r="D48" s="11" t="s">
        <v>45</v>
      </c>
      <c r="E48" s="28">
        <f t="shared" si="14"/>
        <v>10.755953662158122</v>
      </c>
      <c r="F48" s="4" t="s">
        <v>19</v>
      </c>
      <c r="G48" s="9">
        <f t="shared" si="1"/>
        <v>46054</v>
      </c>
      <c r="H48" s="4">
        <v>82748</v>
      </c>
      <c r="J48" s="13" t="s">
        <v>30</v>
      </c>
      <c r="K48" s="13" t="s">
        <v>56</v>
      </c>
      <c r="L48" s="14">
        <f t="shared" si="15"/>
        <v>-32.271088095283893</v>
      </c>
      <c r="M48" s="15" t="s">
        <v>29</v>
      </c>
      <c r="N48" s="24" t="s">
        <v>82</v>
      </c>
      <c r="O48" s="24" t="s">
        <v>38</v>
      </c>
      <c r="P48" s="27">
        <v>0.33329999999999999</v>
      </c>
      <c r="Q48" s="37">
        <v>-6.2668391290967849</v>
      </c>
    </row>
    <row r="49" spans="1:17" x14ac:dyDescent="0.25">
      <c r="A49" s="4" t="str">
        <f t="shared" si="0"/>
        <v>CUSTO OFFSHORE USD -0,0271291737190337 - BRADESCO_BZL - FEVEREIRO 26</v>
      </c>
      <c r="B49" s="9">
        <v>46054</v>
      </c>
      <c r="C49" s="4">
        <v>817395</v>
      </c>
      <c r="D49" s="11" t="s">
        <v>12</v>
      </c>
      <c r="E49" s="28">
        <f t="shared" si="14"/>
        <v>0.10477626004962304</v>
      </c>
      <c r="F49" s="4" t="s">
        <v>19</v>
      </c>
      <c r="G49" s="9">
        <f t="shared" si="1"/>
        <v>46054</v>
      </c>
      <c r="H49" s="4">
        <v>16705</v>
      </c>
      <c r="J49" s="13" t="s">
        <v>30</v>
      </c>
      <c r="K49" s="13" t="s">
        <v>27</v>
      </c>
      <c r="L49" s="14">
        <f t="shared" si="15"/>
        <v>-0.13970168006616404</v>
      </c>
      <c r="M49" s="15" t="s">
        <v>29</v>
      </c>
      <c r="N49" s="24" t="s">
        <v>82</v>
      </c>
      <c r="O49" s="24" t="s">
        <v>38</v>
      </c>
      <c r="P49" s="27">
        <v>0.75</v>
      </c>
      <c r="Q49" s="35">
        <v>-2.71291737190337E-2</v>
      </c>
    </row>
    <row r="50" spans="1:17" x14ac:dyDescent="0.25">
      <c r="A50" s="4" t="str">
        <f>CONCATENATE(J50,Q50,M50,K50,M50,N50)</f>
        <v>CUSTO OFFSHORE USD -0,0271291737190337 - BRADESCO_BZL - FEVEREIRO 26</v>
      </c>
      <c r="B50" s="9">
        <v>46054</v>
      </c>
      <c r="C50" s="4">
        <v>817395</v>
      </c>
      <c r="D50" s="11" t="s">
        <v>45</v>
      </c>
      <c r="E50" s="28">
        <f t="shared" si="14"/>
        <v>3.492542001654101E-2</v>
      </c>
      <c r="F50" s="4" t="s">
        <v>19</v>
      </c>
      <c r="G50" s="9">
        <f t="shared" si="1"/>
        <v>46054</v>
      </c>
      <c r="H50" s="4">
        <v>16705</v>
      </c>
      <c r="J50" s="13" t="s">
        <v>30</v>
      </c>
      <c r="K50" s="13" t="s">
        <v>27</v>
      </c>
      <c r="L50" s="14">
        <f>IF(O50="USD",Q50*$S$1)</f>
        <v>-0.13970168006616404</v>
      </c>
      <c r="M50" s="15" t="s">
        <v>29</v>
      </c>
      <c r="N50" s="24" t="s">
        <v>82</v>
      </c>
      <c r="O50" s="24" t="s">
        <v>38</v>
      </c>
      <c r="P50" s="27">
        <v>0.25</v>
      </c>
      <c r="Q50" s="37">
        <v>-2.71291737190337E-2</v>
      </c>
    </row>
    <row r="51" spans="1:17" x14ac:dyDescent="0.25">
      <c r="A51" s="4" t="str">
        <f>CONCATENATE(J51,Q51,M51,K51,M51,N51)</f>
        <v>CUSTO OFFSHORE USD -8,30912332666564 - RPS - FEVEREIRO 26</v>
      </c>
      <c r="B51" s="9">
        <v>46054</v>
      </c>
      <c r="C51" s="4">
        <v>817395</v>
      </c>
      <c r="D51" s="11" t="s">
        <v>45</v>
      </c>
      <c r="E51" s="10">
        <f t="shared" si="14"/>
        <v>21.393915285332358</v>
      </c>
      <c r="F51" s="4" t="s">
        <v>19</v>
      </c>
      <c r="G51" s="9">
        <f t="shared" si="1"/>
        <v>46054</v>
      </c>
      <c r="H51" s="4">
        <v>12339</v>
      </c>
      <c r="J51" s="13" t="s">
        <v>30</v>
      </c>
      <c r="K51" s="13" t="s">
        <v>16</v>
      </c>
      <c r="L51" s="14">
        <f>IF(O51="USD",Q51*$S$1)</f>
        <v>-42.787830570664717</v>
      </c>
      <c r="M51" s="15" t="s">
        <v>29</v>
      </c>
      <c r="N51" s="24" t="s">
        <v>82</v>
      </c>
      <c r="O51" s="24" t="s">
        <v>38</v>
      </c>
      <c r="P51" s="16">
        <v>0.5</v>
      </c>
      <c r="Q51" s="35">
        <v>-8.3091233266656417</v>
      </c>
    </row>
    <row r="52" spans="1:17" x14ac:dyDescent="0.25">
      <c r="A52" s="17" t="str">
        <f>CONCATENATE(J52,Q52,M52,K52,M52,N52)</f>
        <v>CUSTO OFFSHORE USD -8,30912332666564 - RPS - FEVEREIRO 26</v>
      </c>
      <c r="B52" s="18">
        <v>46054</v>
      </c>
      <c r="C52" s="17">
        <v>817395</v>
      </c>
      <c r="D52" s="23" t="s">
        <v>12</v>
      </c>
      <c r="E52" s="19">
        <f t="shared" si="14"/>
        <v>21.393915285332358</v>
      </c>
      <c r="F52" s="17" t="s">
        <v>19</v>
      </c>
      <c r="G52" s="18">
        <f t="shared" si="1"/>
        <v>46054</v>
      </c>
      <c r="H52" s="17">
        <v>12339</v>
      </c>
      <c r="I52" s="31"/>
      <c r="J52" s="20" t="s">
        <v>30</v>
      </c>
      <c r="K52" s="20" t="s">
        <v>16</v>
      </c>
      <c r="L52" s="33">
        <f>IF(O52="USD",Q52*$S$1)</f>
        <v>-42.787830570664717</v>
      </c>
      <c r="M52" s="21" t="s">
        <v>29</v>
      </c>
      <c r="N52" s="25" t="s">
        <v>82</v>
      </c>
      <c r="O52" s="25" t="s">
        <v>38</v>
      </c>
      <c r="P52" s="22">
        <v>0.5</v>
      </c>
      <c r="Q52" s="37">
        <v>-8.3091233266656417</v>
      </c>
    </row>
    <row r="53" spans="1:17" x14ac:dyDescent="0.25">
      <c r="A53" s="4" t="str">
        <f t="shared" si="0"/>
        <v>CUSTO OFFSHORE USD 75,5792129804895 - ASSET1 - FEVEREIRO 26</v>
      </c>
      <c r="B53" s="9">
        <v>46054</v>
      </c>
      <c r="C53" s="4">
        <v>817395</v>
      </c>
      <c r="D53" s="11" t="s">
        <v>12</v>
      </c>
      <c r="E53" s="12">
        <f>-L53*P53</f>
        <v>-129.7576654248264</v>
      </c>
      <c r="F53" s="4" t="s">
        <v>52</v>
      </c>
      <c r="G53" s="9">
        <f t="shared" si="1"/>
        <v>46054</v>
      </c>
      <c r="H53" s="4">
        <v>80834</v>
      </c>
      <c r="J53" s="13" t="s">
        <v>30</v>
      </c>
      <c r="K53" s="13" t="s">
        <v>14</v>
      </c>
      <c r="L53" s="14">
        <f>IF(O53="USD",Q53*$S$1)</f>
        <v>389.19515724303062</v>
      </c>
      <c r="M53" s="15" t="s">
        <v>29</v>
      </c>
      <c r="N53" s="24" t="s">
        <v>82</v>
      </c>
      <c r="O53" s="24" t="s">
        <v>38</v>
      </c>
      <c r="P53" s="16">
        <v>0.33339999999999997</v>
      </c>
      <c r="Q53" s="36">
        <v>75.579212980489487</v>
      </c>
    </row>
    <row r="54" spans="1:17" x14ac:dyDescent="0.25">
      <c r="A54" s="4" t="str">
        <f t="shared" si="0"/>
        <v>CUSTO OFFSHORE USD 75,5792129804895 - ASSET1 - FEVEREIRO 26</v>
      </c>
      <c r="B54" s="9">
        <v>46054</v>
      </c>
      <c r="C54" s="4">
        <v>817395</v>
      </c>
      <c r="D54" s="11" t="s">
        <v>45</v>
      </c>
      <c r="E54" s="12">
        <f t="shared" ref="E54:E64" si="21">-L54*P54</f>
        <v>-129.7187459091021</v>
      </c>
      <c r="F54" s="4" t="s">
        <v>52</v>
      </c>
      <c r="G54" s="9">
        <f t="shared" si="1"/>
        <v>46054</v>
      </c>
      <c r="H54" s="4">
        <v>80834</v>
      </c>
      <c r="J54" s="13" t="s">
        <v>30</v>
      </c>
      <c r="K54" s="13" t="s">
        <v>14</v>
      </c>
      <c r="L54" s="14">
        <f t="shared" ref="L54:L64" si="22">IF(O54="USD",Q54*$S$1)</f>
        <v>389.19515724303062</v>
      </c>
      <c r="M54" s="15" t="s">
        <v>29</v>
      </c>
      <c r="N54" s="24" t="s">
        <v>82</v>
      </c>
      <c r="O54" s="24" t="s">
        <v>38</v>
      </c>
      <c r="P54" s="16">
        <v>0.33329999999999999</v>
      </c>
      <c r="Q54" s="36">
        <v>75.579212980489487</v>
      </c>
    </row>
    <row r="55" spans="1:17" x14ac:dyDescent="0.25">
      <c r="A55" s="4" t="str">
        <f t="shared" si="0"/>
        <v>CUSTO OFFSHORE USD 75,5792129804895 - ASSET1 - FEVEREIRO 26</v>
      </c>
      <c r="B55" s="9">
        <v>46054</v>
      </c>
      <c r="C55" s="4">
        <v>817395</v>
      </c>
      <c r="D55" s="11" t="s">
        <v>46</v>
      </c>
      <c r="E55" s="12">
        <f t="shared" si="21"/>
        <v>-129.7187459091021</v>
      </c>
      <c r="F55" s="4" t="s">
        <v>52</v>
      </c>
      <c r="G55" s="9">
        <f t="shared" ref="G55:G123" si="23">B55</f>
        <v>46054</v>
      </c>
      <c r="H55" s="4">
        <v>80834</v>
      </c>
      <c r="J55" s="13" t="s">
        <v>30</v>
      </c>
      <c r="K55" s="13" t="s">
        <v>14</v>
      </c>
      <c r="L55" s="14">
        <f t="shared" si="22"/>
        <v>389.19515724303062</v>
      </c>
      <c r="M55" s="15" t="s">
        <v>29</v>
      </c>
      <c r="N55" s="24" t="s">
        <v>82</v>
      </c>
      <c r="O55" s="24" t="s">
        <v>38</v>
      </c>
      <c r="P55" s="16">
        <v>0.33329999999999999</v>
      </c>
      <c r="Q55" s="37">
        <v>75.579212980489487</v>
      </c>
    </row>
    <row r="56" spans="1:17" x14ac:dyDescent="0.25">
      <c r="A56" s="4" t="str">
        <f t="shared" si="0"/>
        <v>CUSTO OFFSHORE USD 58,9759258827296 - BRADESCO_BZL - FEVEREIRO 26</v>
      </c>
      <c r="B56" s="9">
        <v>46054</v>
      </c>
      <c r="C56" s="4">
        <v>817395</v>
      </c>
      <c r="D56" s="11" t="s">
        <v>12</v>
      </c>
      <c r="E56" s="28">
        <f t="shared" si="21"/>
        <v>-227.7723977498369</v>
      </c>
      <c r="F56" s="4" t="s">
        <v>52</v>
      </c>
      <c r="G56" s="9">
        <f t="shared" si="23"/>
        <v>46054</v>
      </c>
      <c r="H56" s="4">
        <v>16705</v>
      </c>
      <c r="J56" s="13" t="s">
        <v>30</v>
      </c>
      <c r="K56" s="13" t="s">
        <v>27</v>
      </c>
      <c r="L56" s="14">
        <f t="shared" si="22"/>
        <v>303.69653033311585</v>
      </c>
      <c r="M56" s="15" t="s">
        <v>29</v>
      </c>
      <c r="N56" s="24" t="s">
        <v>82</v>
      </c>
      <c r="O56" s="24" t="s">
        <v>38</v>
      </c>
      <c r="P56" s="27">
        <v>0.75</v>
      </c>
      <c r="Q56" s="35">
        <v>58.975925882729562</v>
      </c>
    </row>
    <row r="57" spans="1:17" x14ac:dyDescent="0.25">
      <c r="A57" s="4" t="str">
        <f t="shared" si="0"/>
        <v>CUSTO OFFSHORE USD 58,9759258827296 - BRADESCO_BZL - FEVEREIRO 26</v>
      </c>
      <c r="B57" s="9">
        <v>46054</v>
      </c>
      <c r="C57" s="4">
        <v>817395</v>
      </c>
      <c r="D57" s="11" t="s">
        <v>45</v>
      </c>
      <c r="E57" s="28">
        <f t="shared" si="21"/>
        <v>-75.924132583278961</v>
      </c>
      <c r="F57" s="4" t="s">
        <v>52</v>
      </c>
      <c r="G57" s="9">
        <f t="shared" si="23"/>
        <v>46054</v>
      </c>
      <c r="H57" s="4">
        <v>16705</v>
      </c>
      <c r="J57" s="13" t="s">
        <v>30</v>
      </c>
      <c r="K57" s="13" t="s">
        <v>27</v>
      </c>
      <c r="L57" s="14">
        <f t="shared" si="22"/>
        <v>303.69653033311585</v>
      </c>
      <c r="M57" s="15" t="s">
        <v>29</v>
      </c>
      <c r="N57" s="24" t="s">
        <v>82</v>
      </c>
      <c r="O57" s="24" t="s">
        <v>38</v>
      </c>
      <c r="P57" s="27">
        <v>0.25</v>
      </c>
      <c r="Q57" s="37">
        <v>58.975925882729562</v>
      </c>
    </row>
    <row r="58" spans="1:17" x14ac:dyDescent="0.25">
      <c r="A58" s="4" t="str">
        <f t="shared" si="0"/>
        <v>CUSTO OFFSHORE USD 19,7696293537731 - BRADESCO_MO - FEVEREIRO 26</v>
      </c>
      <c r="B58" s="9">
        <v>46054</v>
      </c>
      <c r="C58" s="4">
        <v>817395</v>
      </c>
      <c r="D58" s="11" t="s">
        <v>12</v>
      </c>
      <c r="E58" s="30">
        <f t="shared" si="21"/>
        <v>-76.352779767941101</v>
      </c>
      <c r="F58" s="4" t="s">
        <v>52</v>
      </c>
      <c r="G58" s="9">
        <f t="shared" si="23"/>
        <v>46054</v>
      </c>
      <c r="H58" s="4">
        <v>16705</v>
      </c>
      <c r="J58" s="13" t="s">
        <v>30</v>
      </c>
      <c r="K58" s="13" t="s">
        <v>69</v>
      </c>
      <c r="L58" s="14">
        <f t="shared" si="22"/>
        <v>101.8037063572548</v>
      </c>
      <c r="M58" s="15" t="s">
        <v>29</v>
      </c>
      <c r="N58" s="24" t="s">
        <v>82</v>
      </c>
      <c r="O58" s="24" t="s">
        <v>38</v>
      </c>
      <c r="P58" s="27">
        <v>0.75</v>
      </c>
      <c r="Q58" s="35">
        <v>19.769629353773144</v>
      </c>
    </row>
    <row r="59" spans="1:17" x14ac:dyDescent="0.25">
      <c r="A59" s="4" t="str">
        <f t="shared" si="0"/>
        <v>CUSTO OFFSHORE USD 19,7696293537731 - BRADESCO_MO - FEVEREIRO 26</v>
      </c>
      <c r="B59" s="9">
        <v>46054</v>
      </c>
      <c r="C59" s="4">
        <v>817395</v>
      </c>
      <c r="D59" s="11" t="s">
        <v>45</v>
      </c>
      <c r="E59" s="30">
        <f t="shared" si="21"/>
        <v>-25.450926589313699</v>
      </c>
      <c r="F59" s="4" t="s">
        <v>52</v>
      </c>
      <c r="G59" s="9">
        <f t="shared" si="23"/>
        <v>46054</v>
      </c>
      <c r="H59" s="4">
        <v>16705</v>
      </c>
      <c r="J59" s="13" t="s">
        <v>30</v>
      </c>
      <c r="K59" s="13" t="s">
        <v>69</v>
      </c>
      <c r="L59" s="14">
        <f t="shared" si="22"/>
        <v>101.8037063572548</v>
      </c>
      <c r="M59" s="15" t="s">
        <v>29</v>
      </c>
      <c r="N59" s="24" t="s">
        <v>82</v>
      </c>
      <c r="O59" s="24" t="s">
        <v>38</v>
      </c>
      <c r="P59" s="27">
        <v>0.25</v>
      </c>
      <c r="Q59" s="37">
        <v>19.769629353773144</v>
      </c>
    </row>
    <row r="60" spans="1:17" x14ac:dyDescent="0.25">
      <c r="A60" s="4" t="str">
        <f t="shared" ref="A60:A61" si="24">CONCATENATE(J60,Q60,M60,K60,M60,N60)</f>
        <v>CUSTO OFFSHORE USD 16,4079919737793 - CLAVE_MO - FEVEREIRO 26</v>
      </c>
      <c r="B60" s="9">
        <v>46054</v>
      </c>
      <c r="C60" s="4">
        <v>817395</v>
      </c>
      <c r="D60" s="11" t="s">
        <v>12</v>
      </c>
      <c r="E60" s="30">
        <f t="shared" si="21"/>
        <v>-56.331452877806733</v>
      </c>
      <c r="F60" s="4" t="s">
        <v>52</v>
      </c>
      <c r="G60" s="9">
        <f t="shared" si="23"/>
        <v>46054</v>
      </c>
      <c r="H60" s="4">
        <v>81541</v>
      </c>
      <c r="J60" s="13" t="s">
        <v>30</v>
      </c>
      <c r="K60" s="13" t="s">
        <v>71</v>
      </c>
      <c r="L60" s="14">
        <f t="shared" si="22"/>
        <v>84.492954668976651</v>
      </c>
      <c r="M60" s="15" t="s">
        <v>29</v>
      </c>
      <c r="N60" s="24" t="s">
        <v>82</v>
      </c>
      <c r="O60" s="24" t="s">
        <v>38</v>
      </c>
      <c r="P60" s="27">
        <v>0.66669999999999996</v>
      </c>
      <c r="Q60" s="35">
        <v>16.407991973779328</v>
      </c>
    </row>
    <row r="61" spans="1:17" x14ac:dyDescent="0.25">
      <c r="A61" s="4" t="str">
        <f t="shared" si="24"/>
        <v>CUSTO OFFSHORE USD 16,4079919737793 - CLAVE_MO - FEVEREIRO 26</v>
      </c>
      <c r="B61" s="9">
        <v>46054</v>
      </c>
      <c r="C61" s="4">
        <v>817395</v>
      </c>
      <c r="D61" s="11" t="s">
        <v>45</v>
      </c>
      <c r="E61" s="30">
        <f t="shared" si="21"/>
        <v>-28.161501791169915</v>
      </c>
      <c r="F61" s="4" t="s">
        <v>52</v>
      </c>
      <c r="G61" s="9">
        <f t="shared" si="23"/>
        <v>46054</v>
      </c>
      <c r="H61" s="4">
        <v>81541</v>
      </c>
      <c r="J61" s="13" t="s">
        <v>30</v>
      </c>
      <c r="K61" s="13" t="s">
        <v>71</v>
      </c>
      <c r="L61" s="14">
        <f t="shared" si="22"/>
        <v>84.492954668976651</v>
      </c>
      <c r="M61" s="15" t="s">
        <v>29</v>
      </c>
      <c r="N61" s="24" t="s">
        <v>82</v>
      </c>
      <c r="O61" s="24" t="s">
        <v>38</v>
      </c>
      <c r="P61" s="27">
        <v>0.33329999999999999</v>
      </c>
      <c r="Q61" s="37">
        <v>16.407991973779328</v>
      </c>
    </row>
    <row r="62" spans="1:17" x14ac:dyDescent="0.25">
      <c r="A62" s="4" t="str">
        <f t="shared" si="0"/>
        <v>CUSTO OFFSHORE USD 299,138904013085 - CITIGBL_MO - FEVEREIRO 26</v>
      </c>
      <c r="B62" s="9">
        <v>46054</v>
      </c>
      <c r="C62" s="4">
        <v>817395</v>
      </c>
      <c r="D62" s="11" t="s">
        <v>12</v>
      </c>
      <c r="E62" s="28">
        <f t="shared" si="21"/>
        <v>-770.20789310769112</v>
      </c>
      <c r="F62" s="4" t="s">
        <v>52</v>
      </c>
      <c r="G62" s="9">
        <f t="shared" si="23"/>
        <v>46054</v>
      </c>
      <c r="H62" s="4">
        <v>79791</v>
      </c>
      <c r="J62" s="13" t="s">
        <v>30</v>
      </c>
      <c r="K62" s="13" t="s">
        <v>48</v>
      </c>
      <c r="L62" s="14">
        <f t="shared" si="22"/>
        <v>1540.4157862153822</v>
      </c>
      <c r="M62" s="15" t="s">
        <v>29</v>
      </c>
      <c r="N62" s="24" t="s">
        <v>82</v>
      </c>
      <c r="O62" s="24" t="s">
        <v>38</v>
      </c>
      <c r="P62" s="27">
        <v>0.5</v>
      </c>
      <c r="Q62" s="35">
        <v>299.13890401308521</v>
      </c>
    </row>
    <row r="63" spans="1:17" x14ac:dyDescent="0.25">
      <c r="A63" s="4" t="str">
        <f t="shared" si="0"/>
        <v>CUSTO OFFSHORE USD 299,138904013085 - CITIGBL_MO - FEVEREIRO 26</v>
      </c>
      <c r="B63" s="9">
        <v>46054</v>
      </c>
      <c r="C63" s="4">
        <v>817395</v>
      </c>
      <c r="D63" s="11" t="s">
        <v>45</v>
      </c>
      <c r="E63" s="28">
        <f t="shared" si="21"/>
        <v>-770.20789310769112</v>
      </c>
      <c r="F63" s="4" t="s">
        <v>52</v>
      </c>
      <c r="G63" s="9">
        <f t="shared" si="23"/>
        <v>46054</v>
      </c>
      <c r="H63" s="4">
        <v>79791</v>
      </c>
      <c r="J63" s="13" t="s">
        <v>30</v>
      </c>
      <c r="K63" s="13" t="s">
        <v>48</v>
      </c>
      <c r="L63" s="14">
        <f t="shared" si="22"/>
        <v>1540.4157862153822</v>
      </c>
      <c r="M63" s="15" t="s">
        <v>29</v>
      </c>
      <c r="N63" s="24" t="s">
        <v>82</v>
      </c>
      <c r="O63" s="24" t="s">
        <v>38</v>
      </c>
      <c r="P63" s="27">
        <v>0.5</v>
      </c>
      <c r="Q63" s="37">
        <v>299.13890401308521</v>
      </c>
    </row>
    <row r="64" spans="1:17" x14ac:dyDescent="0.25">
      <c r="A64" s="4" t="str">
        <f t="shared" si="0"/>
        <v>CUSTO OFFSHORE USD 5706,53432797593 - GOLDMAN SACHS IL - BRAS - FEVEREIRO 26</v>
      </c>
      <c r="B64" s="9">
        <v>46054</v>
      </c>
      <c r="C64" s="4">
        <v>817395</v>
      </c>
      <c r="D64" s="11" t="s">
        <v>12</v>
      </c>
      <c r="E64" s="10">
        <f t="shared" si="21"/>
        <v>-29385.798521912067</v>
      </c>
      <c r="F64" s="4" t="s">
        <v>52</v>
      </c>
      <c r="G64" s="9">
        <f t="shared" si="23"/>
        <v>46054</v>
      </c>
      <c r="H64" s="4">
        <v>79791</v>
      </c>
      <c r="J64" s="13" t="s">
        <v>30</v>
      </c>
      <c r="K64" s="13" t="s">
        <v>24</v>
      </c>
      <c r="L64" s="14">
        <f t="shared" si="22"/>
        <v>29385.798521912067</v>
      </c>
      <c r="M64" s="15" t="s">
        <v>29</v>
      </c>
      <c r="N64" s="24" t="s">
        <v>82</v>
      </c>
      <c r="O64" s="24" t="s">
        <v>38</v>
      </c>
      <c r="P64" s="16">
        <v>1</v>
      </c>
      <c r="Q64" s="12">
        <v>5706.5343279759336</v>
      </c>
    </row>
    <row r="65" spans="1:17" x14ac:dyDescent="0.25">
      <c r="A65" s="4" t="str">
        <f t="shared" si="0"/>
        <v>CUSTO OFFSHORE USD 173,300410837205 - ITAÚ - MSCO - FEVEREIRO 26</v>
      </c>
      <c r="B65" s="9">
        <v>46054</v>
      </c>
      <c r="C65" s="4">
        <v>817395</v>
      </c>
      <c r="D65" s="11" t="s">
        <v>12</v>
      </c>
      <c r="E65" s="10">
        <f>-L65*P65</f>
        <v>-892.41046560618645</v>
      </c>
      <c r="F65" s="4" t="s">
        <v>52</v>
      </c>
      <c r="G65" s="9">
        <f t="shared" si="23"/>
        <v>46054</v>
      </c>
      <c r="H65" s="4">
        <v>79460</v>
      </c>
      <c r="J65" s="13" t="s">
        <v>30</v>
      </c>
      <c r="K65" s="13" t="s">
        <v>17</v>
      </c>
      <c r="L65" s="14">
        <f>IF(O65="USD",Q65*$S$1)</f>
        <v>892.41046560618645</v>
      </c>
      <c r="M65" s="15" t="s">
        <v>29</v>
      </c>
      <c r="N65" s="24" t="s">
        <v>82</v>
      </c>
      <c r="O65" s="24" t="s">
        <v>38</v>
      </c>
      <c r="P65" s="16">
        <v>1</v>
      </c>
      <c r="Q65" s="12">
        <v>173.30041083720488</v>
      </c>
    </row>
    <row r="66" spans="1:17" x14ac:dyDescent="0.25">
      <c r="A66" s="4" t="str">
        <f t="shared" si="0"/>
        <v>CUSTO OFFSHORE USD 1874,2 - ITAÚ - NASSAU - FEVEREIRO 26</v>
      </c>
      <c r="B66" s="9">
        <v>46054</v>
      </c>
      <c r="C66" s="4">
        <v>817395</v>
      </c>
      <c r="D66" s="11" t="s">
        <v>12</v>
      </c>
      <c r="E66" s="10">
        <f>-L66*P66</f>
        <v>-9651.1929</v>
      </c>
      <c r="F66" s="4" t="s">
        <v>52</v>
      </c>
      <c r="G66" s="9">
        <f t="shared" si="23"/>
        <v>46054</v>
      </c>
      <c r="H66" s="4">
        <v>79460</v>
      </c>
      <c r="J66" s="13" t="s">
        <v>30</v>
      </c>
      <c r="K66" s="13" t="s">
        <v>18</v>
      </c>
      <c r="L66" s="14">
        <f>IF(O66="USD",Q66*$S$1)</f>
        <v>9651.1929</v>
      </c>
      <c r="M66" s="15" t="s">
        <v>29</v>
      </c>
      <c r="N66" s="24" t="s">
        <v>82</v>
      </c>
      <c r="O66" s="24" t="s">
        <v>38</v>
      </c>
      <c r="P66" s="16">
        <v>1</v>
      </c>
      <c r="Q66" s="12">
        <v>1874.2</v>
      </c>
    </row>
    <row r="67" spans="1:17" x14ac:dyDescent="0.25">
      <c r="A67" s="4" t="str">
        <f t="shared" si="0"/>
        <v>CUSTO OFFSHORE USD 2,65529333526892 - BNP_MO - FEVEREIRO 26</v>
      </c>
      <c r="B67" s="9">
        <v>46054</v>
      </c>
      <c r="C67" s="4">
        <v>817395</v>
      </c>
      <c r="D67" s="11" t="s">
        <v>12</v>
      </c>
      <c r="E67" s="30">
        <f t="shared" ref="E67:E99" si="25">-L67*P67</f>
        <v>-13.673433029967319</v>
      </c>
      <c r="F67" s="4" t="s">
        <v>52</v>
      </c>
      <c r="G67" s="9">
        <f t="shared" si="23"/>
        <v>46054</v>
      </c>
      <c r="H67" s="4">
        <v>95005</v>
      </c>
      <c r="J67" s="13" t="s">
        <v>30</v>
      </c>
      <c r="K67" s="13" t="s">
        <v>57</v>
      </c>
      <c r="L67" s="14">
        <f t="shared" ref="L67:L78" si="26">IF(O67="USD",Q67*$S$1)</f>
        <v>13.673433029967319</v>
      </c>
      <c r="M67" s="15" t="s">
        <v>29</v>
      </c>
      <c r="N67" s="24" t="s">
        <v>82</v>
      </c>
      <c r="O67" s="24" t="s">
        <v>38</v>
      </c>
      <c r="P67" s="16">
        <v>1</v>
      </c>
      <c r="Q67" s="12">
        <v>2.6552933352689232</v>
      </c>
    </row>
    <row r="68" spans="1:17" x14ac:dyDescent="0.25">
      <c r="A68" s="4" t="str">
        <f t="shared" si="0"/>
        <v>CUSTO OFFSHORE USD 0,40019492618974 - ADAMGestao_MO - FEVEREIRO 26</v>
      </c>
      <c r="B68" s="9">
        <v>46054</v>
      </c>
      <c r="C68" s="4">
        <v>817395</v>
      </c>
      <c r="D68" s="11" t="s">
        <v>12</v>
      </c>
      <c r="E68" s="30">
        <f t="shared" si="25"/>
        <v>-2.0608037724140646</v>
      </c>
      <c r="F68" s="4" t="s">
        <v>52</v>
      </c>
      <c r="G68" s="9">
        <f t="shared" si="23"/>
        <v>46054</v>
      </c>
      <c r="H68" s="4">
        <v>79973</v>
      </c>
      <c r="J68" s="13" t="s">
        <v>30</v>
      </c>
      <c r="K68" s="13" t="s">
        <v>77</v>
      </c>
      <c r="L68" s="14">
        <f t="shared" si="26"/>
        <v>2.0608037724140646</v>
      </c>
      <c r="M68" s="15" t="s">
        <v>29</v>
      </c>
      <c r="N68" s="24" t="s">
        <v>82</v>
      </c>
      <c r="O68" s="24" t="s">
        <v>38</v>
      </c>
      <c r="P68" s="27">
        <v>1</v>
      </c>
      <c r="Q68" s="26">
        <v>0.40019492618973973</v>
      </c>
    </row>
    <row r="69" spans="1:17" x14ac:dyDescent="0.25">
      <c r="A69" s="4" t="str">
        <f t="shared" si="0"/>
        <v>CUSTO OFFSHORE USD 40,019492618974 - SPRINGS_MO - FEVEREIRO 26</v>
      </c>
      <c r="B69" s="9">
        <v>46054</v>
      </c>
      <c r="C69" s="4">
        <v>817395</v>
      </c>
      <c r="D69" s="11" t="s">
        <v>12</v>
      </c>
      <c r="E69" s="30">
        <f t="shared" si="25"/>
        <v>-137.37317946912154</v>
      </c>
      <c r="F69" s="4" t="s">
        <v>52</v>
      </c>
      <c r="G69" s="9">
        <f t="shared" si="23"/>
        <v>46054</v>
      </c>
      <c r="H69" s="4">
        <v>82748</v>
      </c>
      <c r="J69" s="13" t="s">
        <v>30</v>
      </c>
      <c r="K69" s="13" t="s">
        <v>56</v>
      </c>
      <c r="L69" s="14">
        <f t="shared" si="26"/>
        <v>206.08037724140644</v>
      </c>
      <c r="M69" s="15" t="s">
        <v>29</v>
      </c>
      <c r="N69" s="24" t="s">
        <v>82</v>
      </c>
      <c r="O69" s="24" t="s">
        <v>38</v>
      </c>
      <c r="P69" s="16">
        <v>0.66659999999999997</v>
      </c>
      <c r="Q69" s="35">
        <v>40.01949261897397</v>
      </c>
    </row>
    <row r="70" spans="1:17" x14ac:dyDescent="0.25">
      <c r="A70" s="4" t="str">
        <f t="shared" si="0"/>
        <v>CUSTO OFFSHORE USD 40,019492618974 - SPRINGS_MO - FEVEREIRO 26</v>
      </c>
      <c r="B70" s="9">
        <v>46054</v>
      </c>
      <c r="C70" s="4">
        <v>817395</v>
      </c>
      <c r="D70" s="11" t="s">
        <v>45</v>
      </c>
      <c r="E70" s="30">
        <f t="shared" si="25"/>
        <v>-68.686589734560769</v>
      </c>
      <c r="F70" s="4" t="s">
        <v>52</v>
      </c>
      <c r="G70" s="9">
        <f t="shared" si="23"/>
        <v>46054</v>
      </c>
      <c r="H70" s="4">
        <v>82748</v>
      </c>
      <c r="J70" s="13" t="s">
        <v>30</v>
      </c>
      <c r="K70" s="13" t="s">
        <v>56</v>
      </c>
      <c r="L70" s="14">
        <f t="shared" si="26"/>
        <v>206.08037724140644</v>
      </c>
      <c r="M70" s="15" t="s">
        <v>29</v>
      </c>
      <c r="N70" s="24" t="s">
        <v>82</v>
      </c>
      <c r="O70" s="24" t="s">
        <v>38</v>
      </c>
      <c r="P70" s="16">
        <v>0.33329999999999999</v>
      </c>
      <c r="Q70" s="37">
        <v>40.01949261897397</v>
      </c>
    </row>
    <row r="71" spans="1:17" x14ac:dyDescent="0.25">
      <c r="A71" s="4" t="str">
        <f t="shared" si="0"/>
        <v>CUSTO OFFSHORE USD 0,0736358664189121 - JPMPLC_MO - FEVEREIRO 26</v>
      </c>
      <c r="B71" s="9">
        <v>46054</v>
      </c>
      <c r="C71" s="4">
        <v>817395</v>
      </c>
      <c r="D71" s="11" t="s">
        <v>12</v>
      </c>
      <c r="E71" s="30">
        <f t="shared" si="25"/>
        <v>-0.25280456901259601</v>
      </c>
      <c r="F71" s="4" t="s">
        <v>52</v>
      </c>
      <c r="G71" s="9">
        <f t="shared" si="23"/>
        <v>46054</v>
      </c>
      <c r="H71" s="4">
        <v>81541</v>
      </c>
      <c r="J71" s="13" t="s">
        <v>30</v>
      </c>
      <c r="K71" s="13" t="s">
        <v>55</v>
      </c>
      <c r="L71" s="14">
        <f t="shared" si="26"/>
        <v>0.37918789412418785</v>
      </c>
      <c r="M71" s="15" t="s">
        <v>29</v>
      </c>
      <c r="N71" s="24" t="s">
        <v>82</v>
      </c>
      <c r="O71" s="24" t="s">
        <v>38</v>
      </c>
      <c r="P71" s="27">
        <v>0.66669999999999996</v>
      </c>
      <c r="Q71" s="35">
        <v>7.3635866418912108E-2</v>
      </c>
    </row>
    <row r="72" spans="1:17" x14ac:dyDescent="0.25">
      <c r="A72" s="4" t="str">
        <f t="shared" si="0"/>
        <v>CUSTO OFFSHORE USD 0,0736358664189121 - JPMPLC_MO - FEVEREIRO 26</v>
      </c>
      <c r="B72" s="9">
        <v>46054</v>
      </c>
      <c r="C72" s="4">
        <v>817395</v>
      </c>
      <c r="D72" s="11" t="s">
        <v>45</v>
      </c>
      <c r="E72" s="30">
        <f t="shared" si="25"/>
        <v>-0.12638332511159181</v>
      </c>
      <c r="F72" s="4" t="s">
        <v>52</v>
      </c>
      <c r="G72" s="9">
        <f t="shared" si="23"/>
        <v>46054</v>
      </c>
      <c r="H72" s="4">
        <v>81541</v>
      </c>
      <c r="J72" s="13" t="s">
        <v>30</v>
      </c>
      <c r="K72" s="13" t="s">
        <v>55</v>
      </c>
      <c r="L72" s="14">
        <f t="shared" si="26"/>
        <v>0.37918789412418785</v>
      </c>
      <c r="M72" s="15" t="s">
        <v>29</v>
      </c>
      <c r="N72" s="24" t="s">
        <v>82</v>
      </c>
      <c r="O72" s="24" t="s">
        <v>38</v>
      </c>
      <c r="P72" s="27">
        <v>0.33329999999999999</v>
      </c>
      <c r="Q72" s="37">
        <v>7.3635866418912108E-2</v>
      </c>
    </row>
    <row r="73" spans="1:17" x14ac:dyDescent="0.25">
      <c r="A73" s="4" t="str">
        <f t="shared" si="0"/>
        <v>CUSTO OFFSHORE USD 1280,62376380717 - KAPITALO - FEVEREIRO 26</v>
      </c>
      <c r="B73" s="9">
        <v>46054</v>
      </c>
      <c r="C73" s="4">
        <v>817395</v>
      </c>
      <c r="D73" s="11" t="s">
        <v>12</v>
      </c>
      <c r="E73" s="28">
        <f t="shared" si="25"/>
        <v>-4945.9290537937541</v>
      </c>
      <c r="F73" s="4" t="s">
        <v>52</v>
      </c>
      <c r="G73" s="9">
        <f t="shared" si="23"/>
        <v>46054</v>
      </c>
      <c r="H73" s="4">
        <v>12413</v>
      </c>
      <c r="J73" s="13" t="s">
        <v>30</v>
      </c>
      <c r="K73" s="13" t="s">
        <v>26</v>
      </c>
      <c r="L73" s="14">
        <f t="shared" si="26"/>
        <v>6594.572071725006</v>
      </c>
      <c r="M73" s="15" t="s">
        <v>29</v>
      </c>
      <c r="N73" s="24" t="s">
        <v>82</v>
      </c>
      <c r="O73" s="24" t="s">
        <v>38</v>
      </c>
      <c r="P73" s="27">
        <v>0.75</v>
      </c>
      <c r="Q73" s="35">
        <v>1280.6237638071671</v>
      </c>
    </row>
    <row r="74" spans="1:17" x14ac:dyDescent="0.25">
      <c r="A74" s="4" t="str">
        <f t="shared" si="0"/>
        <v>CUSTO OFFSHORE USD 1280,62376380717 - KAPITALO - FEVEREIRO 26</v>
      </c>
      <c r="B74" s="9">
        <v>46054</v>
      </c>
      <c r="C74" s="4">
        <v>817395</v>
      </c>
      <c r="D74" s="11" t="s">
        <v>45</v>
      </c>
      <c r="E74" s="28">
        <f t="shared" si="25"/>
        <v>-1648.6430179312515</v>
      </c>
      <c r="F74" s="4" t="s">
        <v>52</v>
      </c>
      <c r="G74" s="9">
        <f t="shared" si="23"/>
        <v>46054</v>
      </c>
      <c r="H74" s="4">
        <v>12413</v>
      </c>
      <c r="J74" s="13" t="s">
        <v>30</v>
      </c>
      <c r="K74" s="13" t="s">
        <v>26</v>
      </c>
      <c r="L74" s="14">
        <f t="shared" si="26"/>
        <v>6594.572071725006</v>
      </c>
      <c r="M74" s="15" t="s">
        <v>29</v>
      </c>
      <c r="N74" s="24" t="s">
        <v>82</v>
      </c>
      <c r="O74" s="24" t="s">
        <v>38</v>
      </c>
      <c r="P74" s="27">
        <v>0.25</v>
      </c>
      <c r="Q74" s="37">
        <v>1280.6237638071671</v>
      </c>
    </row>
    <row r="75" spans="1:17" x14ac:dyDescent="0.25">
      <c r="A75" s="4" t="str">
        <f t="shared" si="0"/>
        <v>CUSTO OFFSHORE USD 445,87277487011 - RPS - FEVEREIRO 26</v>
      </c>
      <c r="B75" s="9">
        <v>46054</v>
      </c>
      <c r="C75" s="4">
        <v>817395</v>
      </c>
      <c r="D75" s="11" t="s">
        <v>45</v>
      </c>
      <c r="E75" s="10">
        <f t="shared" si="25"/>
        <v>-1148.0109270968169</v>
      </c>
      <c r="F75" s="4" t="s">
        <v>52</v>
      </c>
      <c r="G75" s="9">
        <f t="shared" si="23"/>
        <v>46054</v>
      </c>
      <c r="H75" s="4">
        <v>12339</v>
      </c>
      <c r="J75" s="13" t="s">
        <v>30</v>
      </c>
      <c r="K75" s="13" t="s">
        <v>16</v>
      </c>
      <c r="L75" s="14">
        <f t="shared" si="26"/>
        <v>2296.0218541936338</v>
      </c>
      <c r="M75" s="15" t="s">
        <v>29</v>
      </c>
      <c r="N75" s="24" t="s">
        <v>82</v>
      </c>
      <c r="O75" s="24" t="s">
        <v>38</v>
      </c>
      <c r="P75" s="16">
        <v>0.5</v>
      </c>
      <c r="Q75" s="35">
        <v>445.87277487011045</v>
      </c>
    </row>
    <row r="76" spans="1:17" x14ac:dyDescent="0.25">
      <c r="A76" s="4" t="str">
        <f t="shared" si="0"/>
        <v>CUSTO OFFSHORE USD 445,87277487011 - RPS - FEVEREIRO 26</v>
      </c>
      <c r="B76" s="9">
        <v>46054</v>
      </c>
      <c r="C76" s="4">
        <v>817395</v>
      </c>
      <c r="D76" s="11" t="s">
        <v>12</v>
      </c>
      <c r="E76" s="28">
        <f t="shared" si="25"/>
        <v>-1148.0109270968169</v>
      </c>
      <c r="F76" s="4" t="s">
        <v>52</v>
      </c>
      <c r="G76" s="9">
        <f t="shared" si="23"/>
        <v>46054</v>
      </c>
      <c r="H76" s="4">
        <v>12339</v>
      </c>
      <c r="J76" s="13" t="s">
        <v>30</v>
      </c>
      <c r="K76" s="13" t="s">
        <v>16</v>
      </c>
      <c r="L76" s="34">
        <f t="shared" si="26"/>
        <v>2296.0218541936338</v>
      </c>
      <c r="M76" s="15" t="s">
        <v>29</v>
      </c>
      <c r="N76" s="24" t="s">
        <v>82</v>
      </c>
      <c r="O76" s="24" t="s">
        <v>38</v>
      </c>
      <c r="P76" s="27">
        <v>0.5</v>
      </c>
      <c r="Q76" s="37">
        <v>445.87277487011045</v>
      </c>
    </row>
    <row r="77" spans="1:17" x14ac:dyDescent="0.25">
      <c r="A77" s="4" t="str">
        <f t="shared" si="0"/>
        <v>CUSTO OFFSHORE USD 1168,52036069304 - SPX_MO - FEVEREIRO 26</v>
      </c>
      <c r="B77" s="9">
        <v>46054</v>
      </c>
      <c r="C77" s="4">
        <v>817395</v>
      </c>
      <c r="D77" s="11" t="s">
        <v>12</v>
      </c>
      <c r="E77" s="28">
        <f t="shared" si="25"/>
        <v>-3610.3773584333003</v>
      </c>
      <c r="F77" s="4" t="s">
        <v>52</v>
      </c>
      <c r="G77" s="9">
        <f t="shared" si="23"/>
        <v>46054</v>
      </c>
      <c r="H77" s="4">
        <v>79931</v>
      </c>
      <c r="J77" s="13" t="s">
        <v>30</v>
      </c>
      <c r="K77" s="13" t="s">
        <v>31</v>
      </c>
      <c r="L77" s="34">
        <f t="shared" si="26"/>
        <v>6017.2955973888338</v>
      </c>
      <c r="M77" s="15" t="s">
        <v>29</v>
      </c>
      <c r="N77" s="24" t="s">
        <v>82</v>
      </c>
      <c r="O77" s="24" t="s">
        <v>38</v>
      </c>
      <c r="P77" s="27">
        <v>0.6</v>
      </c>
      <c r="Q77" s="36">
        <v>1168.5203606930447</v>
      </c>
    </row>
    <row r="78" spans="1:17" x14ac:dyDescent="0.25">
      <c r="A78" s="17" t="str">
        <f t="shared" si="0"/>
        <v>CUSTO OFFSHORE USD 1168,52036069304 - SPX_MO - FEVEREIRO 26</v>
      </c>
      <c r="B78" s="18">
        <v>46054</v>
      </c>
      <c r="C78" s="17">
        <v>817395</v>
      </c>
      <c r="D78" s="23" t="s">
        <v>45</v>
      </c>
      <c r="E78" s="19">
        <f t="shared" si="25"/>
        <v>-2406.9182389555335</v>
      </c>
      <c r="F78" s="17" t="s">
        <v>52</v>
      </c>
      <c r="G78" s="18">
        <f t="shared" si="23"/>
        <v>46054</v>
      </c>
      <c r="H78" s="17">
        <v>79931</v>
      </c>
      <c r="I78" s="31"/>
      <c r="J78" s="20" t="s">
        <v>30</v>
      </c>
      <c r="K78" s="20" t="s">
        <v>31</v>
      </c>
      <c r="L78" s="33">
        <f t="shared" si="26"/>
        <v>6017.2955973888338</v>
      </c>
      <c r="M78" s="21" t="s">
        <v>29</v>
      </c>
      <c r="N78" s="25" t="s">
        <v>82</v>
      </c>
      <c r="O78" s="25" t="s">
        <v>38</v>
      </c>
      <c r="P78" s="22">
        <v>0.4</v>
      </c>
      <c r="Q78" s="37">
        <v>1168.5203606930447</v>
      </c>
    </row>
    <row r="79" spans="1:17" x14ac:dyDescent="0.25">
      <c r="A79" s="17" t="str">
        <f t="shared" si="0"/>
        <v>CUSTO OFFSHORE USD 408,28 - BGC - FEVEREIRO 26</v>
      </c>
      <c r="B79" s="18">
        <v>46054</v>
      </c>
      <c r="C79" s="17">
        <v>817395</v>
      </c>
      <c r="D79" s="23" t="s">
        <v>12</v>
      </c>
      <c r="E79" s="19">
        <f t="shared" si="25"/>
        <v>-2102.4378599999995</v>
      </c>
      <c r="F79" s="17" t="s">
        <v>33</v>
      </c>
      <c r="G79" s="18">
        <f t="shared" si="23"/>
        <v>46054</v>
      </c>
      <c r="H79" s="17">
        <v>1170</v>
      </c>
      <c r="I79" s="31"/>
      <c r="J79" s="20" t="s">
        <v>30</v>
      </c>
      <c r="K79" s="20" t="s">
        <v>21</v>
      </c>
      <c r="L79" s="33">
        <f t="shared" si="15"/>
        <v>2102.4378599999995</v>
      </c>
      <c r="M79" s="21" t="s">
        <v>29</v>
      </c>
      <c r="N79" s="25" t="s">
        <v>82</v>
      </c>
      <c r="O79" s="25" t="s">
        <v>38</v>
      </c>
      <c r="P79" s="22">
        <v>1</v>
      </c>
      <c r="Q79" s="26">
        <v>408.28</v>
      </c>
    </row>
    <row r="80" spans="1:17" s="44" customFormat="1" ht="12.75" customHeight="1" x14ac:dyDescent="0.25">
      <c r="A80" s="49" t="str">
        <f t="shared" si="0"/>
        <v>CUSTO OFFSHORE USD  - BGC - FEVEREIRO 26</v>
      </c>
      <c r="B80" s="50">
        <v>46054</v>
      </c>
      <c r="C80" s="49">
        <v>817395</v>
      </c>
      <c r="D80" s="51" t="s">
        <v>12</v>
      </c>
      <c r="E80" s="52">
        <f t="shared" si="25"/>
        <v>0</v>
      </c>
      <c r="F80" s="49" t="s">
        <v>40</v>
      </c>
      <c r="G80" s="50">
        <f t="shared" si="23"/>
        <v>46054</v>
      </c>
      <c r="H80" s="49">
        <v>1170</v>
      </c>
      <c r="J80" s="49" t="s">
        <v>30</v>
      </c>
      <c r="K80" s="49" t="s">
        <v>21</v>
      </c>
      <c r="L80" s="52">
        <f t="shared" si="15"/>
        <v>0</v>
      </c>
      <c r="M80" s="53" t="s">
        <v>29</v>
      </c>
      <c r="N80" s="51" t="s">
        <v>82</v>
      </c>
      <c r="O80" s="51" t="s">
        <v>38</v>
      </c>
      <c r="P80" s="54">
        <v>1</v>
      </c>
      <c r="Q80" s="52"/>
    </row>
    <row r="81" spans="1:17" x14ac:dyDescent="0.25">
      <c r="A81" s="4" t="str">
        <f t="shared" si="0"/>
        <v>CUSTO OFFSHORE USD 81,37 - BGC - FEVEREIRO 26</v>
      </c>
      <c r="B81" s="9">
        <v>46054</v>
      </c>
      <c r="C81" s="4">
        <v>817395</v>
      </c>
      <c r="D81" s="11" t="s">
        <v>47</v>
      </c>
      <c r="E81" s="12">
        <f t="shared" si="25"/>
        <v>-419.014815</v>
      </c>
      <c r="F81" s="4" t="s">
        <v>22</v>
      </c>
      <c r="G81" s="9">
        <f t="shared" si="23"/>
        <v>46054</v>
      </c>
      <c r="H81" s="4">
        <v>1170</v>
      </c>
      <c r="J81" s="13" t="s">
        <v>30</v>
      </c>
      <c r="K81" s="13" t="s">
        <v>21</v>
      </c>
      <c r="L81" s="14">
        <f t="shared" si="15"/>
        <v>419.014815</v>
      </c>
      <c r="M81" s="15" t="s">
        <v>29</v>
      </c>
      <c r="N81" s="24" t="s">
        <v>82</v>
      </c>
      <c r="O81" s="24" t="s">
        <v>38</v>
      </c>
      <c r="P81" s="16">
        <v>1</v>
      </c>
      <c r="Q81" s="12">
        <v>81.37</v>
      </c>
    </row>
    <row r="82" spans="1:17" x14ac:dyDescent="0.25">
      <c r="A82" s="17" t="str">
        <f t="shared" si="0"/>
        <v>CUSTO OFFSHORE USD 81,37 - BGC - FEVEREIRO 26</v>
      </c>
      <c r="B82" s="18">
        <v>46054</v>
      </c>
      <c r="C82" s="17">
        <v>817395</v>
      </c>
      <c r="D82" s="23" t="s">
        <v>12</v>
      </c>
      <c r="E82" s="26">
        <f t="shared" si="25"/>
        <v>-419.014815</v>
      </c>
      <c r="F82" s="17" t="s">
        <v>22</v>
      </c>
      <c r="G82" s="18">
        <f t="shared" si="23"/>
        <v>46054</v>
      </c>
      <c r="H82" s="17">
        <v>1170</v>
      </c>
      <c r="J82" s="20" t="s">
        <v>30</v>
      </c>
      <c r="K82" s="20" t="s">
        <v>21</v>
      </c>
      <c r="L82" s="33">
        <f t="shared" si="15"/>
        <v>419.014815</v>
      </c>
      <c r="M82" s="21" t="s">
        <v>29</v>
      </c>
      <c r="N82" s="25" t="s">
        <v>82</v>
      </c>
      <c r="O82" s="25" t="s">
        <v>38</v>
      </c>
      <c r="P82" s="22">
        <v>1</v>
      </c>
      <c r="Q82" s="26">
        <v>81.37</v>
      </c>
    </row>
    <row r="83" spans="1:17" x14ac:dyDescent="0.25">
      <c r="A83" s="4" t="str">
        <f>CONCATENATE(J83,Q83,M83,K83,M83,N83)</f>
        <v>CUSTO OFFSHORE USD 1023,12 - BGC BONDS - FEVEREIRO 26</v>
      </c>
      <c r="B83" s="9">
        <v>46054</v>
      </c>
      <c r="C83" s="4">
        <v>817395</v>
      </c>
      <c r="D83" s="11" t="s">
        <v>32</v>
      </c>
      <c r="E83" s="10">
        <f>-L83*P83</f>
        <v>-5268.5564399999994</v>
      </c>
      <c r="F83" s="4" t="s">
        <v>23</v>
      </c>
      <c r="G83" s="9">
        <f t="shared" si="23"/>
        <v>46054</v>
      </c>
      <c r="H83" s="4">
        <v>1170</v>
      </c>
      <c r="J83" s="13" t="s">
        <v>30</v>
      </c>
      <c r="K83" s="13" t="s">
        <v>51</v>
      </c>
      <c r="L83" s="14">
        <f>IF(O83="USD",Q83*$S$1)</f>
        <v>5268.5564399999994</v>
      </c>
      <c r="M83" s="15" t="s">
        <v>29</v>
      </c>
      <c r="N83" s="24" t="s">
        <v>82</v>
      </c>
      <c r="O83" s="24" t="s">
        <v>38</v>
      </c>
      <c r="P83" s="16">
        <v>1</v>
      </c>
      <c r="Q83" s="12">
        <v>1023.12</v>
      </c>
    </row>
    <row r="84" spans="1:17" x14ac:dyDescent="0.25">
      <c r="A84" s="4" t="str">
        <f>CONCATENATE(J84,Q84,M84,K84,M84,N84)</f>
        <v>CUSTO OFFSHORE USD 1157,46 - BGC - FEVEREIRO 26</v>
      </c>
      <c r="B84" s="9">
        <v>46054</v>
      </c>
      <c r="C84" s="4">
        <v>817395</v>
      </c>
      <c r="D84" s="11" t="s">
        <v>46</v>
      </c>
      <c r="E84" s="10">
        <f>-L84*P84</f>
        <v>-5960.3402699999997</v>
      </c>
      <c r="F84" s="4" t="s">
        <v>23</v>
      </c>
      <c r="G84" s="9">
        <f t="shared" si="23"/>
        <v>46054</v>
      </c>
      <c r="H84" s="4">
        <v>1170</v>
      </c>
      <c r="J84" s="13" t="s">
        <v>30</v>
      </c>
      <c r="K84" s="13" t="s">
        <v>21</v>
      </c>
      <c r="L84" s="14">
        <f>IF(O84="USD",Q84*$S$1)</f>
        <v>5960.3402699999997</v>
      </c>
      <c r="M84" s="15" t="s">
        <v>29</v>
      </c>
      <c r="N84" s="24" t="s">
        <v>82</v>
      </c>
      <c r="O84" s="24" t="s">
        <v>38</v>
      </c>
      <c r="P84" s="16">
        <v>1</v>
      </c>
      <c r="Q84" s="12">
        <v>1157.46</v>
      </c>
    </row>
    <row r="85" spans="1:17" x14ac:dyDescent="0.25">
      <c r="A85" s="4" t="str">
        <f>CONCATENATE(J85,Q85,M85,K85,M85,N85)</f>
        <v>CUSTO OFFSHORE USD 367,5 - VINLAND  - FEVEREIRO 26</v>
      </c>
      <c r="B85" s="9">
        <v>46054</v>
      </c>
      <c r="C85" s="4">
        <v>817395</v>
      </c>
      <c r="D85" s="11" t="s">
        <v>47</v>
      </c>
      <c r="E85" s="10">
        <f>-L85*P85</f>
        <v>-1892.4412499999999</v>
      </c>
      <c r="F85" s="4" t="s">
        <v>23</v>
      </c>
      <c r="G85" s="9">
        <f t="shared" si="23"/>
        <v>46054</v>
      </c>
      <c r="H85" s="4">
        <v>80359</v>
      </c>
      <c r="J85" s="13" t="s">
        <v>30</v>
      </c>
      <c r="K85" s="13" t="s">
        <v>20</v>
      </c>
      <c r="L85" s="14">
        <f>IF(O85="USD",Q85*$S$1)</f>
        <v>1892.4412499999999</v>
      </c>
      <c r="M85" s="15" t="s">
        <v>29</v>
      </c>
      <c r="N85" s="24" t="s">
        <v>82</v>
      </c>
      <c r="O85" s="24" t="s">
        <v>38</v>
      </c>
      <c r="P85" s="16">
        <v>1</v>
      </c>
      <c r="Q85" s="12">
        <v>367.5</v>
      </c>
    </row>
    <row r="86" spans="1:17" x14ac:dyDescent="0.25">
      <c r="A86" s="4" t="str">
        <f>CONCATENATE(J86,Q86,M86,K86,M86,N86)</f>
        <v>CUSTO OFFSHORE USD 8365 - BGC NDF OFFSHORE - FEVEREIRO 26</v>
      </c>
      <c r="B86" s="9">
        <v>46054</v>
      </c>
      <c r="C86" s="4">
        <v>817395</v>
      </c>
      <c r="D86" s="11" t="s">
        <v>58</v>
      </c>
      <c r="E86" s="10">
        <f t="shared" si="25"/>
        <v>-41759.87025</v>
      </c>
      <c r="F86" s="4" t="s">
        <v>23</v>
      </c>
      <c r="G86" s="9">
        <f t="shared" si="23"/>
        <v>46054</v>
      </c>
      <c r="H86" s="4">
        <v>1170</v>
      </c>
      <c r="J86" s="13" t="s">
        <v>30</v>
      </c>
      <c r="K86" s="13" t="s">
        <v>35</v>
      </c>
      <c r="L86" s="14">
        <f>IF(O86="USD",Q86*$S$1)</f>
        <v>43075.567499999997</v>
      </c>
      <c r="M86" s="15" t="s">
        <v>29</v>
      </c>
      <c r="N86" s="24" t="s">
        <v>82</v>
      </c>
      <c r="O86" s="24" t="s">
        <v>38</v>
      </c>
      <c r="P86" s="16">
        <v>0.96945606694560671</v>
      </c>
      <c r="Q86" s="30">
        <v>8365</v>
      </c>
    </row>
    <row r="87" spans="1:17" x14ac:dyDescent="0.25">
      <c r="A87" s="4" t="str">
        <f>CONCATENATE(J87,Q87,M87,K87,M87,N87)</f>
        <v>CUSTO OFFSHORE USD 8365 - BGC NDF OFFSHORE - FEVEREIRO 26</v>
      </c>
      <c r="B87" s="9">
        <v>46054</v>
      </c>
      <c r="C87" s="4">
        <v>817395</v>
      </c>
      <c r="D87" s="11" t="s">
        <v>43</v>
      </c>
      <c r="E87" s="10">
        <f t="shared" si="25"/>
        <v>-865.11599999999999</v>
      </c>
      <c r="F87" s="4" t="s">
        <v>23</v>
      </c>
      <c r="G87" s="9">
        <f t="shared" si="23"/>
        <v>46054</v>
      </c>
      <c r="H87" s="4">
        <v>1170</v>
      </c>
      <c r="J87" s="13" t="s">
        <v>30</v>
      </c>
      <c r="K87" s="13" t="s">
        <v>35</v>
      </c>
      <c r="L87" s="14">
        <f>IF(O87="USD",Q87*$S$1)</f>
        <v>43075.567499999997</v>
      </c>
      <c r="M87" s="15" t="s">
        <v>29</v>
      </c>
      <c r="N87" s="24" t="s">
        <v>82</v>
      </c>
      <c r="O87" s="24" t="s">
        <v>38</v>
      </c>
      <c r="P87" s="16">
        <v>2.0083682008368201E-2</v>
      </c>
      <c r="Q87" s="30">
        <v>8365</v>
      </c>
    </row>
    <row r="88" spans="1:17" x14ac:dyDescent="0.25">
      <c r="A88" s="17" t="str">
        <f t="shared" si="0"/>
        <v>CUSTO OFFSHORE USD 8365 - BGC NDF OFFSHORE - FEVEREIRO 26</v>
      </c>
      <c r="B88" s="18">
        <v>46054</v>
      </c>
      <c r="C88" s="17">
        <v>817395</v>
      </c>
      <c r="D88" s="23" t="s">
        <v>42</v>
      </c>
      <c r="E88" s="19">
        <f t="shared" si="25"/>
        <v>-450.58124999999995</v>
      </c>
      <c r="F88" s="17" t="s">
        <v>23</v>
      </c>
      <c r="G88" s="18">
        <f t="shared" si="23"/>
        <v>46054</v>
      </c>
      <c r="H88" s="17">
        <v>1170</v>
      </c>
      <c r="I88" s="31"/>
      <c r="J88" s="20" t="s">
        <v>30</v>
      </c>
      <c r="K88" s="20" t="s">
        <v>35</v>
      </c>
      <c r="L88" s="33">
        <f t="shared" si="15"/>
        <v>43075.567499999997</v>
      </c>
      <c r="M88" s="21" t="s">
        <v>29</v>
      </c>
      <c r="N88" s="25" t="s">
        <v>82</v>
      </c>
      <c r="O88" s="25" t="s">
        <v>38</v>
      </c>
      <c r="P88" s="22">
        <v>1.0460251046025104E-2</v>
      </c>
      <c r="Q88" s="26">
        <v>8365</v>
      </c>
    </row>
    <row r="89" spans="1:17" x14ac:dyDescent="0.25">
      <c r="A89" s="4" t="str">
        <f t="shared" si="0"/>
        <v>CUSTO OFFSHORE USD 1731 - BGC DI FUTURES - FEVEREIRO 26</v>
      </c>
      <c r="B89" s="9">
        <v>46054</v>
      </c>
      <c r="C89" s="4">
        <v>817395</v>
      </c>
      <c r="D89" s="32" t="s">
        <v>28</v>
      </c>
      <c r="E89" s="10">
        <f t="shared" si="25"/>
        <v>-3263.0818258928566</v>
      </c>
      <c r="F89" s="4" t="s">
        <v>23</v>
      </c>
      <c r="G89" s="9">
        <f t="shared" si="23"/>
        <v>46054</v>
      </c>
      <c r="H89" s="4">
        <v>1170</v>
      </c>
      <c r="J89" s="13" t="s">
        <v>30</v>
      </c>
      <c r="K89" s="13" t="s">
        <v>34</v>
      </c>
      <c r="L89" s="14">
        <f t="shared" si="15"/>
        <v>8913.7844999999998</v>
      </c>
      <c r="M89" s="15" t="s">
        <v>29</v>
      </c>
      <c r="N89" s="24" t="s">
        <v>82</v>
      </c>
      <c r="O89" s="24" t="s">
        <v>38</v>
      </c>
      <c r="P89" s="27">
        <v>0.36607142857142855</v>
      </c>
      <c r="Q89" s="30">
        <v>1731</v>
      </c>
    </row>
    <row r="90" spans="1:17" x14ac:dyDescent="0.25">
      <c r="A90" s="4" t="str">
        <f t="shared" si="0"/>
        <v>CUSTO OFFSHORE USD 1731 - BGC DI FUTURES - FEVEREIRO 26</v>
      </c>
      <c r="B90" s="9">
        <v>46054</v>
      </c>
      <c r="C90" s="4">
        <v>817395</v>
      </c>
      <c r="D90" s="32" t="s">
        <v>32</v>
      </c>
      <c r="E90" s="10">
        <f t="shared" si="25"/>
        <v>-636.69889285714282</v>
      </c>
      <c r="F90" s="4" t="s">
        <v>23</v>
      </c>
      <c r="G90" s="9">
        <f t="shared" si="23"/>
        <v>46054</v>
      </c>
      <c r="H90" s="4">
        <v>1170</v>
      </c>
      <c r="J90" s="13" t="s">
        <v>30</v>
      </c>
      <c r="K90" s="13" t="s">
        <v>34</v>
      </c>
      <c r="L90" s="14">
        <f t="shared" si="15"/>
        <v>8913.7844999999998</v>
      </c>
      <c r="M90" s="15" t="s">
        <v>29</v>
      </c>
      <c r="N90" s="24" t="s">
        <v>82</v>
      </c>
      <c r="O90" s="24" t="s">
        <v>38</v>
      </c>
      <c r="P90" s="27">
        <v>7.1428571428571425E-2</v>
      </c>
      <c r="Q90" s="30">
        <v>1731</v>
      </c>
    </row>
    <row r="91" spans="1:17" x14ac:dyDescent="0.25">
      <c r="A91" s="4" t="str">
        <f t="shared" si="0"/>
        <v>CUSTO OFFSHORE USD 1731 - BGC DI FUTURES - FEVEREIRO 26</v>
      </c>
      <c r="B91" s="9">
        <v>46054</v>
      </c>
      <c r="C91" s="4">
        <v>817395</v>
      </c>
      <c r="D91" s="32" t="s">
        <v>25</v>
      </c>
      <c r="E91" s="10">
        <f t="shared" si="25"/>
        <v>-955.04833928571406</v>
      </c>
      <c r="F91" s="4" t="s">
        <v>23</v>
      </c>
      <c r="G91" s="9">
        <f t="shared" si="23"/>
        <v>46054</v>
      </c>
      <c r="H91" s="4">
        <v>1170</v>
      </c>
      <c r="J91" s="13" t="s">
        <v>30</v>
      </c>
      <c r="K91" s="13" t="s">
        <v>34</v>
      </c>
      <c r="L91" s="14">
        <f t="shared" si="15"/>
        <v>8913.7844999999998</v>
      </c>
      <c r="M91" s="15" t="s">
        <v>29</v>
      </c>
      <c r="N91" s="24" t="s">
        <v>82</v>
      </c>
      <c r="O91" s="24" t="s">
        <v>38</v>
      </c>
      <c r="P91" s="27">
        <v>0.10714285714285712</v>
      </c>
      <c r="Q91" s="30">
        <v>1731</v>
      </c>
    </row>
    <row r="92" spans="1:17" x14ac:dyDescent="0.25">
      <c r="A92" s="17" t="str">
        <f t="shared" si="0"/>
        <v>CUSTO OFFSHORE USD 1731 - BGC DI FUTURES - FEVEREIRO 26</v>
      </c>
      <c r="B92" s="18">
        <v>46054</v>
      </c>
      <c r="C92" s="17">
        <v>817395</v>
      </c>
      <c r="D92" s="23" t="s">
        <v>41</v>
      </c>
      <c r="E92" s="19">
        <f t="shared" si="25"/>
        <v>-4058.9554419642859</v>
      </c>
      <c r="F92" s="17" t="s">
        <v>23</v>
      </c>
      <c r="G92" s="18">
        <f t="shared" si="23"/>
        <v>46054</v>
      </c>
      <c r="H92" s="17">
        <v>1170</v>
      </c>
      <c r="J92" s="20" t="s">
        <v>30</v>
      </c>
      <c r="K92" s="20" t="s">
        <v>34</v>
      </c>
      <c r="L92" s="33">
        <f t="shared" si="15"/>
        <v>8913.7844999999998</v>
      </c>
      <c r="M92" s="21" t="s">
        <v>29</v>
      </c>
      <c r="N92" s="25" t="s">
        <v>82</v>
      </c>
      <c r="O92" s="25" t="s">
        <v>38</v>
      </c>
      <c r="P92" s="22">
        <v>0.4553571428571429</v>
      </c>
      <c r="Q92" s="26">
        <v>1731</v>
      </c>
    </row>
    <row r="93" spans="1:17" x14ac:dyDescent="0.25">
      <c r="A93" s="17" t="str">
        <f t="shared" si="0"/>
        <v>CUSTO OFFSHORE USD 1742,14 - BGC - FEVEREIRO 26</v>
      </c>
      <c r="B93" s="18">
        <v>46054</v>
      </c>
      <c r="C93" s="17">
        <v>817395</v>
      </c>
      <c r="D93" s="23" t="s">
        <v>12</v>
      </c>
      <c r="E93" s="26">
        <f t="shared" si="25"/>
        <v>-1742.14</v>
      </c>
      <c r="F93" s="17" t="s">
        <v>53</v>
      </c>
      <c r="G93" s="18">
        <f t="shared" si="23"/>
        <v>46054</v>
      </c>
      <c r="H93" s="17">
        <v>1170</v>
      </c>
      <c r="I93" s="31"/>
      <c r="J93" s="20" t="s">
        <v>30</v>
      </c>
      <c r="K93" s="20" t="s">
        <v>21</v>
      </c>
      <c r="L93" s="33">
        <f>IF(O93="USD",Q93*$S$1,Q93)</f>
        <v>1742.14</v>
      </c>
      <c r="M93" s="21" t="s">
        <v>29</v>
      </c>
      <c r="N93" s="25" t="s">
        <v>82</v>
      </c>
      <c r="O93" s="25" t="s">
        <v>54</v>
      </c>
      <c r="P93" s="22">
        <v>1</v>
      </c>
      <c r="Q93" s="26">
        <v>1742.14</v>
      </c>
    </row>
    <row r="94" spans="1:17" x14ac:dyDescent="0.25">
      <c r="A94" s="4" t="str">
        <f t="shared" si="0"/>
        <v>CUSTO OFFSHORE USD 3413,29 - BGC - GALBUQUERQUE - FEVEREIRO 26</v>
      </c>
      <c r="B94" s="9">
        <v>46054</v>
      </c>
      <c r="C94" s="4">
        <v>817395</v>
      </c>
      <c r="D94" s="11" t="s">
        <v>47</v>
      </c>
      <c r="E94" s="12">
        <f t="shared" si="25"/>
        <v>-17576.736854999999</v>
      </c>
      <c r="F94" s="4" t="s">
        <v>36</v>
      </c>
      <c r="G94" s="9">
        <f t="shared" si="23"/>
        <v>46054</v>
      </c>
      <c r="H94" s="4">
        <v>1170</v>
      </c>
      <c r="J94" s="13" t="s">
        <v>30</v>
      </c>
      <c r="K94" s="13" t="s">
        <v>64</v>
      </c>
      <c r="L94" s="14">
        <f t="shared" si="15"/>
        <v>17576.736854999999</v>
      </c>
      <c r="M94" s="15" t="s">
        <v>29</v>
      </c>
      <c r="N94" s="24" t="s">
        <v>82</v>
      </c>
      <c r="O94" s="24" t="s">
        <v>38</v>
      </c>
      <c r="P94" s="16">
        <v>1</v>
      </c>
      <c r="Q94" s="12">
        <v>3413.29</v>
      </c>
    </row>
    <row r="95" spans="1:17" x14ac:dyDescent="0.25">
      <c r="A95" s="4" t="str">
        <f t="shared" si="0"/>
        <v>CUSTO OFFSHORE USD 3413,29 - BGC - CMALTA - FEVEREIRO 26</v>
      </c>
      <c r="B95" s="9">
        <v>46054</v>
      </c>
      <c r="C95" s="4">
        <v>817395</v>
      </c>
      <c r="D95" s="11" t="s">
        <v>47</v>
      </c>
      <c r="E95" s="12">
        <f t="shared" si="25"/>
        <v>-17576.736854999999</v>
      </c>
      <c r="F95" s="4" t="s">
        <v>36</v>
      </c>
      <c r="G95" s="9">
        <f t="shared" si="23"/>
        <v>46054</v>
      </c>
      <c r="H95" s="4">
        <v>1170</v>
      </c>
      <c r="J95" s="13" t="s">
        <v>30</v>
      </c>
      <c r="K95" s="13" t="s">
        <v>65</v>
      </c>
      <c r="L95" s="14">
        <f t="shared" si="15"/>
        <v>17576.736854999999</v>
      </c>
      <c r="M95" s="15" t="s">
        <v>29</v>
      </c>
      <c r="N95" s="24" t="s">
        <v>82</v>
      </c>
      <c r="O95" s="24" t="s">
        <v>38</v>
      </c>
      <c r="P95" s="16">
        <v>1</v>
      </c>
      <c r="Q95" s="12">
        <v>3413.29</v>
      </c>
    </row>
    <row r="96" spans="1:17" x14ac:dyDescent="0.25">
      <c r="A96" s="4" t="str">
        <f t="shared" ref="A96:A97" si="27">CONCATENATE(J96,Q96,M96,K96,M96,N96)</f>
        <v>CUSTO OFFSHORE USD 3413,29 - BGC - CPACINI - FEVEREIRO 26</v>
      </c>
      <c r="B96" s="9">
        <v>46054</v>
      </c>
      <c r="C96" s="4">
        <v>817395</v>
      </c>
      <c r="D96" s="11" t="s">
        <v>61</v>
      </c>
      <c r="E96" s="30">
        <f t="shared" si="25"/>
        <v>-17576.736854999999</v>
      </c>
      <c r="F96" s="4" t="s">
        <v>36</v>
      </c>
      <c r="G96" s="9">
        <f t="shared" si="23"/>
        <v>46054</v>
      </c>
      <c r="H96" s="4">
        <v>1170</v>
      </c>
      <c r="J96" s="13" t="s">
        <v>30</v>
      </c>
      <c r="K96" s="13" t="s">
        <v>63</v>
      </c>
      <c r="L96" s="14">
        <f t="shared" ref="L96:L97" si="28">IF(O96="USD",Q96*$S$1)</f>
        <v>17576.736854999999</v>
      </c>
      <c r="M96" s="15" t="s">
        <v>29</v>
      </c>
      <c r="N96" s="24" t="s">
        <v>82</v>
      </c>
      <c r="O96" s="24" t="s">
        <v>38</v>
      </c>
      <c r="P96" s="27">
        <v>1</v>
      </c>
      <c r="Q96" s="12">
        <v>3413.29</v>
      </c>
    </row>
    <row r="97" spans="1:17" x14ac:dyDescent="0.25">
      <c r="A97" s="4" t="str">
        <f t="shared" si="27"/>
        <v>CUSTO OFFSHORE USD 3413,29 - BGC - AFIUZA - FEVEREIRO 26</v>
      </c>
      <c r="B97" s="9">
        <v>46054</v>
      </c>
      <c r="C97" s="4">
        <v>817395</v>
      </c>
      <c r="D97" s="11" t="s">
        <v>61</v>
      </c>
      <c r="E97" s="30">
        <f t="shared" si="25"/>
        <v>-17576.736854999999</v>
      </c>
      <c r="F97" s="4" t="s">
        <v>36</v>
      </c>
      <c r="G97" s="9">
        <f t="shared" si="23"/>
        <v>46054</v>
      </c>
      <c r="H97" s="4">
        <v>1170</v>
      </c>
      <c r="J97" s="13" t="s">
        <v>30</v>
      </c>
      <c r="K97" s="13" t="s">
        <v>62</v>
      </c>
      <c r="L97" s="14">
        <f t="shared" si="28"/>
        <v>17576.736854999999</v>
      </c>
      <c r="M97" s="15" t="s">
        <v>29</v>
      </c>
      <c r="N97" s="24" t="s">
        <v>82</v>
      </c>
      <c r="O97" s="24" t="s">
        <v>38</v>
      </c>
      <c r="P97" s="27">
        <v>1</v>
      </c>
      <c r="Q97" s="12">
        <v>3413.29</v>
      </c>
    </row>
    <row r="98" spans="1:17" x14ac:dyDescent="0.25">
      <c r="A98" s="4" t="str">
        <f>CONCATENATE(J98,Q99,M98,K98,M98,N98)</f>
        <v>CUSTO OFFSHORE USD 3413,29 - BGC - JJUNQUEIRA - FEVEREIRO 26</v>
      </c>
      <c r="B98" s="9">
        <v>46054</v>
      </c>
      <c r="C98" s="4">
        <v>817395</v>
      </c>
      <c r="D98" s="11" t="s">
        <v>12</v>
      </c>
      <c r="E98" s="30">
        <f t="shared" si="25"/>
        <v>-17576.736854999999</v>
      </c>
      <c r="F98" s="4" t="s">
        <v>36</v>
      </c>
      <c r="G98" s="9">
        <f t="shared" si="23"/>
        <v>46054</v>
      </c>
      <c r="H98" s="4">
        <v>1170</v>
      </c>
      <c r="J98" s="13" t="s">
        <v>30</v>
      </c>
      <c r="K98" s="13" t="s">
        <v>66</v>
      </c>
      <c r="L98" s="14">
        <f>IF(O98="USD",Q99*$S$1)</f>
        <v>17576.736854999999</v>
      </c>
      <c r="M98" s="15" t="s">
        <v>29</v>
      </c>
      <c r="N98" s="24" t="s">
        <v>82</v>
      </c>
      <c r="O98" s="24" t="s">
        <v>38</v>
      </c>
      <c r="P98" s="27">
        <v>1</v>
      </c>
      <c r="Q98" s="30">
        <v>3413.29</v>
      </c>
    </row>
    <row r="99" spans="1:17" x14ac:dyDescent="0.25">
      <c r="A99" s="17" t="str">
        <f>CONCATENATE(J99,Q99,M99,K99,M99,N99)</f>
        <v>CUSTO OFFSHORE USD 3413,29 - BGC - ASOARES - FEVEREIRO 26</v>
      </c>
      <c r="B99" s="18">
        <v>46054</v>
      </c>
      <c r="C99" s="17">
        <v>817395</v>
      </c>
      <c r="D99" s="23" t="s">
        <v>12</v>
      </c>
      <c r="E99" s="19">
        <f t="shared" si="25"/>
        <v>-17576.736854999999</v>
      </c>
      <c r="F99" s="17" t="s">
        <v>36</v>
      </c>
      <c r="G99" s="18">
        <f t="shared" si="23"/>
        <v>46054</v>
      </c>
      <c r="H99" s="17">
        <v>1170</v>
      </c>
      <c r="J99" s="20" t="s">
        <v>30</v>
      </c>
      <c r="K99" s="20" t="s">
        <v>67</v>
      </c>
      <c r="L99" s="33">
        <f>IF(O99="USD",Q99*$S$1)</f>
        <v>17576.736854999999</v>
      </c>
      <c r="M99" s="21" t="s">
        <v>29</v>
      </c>
      <c r="N99" s="25" t="s">
        <v>82</v>
      </c>
      <c r="O99" s="25" t="s">
        <v>38</v>
      </c>
      <c r="P99" s="22">
        <v>1</v>
      </c>
      <c r="Q99" s="30">
        <v>3413.29</v>
      </c>
    </row>
    <row r="100" spans="1:17" x14ac:dyDescent="0.25">
      <c r="A100" s="4" t="str">
        <f t="shared" ref="A100:A130" si="29">CONCATENATE(J100,Q100,M100,K100,M100,N100)</f>
        <v>CUSTO OFFSHORE USD 44,2741755588997 - ASSET1 - FEVEREIRO 26</v>
      </c>
      <c r="B100" s="9">
        <v>46054</v>
      </c>
      <c r="C100" s="4">
        <v>817395</v>
      </c>
      <c r="D100" s="11" t="s">
        <v>12</v>
      </c>
      <c r="E100" s="12">
        <f>-L100*P100</f>
        <v>-76.011821671320789</v>
      </c>
      <c r="F100" s="4" t="s">
        <v>44</v>
      </c>
      <c r="G100" s="9">
        <f t="shared" si="23"/>
        <v>46054</v>
      </c>
      <c r="H100" s="4">
        <v>80834</v>
      </c>
      <c r="J100" s="13" t="s">
        <v>30</v>
      </c>
      <c r="K100" s="13" t="s">
        <v>14</v>
      </c>
      <c r="L100" s="14">
        <f>IF(O100="USD",Q100*$S$1)</f>
        <v>227.98986704055426</v>
      </c>
      <c r="M100" s="15" t="s">
        <v>29</v>
      </c>
      <c r="N100" s="24" t="s">
        <v>82</v>
      </c>
      <c r="O100" s="24" t="s">
        <v>38</v>
      </c>
      <c r="P100" s="16">
        <v>0.33339999999999997</v>
      </c>
      <c r="Q100" s="35">
        <v>44.274175558899749</v>
      </c>
    </row>
    <row r="101" spans="1:17" x14ac:dyDescent="0.25">
      <c r="A101" s="4" t="str">
        <f t="shared" si="29"/>
        <v>CUSTO OFFSHORE USD 44,2741755588997 - ASSET1 - FEVEREIRO 26</v>
      </c>
      <c r="B101" s="9">
        <v>46054</v>
      </c>
      <c r="C101" s="4">
        <v>817395</v>
      </c>
      <c r="D101" s="11" t="s">
        <v>45</v>
      </c>
      <c r="E101" s="12">
        <f t="shared" ref="E101:E130" si="30">-L101*P101</f>
        <v>-75.989022684616728</v>
      </c>
      <c r="F101" s="4" t="s">
        <v>44</v>
      </c>
      <c r="G101" s="9">
        <f t="shared" si="23"/>
        <v>46054</v>
      </c>
      <c r="H101" s="4">
        <v>80834</v>
      </c>
      <c r="J101" s="13" t="s">
        <v>30</v>
      </c>
      <c r="K101" s="13" t="s">
        <v>14</v>
      </c>
      <c r="L101" s="14">
        <f t="shared" ref="L101:L125" si="31">IF(O101="USD",Q101*$S$1)</f>
        <v>227.98986704055426</v>
      </c>
      <c r="M101" s="15" t="s">
        <v>29</v>
      </c>
      <c r="N101" s="24" t="s">
        <v>82</v>
      </c>
      <c r="O101" s="24" t="s">
        <v>38</v>
      </c>
      <c r="P101" s="16">
        <v>0.33329999999999999</v>
      </c>
      <c r="Q101" s="36">
        <v>44.274175558899749</v>
      </c>
    </row>
    <row r="102" spans="1:17" x14ac:dyDescent="0.25">
      <c r="A102" s="4" t="str">
        <f>CONCATENATE(J102,Q102,M102,K102,M102,N102)</f>
        <v>CUSTO OFFSHORE USD 44,2741755588997 - ASSET1 - FEVEREIRO 26</v>
      </c>
      <c r="B102" s="9">
        <v>46054</v>
      </c>
      <c r="C102" s="4">
        <v>817395</v>
      </c>
      <c r="D102" s="11" t="s">
        <v>46</v>
      </c>
      <c r="E102" s="12">
        <f t="shared" si="30"/>
        <v>-75.989022684616728</v>
      </c>
      <c r="F102" s="4" t="s">
        <v>44</v>
      </c>
      <c r="G102" s="9">
        <f t="shared" si="23"/>
        <v>46054</v>
      </c>
      <c r="H102" s="4">
        <v>80834</v>
      </c>
      <c r="J102" s="13" t="s">
        <v>30</v>
      </c>
      <c r="K102" s="13" t="s">
        <v>14</v>
      </c>
      <c r="L102" s="14">
        <f t="shared" si="31"/>
        <v>227.98986704055426</v>
      </c>
      <c r="M102" s="15" t="s">
        <v>29</v>
      </c>
      <c r="N102" s="24" t="s">
        <v>82</v>
      </c>
      <c r="O102" s="24" t="s">
        <v>38</v>
      </c>
      <c r="P102" s="16">
        <v>0.33329999999999999</v>
      </c>
      <c r="Q102" s="37">
        <v>44.274175558899749</v>
      </c>
    </row>
    <row r="103" spans="1:17" x14ac:dyDescent="0.25">
      <c r="A103" s="4" t="str">
        <f t="shared" si="29"/>
        <v>CUSTO OFFSHORE USD 168,543897867825 - RPS - FEVEREIRO 26</v>
      </c>
      <c r="B103" s="9">
        <v>46054</v>
      </c>
      <c r="C103" s="4">
        <v>817395</v>
      </c>
      <c r="D103" s="11" t="s">
        <v>45</v>
      </c>
      <c r="E103" s="10">
        <f t="shared" si="30"/>
        <v>-433.95840103518248</v>
      </c>
      <c r="F103" s="4" t="s">
        <v>44</v>
      </c>
      <c r="G103" s="9">
        <f t="shared" si="23"/>
        <v>46054</v>
      </c>
      <c r="H103" s="4">
        <v>12339</v>
      </c>
      <c r="J103" s="13" t="s">
        <v>30</v>
      </c>
      <c r="K103" s="13" t="s">
        <v>16</v>
      </c>
      <c r="L103" s="14">
        <f t="shared" si="31"/>
        <v>867.91680207036495</v>
      </c>
      <c r="M103" s="15" t="s">
        <v>29</v>
      </c>
      <c r="N103" s="24" t="s">
        <v>82</v>
      </c>
      <c r="O103" s="24" t="s">
        <v>38</v>
      </c>
      <c r="P103" s="16">
        <v>0.5</v>
      </c>
      <c r="Q103" s="35">
        <v>168.54389786782502</v>
      </c>
    </row>
    <row r="104" spans="1:17" x14ac:dyDescent="0.25">
      <c r="A104" s="4" t="str">
        <f t="shared" si="29"/>
        <v>CUSTO OFFSHORE USD 168,543897867825 - RPS - FEVEREIRO 26</v>
      </c>
      <c r="B104" s="9">
        <v>46054</v>
      </c>
      <c r="C104" s="4">
        <v>817395</v>
      </c>
      <c r="D104" s="11" t="s">
        <v>12</v>
      </c>
      <c r="E104" s="10">
        <f t="shared" si="30"/>
        <v>-433.95840103518248</v>
      </c>
      <c r="F104" s="4" t="s">
        <v>44</v>
      </c>
      <c r="G104" s="9">
        <f t="shared" si="23"/>
        <v>46054</v>
      </c>
      <c r="H104" s="4">
        <v>12339</v>
      </c>
      <c r="J104" s="13" t="s">
        <v>30</v>
      </c>
      <c r="K104" s="13" t="s">
        <v>16</v>
      </c>
      <c r="L104" s="14">
        <f t="shared" si="31"/>
        <v>867.91680207036495</v>
      </c>
      <c r="M104" s="15" t="s">
        <v>29</v>
      </c>
      <c r="N104" s="24" t="s">
        <v>82</v>
      </c>
      <c r="O104" s="24" t="s">
        <v>38</v>
      </c>
      <c r="P104" s="16">
        <v>0.5</v>
      </c>
      <c r="Q104" s="37">
        <v>168.54389786782502</v>
      </c>
    </row>
    <row r="105" spans="1:17" x14ac:dyDescent="0.25">
      <c r="A105" s="4" t="str">
        <f t="shared" si="29"/>
        <v>CUSTO OFFSHORE USD 9590,47260138248 - GOLDMAN SACHS IL - BRAS - FEVEREIRO 26</v>
      </c>
      <c r="B105" s="9">
        <v>46054</v>
      </c>
      <c r="C105" s="4">
        <v>817395</v>
      </c>
      <c r="D105" s="11" t="s">
        <v>12</v>
      </c>
      <c r="E105" s="10">
        <f t="shared" si="30"/>
        <v>-49386.138660819059</v>
      </c>
      <c r="F105" s="4" t="s">
        <v>44</v>
      </c>
      <c r="G105" s="9">
        <f t="shared" si="23"/>
        <v>46054</v>
      </c>
      <c r="H105" s="4">
        <v>79791</v>
      </c>
      <c r="J105" s="13" t="s">
        <v>30</v>
      </c>
      <c r="K105" s="13" t="s">
        <v>24</v>
      </c>
      <c r="L105" s="14">
        <f t="shared" si="31"/>
        <v>49386.138660819059</v>
      </c>
      <c r="M105" s="15" t="s">
        <v>29</v>
      </c>
      <c r="N105" s="24" t="s">
        <v>82</v>
      </c>
      <c r="O105" s="24" t="s">
        <v>38</v>
      </c>
      <c r="P105" s="16">
        <v>1</v>
      </c>
      <c r="Q105" s="12">
        <v>9590.4726013824766</v>
      </c>
    </row>
    <row r="106" spans="1:17" x14ac:dyDescent="0.25">
      <c r="A106" s="4" t="str">
        <f t="shared" si="29"/>
        <v>CUSTO OFFSHORE USD 261,381307813527 - ITAÚ - MSCO - FEVEREIRO 26</v>
      </c>
      <c r="B106" s="9">
        <v>46054</v>
      </c>
      <c r="C106" s="4">
        <v>817395</v>
      </c>
      <c r="D106" s="11" t="s">
        <v>12</v>
      </c>
      <c r="E106" s="10">
        <f t="shared" si="30"/>
        <v>-1345.9830445857547</v>
      </c>
      <c r="F106" s="4" t="s">
        <v>44</v>
      </c>
      <c r="G106" s="9">
        <f t="shared" si="23"/>
        <v>46054</v>
      </c>
      <c r="H106" s="4">
        <v>79460</v>
      </c>
      <c r="J106" s="13" t="s">
        <v>30</v>
      </c>
      <c r="K106" s="13" t="s">
        <v>17</v>
      </c>
      <c r="L106" s="14">
        <f t="shared" si="31"/>
        <v>1345.9830445857547</v>
      </c>
      <c r="M106" s="15" t="s">
        <v>29</v>
      </c>
      <c r="N106" s="24" t="s">
        <v>82</v>
      </c>
      <c r="O106" s="24" t="s">
        <v>38</v>
      </c>
      <c r="P106" s="16">
        <v>1</v>
      </c>
      <c r="Q106" s="12">
        <v>261.38130781352652</v>
      </c>
    </row>
    <row r="107" spans="1:17" x14ac:dyDescent="0.25">
      <c r="A107" s="4" t="str">
        <f t="shared" si="29"/>
        <v>CUSTO OFFSHORE USD 3204,34461369525 - ITAÚ - NASSAU - FEVEREIRO 26</v>
      </c>
      <c r="B107" s="9">
        <v>46054</v>
      </c>
      <c r="C107" s="4">
        <v>817395</v>
      </c>
      <c r="D107" s="11" t="s">
        <v>12</v>
      </c>
      <c r="E107" s="10">
        <f t="shared" si="30"/>
        <v>-16500.772588223681</v>
      </c>
      <c r="F107" s="4" t="s">
        <v>44</v>
      </c>
      <c r="G107" s="9">
        <f t="shared" si="23"/>
        <v>46054</v>
      </c>
      <c r="H107" s="4">
        <v>79460</v>
      </c>
      <c r="J107" s="13" t="s">
        <v>30</v>
      </c>
      <c r="K107" s="13" t="s">
        <v>18</v>
      </c>
      <c r="L107" s="14">
        <f t="shared" si="31"/>
        <v>16500.772588223681</v>
      </c>
      <c r="M107" s="15" t="s">
        <v>29</v>
      </c>
      <c r="N107" s="24" t="s">
        <v>82</v>
      </c>
      <c r="O107" s="24" t="s">
        <v>38</v>
      </c>
      <c r="P107" s="16">
        <v>1</v>
      </c>
      <c r="Q107" s="12">
        <v>3204.3446136952484</v>
      </c>
    </row>
    <row r="108" spans="1:17" x14ac:dyDescent="0.25">
      <c r="A108" s="4" t="str">
        <f t="shared" si="29"/>
        <v>CUSTO OFFSHORE USD 2789,54193672134 - XPADVISORY_MO - FEVEREIRO 26</v>
      </c>
      <c r="B108" s="9">
        <v>46054</v>
      </c>
      <c r="C108" s="4">
        <v>817395</v>
      </c>
      <c r="D108" s="11" t="s">
        <v>50</v>
      </c>
      <c r="E108" s="28">
        <f t="shared" si="30"/>
        <v>-14364.746203146558</v>
      </c>
      <c r="F108" s="4" t="s">
        <v>44</v>
      </c>
      <c r="G108" s="9">
        <f t="shared" si="23"/>
        <v>46054</v>
      </c>
      <c r="H108" s="4">
        <v>80769</v>
      </c>
      <c r="J108" s="13" t="s">
        <v>30</v>
      </c>
      <c r="K108" s="13" t="s">
        <v>49</v>
      </c>
      <c r="L108" s="14">
        <f t="shared" si="31"/>
        <v>14364.746203146558</v>
      </c>
      <c r="M108" s="15" t="s">
        <v>29</v>
      </c>
      <c r="N108" s="24" t="s">
        <v>82</v>
      </c>
      <c r="O108" s="24" t="s">
        <v>38</v>
      </c>
      <c r="P108" s="27">
        <v>1</v>
      </c>
      <c r="Q108" s="30">
        <v>2789.5419367213435</v>
      </c>
    </row>
    <row r="109" spans="1:17" x14ac:dyDescent="0.25">
      <c r="A109" s="4" t="str">
        <f>CONCATENATE(J109,Q109,M109,K109,M109,N109)</f>
        <v>CUSTO OFFSHORE USD 264,634065325374 - VINLAND  - FEVEREIRO 26</v>
      </c>
      <c r="B109" s="9">
        <v>46054</v>
      </c>
      <c r="C109" s="4">
        <v>817395</v>
      </c>
      <c r="D109" s="11" t="s">
        <v>47</v>
      </c>
      <c r="E109" s="28">
        <f t="shared" si="30"/>
        <v>-1362.7331193930108</v>
      </c>
      <c r="F109" s="4" t="s">
        <v>44</v>
      </c>
      <c r="G109" s="9">
        <f t="shared" si="23"/>
        <v>46054</v>
      </c>
      <c r="H109" s="4">
        <v>80359</v>
      </c>
      <c r="J109" s="13" t="s">
        <v>30</v>
      </c>
      <c r="K109" s="13" t="s">
        <v>20</v>
      </c>
      <c r="L109" s="14">
        <f>IF(O109="USD",Q109*$S$1)</f>
        <v>1362.7331193930108</v>
      </c>
      <c r="M109" s="15" t="s">
        <v>29</v>
      </c>
      <c r="N109" s="24" t="s">
        <v>82</v>
      </c>
      <c r="O109" s="24" t="s">
        <v>38</v>
      </c>
      <c r="P109" s="27">
        <v>1</v>
      </c>
      <c r="Q109" s="30">
        <v>264.63406532537351</v>
      </c>
    </row>
    <row r="110" spans="1:17" x14ac:dyDescent="0.25">
      <c r="A110" s="4" t="str">
        <f>CONCATENATE(J110,Q110,M110,K110,M110,N110)</f>
        <v>CUSTO OFFSHORE USD 861,144476038575 - SCHONFELD_MO - FEVEREIRO 26</v>
      </c>
      <c r="B110" s="9">
        <v>46054</v>
      </c>
      <c r="C110" s="4">
        <v>817395</v>
      </c>
      <c r="D110" s="11" t="s">
        <v>47</v>
      </c>
      <c r="E110" s="30">
        <f t="shared" si="30"/>
        <v>-4434.4634793606419</v>
      </c>
      <c r="F110" s="4" t="s">
        <v>44</v>
      </c>
      <c r="G110" s="9">
        <f t="shared" si="23"/>
        <v>46054</v>
      </c>
      <c r="H110" s="4">
        <v>83061</v>
      </c>
      <c r="J110" s="13" t="s">
        <v>30</v>
      </c>
      <c r="K110" s="13" t="s">
        <v>59</v>
      </c>
      <c r="L110" s="14">
        <f>IF(O110="USD",Q110*$S$1)</f>
        <v>4434.4634793606419</v>
      </c>
      <c r="M110" s="15" t="s">
        <v>29</v>
      </c>
      <c r="N110" s="24" t="s">
        <v>82</v>
      </c>
      <c r="O110" s="24" t="s">
        <v>38</v>
      </c>
      <c r="P110" s="27">
        <v>1</v>
      </c>
      <c r="Q110" s="30">
        <v>861.14447603857502</v>
      </c>
    </row>
    <row r="111" spans="1:17" x14ac:dyDescent="0.25">
      <c r="A111" s="4" t="str">
        <f t="shared" si="29"/>
        <v>CUSTO OFFSHORE USD  - BNP_MO - FEVEREIRO 26</v>
      </c>
      <c r="B111" s="9">
        <v>46054</v>
      </c>
      <c r="C111" s="4">
        <v>817395</v>
      </c>
      <c r="D111" s="11" t="s">
        <v>12</v>
      </c>
      <c r="E111" s="30">
        <f t="shared" si="30"/>
        <v>0</v>
      </c>
      <c r="F111" s="4" t="s">
        <v>44</v>
      </c>
      <c r="G111" s="9">
        <f t="shared" si="23"/>
        <v>46054</v>
      </c>
      <c r="H111" s="4">
        <v>95005</v>
      </c>
      <c r="J111" s="13" t="s">
        <v>30</v>
      </c>
      <c r="K111" s="13" t="s">
        <v>57</v>
      </c>
      <c r="L111" s="14">
        <f t="shared" si="31"/>
        <v>0</v>
      </c>
      <c r="M111" s="15" t="s">
        <v>29</v>
      </c>
      <c r="N111" s="24" t="s">
        <v>82</v>
      </c>
      <c r="O111" s="24" t="s">
        <v>38</v>
      </c>
      <c r="P111" s="16">
        <v>1</v>
      </c>
      <c r="Q111" s="12"/>
    </row>
    <row r="112" spans="1:17" x14ac:dyDescent="0.25">
      <c r="A112" s="4" t="str">
        <f t="shared" si="29"/>
        <v>CUSTO OFFSHORE USD 9,2609590353432 - SPRINGS_MO - FEVEREIRO 26</v>
      </c>
      <c r="B112" s="9">
        <v>46054</v>
      </c>
      <c r="C112" s="4">
        <v>817395</v>
      </c>
      <c r="D112" s="11" t="s">
        <v>12</v>
      </c>
      <c r="E112" s="30">
        <f t="shared" si="30"/>
        <v>-31.78969308109637</v>
      </c>
      <c r="F112" s="4" t="s">
        <v>44</v>
      </c>
      <c r="G112" s="9">
        <f t="shared" si="23"/>
        <v>46054</v>
      </c>
      <c r="H112" s="4">
        <v>82748</v>
      </c>
      <c r="J112" s="13" t="s">
        <v>30</v>
      </c>
      <c r="K112" s="13" t="s">
        <v>56</v>
      </c>
      <c r="L112" s="14">
        <f t="shared" si="31"/>
        <v>47.68930855249981</v>
      </c>
      <c r="M112" s="15" t="s">
        <v>29</v>
      </c>
      <c r="N112" s="24" t="s">
        <v>82</v>
      </c>
      <c r="O112" s="24" t="s">
        <v>38</v>
      </c>
      <c r="P112" s="16">
        <v>0.66659999999999997</v>
      </c>
      <c r="Q112" s="35">
        <v>9.2609590353432001</v>
      </c>
    </row>
    <row r="113" spans="1:17" x14ac:dyDescent="0.25">
      <c r="A113" s="4" t="str">
        <f t="shared" si="29"/>
        <v>CUSTO OFFSHORE USD 9,2609590353432 - SPRINGS_MO - FEVEREIRO 26</v>
      </c>
      <c r="B113" s="9">
        <v>46054</v>
      </c>
      <c r="C113" s="4">
        <v>817395</v>
      </c>
      <c r="D113" s="11" t="s">
        <v>45</v>
      </c>
      <c r="E113" s="30">
        <f t="shared" si="30"/>
        <v>-15.894846540548185</v>
      </c>
      <c r="F113" s="4" t="s">
        <v>44</v>
      </c>
      <c r="G113" s="9">
        <f t="shared" si="23"/>
        <v>46054</v>
      </c>
      <c r="H113" s="4">
        <v>82748</v>
      </c>
      <c r="J113" s="13" t="s">
        <v>30</v>
      </c>
      <c r="K113" s="13" t="s">
        <v>56</v>
      </c>
      <c r="L113" s="14">
        <f t="shared" si="31"/>
        <v>47.68930855249981</v>
      </c>
      <c r="M113" s="15" t="s">
        <v>29</v>
      </c>
      <c r="N113" s="24" t="s">
        <v>82</v>
      </c>
      <c r="O113" s="24" t="s">
        <v>38</v>
      </c>
      <c r="P113" s="16">
        <v>0.33329999999999999</v>
      </c>
      <c r="Q113" s="37">
        <v>9.2609590353432001</v>
      </c>
    </row>
    <row r="114" spans="1:17" x14ac:dyDescent="0.25">
      <c r="A114" s="4" t="str">
        <f t="shared" si="29"/>
        <v>CUSTO OFFSHORE USD 449,667409454262 - KAPITALO - FEVEREIRO 26</v>
      </c>
      <c r="B114" s="9">
        <v>46054</v>
      </c>
      <c r="C114" s="4">
        <v>817395</v>
      </c>
      <c r="D114" s="11" t="s">
        <v>12</v>
      </c>
      <c r="E114" s="28">
        <f t="shared" si="30"/>
        <v>-1736.6717437385403</v>
      </c>
      <c r="F114" s="4" t="s">
        <v>44</v>
      </c>
      <c r="G114" s="9">
        <f t="shared" si="23"/>
        <v>46054</v>
      </c>
      <c r="H114" s="4">
        <v>12413</v>
      </c>
      <c r="J114" s="13" t="s">
        <v>30</v>
      </c>
      <c r="K114" s="13" t="s">
        <v>26</v>
      </c>
      <c r="L114" s="14">
        <f t="shared" si="31"/>
        <v>2315.5623249847204</v>
      </c>
      <c r="M114" s="15" t="s">
        <v>29</v>
      </c>
      <c r="N114" s="24" t="s">
        <v>82</v>
      </c>
      <c r="O114" s="24" t="s">
        <v>38</v>
      </c>
      <c r="P114" s="27">
        <v>0.75</v>
      </c>
      <c r="Q114" s="35">
        <v>449.66740945426164</v>
      </c>
    </row>
    <row r="115" spans="1:17" x14ac:dyDescent="0.25">
      <c r="A115" s="4" t="str">
        <f t="shared" si="29"/>
        <v>CUSTO OFFSHORE USD 449,667409454262 - KAPITALO - FEVEREIRO 26</v>
      </c>
      <c r="B115" s="9">
        <v>46054</v>
      </c>
      <c r="C115" s="4">
        <v>817395</v>
      </c>
      <c r="D115" s="11" t="s">
        <v>45</v>
      </c>
      <c r="E115" s="28">
        <f t="shared" si="30"/>
        <v>-578.89058124618009</v>
      </c>
      <c r="F115" s="4" t="s">
        <v>44</v>
      </c>
      <c r="G115" s="9">
        <f t="shared" si="23"/>
        <v>46054</v>
      </c>
      <c r="H115" s="4">
        <v>12413</v>
      </c>
      <c r="J115" s="13" t="s">
        <v>30</v>
      </c>
      <c r="K115" s="13" t="s">
        <v>26</v>
      </c>
      <c r="L115" s="14">
        <f t="shared" si="31"/>
        <v>2315.5623249847204</v>
      </c>
      <c r="M115" s="15" t="s">
        <v>29</v>
      </c>
      <c r="N115" s="24" t="s">
        <v>82</v>
      </c>
      <c r="O115" s="24" t="s">
        <v>38</v>
      </c>
      <c r="P115" s="27">
        <v>0.25</v>
      </c>
      <c r="Q115" s="36">
        <v>449.66740945426164</v>
      </c>
    </row>
    <row r="116" spans="1:17" x14ac:dyDescent="0.25">
      <c r="A116" s="4" t="str">
        <f t="shared" si="29"/>
        <v>CUSTO OFFSHORE USD 112,902203791676 - CITIGBL_MO - FEVEREIRO 26</v>
      </c>
      <c r="B116" s="9">
        <v>46054</v>
      </c>
      <c r="C116" s="4">
        <v>817395</v>
      </c>
      <c r="D116" s="11" t="s">
        <v>12</v>
      </c>
      <c r="E116" s="28">
        <f t="shared" si="30"/>
        <v>-290.69494921261781</v>
      </c>
      <c r="F116" s="4" t="s">
        <v>44</v>
      </c>
      <c r="G116" s="9">
        <f t="shared" si="23"/>
        <v>46054</v>
      </c>
      <c r="H116" s="4">
        <v>79791</v>
      </c>
      <c r="J116" s="13" t="s">
        <v>30</v>
      </c>
      <c r="K116" s="13" t="s">
        <v>48</v>
      </c>
      <c r="L116" s="14">
        <f t="shared" si="31"/>
        <v>581.38989842523563</v>
      </c>
      <c r="M116" s="15" t="s">
        <v>29</v>
      </c>
      <c r="N116" s="24" t="s">
        <v>82</v>
      </c>
      <c r="O116" s="24" t="s">
        <v>38</v>
      </c>
      <c r="P116" s="27">
        <v>0.5</v>
      </c>
      <c r="Q116" s="35">
        <v>112.90220379167602</v>
      </c>
    </row>
    <row r="117" spans="1:17" x14ac:dyDescent="0.25">
      <c r="A117" s="4" t="str">
        <f t="shared" si="29"/>
        <v>CUSTO OFFSHORE USD 112,902203791676 - CITIGBL_MO - FEVEREIRO 26</v>
      </c>
      <c r="B117" s="9">
        <v>46054</v>
      </c>
      <c r="C117" s="4">
        <v>817395</v>
      </c>
      <c r="D117" s="11" t="s">
        <v>45</v>
      </c>
      <c r="E117" s="28">
        <f t="shared" si="30"/>
        <v>-290.69494921261781</v>
      </c>
      <c r="F117" s="4" t="s">
        <v>44</v>
      </c>
      <c r="G117" s="9">
        <f t="shared" si="23"/>
        <v>46054</v>
      </c>
      <c r="H117" s="4">
        <v>79791</v>
      </c>
      <c r="J117" s="13" t="s">
        <v>30</v>
      </c>
      <c r="K117" s="13" t="s">
        <v>48</v>
      </c>
      <c r="L117" s="14">
        <f t="shared" si="31"/>
        <v>581.38989842523563</v>
      </c>
      <c r="M117" s="15" t="s">
        <v>29</v>
      </c>
      <c r="N117" s="24" t="s">
        <v>82</v>
      </c>
      <c r="O117" s="24" t="s">
        <v>38</v>
      </c>
      <c r="P117" s="27">
        <v>0.5</v>
      </c>
      <c r="Q117" s="37">
        <v>112.90220379167602</v>
      </c>
    </row>
    <row r="118" spans="1:17" x14ac:dyDescent="0.25">
      <c r="A118" s="4" t="str">
        <f t="shared" si="29"/>
        <v>CUSTO OFFSHORE USD 4,10291355129155 - BRADESCO_BZL - FEVEREIRO 26</v>
      </c>
      <c r="B118" s="9">
        <v>46054</v>
      </c>
      <c r="C118" s="4">
        <v>817395</v>
      </c>
      <c r="D118" s="11" t="s">
        <v>12</v>
      </c>
      <c r="E118" s="28">
        <f t="shared" si="30"/>
        <v>-15.845964999281874</v>
      </c>
      <c r="F118" s="4" t="s">
        <v>44</v>
      </c>
      <c r="G118" s="9">
        <f t="shared" si="23"/>
        <v>46054</v>
      </c>
      <c r="H118" s="4">
        <v>16705</v>
      </c>
      <c r="J118" s="13" t="s">
        <v>30</v>
      </c>
      <c r="K118" s="13" t="s">
        <v>27</v>
      </c>
      <c r="L118" s="14">
        <f t="shared" si="31"/>
        <v>21.127953332375832</v>
      </c>
      <c r="M118" s="15" t="s">
        <v>29</v>
      </c>
      <c r="N118" s="24" t="s">
        <v>82</v>
      </c>
      <c r="O118" s="24" t="s">
        <v>38</v>
      </c>
      <c r="P118" s="27">
        <v>0.75</v>
      </c>
      <c r="Q118" s="35">
        <v>4.1029135512915493</v>
      </c>
    </row>
    <row r="119" spans="1:17" x14ac:dyDescent="0.25">
      <c r="A119" s="4" t="str">
        <f t="shared" si="29"/>
        <v>CUSTO OFFSHORE USD 4,10291355129155 - BRADESCO_BZL - FEVEREIRO 26</v>
      </c>
      <c r="B119" s="9">
        <v>46054</v>
      </c>
      <c r="C119" s="4">
        <v>817395</v>
      </c>
      <c r="D119" s="11" t="s">
        <v>45</v>
      </c>
      <c r="E119" s="28">
        <f t="shared" si="30"/>
        <v>-5.2819883330939579</v>
      </c>
      <c r="F119" s="4" t="s">
        <v>44</v>
      </c>
      <c r="G119" s="9">
        <f t="shared" si="23"/>
        <v>46054</v>
      </c>
      <c r="H119" s="4">
        <v>16705</v>
      </c>
      <c r="J119" s="13" t="s">
        <v>30</v>
      </c>
      <c r="K119" s="13" t="s">
        <v>27</v>
      </c>
      <c r="L119" s="14">
        <f t="shared" si="31"/>
        <v>21.127953332375832</v>
      </c>
      <c r="M119" s="15" t="s">
        <v>29</v>
      </c>
      <c r="N119" s="24" t="s">
        <v>82</v>
      </c>
      <c r="O119" s="24" t="s">
        <v>38</v>
      </c>
      <c r="P119" s="27">
        <v>0.25</v>
      </c>
      <c r="Q119" s="37">
        <v>4.1029135512915493</v>
      </c>
    </row>
    <row r="120" spans="1:17" x14ac:dyDescent="0.25">
      <c r="A120" s="4" t="str">
        <f t="shared" si="29"/>
        <v>CUSTO OFFSHORE USD 903,59887314703 - BRADESCO_MO - FEVEREIRO 26</v>
      </c>
      <c r="B120" s="9">
        <v>46054</v>
      </c>
      <c r="C120" s="4">
        <v>817395</v>
      </c>
      <c r="D120" s="11" t="s">
        <v>12</v>
      </c>
      <c r="E120" s="28">
        <f t="shared" si="30"/>
        <v>-3489.8117979529725</v>
      </c>
      <c r="F120" s="4" t="s">
        <v>44</v>
      </c>
      <c r="G120" s="9">
        <f t="shared" si="23"/>
        <v>46054</v>
      </c>
      <c r="H120" s="4">
        <v>16705</v>
      </c>
      <c r="J120" s="13" t="s">
        <v>30</v>
      </c>
      <c r="K120" s="13" t="s">
        <v>69</v>
      </c>
      <c r="L120" s="14">
        <f t="shared" si="31"/>
        <v>4653.0823972706303</v>
      </c>
      <c r="M120" s="15" t="s">
        <v>29</v>
      </c>
      <c r="N120" s="24" t="s">
        <v>82</v>
      </c>
      <c r="O120" s="24" t="s">
        <v>38</v>
      </c>
      <c r="P120" s="27">
        <v>0.75</v>
      </c>
      <c r="Q120" s="35">
        <v>903.59887314702985</v>
      </c>
    </row>
    <row r="121" spans="1:17" x14ac:dyDescent="0.25">
      <c r="A121" s="4" t="str">
        <f t="shared" si="29"/>
        <v>CUSTO OFFSHORE USD 903,59887314703 - BRADESCO_MO - FEVEREIRO 26</v>
      </c>
      <c r="B121" s="9">
        <v>46054</v>
      </c>
      <c r="C121" s="4">
        <v>817395</v>
      </c>
      <c r="D121" s="11" t="s">
        <v>45</v>
      </c>
      <c r="E121" s="28">
        <f t="shared" si="30"/>
        <v>-1163.2705993176576</v>
      </c>
      <c r="F121" s="4" t="s">
        <v>44</v>
      </c>
      <c r="G121" s="9">
        <f t="shared" si="23"/>
        <v>46054</v>
      </c>
      <c r="H121" s="4">
        <v>16705</v>
      </c>
      <c r="J121" s="13" t="s">
        <v>30</v>
      </c>
      <c r="K121" s="13" t="s">
        <v>69</v>
      </c>
      <c r="L121" s="14">
        <f t="shared" si="31"/>
        <v>4653.0823972706303</v>
      </c>
      <c r="M121" s="15" t="s">
        <v>29</v>
      </c>
      <c r="N121" s="24" t="s">
        <v>82</v>
      </c>
      <c r="O121" s="24" t="s">
        <v>38</v>
      </c>
      <c r="P121" s="27">
        <v>0.25</v>
      </c>
      <c r="Q121" s="37">
        <v>903.59887314702985</v>
      </c>
    </row>
    <row r="122" spans="1:17" x14ac:dyDescent="0.25">
      <c r="A122" s="4" t="str">
        <f t="shared" si="29"/>
        <v>CUSTO OFFSHORE USD 5064,27950861334 - JPMPLC_MO - FEVEREIRO 26</v>
      </c>
      <c r="B122" s="9">
        <v>46054</v>
      </c>
      <c r="C122" s="4">
        <v>817395</v>
      </c>
      <c r="D122" s="11" t="s">
        <v>12</v>
      </c>
      <c r="E122" s="30">
        <f t="shared" si="30"/>
        <v>-17386.540836647244</v>
      </c>
      <c r="F122" s="4" t="s">
        <v>44</v>
      </c>
      <c r="G122" s="9">
        <f t="shared" si="23"/>
        <v>46054</v>
      </c>
      <c r="H122" s="4">
        <v>81541</v>
      </c>
      <c r="J122" s="13" t="s">
        <v>30</v>
      </c>
      <c r="K122" s="13" t="s">
        <v>55</v>
      </c>
      <c r="L122" s="14">
        <f t="shared" si="31"/>
        <v>26078.507329604388</v>
      </c>
      <c r="M122" s="15" t="s">
        <v>29</v>
      </c>
      <c r="N122" s="24" t="s">
        <v>82</v>
      </c>
      <c r="O122" s="24" t="s">
        <v>38</v>
      </c>
      <c r="P122" s="27">
        <v>0.66669999999999996</v>
      </c>
      <c r="Q122" s="36">
        <v>5064.2795086133392</v>
      </c>
    </row>
    <row r="123" spans="1:17" x14ac:dyDescent="0.25">
      <c r="A123" s="4" t="str">
        <f t="shared" si="29"/>
        <v>CUSTO OFFSHORE USD 5064,27950861334 - JPMPLC_MO - FEVEREIRO 26</v>
      </c>
      <c r="B123" s="9">
        <v>46054</v>
      </c>
      <c r="C123" s="4">
        <v>817395</v>
      </c>
      <c r="D123" s="11" t="s">
        <v>45</v>
      </c>
      <c r="E123" s="30">
        <f t="shared" si="30"/>
        <v>-8691.9664929571427</v>
      </c>
      <c r="F123" s="4" t="s">
        <v>44</v>
      </c>
      <c r="G123" s="9">
        <f t="shared" si="23"/>
        <v>46054</v>
      </c>
      <c r="H123" s="4">
        <v>81541</v>
      </c>
      <c r="J123" s="13" t="s">
        <v>30</v>
      </c>
      <c r="K123" s="13" t="s">
        <v>55</v>
      </c>
      <c r="L123" s="34">
        <f t="shared" si="31"/>
        <v>26078.507329604388</v>
      </c>
      <c r="M123" s="15" t="s">
        <v>29</v>
      </c>
      <c r="N123" s="24" t="s">
        <v>82</v>
      </c>
      <c r="O123" s="24" t="s">
        <v>38</v>
      </c>
      <c r="P123" s="27">
        <v>0.33329999999999999</v>
      </c>
      <c r="Q123" s="37">
        <v>5064.2795086133392</v>
      </c>
    </row>
    <row r="124" spans="1:17" x14ac:dyDescent="0.25">
      <c r="A124" s="4" t="str">
        <f t="shared" si="29"/>
        <v>CUSTO OFFSHORE USD 782,321058003789 - SPX_MO - FEVEREIRO 26</v>
      </c>
      <c r="B124" s="9">
        <v>46054</v>
      </c>
      <c r="C124" s="4">
        <v>817395</v>
      </c>
      <c r="D124" s="11" t="s">
        <v>12</v>
      </c>
      <c r="E124" s="28">
        <f t="shared" si="30"/>
        <v>-2417.1373729143079</v>
      </c>
      <c r="F124" s="4" t="s">
        <v>44</v>
      </c>
      <c r="G124" s="9">
        <f t="shared" ref="G124:G125" si="32">B124</f>
        <v>46054</v>
      </c>
      <c r="H124" s="4">
        <v>79931</v>
      </c>
      <c r="J124" s="13" t="s">
        <v>30</v>
      </c>
      <c r="K124" s="13" t="s">
        <v>31</v>
      </c>
      <c r="L124" s="34">
        <f t="shared" si="31"/>
        <v>4028.5622881905133</v>
      </c>
      <c r="M124" s="15" t="s">
        <v>29</v>
      </c>
      <c r="N124" s="24" t="s">
        <v>82</v>
      </c>
      <c r="O124" s="24" t="s">
        <v>38</v>
      </c>
      <c r="P124" s="27">
        <v>0.6</v>
      </c>
      <c r="Q124" s="35">
        <v>782.3210580037894</v>
      </c>
    </row>
    <row r="125" spans="1:17" x14ac:dyDescent="0.25">
      <c r="A125" s="17" t="str">
        <f t="shared" si="29"/>
        <v>CUSTO OFFSHORE USD 782,321058003789 - SPX_MO - FEVEREIRO 26</v>
      </c>
      <c r="B125" s="18">
        <v>46054</v>
      </c>
      <c r="C125" s="17">
        <v>817395</v>
      </c>
      <c r="D125" s="23" t="s">
        <v>45</v>
      </c>
      <c r="E125" s="19">
        <f t="shared" si="30"/>
        <v>-1611.4249152762054</v>
      </c>
      <c r="F125" s="17" t="s">
        <v>44</v>
      </c>
      <c r="G125" s="18">
        <f t="shared" si="32"/>
        <v>46054</v>
      </c>
      <c r="H125" s="17">
        <v>79931</v>
      </c>
      <c r="J125" s="20" t="s">
        <v>30</v>
      </c>
      <c r="K125" s="20" t="s">
        <v>31</v>
      </c>
      <c r="L125" s="33">
        <f t="shared" si="31"/>
        <v>4028.5622881905133</v>
      </c>
      <c r="M125" s="21" t="s">
        <v>29</v>
      </c>
      <c r="N125" s="25" t="s">
        <v>82</v>
      </c>
      <c r="O125" s="25" t="s">
        <v>38</v>
      </c>
      <c r="P125" s="22">
        <v>0.4</v>
      </c>
      <c r="Q125" s="37">
        <v>782.3210580037894</v>
      </c>
    </row>
    <row r="126" spans="1:17" x14ac:dyDescent="0.25">
      <c r="A126" s="17" t="str">
        <f t="shared" si="29"/>
        <v>CUSTO OFFSHORE USD 4011,94 - BGC - FEVEREIRO 26</v>
      </c>
      <c r="B126" s="18">
        <v>46054</v>
      </c>
      <c r="C126" s="17">
        <v>817395</v>
      </c>
      <c r="D126" s="23" t="s">
        <v>61</v>
      </c>
      <c r="E126" s="26">
        <f t="shared" si="30"/>
        <v>-20659.48503</v>
      </c>
      <c r="F126" s="17" t="s">
        <v>83</v>
      </c>
      <c r="G126" s="18">
        <v>46054</v>
      </c>
      <c r="H126" s="17">
        <v>1170</v>
      </c>
      <c r="I126" s="31"/>
      <c r="J126" s="20" t="s">
        <v>30</v>
      </c>
      <c r="K126" s="20" t="s">
        <v>21</v>
      </c>
      <c r="L126" s="33">
        <f t="shared" ref="L126" si="33">IF(O126="USD",Q126*$S$1,Q126)</f>
        <v>20659.48503</v>
      </c>
      <c r="M126" s="21" t="s">
        <v>29</v>
      </c>
      <c r="N126" s="25" t="s">
        <v>82</v>
      </c>
      <c r="O126" s="25" t="s">
        <v>38</v>
      </c>
      <c r="P126" s="22">
        <v>1</v>
      </c>
      <c r="Q126" s="26">
        <v>4011.94</v>
      </c>
    </row>
    <row r="127" spans="1:17" x14ac:dyDescent="0.25">
      <c r="A127" s="17" t="str">
        <f t="shared" si="29"/>
        <v>CUSTO OFFSHORE USD 300 - BGC - FEVEREIRO 26</v>
      </c>
      <c r="B127" s="18">
        <v>46054</v>
      </c>
      <c r="C127" s="17">
        <v>817395</v>
      </c>
      <c r="D127" s="23" t="s">
        <v>61</v>
      </c>
      <c r="E127" s="26">
        <f t="shared" si="30"/>
        <v>-1544.85</v>
      </c>
      <c r="F127" s="17" t="s">
        <v>78</v>
      </c>
      <c r="G127" s="18">
        <v>46054</v>
      </c>
      <c r="H127" s="17">
        <v>1170</v>
      </c>
      <c r="I127" s="31"/>
      <c r="J127" s="20" t="s">
        <v>30</v>
      </c>
      <c r="K127" s="20" t="s">
        <v>21</v>
      </c>
      <c r="L127" s="33">
        <f t="shared" ref="L127:L130" si="34">IF(O127="USD",Q127*$S$1,Q127)</f>
        <v>1544.85</v>
      </c>
      <c r="M127" s="21" t="s">
        <v>29</v>
      </c>
      <c r="N127" s="25" t="s">
        <v>82</v>
      </c>
      <c r="O127" s="25" t="s">
        <v>38</v>
      </c>
      <c r="P127" s="22">
        <v>1</v>
      </c>
      <c r="Q127" s="26">
        <v>300</v>
      </c>
    </row>
    <row r="128" spans="1:17" x14ac:dyDescent="0.25">
      <c r="A128" s="17" t="str">
        <f t="shared" si="29"/>
        <v>CUSTO OFFSHORE USD 3183,1 - BGC - FEVEREIRO 26</v>
      </c>
      <c r="B128" s="18">
        <v>46054</v>
      </c>
      <c r="C128" s="17">
        <v>817395</v>
      </c>
      <c r="D128" s="23" t="s">
        <v>61</v>
      </c>
      <c r="E128" s="26">
        <f t="shared" si="30"/>
        <v>-16391.373449999999</v>
      </c>
      <c r="F128" s="17" t="s">
        <v>79</v>
      </c>
      <c r="G128" s="18">
        <v>46054</v>
      </c>
      <c r="H128" s="17">
        <v>1170</v>
      </c>
      <c r="I128" s="31"/>
      <c r="J128" s="20" t="s">
        <v>30</v>
      </c>
      <c r="K128" s="20" t="s">
        <v>21</v>
      </c>
      <c r="L128" s="33">
        <f t="shared" si="34"/>
        <v>16391.373449999999</v>
      </c>
      <c r="M128" s="21" t="s">
        <v>29</v>
      </c>
      <c r="N128" s="25" t="s">
        <v>82</v>
      </c>
      <c r="O128" s="25" t="s">
        <v>38</v>
      </c>
      <c r="P128" s="22">
        <v>1</v>
      </c>
      <c r="Q128" s="26">
        <v>3183.1</v>
      </c>
    </row>
    <row r="129" spans="1:17" x14ac:dyDescent="0.25">
      <c r="A129" s="17" t="str">
        <f t="shared" si="29"/>
        <v>CUSTO OFFSHORE USD 304,75 - BGC - FEVEREIRO 26</v>
      </c>
      <c r="B129" s="18">
        <v>46054</v>
      </c>
      <c r="C129" s="17">
        <v>817395</v>
      </c>
      <c r="D129" s="23" t="s">
        <v>61</v>
      </c>
      <c r="E129" s="26">
        <f t="shared" si="30"/>
        <v>-1569.310125</v>
      </c>
      <c r="F129" s="17" t="s">
        <v>80</v>
      </c>
      <c r="G129" s="18">
        <v>46054</v>
      </c>
      <c r="H129" s="17">
        <v>1170</v>
      </c>
      <c r="I129" s="31"/>
      <c r="J129" s="20" t="s">
        <v>30</v>
      </c>
      <c r="K129" s="20" t="s">
        <v>21</v>
      </c>
      <c r="L129" s="33">
        <f t="shared" si="34"/>
        <v>1569.310125</v>
      </c>
      <c r="M129" s="21" t="s">
        <v>29</v>
      </c>
      <c r="N129" s="25" t="s">
        <v>82</v>
      </c>
      <c r="O129" s="25" t="s">
        <v>38</v>
      </c>
      <c r="P129" s="22">
        <v>1</v>
      </c>
      <c r="Q129" s="26">
        <v>304.75</v>
      </c>
    </row>
    <row r="130" spans="1:17" x14ac:dyDescent="0.25">
      <c r="A130" s="17" t="str">
        <f t="shared" si="29"/>
        <v>CUSTO OFFSHORE USD 2061,99 - BGC - FEVEREIRO 26</v>
      </c>
      <c r="B130" s="18">
        <v>46054</v>
      </c>
      <c r="C130" s="17">
        <v>817395</v>
      </c>
      <c r="D130" s="23" t="s">
        <v>61</v>
      </c>
      <c r="E130" s="26">
        <f t="shared" si="30"/>
        <v>-10618.217504999999</v>
      </c>
      <c r="F130" s="17" t="s">
        <v>81</v>
      </c>
      <c r="G130" s="18">
        <v>46054</v>
      </c>
      <c r="H130" s="17">
        <v>1170</v>
      </c>
      <c r="I130" s="31"/>
      <c r="J130" s="20" t="s">
        <v>30</v>
      </c>
      <c r="K130" s="20" t="s">
        <v>21</v>
      </c>
      <c r="L130" s="33">
        <f t="shared" si="34"/>
        <v>10618.217504999999</v>
      </c>
      <c r="M130" s="21" t="s">
        <v>29</v>
      </c>
      <c r="N130" s="25" t="s">
        <v>82</v>
      </c>
      <c r="O130" s="25" t="s">
        <v>38</v>
      </c>
      <c r="P130" s="22">
        <v>1</v>
      </c>
      <c r="Q130" s="26">
        <v>2061.9899999999998</v>
      </c>
    </row>
  </sheetData>
  <autoFilter ref="A1:Q130" xr:uid="{86920FE8-52B5-46CC-9B38-62C273FC0EBA}"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F64E-A368-4802-A6D9-350C8525E275}">
  <dimension ref="A1:S136"/>
  <sheetViews>
    <sheetView showGridLines="0" topLeftCell="A111" zoomScaleNormal="100" workbookViewId="0">
      <selection activeCell="F130" sqref="F130"/>
    </sheetView>
  </sheetViews>
  <sheetFormatPr defaultRowHeight="15" x14ac:dyDescent="0.25"/>
  <cols>
    <col min="1" max="1" width="49" customWidth="1"/>
    <col min="2" max="2" width="10.5703125" customWidth="1"/>
    <col min="3" max="3" width="10.7109375" bestFit="1" customWidth="1"/>
    <col min="4" max="4" width="30" bestFit="1" customWidth="1"/>
    <col min="5" max="5" width="15.7109375" customWidth="1"/>
    <col min="6" max="6" width="17.28515625" bestFit="1" customWidth="1"/>
    <col min="7" max="7" width="11" customWidth="1"/>
    <col min="8" max="8" width="12.28515625" customWidth="1"/>
    <col min="9" max="9" width="2.7109375" customWidth="1"/>
    <col min="10" max="10" width="15.7109375" bestFit="1" customWidth="1"/>
    <col min="11" max="11" width="18.28515625" bestFit="1" customWidth="1"/>
    <col min="12" max="12" width="13.85546875" customWidth="1"/>
    <col min="14" max="14" width="10.85546875" bestFit="1" customWidth="1"/>
    <col min="15" max="15" width="10.85546875" customWidth="1"/>
    <col min="17" max="17" width="11.7109375" bestFit="1" customWidth="1"/>
    <col min="18" max="18" width="12.5703125" bestFit="1" customWidth="1"/>
    <col min="19" max="19" width="9.5703125" bestFit="1" customWidth="1"/>
  </cols>
  <sheetData>
    <row r="1" spans="1:19" x14ac:dyDescent="0.25">
      <c r="A1" s="29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2" t="s">
        <v>6</v>
      </c>
      <c r="H1" s="1" t="s">
        <v>7</v>
      </c>
      <c r="J1" s="5" t="s">
        <v>8</v>
      </c>
      <c r="K1" s="5" t="s">
        <v>13</v>
      </c>
      <c r="L1" s="6" t="s">
        <v>4</v>
      </c>
      <c r="M1" s="7" t="s">
        <v>9</v>
      </c>
      <c r="N1" s="5" t="s">
        <v>10</v>
      </c>
      <c r="O1" s="5" t="s">
        <v>37</v>
      </c>
      <c r="P1" s="8" t="s">
        <v>11</v>
      </c>
      <c r="Q1" s="6" t="s">
        <v>4</v>
      </c>
      <c r="R1" s="38" t="s">
        <v>39</v>
      </c>
      <c r="S1" s="39">
        <v>5.2194000000000003</v>
      </c>
    </row>
    <row r="2" spans="1:19" x14ac:dyDescent="0.25">
      <c r="A2" s="4" t="str">
        <f t="shared" ref="A2:A98" si="0">CONCATENATE(J2,Q2,M2,K2,M2,N2)</f>
        <v>CUSTO OFFSHORE USD 7,9002228092655 - ASSET1 - MARÇO 26</v>
      </c>
      <c r="B2" s="9">
        <v>46082</v>
      </c>
      <c r="C2" s="4">
        <v>817395</v>
      </c>
      <c r="D2" s="11" t="s">
        <v>12</v>
      </c>
      <c r="E2" s="30">
        <f>-L2*P2</f>
        <v>-13.747556605088826</v>
      </c>
      <c r="F2" s="4" t="s">
        <v>68</v>
      </c>
      <c r="G2" s="9">
        <f t="shared" ref="G2:G68" si="1">B2</f>
        <v>46082</v>
      </c>
      <c r="H2" s="4">
        <v>80834</v>
      </c>
      <c r="J2" s="13" t="s">
        <v>30</v>
      </c>
      <c r="K2" s="13" t="s">
        <v>14</v>
      </c>
      <c r="L2" s="14">
        <f>IF(O2="USD",Q2*$S$1)</f>
        <v>41.234422930680346</v>
      </c>
      <c r="M2" s="15" t="s">
        <v>29</v>
      </c>
      <c r="N2" s="24" t="s">
        <v>84</v>
      </c>
      <c r="O2" s="24" t="s">
        <v>38</v>
      </c>
      <c r="P2" s="16">
        <v>0.33339999999999997</v>
      </c>
      <c r="Q2" s="35">
        <v>7.9002228092654985</v>
      </c>
    </row>
    <row r="3" spans="1:19" x14ac:dyDescent="0.25">
      <c r="A3" s="4" t="str">
        <f t="shared" si="0"/>
        <v>CUSTO OFFSHORE USD 7,9002228092655 - ASSET1 - MARÇO 26</v>
      </c>
      <c r="B3" s="9">
        <v>46082</v>
      </c>
      <c r="C3" s="4">
        <v>817395</v>
      </c>
      <c r="D3" s="11" t="s">
        <v>45</v>
      </c>
      <c r="E3" s="30">
        <f t="shared" ref="E3:E55" si="2">-L3*P3</f>
        <v>-13.743433162795759</v>
      </c>
      <c r="F3" s="4" t="s">
        <v>68</v>
      </c>
      <c r="G3" s="9">
        <f t="shared" si="1"/>
        <v>46082</v>
      </c>
      <c r="H3" s="4">
        <v>80834</v>
      </c>
      <c r="J3" s="13" t="s">
        <v>30</v>
      </c>
      <c r="K3" s="13" t="s">
        <v>14</v>
      </c>
      <c r="L3" s="14">
        <f t="shared" ref="L3:L24" si="3">IF(O3="USD",Q3*$S$1)</f>
        <v>41.234422930680346</v>
      </c>
      <c r="M3" s="15" t="s">
        <v>29</v>
      </c>
      <c r="N3" s="24" t="s">
        <v>84</v>
      </c>
      <c r="O3" s="24" t="s">
        <v>38</v>
      </c>
      <c r="P3" s="16">
        <v>0.33329999999999999</v>
      </c>
      <c r="Q3" s="36">
        <v>7.9002228092654985</v>
      </c>
    </row>
    <row r="4" spans="1:19" x14ac:dyDescent="0.25">
      <c r="A4" s="4" t="str">
        <f t="shared" si="0"/>
        <v>CUSTO OFFSHORE USD 7,9002228092655 - ASSET1 - MARÇO 26</v>
      </c>
      <c r="B4" s="9">
        <v>46082</v>
      </c>
      <c r="C4" s="4">
        <v>817395</v>
      </c>
      <c r="D4" s="11" t="s">
        <v>46</v>
      </c>
      <c r="E4" s="30">
        <f t="shared" si="2"/>
        <v>-13.743433162795759</v>
      </c>
      <c r="F4" s="4" t="s">
        <v>68</v>
      </c>
      <c r="G4" s="9">
        <f t="shared" si="1"/>
        <v>46082</v>
      </c>
      <c r="H4" s="4">
        <v>80834</v>
      </c>
      <c r="J4" s="13" t="s">
        <v>30</v>
      </c>
      <c r="K4" s="13" t="s">
        <v>14</v>
      </c>
      <c r="L4" s="14">
        <f t="shared" si="3"/>
        <v>41.234422930680346</v>
      </c>
      <c r="M4" s="15" t="s">
        <v>29</v>
      </c>
      <c r="N4" s="24" t="s">
        <v>84</v>
      </c>
      <c r="O4" s="24" t="s">
        <v>38</v>
      </c>
      <c r="P4" s="16">
        <v>0.33329999999999999</v>
      </c>
      <c r="Q4" s="37">
        <v>7.9002228092654985</v>
      </c>
    </row>
    <row r="5" spans="1:19" x14ac:dyDescent="0.25">
      <c r="A5" s="4" t="str">
        <f t="shared" si="0"/>
        <v>CUSTO OFFSHORE USD 10,1070378153961 - RPS - MARÇO 26</v>
      </c>
      <c r="B5" s="9">
        <v>46082</v>
      </c>
      <c r="C5" s="4">
        <v>817395</v>
      </c>
      <c r="D5" s="11" t="s">
        <v>45</v>
      </c>
      <c r="E5" s="30">
        <f t="shared" si="2"/>
        <v>-26.376336586839251</v>
      </c>
      <c r="F5" s="4" t="s">
        <v>68</v>
      </c>
      <c r="G5" s="9">
        <f t="shared" si="1"/>
        <v>46082</v>
      </c>
      <c r="H5" s="4">
        <v>12339</v>
      </c>
      <c r="J5" s="13" t="s">
        <v>30</v>
      </c>
      <c r="K5" s="13" t="s">
        <v>16</v>
      </c>
      <c r="L5" s="14">
        <f t="shared" si="3"/>
        <v>52.752673173678502</v>
      </c>
      <c r="M5" s="15" t="s">
        <v>29</v>
      </c>
      <c r="N5" s="24" t="s">
        <v>84</v>
      </c>
      <c r="O5" s="24" t="s">
        <v>38</v>
      </c>
      <c r="P5" s="16">
        <v>0.5</v>
      </c>
      <c r="Q5" s="35">
        <v>10.107037815396119</v>
      </c>
    </row>
    <row r="6" spans="1:19" x14ac:dyDescent="0.25">
      <c r="A6" s="4" t="str">
        <f t="shared" si="0"/>
        <v>CUSTO OFFSHORE USD 10,1070378153961 - RPS - MARÇO 26</v>
      </c>
      <c r="B6" s="9">
        <v>46082</v>
      </c>
      <c r="C6" s="4">
        <v>817395</v>
      </c>
      <c r="D6" s="11" t="s">
        <v>12</v>
      </c>
      <c r="E6" s="30">
        <f t="shared" si="2"/>
        <v>-26.376336586839251</v>
      </c>
      <c r="F6" s="4" t="s">
        <v>68</v>
      </c>
      <c r="G6" s="9">
        <f t="shared" si="1"/>
        <v>46082</v>
      </c>
      <c r="H6" s="4">
        <v>12339</v>
      </c>
      <c r="J6" s="13" t="s">
        <v>30</v>
      </c>
      <c r="K6" s="13" t="s">
        <v>16</v>
      </c>
      <c r="L6" s="14">
        <f t="shared" si="3"/>
        <v>52.752673173678502</v>
      </c>
      <c r="M6" s="15" t="s">
        <v>29</v>
      </c>
      <c r="N6" s="24" t="s">
        <v>84</v>
      </c>
      <c r="O6" s="24" t="s">
        <v>38</v>
      </c>
      <c r="P6" s="16">
        <v>0.5</v>
      </c>
      <c r="Q6" s="37">
        <v>10.107037815396119</v>
      </c>
    </row>
    <row r="7" spans="1:19" x14ac:dyDescent="0.25">
      <c r="A7" s="4" t="str">
        <f t="shared" si="0"/>
        <v>CUSTO OFFSHORE USD 15779,2275441048 - GOLDMAN SACHS IL - BRAS - MARÇO 26</v>
      </c>
      <c r="B7" s="9">
        <v>46082</v>
      </c>
      <c r="C7" s="4">
        <v>817395</v>
      </c>
      <c r="D7" s="11" t="s">
        <v>12</v>
      </c>
      <c r="E7" s="30">
        <f t="shared" si="2"/>
        <v>-82358.100243700654</v>
      </c>
      <c r="F7" s="4" t="s">
        <v>68</v>
      </c>
      <c r="G7" s="9">
        <f t="shared" si="1"/>
        <v>46082</v>
      </c>
      <c r="H7" s="4">
        <v>79791</v>
      </c>
      <c r="J7" s="13" t="s">
        <v>30</v>
      </c>
      <c r="K7" s="13" t="s">
        <v>24</v>
      </c>
      <c r="L7" s="14">
        <f t="shared" si="3"/>
        <v>82358.100243700654</v>
      </c>
      <c r="M7" s="15" t="s">
        <v>29</v>
      </c>
      <c r="N7" s="24" t="s">
        <v>84</v>
      </c>
      <c r="O7" s="24" t="s">
        <v>38</v>
      </c>
      <c r="P7" s="16">
        <v>1</v>
      </c>
      <c r="Q7" s="12">
        <v>15779.227544104811</v>
      </c>
    </row>
    <row r="8" spans="1:19" x14ac:dyDescent="0.25">
      <c r="A8" s="4" t="str">
        <f t="shared" si="0"/>
        <v>CUSTO OFFSHORE USD 6,45602709719534 - ITAÚ - MSCO - MARÇO 26</v>
      </c>
      <c r="B8" s="9">
        <v>46082</v>
      </c>
      <c r="C8" s="4">
        <v>817395</v>
      </c>
      <c r="D8" s="11" t="s">
        <v>12</v>
      </c>
      <c r="E8" s="30">
        <f t="shared" si="2"/>
        <v>-33.696587831101361</v>
      </c>
      <c r="F8" s="4" t="s">
        <v>68</v>
      </c>
      <c r="G8" s="9">
        <f t="shared" si="1"/>
        <v>46082</v>
      </c>
      <c r="H8" s="4">
        <v>79460</v>
      </c>
      <c r="J8" s="13" t="s">
        <v>30</v>
      </c>
      <c r="K8" s="13" t="s">
        <v>17</v>
      </c>
      <c r="L8" s="14">
        <f t="shared" si="3"/>
        <v>33.696587831101361</v>
      </c>
      <c r="M8" s="15" t="s">
        <v>29</v>
      </c>
      <c r="N8" s="24" t="s">
        <v>84</v>
      </c>
      <c r="O8" s="24" t="s">
        <v>38</v>
      </c>
      <c r="P8" s="16">
        <v>1</v>
      </c>
      <c r="Q8" s="12">
        <v>6.4560270971953404</v>
      </c>
    </row>
    <row r="9" spans="1:19" x14ac:dyDescent="0.25">
      <c r="A9" s="4" t="str">
        <f t="shared" si="0"/>
        <v>CUSTO OFFSHORE USD 6378,31 - ITAÚ - NASSAU - MARÇO 26</v>
      </c>
      <c r="B9" s="9">
        <v>46082</v>
      </c>
      <c r="C9" s="4">
        <v>817395</v>
      </c>
      <c r="D9" s="11" t="s">
        <v>12</v>
      </c>
      <c r="E9" s="30">
        <f t="shared" si="2"/>
        <v>-33290.951214000001</v>
      </c>
      <c r="F9" s="4" t="s">
        <v>68</v>
      </c>
      <c r="G9" s="9">
        <f t="shared" si="1"/>
        <v>46082</v>
      </c>
      <c r="H9" s="4">
        <v>79460</v>
      </c>
      <c r="J9" s="13" t="s">
        <v>30</v>
      </c>
      <c r="K9" s="13" t="s">
        <v>18</v>
      </c>
      <c r="L9" s="14">
        <f t="shared" si="3"/>
        <v>33290.951214000001</v>
      </c>
      <c r="M9" s="15" t="s">
        <v>29</v>
      </c>
      <c r="N9" s="24" t="s">
        <v>84</v>
      </c>
      <c r="O9" s="24" t="s">
        <v>38</v>
      </c>
      <c r="P9" s="16">
        <v>1</v>
      </c>
      <c r="Q9" s="26">
        <v>6378.31</v>
      </c>
    </row>
    <row r="10" spans="1:19" x14ac:dyDescent="0.25">
      <c r="A10" s="4" t="str">
        <f t="shared" si="0"/>
        <v>CUSTO OFFSHORE USD  - SPRINGS_MO - MARÇO 26</v>
      </c>
      <c r="B10" s="9">
        <v>46082</v>
      </c>
      <c r="C10" s="4">
        <v>817395</v>
      </c>
      <c r="D10" s="11" t="s">
        <v>12</v>
      </c>
      <c r="E10" s="30">
        <f t="shared" si="2"/>
        <v>0</v>
      </c>
      <c r="F10" s="4" t="s">
        <v>68</v>
      </c>
      <c r="G10" s="9">
        <f t="shared" si="1"/>
        <v>46082</v>
      </c>
      <c r="H10" s="4">
        <v>82748</v>
      </c>
      <c r="J10" s="13" t="s">
        <v>30</v>
      </c>
      <c r="K10" s="13" t="s">
        <v>56</v>
      </c>
      <c r="L10" s="14">
        <f t="shared" si="3"/>
        <v>0</v>
      </c>
      <c r="M10" s="15" t="s">
        <v>29</v>
      </c>
      <c r="N10" s="24" t="s">
        <v>84</v>
      </c>
      <c r="O10" s="24" t="s">
        <v>38</v>
      </c>
      <c r="P10" s="16">
        <v>0.66659999999999997</v>
      </c>
      <c r="Q10" s="35"/>
    </row>
    <row r="11" spans="1:19" x14ac:dyDescent="0.25">
      <c r="A11" s="4" t="str">
        <f t="shared" si="0"/>
        <v>CUSTO OFFSHORE USD  - SPRINGS_MO - MARÇO 26</v>
      </c>
      <c r="B11" s="9">
        <v>46082</v>
      </c>
      <c r="C11" s="4">
        <v>817395</v>
      </c>
      <c r="D11" s="11" t="s">
        <v>45</v>
      </c>
      <c r="E11" s="30">
        <f t="shared" si="2"/>
        <v>0</v>
      </c>
      <c r="F11" s="4" t="s">
        <v>68</v>
      </c>
      <c r="G11" s="9">
        <f t="shared" si="1"/>
        <v>46082</v>
      </c>
      <c r="H11" s="4">
        <v>82748</v>
      </c>
      <c r="J11" s="13" t="s">
        <v>30</v>
      </c>
      <c r="K11" s="13" t="s">
        <v>56</v>
      </c>
      <c r="L11" s="14">
        <f t="shared" si="3"/>
        <v>0</v>
      </c>
      <c r="M11" s="15" t="s">
        <v>29</v>
      </c>
      <c r="N11" s="24" t="s">
        <v>84</v>
      </c>
      <c r="O11" s="24" t="s">
        <v>38</v>
      </c>
      <c r="P11" s="16">
        <v>0.33329999999999999</v>
      </c>
      <c r="Q11" s="37"/>
    </row>
    <row r="12" spans="1:19" x14ac:dyDescent="0.25">
      <c r="A12" s="4" t="str">
        <f t="shared" si="0"/>
        <v>CUSTO OFFSHORE USD 276,213945018324 - VINLAND  - MARÇO 26</v>
      </c>
      <c r="B12" s="9">
        <v>46082</v>
      </c>
      <c r="C12" s="4">
        <v>817395</v>
      </c>
      <c r="D12" s="11" t="s">
        <v>47</v>
      </c>
      <c r="E12" s="30">
        <f t="shared" si="2"/>
        <v>-1441.6710646286413</v>
      </c>
      <c r="F12" s="4" t="s">
        <v>68</v>
      </c>
      <c r="G12" s="9">
        <f t="shared" si="1"/>
        <v>46082</v>
      </c>
      <c r="H12" s="4">
        <v>80359</v>
      </c>
      <c r="J12" s="13" t="s">
        <v>30</v>
      </c>
      <c r="K12" s="13" t="s">
        <v>20</v>
      </c>
      <c r="L12" s="14">
        <f t="shared" si="3"/>
        <v>1441.6710646286413</v>
      </c>
      <c r="M12" s="15" t="s">
        <v>29</v>
      </c>
      <c r="N12" s="24" t="s">
        <v>84</v>
      </c>
      <c r="O12" s="24" t="s">
        <v>38</v>
      </c>
      <c r="P12" s="27">
        <v>1</v>
      </c>
      <c r="Q12" s="30">
        <v>276.21394501832418</v>
      </c>
    </row>
    <row r="13" spans="1:19" x14ac:dyDescent="0.25">
      <c r="A13" s="4" t="str">
        <f t="shared" si="0"/>
        <v>CUSTO OFFSHORE USD 5007,13731177925 - SCHONFELD_MO - MARÇO 26</v>
      </c>
      <c r="B13" s="9">
        <v>46082</v>
      </c>
      <c r="C13" s="4">
        <v>817395</v>
      </c>
      <c r="D13" s="11" t="s">
        <v>47</v>
      </c>
      <c r="E13" s="30">
        <f t="shared" si="2"/>
        <v>-26134.252485100613</v>
      </c>
      <c r="F13" s="4" t="s">
        <v>68</v>
      </c>
      <c r="G13" s="9">
        <f t="shared" si="1"/>
        <v>46082</v>
      </c>
      <c r="H13" s="4">
        <v>83061</v>
      </c>
      <c r="J13" s="13" t="s">
        <v>30</v>
      </c>
      <c r="K13" s="13" t="s">
        <v>59</v>
      </c>
      <c r="L13" s="14">
        <f t="shared" si="3"/>
        <v>26134.252485100613</v>
      </c>
      <c r="M13" s="15" t="s">
        <v>29</v>
      </c>
      <c r="N13" s="24" t="s">
        <v>84</v>
      </c>
      <c r="O13" s="24" t="s">
        <v>38</v>
      </c>
      <c r="P13" s="27">
        <v>1</v>
      </c>
      <c r="Q13" s="30">
        <v>5007.1373117792491</v>
      </c>
    </row>
    <row r="14" spans="1:19" x14ac:dyDescent="0.25">
      <c r="A14" s="4" t="str">
        <f t="shared" si="0"/>
        <v>CUSTO OFFSHORE USD 15328,5090465542 - XPADVISORY_MO - MARÇO 26</v>
      </c>
      <c r="B14" s="9">
        <v>46082</v>
      </c>
      <c r="C14" s="4">
        <v>817395</v>
      </c>
      <c r="D14" s="11" t="s">
        <v>50</v>
      </c>
      <c r="E14" s="30">
        <f t="shared" si="2"/>
        <v>-80005.620117584753</v>
      </c>
      <c r="F14" s="4" t="s">
        <v>68</v>
      </c>
      <c r="G14" s="9">
        <f t="shared" si="1"/>
        <v>46082</v>
      </c>
      <c r="H14" s="4">
        <v>80769</v>
      </c>
      <c r="J14" s="13" t="s">
        <v>30</v>
      </c>
      <c r="K14" s="13" t="s">
        <v>49</v>
      </c>
      <c r="L14" s="14">
        <f t="shared" si="3"/>
        <v>80005.620117584753</v>
      </c>
      <c r="M14" s="15" t="s">
        <v>29</v>
      </c>
      <c r="N14" s="24" t="s">
        <v>84</v>
      </c>
      <c r="O14" s="24" t="s">
        <v>38</v>
      </c>
      <c r="P14" s="27">
        <v>1</v>
      </c>
      <c r="Q14" s="30">
        <v>15328.509046554153</v>
      </c>
    </row>
    <row r="15" spans="1:19" x14ac:dyDescent="0.25">
      <c r="A15" s="4" t="str">
        <f t="shared" si="0"/>
        <v>CUSTO OFFSHORE USD  - ABSOLUTE_CP - MARÇO 26</v>
      </c>
      <c r="B15" s="9">
        <v>46082</v>
      </c>
      <c r="C15" s="4">
        <v>817395</v>
      </c>
      <c r="D15" s="11" t="s">
        <v>61</v>
      </c>
      <c r="E15" s="30">
        <f t="shared" si="2"/>
        <v>0</v>
      </c>
      <c r="F15" s="4" t="s">
        <v>68</v>
      </c>
      <c r="G15" s="9">
        <f t="shared" si="1"/>
        <v>46082</v>
      </c>
      <c r="H15" s="4">
        <v>144548</v>
      </c>
      <c r="J15" s="13" t="s">
        <v>30</v>
      </c>
      <c r="K15" s="13" t="s">
        <v>72</v>
      </c>
      <c r="L15" s="14">
        <f t="shared" si="3"/>
        <v>0</v>
      </c>
      <c r="M15" s="15" t="s">
        <v>29</v>
      </c>
      <c r="N15" s="24" t="s">
        <v>84</v>
      </c>
      <c r="O15" s="24" t="s">
        <v>38</v>
      </c>
      <c r="P15" s="27">
        <v>1</v>
      </c>
      <c r="Q15" s="30"/>
    </row>
    <row r="16" spans="1:19" x14ac:dyDescent="0.25">
      <c r="A16" s="4" t="str">
        <f t="shared" si="0"/>
        <v>CUSTO OFFSHORE USD  - BTGCAY_CP - MARÇO 26</v>
      </c>
      <c r="B16" s="9">
        <v>46082</v>
      </c>
      <c r="C16" s="4">
        <v>817395</v>
      </c>
      <c r="D16" s="11" t="s">
        <v>61</v>
      </c>
      <c r="E16" s="30">
        <f t="shared" si="2"/>
        <v>0</v>
      </c>
      <c r="F16" s="4" t="s">
        <v>68</v>
      </c>
      <c r="G16" s="9">
        <f t="shared" si="1"/>
        <v>46082</v>
      </c>
      <c r="H16" s="4">
        <v>82964</v>
      </c>
      <c r="J16" s="13" t="s">
        <v>30</v>
      </c>
      <c r="K16" s="13" t="s">
        <v>73</v>
      </c>
      <c r="L16" s="14">
        <f t="shared" si="3"/>
        <v>0</v>
      </c>
      <c r="M16" s="15" t="s">
        <v>29</v>
      </c>
      <c r="N16" s="24" t="s">
        <v>84</v>
      </c>
      <c r="O16" s="24" t="s">
        <v>38</v>
      </c>
      <c r="P16" s="27">
        <v>1</v>
      </c>
      <c r="Q16" s="30"/>
    </row>
    <row r="17" spans="1:17" x14ac:dyDescent="0.25">
      <c r="A17" s="4" t="str">
        <f t="shared" si="0"/>
        <v>CUSTO OFFSHORE USD  - DIG_CP - MARÇO 26</v>
      </c>
      <c r="B17" s="9">
        <v>46082</v>
      </c>
      <c r="C17" s="4">
        <v>817395</v>
      </c>
      <c r="D17" s="11" t="s">
        <v>61</v>
      </c>
      <c r="E17" s="30">
        <f t="shared" si="2"/>
        <v>0</v>
      </c>
      <c r="F17" s="4" t="s">
        <v>68</v>
      </c>
      <c r="G17" s="9">
        <f t="shared" si="1"/>
        <v>46082</v>
      </c>
      <c r="H17" s="4">
        <v>125520</v>
      </c>
      <c r="J17" s="13" t="s">
        <v>30</v>
      </c>
      <c r="K17" s="13" t="s">
        <v>74</v>
      </c>
      <c r="L17" s="14">
        <f t="shared" si="3"/>
        <v>0</v>
      </c>
      <c r="M17" s="15" t="s">
        <v>29</v>
      </c>
      <c r="N17" s="24" t="s">
        <v>84</v>
      </c>
      <c r="O17" s="24" t="s">
        <v>38</v>
      </c>
      <c r="P17" s="27">
        <v>1</v>
      </c>
      <c r="Q17" s="30"/>
    </row>
    <row r="18" spans="1:17" x14ac:dyDescent="0.25">
      <c r="A18" s="4" t="str">
        <f t="shared" si="0"/>
        <v>CUSTO OFFSHORE USD  - KAPITALO_CP - MARÇO 26</v>
      </c>
      <c r="B18" s="9">
        <v>46082</v>
      </c>
      <c r="C18" s="4">
        <v>817395</v>
      </c>
      <c r="D18" s="11" t="s">
        <v>61</v>
      </c>
      <c r="E18" s="30">
        <f t="shared" si="2"/>
        <v>0</v>
      </c>
      <c r="F18" s="4" t="s">
        <v>68</v>
      </c>
      <c r="G18" s="9">
        <f t="shared" si="1"/>
        <v>46082</v>
      </c>
      <c r="H18" s="4">
        <v>12413</v>
      </c>
      <c r="J18" s="13" t="s">
        <v>30</v>
      </c>
      <c r="K18" s="13" t="s">
        <v>70</v>
      </c>
      <c r="L18" s="14">
        <f t="shared" si="3"/>
        <v>0</v>
      </c>
      <c r="M18" s="15" t="s">
        <v>29</v>
      </c>
      <c r="N18" s="24" t="s">
        <v>84</v>
      </c>
      <c r="O18" s="24" t="s">
        <v>38</v>
      </c>
      <c r="P18" s="27">
        <v>1</v>
      </c>
      <c r="Q18" s="30"/>
    </row>
    <row r="19" spans="1:17" x14ac:dyDescent="0.25">
      <c r="A19" s="4" t="str">
        <f t="shared" si="0"/>
        <v>CUSTO OFFSHORE USD 0,415709141181277 - SHARP_CP - MARÇO 26</v>
      </c>
      <c r="B19" s="9">
        <v>46082</v>
      </c>
      <c r="C19" s="4">
        <v>817395</v>
      </c>
      <c r="D19" s="11" t="s">
        <v>61</v>
      </c>
      <c r="E19" s="30">
        <f t="shared" si="2"/>
        <v>-2.1697522914815561</v>
      </c>
      <c r="F19" s="4" t="s">
        <v>68</v>
      </c>
      <c r="G19" s="9">
        <f t="shared" si="1"/>
        <v>46082</v>
      </c>
      <c r="H19" s="4">
        <v>80515</v>
      </c>
      <c r="J19" s="13" t="s">
        <v>30</v>
      </c>
      <c r="K19" s="13" t="s">
        <v>75</v>
      </c>
      <c r="L19" s="14">
        <f t="shared" si="3"/>
        <v>2.1697522914815561</v>
      </c>
      <c r="M19" s="15" t="s">
        <v>29</v>
      </c>
      <c r="N19" s="24" t="s">
        <v>84</v>
      </c>
      <c r="O19" s="24" t="s">
        <v>38</v>
      </c>
      <c r="P19" s="27">
        <v>1</v>
      </c>
      <c r="Q19" s="30">
        <v>0.41570914118127678</v>
      </c>
    </row>
    <row r="20" spans="1:17" x14ac:dyDescent="0.25">
      <c r="A20" s="4" t="str">
        <f t="shared" si="0"/>
        <v>CUSTO OFFSHORE USD 28,2973737140141 - TRUXT_CP - MARÇO 26</v>
      </c>
      <c r="B20" s="9">
        <v>46082</v>
      </c>
      <c r="C20" s="4">
        <v>817395</v>
      </c>
      <c r="D20" s="11" t="s">
        <v>61</v>
      </c>
      <c r="E20" s="30">
        <f t="shared" si="2"/>
        <v>-147.69531236292545</v>
      </c>
      <c r="F20" s="4" t="s">
        <v>68</v>
      </c>
      <c r="G20" s="9">
        <f t="shared" si="1"/>
        <v>46082</v>
      </c>
      <c r="H20" s="4">
        <v>12402</v>
      </c>
      <c r="J20" s="13" t="s">
        <v>30</v>
      </c>
      <c r="K20" s="13" t="s">
        <v>76</v>
      </c>
      <c r="L20" s="14">
        <f t="shared" si="3"/>
        <v>147.69531236292545</v>
      </c>
      <c r="M20" s="15" t="s">
        <v>29</v>
      </c>
      <c r="N20" s="24" t="s">
        <v>84</v>
      </c>
      <c r="O20" s="24" t="s">
        <v>38</v>
      </c>
      <c r="P20" s="27">
        <v>1</v>
      </c>
      <c r="Q20" s="30">
        <v>28.297373714014146</v>
      </c>
    </row>
    <row r="21" spans="1:17" x14ac:dyDescent="0.25">
      <c r="A21" s="4" t="str">
        <f t="shared" ref="A21" si="4">CONCATENATE(J21,Q21,M21,K21,M21,N21)</f>
        <v>CUSTO OFFSHORE USD 2,15725641286217 - VISTA_CP - MARÇO 26</v>
      </c>
      <c r="B21" s="9">
        <v>46082</v>
      </c>
      <c r="C21" s="4">
        <v>817395</v>
      </c>
      <c r="D21" s="11" t="s">
        <v>61</v>
      </c>
      <c r="E21" s="30">
        <f t="shared" ref="E21" si="5">-L21*P21</f>
        <v>-11.259584121292788</v>
      </c>
      <c r="F21" s="4" t="s">
        <v>68</v>
      </c>
      <c r="G21" s="9">
        <f t="shared" ref="G21" si="6">B21</f>
        <v>46082</v>
      </c>
      <c r="H21" s="4">
        <v>80360</v>
      </c>
      <c r="J21" s="13" t="s">
        <v>30</v>
      </c>
      <c r="K21" s="13" t="s">
        <v>86</v>
      </c>
      <c r="L21" s="14">
        <f t="shared" ref="L21" si="7">IF(O21="USD",Q21*$S$1)</f>
        <v>11.259584121292788</v>
      </c>
      <c r="M21" s="15" t="s">
        <v>29</v>
      </c>
      <c r="N21" s="24" t="s">
        <v>84</v>
      </c>
      <c r="O21" s="24" t="s">
        <v>38</v>
      </c>
      <c r="P21" s="27">
        <v>1</v>
      </c>
      <c r="Q21" s="30">
        <v>2.1572564128621656</v>
      </c>
    </row>
    <row r="22" spans="1:17" x14ac:dyDescent="0.25">
      <c r="A22" s="4" t="str">
        <f t="shared" si="0"/>
        <v>CUSTO OFFSHORE USD 2,36132120867345 - ADAMGestao_MO - MARÇO 26</v>
      </c>
      <c r="B22" s="9">
        <v>46082</v>
      </c>
      <c r="C22" s="4">
        <v>817395</v>
      </c>
      <c r="D22" s="11" t="s">
        <v>12</v>
      </c>
      <c r="E22" s="30">
        <f t="shared" si="2"/>
        <v>-12.324679916550213</v>
      </c>
      <c r="F22" s="4" t="s">
        <v>68</v>
      </c>
      <c r="G22" s="9">
        <f t="shared" si="1"/>
        <v>46082</v>
      </c>
      <c r="H22" s="4">
        <v>79973</v>
      </c>
      <c r="J22" s="13" t="s">
        <v>30</v>
      </c>
      <c r="K22" s="13" t="s">
        <v>77</v>
      </c>
      <c r="L22" s="14">
        <f t="shared" si="3"/>
        <v>12.324679916550213</v>
      </c>
      <c r="M22" s="15" t="s">
        <v>29</v>
      </c>
      <c r="N22" s="24" t="s">
        <v>84</v>
      </c>
      <c r="O22" s="24" t="s">
        <v>38</v>
      </c>
      <c r="P22" s="27">
        <v>1</v>
      </c>
      <c r="Q22" s="26">
        <v>2.3613212086734516</v>
      </c>
    </row>
    <row r="23" spans="1:17" x14ac:dyDescent="0.25">
      <c r="A23" s="4" t="str">
        <f t="shared" si="0"/>
        <v>CUSTO OFFSHORE USD  - CITIGBL_MO - MARÇO 26</v>
      </c>
      <c r="B23" s="9">
        <v>46082</v>
      </c>
      <c r="C23" s="4">
        <v>817395</v>
      </c>
      <c r="D23" s="11" t="s">
        <v>12</v>
      </c>
      <c r="E23" s="30">
        <f t="shared" si="2"/>
        <v>0</v>
      </c>
      <c r="F23" s="4" t="s">
        <v>68</v>
      </c>
      <c r="G23" s="9">
        <f t="shared" si="1"/>
        <v>46082</v>
      </c>
      <c r="H23" s="4">
        <v>79791</v>
      </c>
      <c r="J23" s="13" t="s">
        <v>30</v>
      </c>
      <c r="K23" s="13" t="s">
        <v>48</v>
      </c>
      <c r="L23" s="14">
        <f t="shared" si="3"/>
        <v>0</v>
      </c>
      <c r="M23" s="15" t="s">
        <v>29</v>
      </c>
      <c r="N23" s="24" t="s">
        <v>84</v>
      </c>
      <c r="O23" s="24" t="s">
        <v>38</v>
      </c>
      <c r="P23" s="27">
        <v>0.5</v>
      </c>
      <c r="Q23" s="36"/>
    </row>
    <row r="24" spans="1:17" x14ac:dyDescent="0.25">
      <c r="A24" s="4" t="str">
        <f t="shared" si="0"/>
        <v>CUSTO OFFSHORE USD  - CITIGBL_MO - MARÇO 26</v>
      </c>
      <c r="B24" s="9">
        <v>46082</v>
      </c>
      <c r="C24" s="4">
        <v>817395</v>
      </c>
      <c r="D24" s="11" t="s">
        <v>45</v>
      </c>
      <c r="E24" s="30">
        <f t="shared" si="2"/>
        <v>0</v>
      </c>
      <c r="F24" s="4" t="s">
        <v>68</v>
      </c>
      <c r="G24" s="9">
        <f t="shared" si="1"/>
        <v>46082</v>
      </c>
      <c r="H24" s="4">
        <v>79791</v>
      </c>
      <c r="J24" s="13" t="s">
        <v>30</v>
      </c>
      <c r="K24" s="13" t="s">
        <v>48</v>
      </c>
      <c r="L24" s="14">
        <f t="shared" si="3"/>
        <v>0</v>
      </c>
      <c r="M24" s="15" t="s">
        <v>29</v>
      </c>
      <c r="N24" s="24" t="s">
        <v>84</v>
      </c>
      <c r="O24" s="24" t="s">
        <v>38</v>
      </c>
      <c r="P24" s="27">
        <v>0.5</v>
      </c>
      <c r="Q24" s="37"/>
    </row>
    <row r="25" spans="1:17" x14ac:dyDescent="0.25">
      <c r="A25" s="4" t="str">
        <f>CONCATENATE(J25,Q25,M25,K25,M25,N25)</f>
        <v>CUSTO OFFSHORE USD 4215,26095642218 - KAPITALO - MARÇO 26</v>
      </c>
      <c r="B25" s="9">
        <v>46082</v>
      </c>
      <c r="C25" s="4">
        <v>817395</v>
      </c>
      <c r="D25" s="11" t="s">
        <v>12</v>
      </c>
      <c r="E25" s="30">
        <f t="shared" si="2"/>
        <v>-16500.849776962463</v>
      </c>
      <c r="F25" s="4" t="s">
        <v>68</v>
      </c>
      <c r="G25" s="9">
        <f t="shared" si="1"/>
        <v>46082</v>
      </c>
      <c r="H25" s="4">
        <v>12413</v>
      </c>
      <c r="J25" s="13" t="s">
        <v>30</v>
      </c>
      <c r="K25" s="13" t="s">
        <v>26</v>
      </c>
      <c r="L25" s="14">
        <f>IF(O25="USD",Q25*$S$1)</f>
        <v>22001.133035949952</v>
      </c>
      <c r="M25" s="15" t="s">
        <v>29</v>
      </c>
      <c r="N25" s="24" t="s">
        <v>84</v>
      </c>
      <c r="O25" s="24" t="s">
        <v>38</v>
      </c>
      <c r="P25" s="27">
        <v>0.75</v>
      </c>
      <c r="Q25" s="36">
        <v>4215.2609564221848</v>
      </c>
    </row>
    <row r="26" spans="1:17" x14ac:dyDescent="0.25">
      <c r="A26" s="4" t="str">
        <f>CONCATENATE(J26,Q26,M26,K26,M26,N26)</f>
        <v>CUSTO OFFSHORE USD 4215,26095642218 - KAPITALO - MARÇO 26</v>
      </c>
      <c r="B26" s="9">
        <v>46082</v>
      </c>
      <c r="C26" s="4">
        <v>817395</v>
      </c>
      <c r="D26" s="11" t="s">
        <v>45</v>
      </c>
      <c r="E26" s="30">
        <f t="shared" si="2"/>
        <v>-5500.2832589874879</v>
      </c>
      <c r="F26" s="4" t="s">
        <v>68</v>
      </c>
      <c r="G26" s="9">
        <f t="shared" si="1"/>
        <v>46082</v>
      </c>
      <c r="H26" s="4">
        <v>12413</v>
      </c>
      <c r="J26" s="13" t="s">
        <v>30</v>
      </c>
      <c r="K26" s="13" t="s">
        <v>26</v>
      </c>
      <c r="L26" s="14">
        <f>IF(O26="USD",Q26*$S$1)</f>
        <v>22001.133035949952</v>
      </c>
      <c r="M26" s="15" t="s">
        <v>29</v>
      </c>
      <c r="N26" s="24" t="s">
        <v>84</v>
      </c>
      <c r="O26" s="24" t="s">
        <v>38</v>
      </c>
      <c r="P26" s="27">
        <v>0.25</v>
      </c>
      <c r="Q26" s="36">
        <v>4215.2609564221848</v>
      </c>
    </row>
    <row r="27" spans="1:17" x14ac:dyDescent="0.25">
      <c r="A27" s="4" t="str">
        <f t="shared" ref="A27:A36" si="8">CONCATENATE(J27,Q27,M27,K27,M27,N27)</f>
        <v>CUSTO OFFSHORE USD 112,381398264644 - BRADESCO_BZL - MARÇO 26</v>
      </c>
      <c r="B27" s="9">
        <v>46082</v>
      </c>
      <c r="C27" s="4">
        <v>817395</v>
      </c>
      <c r="D27" s="11" t="s">
        <v>12</v>
      </c>
      <c r="E27" s="30">
        <f t="shared" si="2"/>
        <v>-439.92260257686189</v>
      </c>
      <c r="F27" s="4" t="s">
        <v>68</v>
      </c>
      <c r="G27" s="9">
        <f t="shared" si="1"/>
        <v>46082</v>
      </c>
      <c r="H27" s="4">
        <v>16705</v>
      </c>
      <c r="J27" s="13" t="s">
        <v>30</v>
      </c>
      <c r="K27" s="13" t="s">
        <v>27</v>
      </c>
      <c r="L27" s="14">
        <f t="shared" ref="L27:L92" si="9">IF(O27="USD",Q27*$S$1)</f>
        <v>586.56347010248248</v>
      </c>
      <c r="M27" s="15" t="s">
        <v>29</v>
      </c>
      <c r="N27" s="24" t="s">
        <v>84</v>
      </c>
      <c r="O27" s="24" t="s">
        <v>38</v>
      </c>
      <c r="P27" s="27">
        <v>0.75</v>
      </c>
      <c r="Q27" s="35">
        <v>112.38139826464391</v>
      </c>
    </row>
    <row r="28" spans="1:17" x14ac:dyDescent="0.25">
      <c r="A28" s="4" t="str">
        <f t="shared" si="8"/>
        <v>CUSTO OFFSHORE USD 112,381398264644 - BRADESCO_BZL - MARÇO 26</v>
      </c>
      <c r="B28" s="9">
        <v>46082</v>
      </c>
      <c r="C28" s="4">
        <v>817395</v>
      </c>
      <c r="D28" s="11" t="s">
        <v>45</v>
      </c>
      <c r="E28" s="30">
        <f t="shared" si="2"/>
        <v>-146.64086752562062</v>
      </c>
      <c r="F28" s="4" t="s">
        <v>68</v>
      </c>
      <c r="G28" s="9">
        <f t="shared" si="1"/>
        <v>46082</v>
      </c>
      <c r="H28" s="4">
        <v>16705</v>
      </c>
      <c r="J28" s="13" t="s">
        <v>30</v>
      </c>
      <c r="K28" s="13" t="s">
        <v>27</v>
      </c>
      <c r="L28" s="14">
        <f t="shared" si="9"/>
        <v>586.56347010248248</v>
      </c>
      <c r="M28" s="15" t="s">
        <v>29</v>
      </c>
      <c r="N28" s="24" t="s">
        <v>84</v>
      </c>
      <c r="O28" s="24" t="s">
        <v>38</v>
      </c>
      <c r="P28" s="27">
        <v>0.25</v>
      </c>
      <c r="Q28" s="37">
        <v>112.38139826464391</v>
      </c>
    </row>
    <row r="29" spans="1:17" x14ac:dyDescent="0.25">
      <c r="A29" s="4" t="str">
        <f t="shared" si="8"/>
        <v>CUSTO OFFSHORE USD 99,1171865369103 - BRADESCO_MO - MARÇO 26</v>
      </c>
      <c r="B29" s="9">
        <v>46082</v>
      </c>
      <c r="C29" s="4">
        <v>817395</v>
      </c>
      <c r="D29" s="11" t="s">
        <v>12</v>
      </c>
      <c r="E29" s="30">
        <f t="shared" si="2"/>
        <v>-387.99918255806227</v>
      </c>
      <c r="F29" s="4" t="s">
        <v>68</v>
      </c>
      <c r="G29" s="9">
        <f t="shared" si="1"/>
        <v>46082</v>
      </c>
      <c r="H29" s="4">
        <v>16705</v>
      </c>
      <c r="J29" s="13" t="s">
        <v>30</v>
      </c>
      <c r="K29" s="13" t="s">
        <v>69</v>
      </c>
      <c r="L29" s="14">
        <f t="shared" si="9"/>
        <v>517.3322434107497</v>
      </c>
      <c r="M29" s="15" t="s">
        <v>29</v>
      </c>
      <c r="N29" s="24" t="s">
        <v>84</v>
      </c>
      <c r="O29" s="24" t="s">
        <v>38</v>
      </c>
      <c r="P29" s="27">
        <v>0.75</v>
      </c>
      <c r="Q29" s="35">
        <v>99.11718653691031</v>
      </c>
    </row>
    <row r="30" spans="1:17" x14ac:dyDescent="0.25">
      <c r="A30" s="4" t="str">
        <f t="shared" si="8"/>
        <v>CUSTO OFFSHORE USD 99,1171865369103 - BRADESCO_MO - MARÇO 26</v>
      </c>
      <c r="B30" s="9">
        <v>46082</v>
      </c>
      <c r="C30" s="4">
        <v>817395</v>
      </c>
      <c r="D30" s="11" t="s">
        <v>45</v>
      </c>
      <c r="E30" s="30">
        <f t="shared" si="2"/>
        <v>-129.33306085268742</v>
      </c>
      <c r="F30" s="4" t="s">
        <v>68</v>
      </c>
      <c r="G30" s="9">
        <f t="shared" si="1"/>
        <v>46082</v>
      </c>
      <c r="H30" s="4">
        <v>16705</v>
      </c>
      <c r="J30" s="13" t="s">
        <v>30</v>
      </c>
      <c r="K30" s="13" t="s">
        <v>69</v>
      </c>
      <c r="L30" s="14">
        <f t="shared" si="9"/>
        <v>517.3322434107497</v>
      </c>
      <c r="M30" s="15" t="s">
        <v>29</v>
      </c>
      <c r="N30" s="24" t="s">
        <v>84</v>
      </c>
      <c r="O30" s="24" t="s">
        <v>38</v>
      </c>
      <c r="P30" s="27">
        <v>0.25</v>
      </c>
      <c r="Q30" s="37">
        <v>99.11718653691031</v>
      </c>
    </row>
    <row r="31" spans="1:17" x14ac:dyDescent="0.25">
      <c r="A31" s="4" t="str">
        <f t="shared" ref="A31:A32" si="10">CONCATENATE(J31,Q31,M31,K31,M31,N31)</f>
        <v>CUSTO OFFSHORE USD 48,3925087209621 - BRAMBRAD_MO - MARÇO 26</v>
      </c>
      <c r="B31" s="9">
        <v>46082</v>
      </c>
      <c r="C31" s="4">
        <v>817395</v>
      </c>
      <c r="D31" s="11" t="s">
        <v>12</v>
      </c>
      <c r="E31" s="30">
        <f t="shared" ref="E31:E32" si="11">-L31*P31</f>
        <v>-189.43489501364218</v>
      </c>
      <c r="F31" s="4" t="s">
        <v>68</v>
      </c>
      <c r="G31" s="9">
        <f t="shared" ref="G31:G32" si="12">B31</f>
        <v>46082</v>
      </c>
      <c r="H31" s="4">
        <v>16705</v>
      </c>
      <c r="J31" s="13" t="s">
        <v>30</v>
      </c>
      <c r="K31" s="13" t="s">
        <v>85</v>
      </c>
      <c r="L31" s="14">
        <f t="shared" ref="L31:L32" si="13">IF(O31="USD",Q31*$S$1)</f>
        <v>252.57986001818955</v>
      </c>
      <c r="M31" s="15" t="s">
        <v>29</v>
      </c>
      <c r="N31" s="24" t="s">
        <v>84</v>
      </c>
      <c r="O31" s="24" t="s">
        <v>38</v>
      </c>
      <c r="P31" s="27">
        <v>0.75</v>
      </c>
      <c r="Q31" s="35">
        <v>48.392508720962091</v>
      </c>
    </row>
    <row r="32" spans="1:17" x14ac:dyDescent="0.25">
      <c r="A32" s="4" t="str">
        <f t="shared" si="10"/>
        <v>CUSTO OFFSHORE USD 48,3925087209621 - BRAMBRAD_MO - MARÇO 26</v>
      </c>
      <c r="B32" s="9">
        <v>46082</v>
      </c>
      <c r="C32" s="4">
        <v>817395</v>
      </c>
      <c r="D32" s="11" t="s">
        <v>45</v>
      </c>
      <c r="E32" s="30">
        <f t="shared" si="11"/>
        <v>-63.144965004547387</v>
      </c>
      <c r="F32" s="4" t="s">
        <v>68</v>
      </c>
      <c r="G32" s="9">
        <f t="shared" si="12"/>
        <v>46082</v>
      </c>
      <c r="H32" s="4">
        <v>16705</v>
      </c>
      <c r="J32" s="13" t="s">
        <v>30</v>
      </c>
      <c r="K32" s="13" t="s">
        <v>85</v>
      </c>
      <c r="L32" s="14">
        <f t="shared" si="13"/>
        <v>252.57986001818955</v>
      </c>
      <c r="M32" s="15" t="s">
        <v>29</v>
      </c>
      <c r="N32" s="24" t="s">
        <v>84</v>
      </c>
      <c r="O32" s="24" t="s">
        <v>38</v>
      </c>
      <c r="P32" s="27">
        <v>0.25</v>
      </c>
      <c r="Q32" s="37">
        <v>48.392508720962091</v>
      </c>
    </row>
    <row r="33" spans="1:17" x14ac:dyDescent="0.25">
      <c r="A33" s="4" t="str">
        <f t="shared" si="8"/>
        <v>CUSTO OFFSHORE USD 11966,2231944818 - JPMPLC_MO - MARÇO 26</v>
      </c>
      <c r="B33" s="9">
        <v>46082</v>
      </c>
      <c r="C33" s="4">
        <v>817395</v>
      </c>
      <c r="D33" s="11" t="s">
        <v>12</v>
      </c>
      <c r="E33" s="30">
        <f t="shared" si="2"/>
        <v>-41639.752111030073</v>
      </c>
      <c r="F33" s="4" t="s">
        <v>68</v>
      </c>
      <c r="G33" s="9">
        <f t="shared" si="1"/>
        <v>46082</v>
      </c>
      <c r="H33" s="4">
        <v>81541</v>
      </c>
      <c r="J33" s="13" t="s">
        <v>30</v>
      </c>
      <c r="K33" s="13" t="s">
        <v>55</v>
      </c>
      <c r="L33" s="14">
        <f t="shared" si="9"/>
        <v>62456.505341278054</v>
      </c>
      <c r="M33" s="15" t="s">
        <v>29</v>
      </c>
      <c r="N33" s="24" t="s">
        <v>84</v>
      </c>
      <c r="O33" s="24" t="s">
        <v>38</v>
      </c>
      <c r="P33" s="27">
        <v>0.66669999999999996</v>
      </c>
      <c r="Q33" s="35">
        <v>11966.22319448175</v>
      </c>
    </row>
    <row r="34" spans="1:17" x14ac:dyDescent="0.25">
      <c r="A34" s="4" t="str">
        <f t="shared" si="8"/>
        <v>CUSTO OFFSHORE USD 11966,2231944818 - JPMPLC_MO - MARÇO 26</v>
      </c>
      <c r="B34" s="9">
        <v>46082</v>
      </c>
      <c r="C34" s="4">
        <v>817395</v>
      </c>
      <c r="D34" s="11" t="s">
        <v>45</v>
      </c>
      <c r="E34" s="30">
        <f t="shared" si="2"/>
        <v>-20816.753230247974</v>
      </c>
      <c r="F34" s="4" t="s">
        <v>68</v>
      </c>
      <c r="G34" s="9">
        <f t="shared" si="1"/>
        <v>46082</v>
      </c>
      <c r="H34" s="4">
        <v>81541</v>
      </c>
      <c r="J34" s="13" t="s">
        <v>30</v>
      </c>
      <c r="K34" s="13" t="s">
        <v>55</v>
      </c>
      <c r="L34" s="14">
        <f t="shared" si="9"/>
        <v>62456.505341278054</v>
      </c>
      <c r="M34" s="15" t="s">
        <v>29</v>
      </c>
      <c r="N34" s="24" t="s">
        <v>84</v>
      </c>
      <c r="O34" s="24" t="s">
        <v>38</v>
      </c>
      <c r="P34" s="27">
        <v>0.33329999999999999</v>
      </c>
      <c r="Q34" s="37">
        <v>11966.22319448175</v>
      </c>
    </row>
    <row r="35" spans="1:17" x14ac:dyDescent="0.25">
      <c r="A35" s="4" t="str">
        <f t="shared" si="8"/>
        <v>CUSTO OFFSHORE USD 1052,70439781349 - SPX_MO - MARÇO 26</v>
      </c>
      <c r="B35" s="9">
        <v>46082</v>
      </c>
      <c r="C35" s="4">
        <v>817395</v>
      </c>
      <c r="D35" s="11" t="s">
        <v>12</v>
      </c>
      <c r="E35" s="30">
        <f t="shared" si="2"/>
        <v>-3296.6912003686398</v>
      </c>
      <c r="F35" s="4" t="s">
        <v>68</v>
      </c>
      <c r="G35" s="9">
        <f t="shared" si="1"/>
        <v>46082</v>
      </c>
      <c r="H35" s="4">
        <v>79931</v>
      </c>
      <c r="J35" s="13" t="s">
        <v>30</v>
      </c>
      <c r="K35" s="13" t="s">
        <v>31</v>
      </c>
      <c r="L35" s="14">
        <f t="shared" si="9"/>
        <v>5494.4853339477331</v>
      </c>
      <c r="M35" s="15" t="s">
        <v>29</v>
      </c>
      <c r="N35" s="24" t="s">
        <v>84</v>
      </c>
      <c r="O35" s="24" t="s">
        <v>38</v>
      </c>
      <c r="P35" s="27">
        <v>0.6</v>
      </c>
      <c r="Q35" s="35">
        <v>1052.7043978134907</v>
      </c>
    </row>
    <row r="36" spans="1:17" x14ac:dyDescent="0.25">
      <c r="A36" s="17" t="str">
        <f t="shared" si="8"/>
        <v>CUSTO OFFSHORE USD 1052,70439781349 - SPX_MO - MARÇO 26</v>
      </c>
      <c r="B36" s="18">
        <v>46082</v>
      </c>
      <c r="C36" s="17">
        <v>817395</v>
      </c>
      <c r="D36" s="23" t="s">
        <v>45</v>
      </c>
      <c r="E36" s="26">
        <f t="shared" si="2"/>
        <v>-2197.7941335790933</v>
      </c>
      <c r="F36" s="17" t="s">
        <v>68</v>
      </c>
      <c r="G36" s="18">
        <f t="shared" si="1"/>
        <v>46082</v>
      </c>
      <c r="H36" s="17">
        <v>79931</v>
      </c>
      <c r="J36" s="20" t="s">
        <v>30</v>
      </c>
      <c r="K36" s="20" t="s">
        <v>31</v>
      </c>
      <c r="L36" s="33">
        <f t="shared" si="9"/>
        <v>5494.4853339477331</v>
      </c>
      <c r="M36" s="21" t="s">
        <v>29</v>
      </c>
      <c r="N36" s="25" t="s">
        <v>84</v>
      </c>
      <c r="O36" s="25" t="s">
        <v>38</v>
      </c>
      <c r="P36" s="22">
        <v>0.4</v>
      </c>
      <c r="Q36" s="37">
        <v>1052.7043978134907</v>
      </c>
    </row>
    <row r="37" spans="1:17" x14ac:dyDescent="0.25">
      <c r="A37" s="4" t="str">
        <f t="shared" si="0"/>
        <v>CUSTO OFFSHORE USD  - VINLAND  - MARÇO 26</v>
      </c>
      <c r="B37" s="9">
        <v>46082</v>
      </c>
      <c r="C37" s="4">
        <v>817395</v>
      </c>
      <c r="D37" s="11" t="s">
        <v>47</v>
      </c>
      <c r="E37" s="10">
        <f t="shared" si="2"/>
        <v>0</v>
      </c>
      <c r="F37" s="4" t="s">
        <v>19</v>
      </c>
      <c r="G37" s="9">
        <f t="shared" si="1"/>
        <v>46082</v>
      </c>
      <c r="H37" s="4">
        <v>80359</v>
      </c>
      <c r="J37" s="13" t="s">
        <v>30</v>
      </c>
      <c r="K37" s="13" t="s">
        <v>20</v>
      </c>
      <c r="L37" s="14">
        <f t="shared" si="9"/>
        <v>0</v>
      </c>
      <c r="M37" s="15" t="s">
        <v>29</v>
      </c>
      <c r="N37" s="24" t="s">
        <v>84</v>
      </c>
      <c r="O37" s="24" t="s">
        <v>38</v>
      </c>
      <c r="P37" s="16">
        <v>1</v>
      </c>
      <c r="Q37" s="30"/>
    </row>
    <row r="38" spans="1:17" x14ac:dyDescent="0.25">
      <c r="A38" s="4" t="str">
        <f t="shared" si="0"/>
        <v>CUSTO OFFSHORE USD -178,74 - SCHONFELD_MO - MARÇO 26</v>
      </c>
      <c r="B38" s="9">
        <v>46082</v>
      </c>
      <c r="C38" s="4">
        <v>817395</v>
      </c>
      <c r="D38" s="11" t="s">
        <v>47</v>
      </c>
      <c r="E38" s="30">
        <f t="shared" si="2"/>
        <v>932.91555600000004</v>
      </c>
      <c r="F38" s="4" t="s">
        <v>19</v>
      </c>
      <c r="G38" s="9">
        <f t="shared" si="1"/>
        <v>46082</v>
      </c>
      <c r="H38" s="4">
        <v>83061</v>
      </c>
      <c r="J38" s="13" t="s">
        <v>30</v>
      </c>
      <c r="K38" s="13" t="s">
        <v>59</v>
      </c>
      <c r="L38" s="14">
        <f t="shared" si="9"/>
        <v>-932.91555600000004</v>
      </c>
      <c r="M38" s="15" t="s">
        <v>29</v>
      </c>
      <c r="N38" s="24" t="s">
        <v>84</v>
      </c>
      <c r="O38" s="24" t="s">
        <v>38</v>
      </c>
      <c r="P38" s="27">
        <v>1</v>
      </c>
      <c r="Q38" s="30">
        <v>-178.74</v>
      </c>
    </row>
    <row r="39" spans="1:17" x14ac:dyDescent="0.25">
      <c r="A39" s="4" t="str">
        <f t="shared" si="0"/>
        <v>CUSTO OFFSHORE USD -164,674426325682 - GOLDMAN SACHS IL - BRAS - MARÇO 26</v>
      </c>
      <c r="B39" s="9">
        <v>46082</v>
      </c>
      <c r="C39" s="4">
        <v>817395</v>
      </c>
      <c r="D39" s="11" t="s">
        <v>12</v>
      </c>
      <c r="E39" s="10">
        <f t="shared" si="2"/>
        <v>859.50170076426537</v>
      </c>
      <c r="F39" s="4" t="s">
        <v>19</v>
      </c>
      <c r="G39" s="9">
        <f t="shared" si="1"/>
        <v>46082</v>
      </c>
      <c r="H39" s="4">
        <v>79791</v>
      </c>
      <c r="J39" s="13" t="s">
        <v>30</v>
      </c>
      <c r="K39" s="13" t="s">
        <v>24</v>
      </c>
      <c r="L39" s="14">
        <f t="shared" si="9"/>
        <v>-859.50170076426537</v>
      </c>
      <c r="M39" s="15" t="s">
        <v>29</v>
      </c>
      <c r="N39" s="24" t="s">
        <v>84</v>
      </c>
      <c r="O39" s="24" t="s">
        <v>38</v>
      </c>
      <c r="P39" s="16">
        <v>1</v>
      </c>
      <c r="Q39" s="30">
        <v>-164.67442632568213</v>
      </c>
    </row>
    <row r="40" spans="1:17" x14ac:dyDescent="0.25">
      <c r="A40" s="4" t="str">
        <f t="shared" si="0"/>
        <v>CUSTO OFFSHORE USD -15,22 - ITAÚ - NASSAU - MARÇO 26</v>
      </c>
      <c r="B40" s="9">
        <v>46082</v>
      </c>
      <c r="C40" s="4">
        <v>817395</v>
      </c>
      <c r="D40" s="11" t="s">
        <v>12</v>
      </c>
      <c r="E40" s="30">
        <f t="shared" si="2"/>
        <v>79.439268000000013</v>
      </c>
      <c r="F40" s="4" t="s">
        <v>19</v>
      </c>
      <c r="G40" s="9">
        <f t="shared" si="1"/>
        <v>46082</v>
      </c>
      <c r="H40" s="4">
        <v>79460</v>
      </c>
      <c r="J40" s="13" t="s">
        <v>30</v>
      </c>
      <c r="K40" s="13" t="s">
        <v>18</v>
      </c>
      <c r="L40" s="14">
        <f t="shared" si="9"/>
        <v>-79.439268000000013</v>
      </c>
      <c r="M40" s="15" t="s">
        <v>29</v>
      </c>
      <c r="N40" s="24" t="s">
        <v>84</v>
      </c>
      <c r="O40" s="24" t="s">
        <v>38</v>
      </c>
      <c r="P40" s="16">
        <v>1</v>
      </c>
      <c r="Q40" s="12">
        <v>-15.22</v>
      </c>
    </row>
    <row r="41" spans="1:17" x14ac:dyDescent="0.25">
      <c r="A41" s="4" t="str">
        <f t="shared" si="0"/>
        <v>CUSTO OFFSHORE USD -22,7573439861531 - SPX_MO - MARÇO 26</v>
      </c>
      <c r="B41" s="9">
        <v>46082</v>
      </c>
      <c r="C41" s="4">
        <v>817395</v>
      </c>
      <c r="D41" s="11" t="s">
        <v>12</v>
      </c>
      <c r="E41" s="30">
        <f t="shared" si="2"/>
        <v>71.267808720796609</v>
      </c>
      <c r="F41" s="4" t="s">
        <v>19</v>
      </c>
      <c r="G41" s="9">
        <f t="shared" si="1"/>
        <v>46082</v>
      </c>
      <c r="H41" s="4">
        <v>79931</v>
      </c>
      <c r="J41" s="13" t="s">
        <v>30</v>
      </c>
      <c r="K41" s="13" t="s">
        <v>31</v>
      </c>
      <c r="L41" s="14">
        <f t="shared" si="9"/>
        <v>-118.77968120132768</v>
      </c>
      <c r="M41" s="15" t="s">
        <v>29</v>
      </c>
      <c r="N41" s="24" t="s">
        <v>84</v>
      </c>
      <c r="O41" s="24" t="s">
        <v>38</v>
      </c>
      <c r="P41" s="27">
        <v>0.6</v>
      </c>
      <c r="Q41" s="35">
        <v>-22.757343986153135</v>
      </c>
    </row>
    <row r="42" spans="1:17" x14ac:dyDescent="0.25">
      <c r="A42" s="4" t="str">
        <f t="shared" si="0"/>
        <v>CUSTO OFFSHORE USD -22,7573439861531 - SPX_MO - MARÇO 26</v>
      </c>
      <c r="B42" s="9">
        <v>46082</v>
      </c>
      <c r="C42" s="4">
        <v>817395</v>
      </c>
      <c r="D42" s="11" t="s">
        <v>45</v>
      </c>
      <c r="E42" s="30">
        <f t="shared" si="2"/>
        <v>47.511872480531075</v>
      </c>
      <c r="F42" s="4" t="s">
        <v>19</v>
      </c>
      <c r="G42" s="9">
        <f t="shared" si="1"/>
        <v>46082</v>
      </c>
      <c r="H42" s="4">
        <v>79931</v>
      </c>
      <c r="J42" s="13" t="s">
        <v>30</v>
      </c>
      <c r="K42" s="13" t="s">
        <v>31</v>
      </c>
      <c r="L42" s="14">
        <f t="shared" si="9"/>
        <v>-118.77968120132768</v>
      </c>
      <c r="M42" s="15" t="s">
        <v>29</v>
      </c>
      <c r="N42" s="24" t="s">
        <v>84</v>
      </c>
      <c r="O42" s="24" t="s">
        <v>38</v>
      </c>
      <c r="P42" s="27">
        <v>0.4</v>
      </c>
      <c r="Q42" s="37">
        <v>-22.757343986153135</v>
      </c>
    </row>
    <row r="43" spans="1:17" x14ac:dyDescent="0.25">
      <c r="A43" s="4" t="str">
        <f t="shared" si="0"/>
        <v>CUSTO OFFSHORE USD -5,88831806177207 - CITIGBL_MO - MARÇO 26</v>
      </c>
      <c r="B43" s="9">
        <v>46082</v>
      </c>
      <c r="C43" s="4">
        <v>817395</v>
      </c>
      <c r="D43" s="11" t="s">
        <v>12</v>
      </c>
      <c r="E43" s="30">
        <f t="shared" si="2"/>
        <v>15.366743645806572</v>
      </c>
      <c r="F43" s="4" t="s">
        <v>19</v>
      </c>
      <c r="G43" s="9">
        <f t="shared" si="1"/>
        <v>46082</v>
      </c>
      <c r="H43" s="4">
        <v>79791</v>
      </c>
      <c r="J43" s="13" t="s">
        <v>30</v>
      </c>
      <c r="K43" s="13" t="s">
        <v>48</v>
      </c>
      <c r="L43" s="14">
        <f t="shared" si="9"/>
        <v>-30.733487291613145</v>
      </c>
      <c r="M43" s="15" t="s">
        <v>29</v>
      </c>
      <c r="N43" s="24" t="s">
        <v>84</v>
      </c>
      <c r="O43" s="24" t="s">
        <v>38</v>
      </c>
      <c r="P43" s="27">
        <v>0.5</v>
      </c>
      <c r="Q43" s="35">
        <v>-5.8883180617720701</v>
      </c>
    </row>
    <row r="44" spans="1:17" x14ac:dyDescent="0.25">
      <c r="A44" s="4" t="str">
        <f t="shared" si="0"/>
        <v>CUSTO OFFSHORE USD -5,88831806177207 - CITIGBL_MO - MARÇO 26</v>
      </c>
      <c r="B44" s="9">
        <v>46082</v>
      </c>
      <c r="C44" s="4">
        <v>817395</v>
      </c>
      <c r="D44" s="11" t="s">
        <v>45</v>
      </c>
      <c r="E44" s="30">
        <f t="shared" si="2"/>
        <v>15.366743645806572</v>
      </c>
      <c r="F44" s="4" t="s">
        <v>19</v>
      </c>
      <c r="G44" s="9">
        <f t="shared" si="1"/>
        <v>46082</v>
      </c>
      <c r="H44" s="4">
        <v>79791</v>
      </c>
      <c r="J44" s="13" t="s">
        <v>30</v>
      </c>
      <c r="K44" s="13" t="s">
        <v>48</v>
      </c>
      <c r="L44" s="14">
        <f t="shared" si="9"/>
        <v>-30.733487291613145</v>
      </c>
      <c r="M44" s="15" t="s">
        <v>29</v>
      </c>
      <c r="N44" s="24" t="s">
        <v>84</v>
      </c>
      <c r="O44" s="24" t="s">
        <v>38</v>
      </c>
      <c r="P44" s="27">
        <v>0.5</v>
      </c>
      <c r="Q44" s="37">
        <v>-5.8883180617720701</v>
      </c>
    </row>
    <row r="45" spans="1:17" x14ac:dyDescent="0.25">
      <c r="A45" s="4" t="str">
        <f t="shared" si="0"/>
        <v>CUSTO OFFSHORE USD -4,59576043845625 - ASSET1 - MARÇO 26</v>
      </c>
      <c r="B45" s="9">
        <v>46082</v>
      </c>
      <c r="C45" s="4">
        <v>817395</v>
      </c>
      <c r="D45" s="11" t="s">
        <v>12</v>
      </c>
      <c r="E45" s="30">
        <f>-L45*P45</f>
        <v>7.9973031516283486</v>
      </c>
      <c r="F45" s="4" t="s">
        <v>19</v>
      </c>
      <c r="G45" s="9">
        <f t="shared" si="1"/>
        <v>46082</v>
      </c>
      <c r="H45" s="4">
        <v>80834</v>
      </c>
      <c r="J45" s="13" t="s">
        <v>30</v>
      </c>
      <c r="K45" s="13" t="s">
        <v>14</v>
      </c>
      <c r="L45" s="14">
        <f>IF(O45="USD",Q45*$S$1)</f>
        <v>-23.987112032478553</v>
      </c>
      <c r="M45" s="15" t="s">
        <v>29</v>
      </c>
      <c r="N45" s="24" t="s">
        <v>84</v>
      </c>
      <c r="O45" s="24" t="s">
        <v>38</v>
      </c>
      <c r="P45" s="16">
        <v>0.33339999999999997</v>
      </c>
      <c r="Q45" s="35">
        <v>-4.5957604384562503</v>
      </c>
    </row>
    <row r="46" spans="1:17" x14ac:dyDescent="0.25">
      <c r="A46" s="4" t="str">
        <f t="shared" si="0"/>
        <v>CUSTO OFFSHORE USD -4,59576043845625 - ASSET1 - MARÇO 26</v>
      </c>
      <c r="B46" s="9">
        <v>46082</v>
      </c>
      <c r="C46" s="4">
        <v>817395</v>
      </c>
      <c r="D46" s="11" t="s">
        <v>45</v>
      </c>
      <c r="E46" s="30">
        <f t="shared" ref="E46:E49" si="14">-L46*P46</f>
        <v>7.9949044404251017</v>
      </c>
      <c r="F46" s="4" t="s">
        <v>19</v>
      </c>
      <c r="G46" s="9">
        <f t="shared" si="1"/>
        <v>46082</v>
      </c>
      <c r="H46" s="4">
        <v>80834</v>
      </c>
      <c r="J46" s="13" t="s">
        <v>30</v>
      </c>
      <c r="K46" s="13" t="s">
        <v>14</v>
      </c>
      <c r="L46" s="14">
        <f t="shared" ref="L46:L47" si="15">IF(O46="USD",Q46*$S$1)</f>
        <v>-23.987112032478553</v>
      </c>
      <c r="M46" s="15" t="s">
        <v>29</v>
      </c>
      <c r="N46" s="24" t="s">
        <v>84</v>
      </c>
      <c r="O46" s="24" t="s">
        <v>38</v>
      </c>
      <c r="P46" s="16">
        <v>0.33329999999999999</v>
      </c>
      <c r="Q46" s="36">
        <v>-4.5957604384562503</v>
      </c>
    </row>
    <row r="47" spans="1:17" x14ac:dyDescent="0.25">
      <c r="A47" s="4" t="str">
        <f t="shared" si="0"/>
        <v>CUSTO OFFSHORE USD -4,59576043845625 - ASSET1 - MARÇO 26</v>
      </c>
      <c r="B47" s="9">
        <v>46082</v>
      </c>
      <c r="C47" s="4">
        <v>817395</v>
      </c>
      <c r="D47" s="11" t="s">
        <v>46</v>
      </c>
      <c r="E47" s="30">
        <f t="shared" si="14"/>
        <v>7.9949044404251017</v>
      </c>
      <c r="F47" s="4" t="s">
        <v>19</v>
      </c>
      <c r="G47" s="9">
        <f t="shared" si="1"/>
        <v>46082</v>
      </c>
      <c r="H47" s="4">
        <v>80834</v>
      </c>
      <c r="J47" s="13" t="s">
        <v>30</v>
      </c>
      <c r="K47" s="13" t="s">
        <v>14</v>
      </c>
      <c r="L47" s="14">
        <f t="shared" si="15"/>
        <v>-23.987112032478553</v>
      </c>
      <c r="M47" s="15" t="s">
        <v>29</v>
      </c>
      <c r="N47" s="24" t="s">
        <v>84</v>
      </c>
      <c r="O47" s="24" t="s">
        <v>38</v>
      </c>
      <c r="P47" s="16">
        <v>0.33329999999999999</v>
      </c>
      <c r="Q47" s="37">
        <v>-4.5957604384562503</v>
      </c>
    </row>
    <row r="48" spans="1:17" x14ac:dyDescent="0.25">
      <c r="A48" s="4" t="str">
        <f>CONCATENATE(J48,Q48,M48,K48,M48,N48)</f>
        <v>CUSTO OFFSHORE USD -28,7235027403516 - KAPITALO - MARÇO 26</v>
      </c>
      <c r="B48" s="9">
        <v>46082</v>
      </c>
      <c r="C48" s="4">
        <v>817395</v>
      </c>
      <c r="D48" s="11" t="s">
        <v>12</v>
      </c>
      <c r="E48" s="30">
        <f t="shared" si="14"/>
        <v>112.4395876522432</v>
      </c>
      <c r="F48" s="4" t="s">
        <v>19</v>
      </c>
      <c r="G48" s="9">
        <f t="shared" si="1"/>
        <v>46082</v>
      </c>
      <c r="H48" s="4">
        <v>12413</v>
      </c>
      <c r="J48" s="13" t="s">
        <v>30</v>
      </c>
      <c r="K48" s="13" t="s">
        <v>26</v>
      </c>
      <c r="L48" s="14">
        <f>IF(O48="USD",Q48*$S$1)</f>
        <v>-149.91945020299093</v>
      </c>
      <c r="M48" s="15" t="s">
        <v>29</v>
      </c>
      <c r="N48" s="24" t="s">
        <v>84</v>
      </c>
      <c r="O48" s="24" t="s">
        <v>38</v>
      </c>
      <c r="P48" s="27">
        <v>0.75</v>
      </c>
      <c r="Q48" s="36">
        <v>-28.723502740351559</v>
      </c>
    </row>
    <row r="49" spans="1:17" x14ac:dyDescent="0.25">
      <c r="A49" s="4" t="str">
        <f>CONCATENATE(J49,Q49,M49,K49,M49,N49)</f>
        <v>CUSTO OFFSHORE USD -28,7235027403516 - KAPITALO - MARÇO 26</v>
      </c>
      <c r="B49" s="9">
        <v>46082</v>
      </c>
      <c r="C49" s="4">
        <v>817395</v>
      </c>
      <c r="D49" s="11" t="s">
        <v>45</v>
      </c>
      <c r="E49" s="30">
        <f t="shared" si="14"/>
        <v>37.479862550747733</v>
      </c>
      <c r="F49" s="4" t="s">
        <v>19</v>
      </c>
      <c r="G49" s="9">
        <f t="shared" si="1"/>
        <v>46082</v>
      </c>
      <c r="H49" s="4">
        <v>12413</v>
      </c>
      <c r="J49" s="13" t="s">
        <v>30</v>
      </c>
      <c r="K49" s="13" t="s">
        <v>26</v>
      </c>
      <c r="L49" s="14">
        <f>IF(O49="USD",Q49*$S$1)</f>
        <v>-149.91945020299093</v>
      </c>
      <c r="M49" s="15" t="s">
        <v>29</v>
      </c>
      <c r="N49" s="24" t="s">
        <v>84</v>
      </c>
      <c r="O49" s="24" t="s">
        <v>38</v>
      </c>
      <c r="P49" s="27">
        <v>0.25</v>
      </c>
      <c r="Q49" s="36">
        <v>-28.723502740351559</v>
      </c>
    </row>
    <row r="50" spans="1:17" x14ac:dyDescent="0.25">
      <c r="A50" s="4" t="str">
        <f t="shared" si="0"/>
        <v>CUSTO OFFSHORE USD -0,807130427003879 - SPRINGS_MO - MARÇO 26</v>
      </c>
      <c r="B50" s="9">
        <v>46082</v>
      </c>
      <c r="C50" s="4">
        <v>817395</v>
      </c>
      <c r="D50" s="11" t="s">
        <v>12</v>
      </c>
      <c r="E50" s="28">
        <f t="shared" si="2"/>
        <v>2.8082101846993166</v>
      </c>
      <c r="F50" s="4" t="s">
        <v>19</v>
      </c>
      <c r="G50" s="9">
        <f t="shared" si="1"/>
        <v>46082</v>
      </c>
      <c r="H50" s="4">
        <v>82748</v>
      </c>
      <c r="J50" s="13" t="s">
        <v>30</v>
      </c>
      <c r="K50" s="13" t="s">
        <v>56</v>
      </c>
      <c r="L50" s="14">
        <f t="shared" si="9"/>
        <v>-4.2127365507040455</v>
      </c>
      <c r="M50" s="15" t="s">
        <v>29</v>
      </c>
      <c r="N50" s="24" t="s">
        <v>84</v>
      </c>
      <c r="O50" s="24" t="s">
        <v>38</v>
      </c>
      <c r="P50" s="27">
        <v>0.66659999999999997</v>
      </c>
      <c r="Q50" s="35">
        <v>-0.80713042700387883</v>
      </c>
    </row>
    <row r="51" spans="1:17" x14ac:dyDescent="0.25">
      <c r="A51" s="4" t="str">
        <f t="shared" si="0"/>
        <v>CUSTO OFFSHORE USD -0,807130427003879 - SPRINGS_MO - MARÇO 26</v>
      </c>
      <c r="B51" s="9">
        <v>46082</v>
      </c>
      <c r="C51" s="4">
        <v>817395</v>
      </c>
      <c r="D51" s="11" t="s">
        <v>45</v>
      </c>
      <c r="E51" s="28">
        <f t="shared" si="2"/>
        <v>1.4041050923496583</v>
      </c>
      <c r="F51" s="4" t="s">
        <v>19</v>
      </c>
      <c r="G51" s="9">
        <f t="shared" si="1"/>
        <v>46082</v>
      </c>
      <c r="H51" s="4">
        <v>82748</v>
      </c>
      <c r="J51" s="13" t="s">
        <v>30</v>
      </c>
      <c r="K51" s="13" t="s">
        <v>56</v>
      </c>
      <c r="L51" s="14">
        <f t="shared" si="9"/>
        <v>-4.2127365507040455</v>
      </c>
      <c r="M51" s="15" t="s">
        <v>29</v>
      </c>
      <c r="N51" s="24" t="s">
        <v>84</v>
      </c>
      <c r="O51" s="24" t="s">
        <v>38</v>
      </c>
      <c r="P51" s="27">
        <v>0.33329999999999999</v>
      </c>
      <c r="Q51" s="37">
        <v>-0.80713042700387883</v>
      </c>
    </row>
    <row r="52" spans="1:17" x14ac:dyDescent="0.25">
      <c r="A52" s="4" t="str">
        <f t="shared" si="0"/>
        <v>CUSTO OFFSHORE USD -0,861705082210547 - BRADESCO_MO - MARÇO 26</v>
      </c>
      <c r="B52" s="9">
        <v>46082</v>
      </c>
      <c r="C52" s="4">
        <v>817395</v>
      </c>
      <c r="D52" s="11" t="s">
        <v>12</v>
      </c>
      <c r="E52" s="28">
        <f t="shared" si="2"/>
        <v>3.3731876295672958</v>
      </c>
      <c r="F52" s="4" t="s">
        <v>19</v>
      </c>
      <c r="G52" s="9">
        <f t="shared" si="1"/>
        <v>46082</v>
      </c>
      <c r="H52" s="4">
        <v>16705</v>
      </c>
      <c r="J52" s="13" t="s">
        <v>30</v>
      </c>
      <c r="K52" s="13" t="s">
        <v>69</v>
      </c>
      <c r="L52" s="14">
        <f t="shared" si="9"/>
        <v>-4.497583506089728</v>
      </c>
      <c r="M52" s="15" t="s">
        <v>29</v>
      </c>
      <c r="N52" s="24" t="s">
        <v>84</v>
      </c>
      <c r="O52" s="24" t="s">
        <v>38</v>
      </c>
      <c r="P52" s="27">
        <v>0.75</v>
      </c>
      <c r="Q52" s="35">
        <v>-0.86170508221054676</v>
      </c>
    </row>
    <row r="53" spans="1:17" x14ac:dyDescent="0.25">
      <c r="A53" s="4" t="str">
        <f>CONCATENATE(J53,Q53,M53,K53,M53,N53)</f>
        <v>CUSTO OFFSHORE USD -0,861705082210547 - BRADESCO_MO - MARÇO 26</v>
      </c>
      <c r="B53" s="9">
        <v>46082</v>
      </c>
      <c r="C53" s="4">
        <v>817395</v>
      </c>
      <c r="D53" s="11" t="s">
        <v>45</v>
      </c>
      <c r="E53" s="28">
        <f t="shared" si="2"/>
        <v>1.124395876522432</v>
      </c>
      <c r="F53" s="4" t="s">
        <v>19</v>
      </c>
      <c r="G53" s="9">
        <f t="shared" si="1"/>
        <v>46082</v>
      </c>
      <c r="H53" s="4">
        <v>16705</v>
      </c>
      <c r="J53" s="13" t="s">
        <v>30</v>
      </c>
      <c r="K53" s="13" t="s">
        <v>69</v>
      </c>
      <c r="L53" s="14">
        <f>IF(O53="USD",Q53*$S$1)</f>
        <v>-4.497583506089728</v>
      </c>
      <c r="M53" s="15" t="s">
        <v>29</v>
      </c>
      <c r="N53" s="24" t="s">
        <v>84</v>
      </c>
      <c r="O53" s="24" t="s">
        <v>38</v>
      </c>
      <c r="P53" s="27">
        <v>0.25</v>
      </c>
      <c r="Q53" s="37">
        <v>-0.86170508221054676</v>
      </c>
    </row>
    <row r="54" spans="1:17" x14ac:dyDescent="0.25">
      <c r="A54" s="4" t="str">
        <f>CONCATENATE(J54,Q54,M54,K54,M54,N54)</f>
        <v>CUSTO OFFSHORE USD -32,6083564859841 - RPS - MARÇO 26</v>
      </c>
      <c r="B54" s="9">
        <v>46082</v>
      </c>
      <c r="C54" s="4">
        <v>817395</v>
      </c>
      <c r="D54" s="11" t="s">
        <v>45</v>
      </c>
      <c r="E54" s="10">
        <f t="shared" si="2"/>
        <v>85.098027921472735</v>
      </c>
      <c r="F54" s="4" t="s">
        <v>19</v>
      </c>
      <c r="G54" s="9">
        <f t="shared" si="1"/>
        <v>46082</v>
      </c>
      <c r="H54" s="4">
        <v>12339</v>
      </c>
      <c r="J54" s="13" t="s">
        <v>30</v>
      </c>
      <c r="K54" s="13" t="s">
        <v>16</v>
      </c>
      <c r="L54" s="14">
        <f>IF(O54="USD",Q54*$S$1)</f>
        <v>-170.19605584294547</v>
      </c>
      <c r="M54" s="15" t="s">
        <v>29</v>
      </c>
      <c r="N54" s="24" t="s">
        <v>84</v>
      </c>
      <c r="O54" s="24" t="s">
        <v>38</v>
      </c>
      <c r="P54" s="16">
        <v>0.5</v>
      </c>
      <c r="Q54" s="35">
        <v>-32.60835648598411</v>
      </c>
    </row>
    <row r="55" spans="1:17" x14ac:dyDescent="0.25">
      <c r="A55" s="17" t="str">
        <f>CONCATENATE(J55,Q55,M55,K55,M55,N55)</f>
        <v>CUSTO OFFSHORE USD -32,6083564859841 - RPS - MARÇO 26</v>
      </c>
      <c r="B55" s="18">
        <v>46082</v>
      </c>
      <c r="C55" s="17">
        <v>817395</v>
      </c>
      <c r="D55" s="23" t="s">
        <v>12</v>
      </c>
      <c r="E55" s="19">
        <f t="shared" si="2"/>
        <v>85.098027921472735</v>
      </c>
      <c r="F55" s="17" t="s">
        <v>19</v>
      </c>
      <c r="G55" s="18">
        <f t="shared" si="1"/>
        <v>46082</v>
      </c>
      <c r="H55" s="17">
        <v>12339</v>
      </c>
      <c r="J55" s="20" t="s">
        <v>30</v>
      </c>
      <c r="K55" s="20" t="s">
        <v>16</v>
      </c>
      <c r="L55" s="33">
        <f>IF(O55="USD",Q55*$S$1)</f>
        <v>-170.19605584294547</v>
      </c>
      <c r="M55" s="21" t="s">
        <v>29</v>
      </c>
      <c r="N55" s="25" t="s">
        <v>84</v>
      </c>
      <c r="O55" s="25" t="s">
        <v>38</v>
      </c>
      <c r="P55" s="22">
        <v>0.5</v>
      </c>
      <c r="Q55" s="37">
        <v>-32.60835648598411</v>
      </c>
    </row>
    <row r="56" spans="1:17" x14ac:dyDescent="0.25">
      <c r="A56" s="4" t="str">
        <f t="shared" si="0"/>
        <v>CUSTO OFFSHORE USD 240,717831799779 - ASSET1 - MARÇO 26</v>
      </c>
      <c r="B56" s="9">
        <v>46082</v>
      </c>
      <c r="C56" s="4">
        <v>817395</v>
      </c>
      <c r="D56" s="11" t="s">
        <v>12</v>
      </c>
      <c r="E56" s="12">
        <f>-L56*P56</f>
        <v>-418.88464394200798</v>
      </c>
      <c r="F56" s="4" t="s">
        <v>52</v>
      </c>
      <c r="G56" s="9">
        <f t="shared" si="1"/>
        <v>46082</v>
      </c>
      <c r="H56" s="4">
        <v>80834</v>
      </c>
      <c r="J56" s="13" t="s">
        <v>30</v>
      </c>
      <c r="K56" s="13" t="s">
        <v>14</v>
      </c>
      <c r="L56" s="14">
        <f>IF(O56="USD",Q56*$S$1)</f>
        <v>1256.4026512957648</v>
      </c>
      <c r="M56" s="15" t="s">
        <v>29</v>
      </c>
      <c r="N56" s="24" t="s">
        <v>84</v>
      </c>
      <c r="O56" s="24" t="s">
        <v>38</v>
      </c>
      <c r="P56" s="16">
        <v>0.33339999999999997</v>
      </c>
      <c r="Q56" s="36">
        <v>240.71783179977868</v>
      </c>
    </row>
    <row r="57" spans="1:17" x14ac:dyDescent="0.25">
      <c r="A57" s="4" t="str">
        <f t="shared" si="0"/>
        <v>CUSTO OFFSHORE USD 240,717831799779 - ASSET1 - MARÇO 26</v>
      </c>
      <c r="B57" s="9">
        <v>46082</v>
      </c>
      <c r="C57" s="4">
        <v>817395</v>
      </c>
      <c r="D57" s="11" t="s">
        <v>45</v>
      </c>
      <c r="E57" s="12">
        <f t="shared" ref="E57:E67" si="16">-L57*P57</f>
        <v>-418.75900367687842</v>
      </c>
      <c r="F57" s="4" t="s">
        <v>52</v>
      </c>
      <c r="G57" s="9">
        <f t="shared" si="1"/>
        <v>46082</v>
      </c>
      <c r="H57" s="4">
        <v>80834</v>
      </c>
      <c r="J57" s="13" t="s">
        <v>30</v>
      </c>
      <c r="K57" s="13" t="s">
        <v>14</v>
      </c>
      <c r="L57" s="14">
        <f t="shared" ref="L57:L67" si="17">IF(O57="USD",Q57*$S$1)</f>
        <v>1256.4026512957648</v>
      </c>
      <c r="M57" s="15" t="s">
        <v>29</v>
      </c>
      <c r="N57" s="24" t="s">
        <v>84</v>
      </c>
      <c r="O57" s="24" t="s">
        <v>38</v>
      </c>
      <c r="P57" s="16">
        <v>0.33329999999999999</v>
      </c>
      <c r="Q57" s="36">
        <v>240.71783179977868</v>
      </c>
    </row>
    <row r="58" spans="1:17" x14ac:dyDescent="0.25">
      <c r="A58" s="4" t="str">
        <f t="shared" si="0"/>
        <v>CUSTO OFFSHORE USD 240,717831799779 - ASSET1 - MARÇO 26</v>
      </c>
      <c r="B58" s="9">
        <v>46082</v>
      </c>
      <c r="C58" s="4">
        <v>817395</v>
      </c>
      <c r="D58" s="11" t="s">
        <v>46</v>
      </c>
      <c r="E58" s="12">
        <f t="shared" si="16"/>
        <v>-418.75900367687842</v>
      </c>
      <c r="F58" s="4" t="s">
        <v>52</v>
      </c>
      <c r="G58" s="9">
        <f t="shared" si="1"/>
        <v>46082</v>
      </c>
      <c r="H58" s="4">
        <v>80834</v>
      </c>
      <c r="J58" s="13" t="s">
        <v>30</v>
      </c>
      <c r="K58" s="13" t="s">
        <v>14</v>
      </c>
      <c r="L58" s="14">
        <f t="shared" si="17"/>
        <v>1256.4026512957648</v>
      </c>
      <c r="M58" s="15" t="s">
        <v>29</v>
      </c>
      <c r="N58" s="24" t="s">
        <v>84</v>
      </c>
      <c r="O58" s="24" t="s">
        <v>38</v>
      </c>
      <c r="P58" s="16">
        <v>0.33329999999999999</v>
      </c>
      <c r="Q58" s="37">
        <v>240.71783179977868</v>
      </c>
    </row>
    <row r="59" spans="1:17" x14ac:dyDescent="0.25">
      <c r="A59" s="4" t="str">
        <f t="shared" si="0"/>
        <v>CUSTO OFFSHORE USD 332,502999577562 - BRADESCO_BZL - MARÇO 26</v>
      </c>
      <c r="B59" s="9">
        <v>46082</v>
      </c>
      <c r="C59" s="4">
        <v>817395</v>
      </c>
      <c r="D59" s="11" t="s">
        <v>12</v>
      </c>
      <c r="E59" s="28">
        <f t="shared" si="16"/>
        <v>-1301.5996169963439</v>
      </c>
      <c r="F59" s="4" t="s">
        <v>52</v>
      </c>
      <c r="G59" s="9">
        <f t="shared" si="1"/>
        <v>46082</v>
      </c>
      <c r="H59" s="4">
        <v>16705</v>
      </c>
      <c r="J59" s="13" t="s">
        <v>30</v>
      </c>
      <c r="K59" s="13" t="s">
        <v>27</v>
      </c>
      <c r="L59" s="14">
        <f t="shared" si="17"/>
        <v>1735.4661559951253</v>
      </c>
      <c r="M59" s="15" t="s">
        <v>29</v>
      </c>
      <c r="N59" s="24" t="s">
        <v>84</v>
      </c>
      <c r="O59" s="24" t="s">
        <v>38</v>
      </c>
      <c r="P59" s="27">
        <v>0.75</v>
      </c>
      <c r="Q59" s="35">
        <v>332.50299957756164</v>
      </c>
    </row>
    <row r="60" spans="1:17" x14ac:dyDescent="0.25">
      <c r="A60" s="4" t="str">
        <f t="shared" si="0"/>
        <v>CUSTO OFFSHORE USD 332,502999577562 - BRADESCO_BZL - MARÇO 26</v>
      </c>
      <c r="B60" s="9">
        <v>46082</v>
      </c>
      <c r="C60" s="4">
        <v>817395</v>
      </c>
      <c r="D60" s="11" t="s">
        <v>45</v>
      </c>
      <c r="E60" s="28">
        <f t="shared" si="16"/>
        <v>-433.86653899878132</v>
      </c>
      <c r="F60" s="4" t="s">
        <v>52</v>
      </c>
      <c r="G60" s="9">
        <f t="shared" si="1"/>
        <v>46082</v>
      </c>
      <c r="H60" s="4">
        <v>16705</v>
      </c>
      <c r="J60" s="13" t="s">
        <v>30</v>
      </c>
      <c r="K60" s="13" t="s">
        <v>27</v>
      </c>
      <c r="L60" s="14">
        <f t="shared" si="17"/>
        <v>1735.4661559951253</v>
      </c>
      <c r="M60" s="15" t="s">
        <v>29</v>
      </c>
      <c r="N60" s="24" t="s">
        <v>84</v>
      </c>
      <c r="O60" s="24" t="s">
        <v>38</v>
      </c>
      <c r="P60" s="27">
        <v>0.25</v>
      </c>
      <c r="Q60" s="37">
        <v>332.50299957756164</v>
      </c>
    </row>
    <row r="61" spans="1:17" x14ac:dyDescent="0.25">
      <c r="A61" s="4" t="str">
        <f t="shared" si="0"/>
        <v>CUSTO OFFSHORE USD 50,1083991918793 - BRADESCO_MO - MARÇO 26</v>
      </c>
      <c r="B61" s="9">
        <v>46082</v>
      </c>
      <c r="C61" s="4">
        <v>817395</v>
      </c>
      <c r="D61" s="11" t="s">
        <v>12</v>
      </c>
      <c r="E61" s="30">
        <f t="shared" si="16"/>
        <v>-196.1518340565712</v>
      </c>
      <c r="F61" s="4" t="s">
        <v>52</v>
      </c>
      <c r="G61" s="9">
        <f t="shared" si="1"/>
        <v>46082</v>
      </c>
      <c r="H61" s="4">
        <v>16705</v>
      </c>
      <c r="J61" s="13" t="s">
        <v>30</v>
      </c>
      <c r="K61" s="13" t="s">
        <v>69</v>
      </c>
      <c r="L61" s="14">
        <f t="shared" si="17"/>
        <v>261.53577874209492</v>
      </c>
      <c r="M61" s="15" t="s">
        <v>29</v>
      </c>
      <c r="N61" s="24" t="s">
        <v>84</v>
      </c>
      <c r="O61" s="24" t="s">
        <v>38</v>
      </c>
      <c r="P61" s="27">
        <v>0.75</v>
      </c>
      <c r="Q61" s="35">
        <v>50.108399191879315</v>
      </c>
    </row>
    <row r="62" spans="1:17" x14ac:dyDescent="0.25">
      <c r="A62" s="4" t="str">
        <f t="shared" si="0"/>
        <v>CUSTO OFFSHORE USD 50,1083991918793 - BRADESCO_MO - MARÇO 26</v>
      </c>
      <c r="B62" s="9">
        <v>46082</v>
      </c>
      <c r="C62" s="4">
        <v>817395</v>
      </c>
      <c r="D62" s="11" t="s">
        <v>45</v>
      </c>
      <c r="E62" s="30">
        <f t="shared" si="16"/>
        <v>-65.38394468552373</v>
      </c>
      <c r="F62" s="4" t="s">
        <v>52</v>
      </c>
      <c r="G62" s="9">
        <f t="shared" si="1"/>
        <v>46082</v>
      </c>
      <c r="H62" s="4">
        <v>16705</v>
      </c>
      <c r="J62" s="13" t="s">
        <v>30</v>
      </c>
      <c r="K62" s="13" t="s">
        <v>69</v>
      </c>
      <c r="L62" s="14">
        <f t="shared" si="17"/>
        <v>261.53577874209492</v>
      </c>
      <c r="M62" s="15" t="s">
        <v>29</v>
      </c>
      <c r="N62" s="24" t="s">
        <v>84</v>
      </c>
      <c r="O62" s="24" t="s">
        <v>38</v>
      </c>
      <c r="P62" s="27">
        <v>0.25</v>
      </c>
      <c r="Q62" s="37">
        <v>50.108399191879315</v>
      </c>
    </row>
    <row r="63" spans="1:17" x14ac:dyDescent="0.25">
      <c r="A63" s="4" t="str">
        <f t="shared" si="0"/>
        <v>CUSTO OFFSHORE USD  - CLAVE_MO - MARÇO 26</v>
      </c>
      <c r="B63" s="9">
        <v>46082</v>
      </c>
      <c r="C63" s="4">
        <v>817395</v>
      </c>
      <c r="D63" s="11" t="s">
        <v>12</v>
      </c>
      <c r="E63" s="30">
        <f t="shared" si="16"/>
        <v>0</v>
      </c>
      <c r="F63" s="4" t="s">
        <v>52</v>
      </c>
      <c r="G63" s="9">
        <f t="shared" si="1"/>
        <v>46082</v>
      </c>
      <c r="H63" s="4">
        <v>81541</v>
      </c>
      <c r="J63" s="13" t="s">
        <v>30</v>
      </c>
      <c r="K63" s="13" t="s">
        <v>71</v>
      </c>
      <c r="L63" s="14">
        <f t="shared" si="17"/>
        <v>0</v>
      </c>
      <c r="M63" s="15" t="s">
        <v>29</v>
      </c>
      <c r="N63" s="24" t="s">
        <v>84</v>
      </c>
      <c r="O63" s="24" t="s">
        <v>38</v>
      </c>
      <c r="P63" s="27">
        <v>0.66669999999999996</v>
      </c>
      <c r="Q63" s="35"/>
    </row>
    <row r="64" spans="1:17" x14ac:dyDescent="0.25">
      <c r="A64" s="4" t="str">
        <f t="shared" si="0"/>
        <v>CUSTO OFFSHORE USD  - CLAVE_MO - MARÇO 26</v>
      </c>
      <c r="B64" s="9">
        <v>46082</v>
      </c>
      <c r="C64" s="4">
        <v>817395</v>
      </c>
      <c r="D64" s="11" t="s">
        <v>45</v>
      </c>
      <c r="E64" s="30">
        <f t="shared" si="16"/>
        <v>0</v>
      </c>
      <c r="F64" s="4" t="s">
        <v>52</v>
      </c>
      <c r="G64" s="9">
        <f t="shared" si="1"/>
        <v>46082</v>
      </c>
      <c r="H64" s="4">
        <v>81541</v>
      </c>
      <c r="J64" s="13" t="s">
        <v>30</v>
      </c>
      <c r="K64" s="13" t="s">
        <v>71</v>
      </c>
      <c r="L64" s="14">
        <f t="shared" si="17"/>
        <v>0</v>
      </c>
      <c r="M64" s="15" t="s">
        <v>29</v>
      </c>
      <c r="N64" s="24" t="s">
        <v>84</v>
      </c>
      <c r="O64" s="24" t="s">
        <v>38</v>
      </c>
      <c r="P64" s="27">
        <v>0.33329999999999999</v>
      </c>
      <c r="Q64" s="37"/>
    </row>
    <row r="65" spans="1:17" x14ac:dyDescent="0.25">
      <c r="A65" s="4" t="str">
        <f t="shared" si="0"/>
        <v>CUSTO OFFSHORE USD 376,758356157623 - CITIGBL_MO - MARÇO 26</v>
      </c>
      <c r="B65" s="9">
        <v>46082</v>
      </c>
      <c r="C65" s="4">
        <v>817395</v>
      </c>
      <c r="D65" s="11" t="s">
        <v>12</v>
      </c>
      <c r="E65" s="28">
        <f t="shared" si="16"/>
        <v>-983.22628206455011</v>
      </c>
      <c r="F65" s="4" t="s">
        <v>52</v>
      </c>
      <c r="G65" s="9">
        <f t="shared" si="1"/>
        <v>46082</v>
      </c>
      <c r="H65" s="4">
        <v>79791</v>
      </c>
      <c r="J65" s="13" t="s">
        <v>30</v>
      </c>
      <c r="K65" s="13" t="s">
        <v>48</v>
      </c>
      <c r="L65" s="14">
        <f t="shared" si="17"/>
        <v>1966.4525641291002</v>
      </c>
      <c r="M65" s="15" t="s">
        <v>29</v>
      </c>
      <c r="N65" s="24" t="s">
        <v>84</v>
      </c>
      <c r="O65" s="24" t="s">
        <v>38</v>
      </c>
      <c r="P65" s="27">
        <v>0.5</v>
      </c>
      <c r="Q65" s="35">
        <v>376.7583561576235</v>
      </c>
    </row>
    <row r="66" spans="1:17" x14ac:dyDescent="0.25">
      <c r="A66" s="4" t="str">
        <f t="shared" si="0"/>
        <v>CUSTO OFFSHORE USD 376,758356157623 - CITIGBL_MO - MARÇO 26</v>
      </c>
      <c r="B66" s="9">
        <v>46082</v>
      </c>
      <c r="C66" s="4">
        <v>817395</v>
      </c>
      <c r="D66" s="11" t="s">
        <v>45</v>
      </c>
      <c r="E66" s="28">
        <f t="shared" si="16"/>
        <v>-983.22628206455011</v>
      </c>
      <c r="F66" s="4" t="s">
        <v>52</v>
      </c>
      <c r="G66" s="9">
        <f t="shared" si="1"/>
        <v>46082</v>
      </c>
      <c r="H66" s="4">
        <v>79791</v>
      </c>
      <c r="J66" s="13" t="s">
        <v>30</v>
      </c>
      <c r="K66" s="13" t="s">
        <v>48</v>
      </c>
      <c r="L66" s="14">
        <f t="shared" si="17"/>
        <v>1966.4525641291002</v>
      </c>
      <c r="M66" s="15" t="s">
        <v>29</v>
      </c>
      <c r="N66" s="24" t="s">
        <v>84</v>
      </c>
      <c r="O66" s="24" t="s">
        <v>38</v>
      </c>
      <c r="P66" s="27">
        <v>0.5</v>
      </c>
      <c r="Q66" s="37">
        <v>376.7583561576235</v>
      </c>
    </row>
    <row r="67" spans="1:17" x14ac:dyDescent="0.25">
      <c r="A67" s="4" t="str">
        <f t="shared" si="0"/>
        <v>CUSTO OFFSHORE USD 5320,47735775336 - GOLDMAN SACHS IL - BRAS - MARÇO 26</v>
      </c>
      <c r="B67" s="9">
        <v>46082</v>
      </c>
      <c r="C67" s="4">
        <v>817395</v>
      </c>
      <c r="D67" s="11" t="s">
        <v>12</v>
      </c>
      <c r="E67" s="10">
        <f t="shared" si="16"/>
        <v>-27769.699521057886</v>
      </c>
      <c r="F67" s="4" t="s">
        <v>52</v>
      </c>
      <c r="G67" s="9">
        <f t="shared" si="1"/>
        <v>46082</v>
      </c>
      <c r="H67" s="4">
        <v>79791</v>
      </c>
      <c r="J67" s="13" t="s">
        <v>30</v>
      </c>
      <c r="K67" s="13" t="s">
        <v>24</v>
      </c>
      <c r="L67" s="14">
        <f t="shared" si="17"/>
        <v>27769.699521057886</v>
      </c>
      <c r="M67" s="15" t="s">
        <v>29</v>
      </c>
      <c r="N67" s="24" t="s">
        <v>84</v>
      </c>
      <c r="O67" s="24" t="s">
        <v>38</v>
      </c>
      <c r="P67" s="16">
        <v>1</v>
      </c>
      <c r="Q67" s="12">
        <v>5320.4773577533597</v>
      </c>
    </row>
    <row r="68" spans="1:17" x14ac:dyDescent="0.25">
      <c r="A68" s="4" t="str">
        <f t="shared" si="0"/>
        <v>CUSTO OFFSHORE USD 291,450870324197 - ITAÚ - MSCO - MARÇO 26</v>
      </c>
      <c r="B68" s="9">
        <v>46082</v>
      </c>
      <c r="C68" s="4">
        <v>817395</v>
      </c>
      <c r="D68" s="11" t="s">
        <v>12</v>
      </c>
      <c r="E68" s="10">
        <f>-L68*P68</f>
        <v>-1521.1986725701136</v>
      </c>
      <c r="F68" s="4" t="s">
        <v>52</v>
      </c>
      <c r="G68" s="9">
        <f t="shared" si="1"/>
        <v>46082</v>
      </c>
      <c r="H68" s="4">
        <v>79460</v>
      </c>
      <c r="J68" s="13" t="s">
        <v>30</v>
      </c>
      <c r="K68" s="13" t="s">
        <v>17</v>
      </c>
      <c r="L68" s="14">
        <f>IF(O68="USD",Q68*$S$1)</f>
        <v>1521.1986725701136</v>
      </c>
      <c r="M68" s="15" t="s">
        <v>29</v>
      </c>
      <c r="N68" s="24" t="s">
        <v>84</v>
      </c>
      <c r="O68" s="24" t="s">
        <v>38</v>
      </c>
      <c r="P68" s="16">
        <v>1</v>
      </c>
      <c r="Q68" s="12">
        <v>291.45087032419696</v>
      </c>
    </row>
    <row r="69" spans="1:17" x14ac:dyDescent="0.25">
      <c r="A69" s="4" t="str">
        <f t="shared" si="0"/>
        <v>CUSTO OFFSHORE USD 1343,26 - ITAÚ - NASSAU - MARÇO 26</v>
      </c>
      <c r="B69" s="9">
        <v>46082</v>
      </c>
      <c r="C69" s="4">
        <v>817395</v>
      </c>
      <c r="D69" s="11" t="s">
        <v>12</v>
      </c>
      <c r="E69" s="10">
        <f>-L69*P69</f>
        <v>-7011.0112440000003</v>
      </c>
      <c r="F69" s="4" t="s">
        <v>52</v>
      </c>
      <c r="G69" s="9">
        <f t="shared" ref="G69:G131" si="18">B69</f>
        <v>46082</v>
      </c>
      <c r="H69" s="4">
        <v>79460</v>
      </c>
      <c r="J69" s="13" t="s">
        <v>30</v>
      </c>
      <c r="K69" s="13" t="s">
        <v>18</v>
      </c>
      <c r="L69" s="14">
        <f>IF(O69="USD",Q69*$S$1)</f>
        <v>7011.0112440000003</v>
      </c>
      <c r="M69" s="15" t="s">
        <v>29</v>
      </c>
      <c r="N69" s="24" t="s">
        <v>84</v>
      </c>
      <c r="O69" s="24" t="s">
        <v>38</v>
      </c>
      <c r="P69" s="16">
        <v>1</v>
      </c>
      <c r="Q69" s="12">
        <v>1343.26</v>
      </c>
    </row>
    <row r="70" spans="1:17" x14ac:dyDescent="0.25">
      <c r="A70" s="4" t="str">
        <f t="shared" si="0"/>
        <v>CUSTO OFFSHORE USD  - BNP_MO - MARÇO 26</v>
      </c>
      <c r="B70" s="9">
        <v>46082</v>
      </c>
      <c r="C70" s="4">
        <v>817395</v>
      </c>
      <c r="D70" s="11" t="s">
        <v>12</v>
      </c>
      <c r="E70" s="30">
        <f t="shared" ref="E70:E102" si="19">-L70*P70</f>
        <v>0</v>
      </c>
      <c r="F70" s="4" t="s">
        <v>52</v>
      </c>
      <c r="G70" s="9">
        <f t="shared" si="18"/>
        <v>46082</v>
      </c>
      <c r="H70" s="4">
        <v>95005</v>
      </c>
      <c r="J70" s="13" t="s">
        <v>30</v>
      </c>
      <c r="K70" s="13" t="s">
        <v>57</v>
      </c>
      <c r="L70" s="14">
        <f t="shared" ref="L70:L81" si="20">IF(O70="USD",Q70*$S$1)</f>
        <v>0</v>
      </c>
      <c r="M70" s="15" t="s">
        <v>29</v>
      </c>
      <c r="N70" s="24" t="s">
        <v>84</v>
      </c>
      <c r="O70" s="24" t="s">
        <v>38</v>
      </c>
      <c r="P70" s="16">
        <v>1</v>
      </c>
      <c r="Q70" s="12"/>
    </row>
    <row r="71" spans="1:17" x14ac:dyDescent="0.25">
      <c r="A71" s="4" t="str">
        <f t="shared" si="0"/>
        <v>CUSTO OFFSHORE USD 2,77306250768408 - ADAMGestao_MO - MARÇO 26</v>
      </c>
      <c r="B71" s="9">
        <v>46082</v>
      </c>
      <c r="C71" s="4">
        <v>817395</v>
      </c>
      <c r="D71" s="11" t="s">
        <v>12</v>
      </c>
      <c r="E71" s="30">
        <f t="shared" si="19"/>
        <v>-14.473722452606291</v>
      </c>
      <c r="F71" s="4" t="s">
        <v>52</v>
      </c>
      <c r="G71" s="9">
        <f t="shared" si="18"/>
        <v>46082</v>
      </c>
      <c r="H71" s="4">
        <v>79973</v>
      </c>
      <c r="J71" s="13" t="s">
        <v>30</v>
      </c>
      <c r="K71" s="13" t="s">
        <v>77</v>
      </c>
      <c r="L71" s="14">
        <f t="shared" si="20"/>
        <v>14.473722452606291</v>
      </c>
      <c r="M71" s="15" t="s">
        <v>29</v>
      </c>
      <c r="N71" s="24" t="s">
        <v>84</v>
      </c>
      <c r="O71" s="24" t="s">
        <v>38</v>
      </c>
      <c r="P71" s="27">
        <v>1</v>
      </c>
      <c r="Q71" s="26">
        <v>2.7730625076840805</v>
      </c>
    </row>
    <row r="72" spans="1:17" x14ac:dyDescent="0.25">
      <c r="A72" s="4" t="str">
        <f t="shared" si="0"/>
        <v>CUSTO OFFSHORE USD 0,396151786812012 - SPRINGS_MO - MARÇO 26</v>
      </c>
      <c r="B72" s="9">
        <v>46082</v>
      </c>
      <c r="C72" s="4">
        <v>817395</v>
      </c>
      <c r="D72" s="11" t="s">
        <v>12</v>
      </c>
      <c r="E72" s="30">
        <f t="shared" si="19"/>
        <v>-1.3783119124153362</v>
      </c>
      <c r="F72" s="4" t="s">
        <v>52</v>
      </c>
      <c r="G72" s="9">
        <f t="shared" si="18"/>
        <v>46082</v>
      </c>
      <c r="H72" s="4">
        <v>82748</v>
      </c>
      <c r="J72" s="13" t="s">
        <v>30</v>
      </c>
      <c r="K72" s="13" t="s">
        <v>56</v>
      </c>
      <c r="L72" s="14">
        <f t="shared" si="20"/>
        <v>2.0676746360866129</v>
      </c>
      <c r="M72" s="15" t="s">
        <v>29</v>
      </c>
      <c r="N72" s="24" t="s">
        <v>84</v>
      </c>
      <c r="O72" s="24" t="s">
        <v>38</v>
      </c>
      <c r="P72" s="16">
        <v>0.66659999999999997</v>
      </c>
      <c r="Q72" s="35">
        <v>0.39615178681201152</v>
      </c>
    </row>
    <row r="73" spans="1:17" x14ac:dyDescent="0.25">
      <c r="A73" s="4" t="str">
        <f t="shared" si="0"/>
        <v>CUSTO OFFSHORE USD 0,396151786812012 - SPRINGS_MO - MARÇO 26</v>
      </c>
      <c r="B73" s="9">
        <v>46082</v>
      </c>
      <c r="C73" s="4">
        <v>817395</v>
      </c>
      <c r="D73" s="11" t="s">
        <v>45</v>
      </c>
      <c r="E73" s="30">
        <f t="shared" si="19"/>
        <v>-0.68915595620766812</v>
      </c>
      <c r="F73" s="4" t="s">
        <v>52</v>
      </c>
      <c r="G73" s="9">
        <f t="shared" si="18"/>
        <v>46082</v>
      </c>
      <c r="H73" s="4">
        <v>82748</v>
      </c>
      <c r="J73" s="13" t="s">
        <v>30</v>
      </c>
      <c r="K73" s="13" t="s">
        <v>56</v>
      </c>
      <c r="L73" s="14">
        <f t="shared" si="20"/>
        <v>2.0676746360866129</v>
      </c>
      <c r="M73" s="15" t="s">
        <v>29</v>
      </c>
      <c r="N73" s="24" t="s">
        <v>84</v>
      </c>
      <c r="O73" s="24" t="s">
        <v>38</v>
      </c>
      <c r="P73" s="16">
        <v>0.33329999999999999</v>
      </c>
      <c r="Q73" s="37">
        <v>0.39615178681201152</v>
      </c>
    </row>
    <row r="74" spans="1:17" x14ac:dyDescent="0.25">
      <c r="A74" s="4" t="str">
        <f t="shared" si="0"/>
        <v>CUSTO OFFSHORE USD 0,10323955656313 - JPMPLC_MO - MARÇO 26</v>
      </c>
      <c r="B74" s="9">
        <v>46082</v>
      </c>
      <c r="C74" s="4">
        <v>817395</v>
      </c>
      <c r="D74" s="11" t="s">
        <v>12</v>
      </c>
      <c r="E74" s="30">
        <f t="shared" si="19"/>
        <v>-0.35925032263511891</v>
      </c>
      <c r="F74" s="4" t="s">
        <v>52</v>
      </c>
      <c r="G74" s="9">
        <f t="shared" si="18"/>
        <v>46082</v>
      </c>
      <c r="H74" s="4">
        <v>81541</v>
      </c>
      <c r="J74" s="13" t="s">
        <v>30</v>
      </c>
      <c r="K74" s="13" t="s">
        <v>55</v>
      </c>
      <c r="L74" s="14">
        <f t="shared" si="20"/>
        <v>0.53884854152560213</v>
      </c>
      <c r="M74" s="15" t="s">
        <v>29</v>
      </c>
      <c r="N74" s="24" t="s">
        <v>84</v>
      </c>
      <c r="O74" s="24" t="s">
        <v>38</v>
      </c>
      <c r="P74" s="27">
        <v>0.66669999999999996</v>
      </c>
      <c r="Q74" s="35">
        <v>0.10323955656313027</v>
      </c>
    </row>
    <row r="75" spans="1:17" x14ac:dyDescent="0.25">
      <c r="A75" s="4" t="str">
        <f t="shared" si="0"/>
        <v>CUSTO OFFSHORE USD 0,10323955656313 - JPMPLC_MO - MARÇO 26</v>
      </c>
      <c r="B75" s="9">
        <v>46082</v>
      </c>
      <c r="C75" s="4">
        <v>817395</v>
      </c>
      <c r="D75" s="11" t="s">
        <v>45</v>
      </c>
      <c r="E75" s="30">
        <f t="shared" si="19"/>
        <v>-0.17959821889048319</v>
      </c>
      <c r="F75" s="4" t="s">
        <v>52</v>
      </c>
      <c r="G75" s="9">
        <f t="shared" si="18"/>
        <v>46082</v>
      </c>
      <c r="H75" s="4">
        <v>81541</v>
      </c>
      <c r="J75" s="13" t="s">
        <v>30</v>
      </c>
      <c r="K75" s="13" t="s">
        <v>55</v>
      </c>
      <c r="L75" s="14">
        <f t="shared" si="20"/>
        <v>0.53884854152560213</v>
      </c>
      <c r="M75" s="15" t="s">
        <v>29</v>
      </c>
      <c r="N75" s="24" t="s">
        <v>84</v>
      </c>
      <c r="O75" s="24" t="s">
        <v>38</v>
      </c>
      <c r="P75" s="27">
        <v>0.33329999999999999</v>
      </c>
      <c r="Q75" s="37">
        <v>0.10323955656313027</v>
      </c>
    </row>
    <row r="76" spans="1:17" x14ac:dyDescent="0.25">
      <c r="A76" s="4" t="str">
        <f t="shared" si="0"/>
        <v>CUSTO OFFSHORE USD 164,109679143416 - KAPITALO - MARÇO 26</v>
      </c>
      <c r="B76" s="9">
        <v>46082</v>
      </c>
      <c r="C76" s="4">
        <v>817395</v>
      </c>
      <c r="D76" s="11" t="s">
        <v>12</v>
      </c>
      <c r="E76" s="28">
        <f t="shared" si="19"/>
        <v>-642.41554449085868</v>
      </c>
      <c r="F76" s="4" t="s">
        <v>52</v>
      </c>
      <c r="G76" s="9">
        <f t="shared" si="18"/>
        <v>46082</v>
      </c>
      <c r="H76" s="4">
        <v>12413</v>
      </c>
      <c r="J76" s="13" t="s">
        <v>30</v>
      </c>
      <c r="K76" s="13" t="s">
        <v>26</v>
      </c>
      <c r="L76" s="14">
        <f t="shared" si="20"/>
        <v>856.5540593211449</v>
      </c>
      <c r="M76" s="15" t="s">
        <v>29</v>
      </c>
      <c r="N76" s="24" t="s">
        <v>84</v>
      </c>
      <c r="O76" s="24" t="s">
        <v>38</v>
      </c>
      <c r="P76" s="27">
        <v>0.75</v>
      </c>
      <c r="Q76" s="35">
        <v>164.10967914341589</v>
      </c>
    </row>
    <row r="77" spans="1:17" x14ac:dyDescent="0.25">
      <c r="A77" s="4" t="str">
        <f t="shared" si="0"/>
        <v>CUSTO OFFSHORE USD 164,109679143416 - KAPITALO - MARÇO 26</v>
      </c>
      <c r="B77" s="9">
        <v>46082</v>
      </c>
      <c r="C77" s="4">
        <v>817395</v>
      </c>
      <c r="D77" s="11" t="s">
        <v>45</v>
      </c>
      <c r="E77" s="28">
        <f t="shared" si="19"/>
        <v>-214.13851483028623</v>
      </c>
      <c r="F77" s="4" t="s">
        <v>52</v>
      </c>
      <c r="G77" s="9">
        <f t="shared" si="18"/>
        <v>46082</v>
      </c>
      <c r="H77" s="4">
        <v>12413</v>
      </c>
      <c r="J77" s="13" t="s">
        <v>30</v>
      </c>
      <c r="K77" s="13" t="s">
        <v>26</v>
      </c>
      <c r="L77" s="14">
        <f t="shared" si="20"/>
        <v>856.5540593211449</v>
      </c>
      <c r="M77" s="15" t="s">
        <v>29</v>
      </c>
      <c r="N77" s="24" t="s">
        <v>84</v>
      </c>
      <c r="O77" s="24" t="s">
        <v>38</v>
      </c>
      <c r="P77" s="27">
        <v>0.25</v>
      </c>
      <c r="Q77" s="37">
        <v>164.10967914341589</v>
      </c>
    </row>
    <row r="78" spans="1:17" x14ac:dyDescent="0.25">
      <c r="A78" s="4" t="str">
        <f t="shared" si="0"/>
        <v>CUSTO OFFSHORE USD 715,262455075407 - RPS - MARÇO 26</v>
      </c>
      <c r="B78" s="9">
        <v>46082</v>
      </c>
      <c r="C78" s="4">
        <v>817395</v>
      </c>
      <c r="D78" s="11" t="s">
        <v>45</v>
      </c>
      <c r="E78" s="10">
        <f t="shared" si="19"/>
        <v>-1866.6204290102901</v>
      </c>
      <c r="F78" s="4" t="s">
        <v>52</v>
      </c>
      <c r="G78" s="9">
        <f t="shared" si="18"/>
        <v>46082</v>
      </c>
      <c r="H78" s="4">
        <v>12339</v>
      </c>
      <c r="J78" s="13" t="s">
        <v>30</v>
      </c>
      <c r="K78" s="13" t="s">
        <v>16</v>
      </c>
      <c r="L78" s="14">
        <f t="shared" si="20"/>
        <v>3733.2408580205802</v>
      </c>
      <c r="M78" s="15" t="s">
        <v>29</v>
      </c>
      <c r="N78" s="24" t="s">
        <v>84</v>
      </c>
      <c r="O78" s="24" t="s">
        <v>38</v>
      </c>
      <c r="P78" s="16">
        <v>0.5</v>
      </c>
      <c r="Q78" s="35">
        <v>715.26245507540716</v>
      </c>
    </row>
    <row r="79" spans="1:17" x14ac:dyDescent="0.25">
      <c r="A79" s="4" t="str">
        <f t="shared" si="0"/>
        <v>CUSTO OFFSHORE USD 715,262455075407 - RPS - MARÇO 26</v>
      </c>
      <c r="B79" s="9">
        <v>46082</v>
      </c>
      <c r="C79" s="4">
        <v>817395</v>
      </c>
      <c r="D79" s="11" t="s">
        <v>12</v>
      </c>
      <c r="E79" s="28">
        <f t="shared" si="19"/>
        <v>-1866.6204290102901</v>
      </c>
      <c r="F79" s="4" t="s">
        <v>52</v>
      </c>
      <c r="G79" s="9">
        <f t="shared" si="18"/>
        <v>46082</v>
      </c>
      <c r="H79" s="4">
        <v>12339</v>
      </c>
      <c r="J79" s="13" t="s">
        <v>30</v>
      </c>
      <c r="K79" s="13" t="s">
        <v>16</v>
      </c>
      <c r="L79" s="34">
        <f t="shared" si="20"/>
        <v>3733.2408580205802</v>
      </c>
      <c r="M79" s="15" t="s">
        <v>29</v>
      </c>
      <c r="N79" s="24" t="s">
        <v>84</v>
      </c>
      <c r="O79" s="24" t="s">
        <v>38</v>
      </c>
      <c r="P79" s="27">
        <v>0.5</v>
      </c>
      <c r="Q79" s="37">
        <v>715.26245507540716</v>
      </c>
    </row>
    <row r="80" spans="1:17" x14ac:dyDescent="0.25">
      <c r="A80" s="4" t="str">
        <f t="shared" si="0"/>
        <v>CUSTO OFFSHORE USD 568,236521623269 - SPX_MO - MARÇO 26</v>
      </c>
      <c r="B80" s="9">
        <v>46082</v>
      </c>
      <c r="C80" s="4">
        <v>817395</v>
      </c>
      <c r="D80" s="11" t="s">
        <v>12</v>
      </c>
      <c r="E80" s="28">
        <f t="shared" si="19"/>
        <v>-1779.5122205762948</v>
      </c>
      <c r="F80" s="4" t="s">
        <v>52</v>
      </c>
      <c r="G80" s="9">
        <f t="shared" si="18"/>
        <v>46082</v>
      </c>
      <c r="H80" s="4">
        <v>79931</v>
      </c>
      <c r="J80" s="13" t="s">
        <v>30</v>
      </c>
      <c r="K80" s="13" t="s">
        <v>31</v>
      </c>
      <c r="L80" s="34">
        <f t="shared" si="20"/>
        <v>2965.8537009604916</v>
      </c>
      <c r="M80" s="15" t="s">
        <v>29</v>
      </c>
      <c r="N80" s="24" t="s">
        <v>84</v>
      </c>
      <c r="O80" s="24" t="s">
        <v>38</v>
      </c>
      <c r="P80" s="27">
        <v>0.6</v>
      </c>
      <c r="Q80" s="36">
        <v>568.23652162326925</v>
      </c>
    </row>
    <row r="81" spans="1:17" x14ac:dyDescent="0.25">
      <c r="A81" s="17" t="str">
        <f t="shared" si="0"/>
        <v>CUSTO OFFSHORE USD 568,236521623269 - SPX_MO - MARÇO 26</v>
      </c>
      <c r="B81" s="18">
        <v>46082</v>
      </c>
      <c r="C81" s="17">
        <v>817395</v>
      </c>
      <c r="D81" s="23" t="s">
        <v>45</v>
      </c>
      <c r="E81" s="19">
        <f t="shared" si="19"/>
        <v>-1186.3414803841968</v>
      </c>
      <c r="F81" s="17" t="s">
        <v>52</v>
      </c>
      <c r="G81" s="18">
        <f t="shared" si="18"/>
        <v>46082</v>
      </c>
      <c r="H81" s="17">
        <v>79931</v>
      </c>
      <c r="J81" s="20" t="s">
        <v>30</v>
      </c>
      <c r="K81" s="20" t="s">
        <v>31</v>
      </c>
      <c r="L81" s="33">
        <f t="shared" si="20"/>
        <v>2965.8537009604916</v>
      </c>
      <c r="M81" s="21" t="s">
        <v>29</v>
      </c>
      <c r="N81" s="25" t="s">
        <v>84</v>
      </c>
      <c r="O81" s="25" t="s">
        <v>38</v>
      </c>
      <c r="P81" s="22">
        <v>0.4</v>
      </c>
      <c r="Q81" s="37">
        <v>568.23652162326925</v>
      </c>
    </row>
    <row r="82" spans="1:17" x14ac:dyDescent="0.25">
      <c r="A82" s="17" t="str">
        <f t="shared" si="0"/>
        <v>CUSTO OFFSHORE USD 408,28 - BGC - MARÇO 26</v>
      </c>
      <c r="B82" s="18">
        <v>46082</v>
      </c>
      <c r="C82" s="17">
        <v>817395</v>
      </c>
      <c r="D82" s="23" t="s">
        <v>12</v>
      </c>
      <c r="E82" s="19">
        <f t="shared" si="19"/>
        <v>-2130.9766319999999</v>
      </c>
      <c r="F82" s="17" t="s">
        <v>33</v>
      </c>
      <c r="G82" s="18">
        <f t="shared" si="18"/>
        <v>46082</v>
      </c>
      <c r="H82" s="17">
        <v>1170</v>
      </c>
      <c r="J82" s="20" t="s">
        <v>30</v>
      </c>
      <c r="K82" s="20" t="s">
        <v>21</v>
      </c>
      <c r="L82" s="33">
        <f t="shared" si="9"/>
        <v>2130.9766319999999</v>
      </c>
      <c r="M82" s="21" t="s">
        <v>29</v>
      </c>
      <c r="N82" s="25" t="s">
        <v>84</v>
      </c>
      <c r="O82" s="25" t="s">
        <v>38</v>
      </c>
      <c r="P82" s="22">
        <v>1</v>
      </c>
      <c r="Q82" s="26">
        <v>408.28</v>
      </c>
    </row>
    <row r="83" spans="1:17" s="44" customFormat="1" ht="12.75" customHeight="1" x14ac:dyDescent="0.25">
      <c r="A83" s="49" t="str">
        <f t="shared" si="0"/>
        <v>CUSTO OFFSHORE USD  - BGC - MARÇO 26</v>
      </c>
      <c r="B83" s="50">
        <v>46082</v>
      </c>
      <c r="C83" s="49">
        <v>817395</v>
      </c>
      <c r="D83" s="51" t="s">
        <v>12</v>
      </c>
      <c r="E83" s="52">
        <f t="shared" si="19"/>
        <v>0</v>
      </c>
      <c r="F83" s="49" t="s">
        <v>40</v>
      </c>
      <c r="G83" s="50">
        <f t="shared" si="18"/>
        <v>46082</v>
      </c>
      <c r="H83" s="49">
        <v>1170</v>
      </c>
      <c r="I83"/>
      <c r="J83" s="49" t="s">
        <v>30</v>
      </c>
      <c r="K83" s="49" t="s">
        <v>21</v>
      </c>
      <c r="L83" s="52">
        <f t="shared" si="9"/>
        <v>0</v>
      </c>
      <c r="M83" s="53" t="s">
        <v>29</v>
      </c>
      <c r="N83" s="51" t="s">
        <v>84</v>
      </c>
      <c r="O83" s="51" t="s">
        <v>38</v>
      </c>
      <c r="P83" s="54">
        <v>1</v>
      </c>
      <c r="Q83" s="52"/>
    </row>
    <row r="84" spans="1:17" x14ac:dyDescent="0.25">
      <c r="A84" s="4" t="str">
        <f t="shared" si="0"/>
        <v>CUSTO OFFSHORE USD 85,81 - BGC - MARÇO 26</v>
      </c>
      <c r="B84" s="9">
        <v>46082</v>
      </c>
      <c r="C84" s="4">
        <v>817395</v>
      </c>
      <c r="D84" s="11" t="s">
        <v>47</v>
      </c>
      <c r="E84" s="12">
        <f t="shared" si="19"/>
        <v>-447.87671400000005</v>
      </c>
      <c r="F84" s="4" t="s">
        <v>22</v>
      </c>
      <c r="G84" s="9">
        <f t="shared" si="18"/>
        <v>46082</v>
      </c>
      <c r="H84" s="4">
        <v>1170</v>
      </c>
      <c r="J84" s="13" t="s">
        <v>30</v>
      </c>
      <c r="K84" s="13" t="s">
        <v>21</v>
      </c>
      <c r="L84" s="14">
        <f t="shared" si="9"/>
        <v>447.87671400000005</v>
      </c>
      <c r="M84" s="15" t="s">
        <v>29</v>
      </c>
      <c r="N84" s="24" t="s">
        <v>84</v>
      </c>
      <c r="O84" s="24" t="s">
        <v>38</v>
      </c>
      <c r="P84" s="16">
        <v>1</v>
      </c>
      <c r="Q84" s="12">
        <v>85.81</v>
      </c>
    </row>
    <row r="85" spans="1:17" x14ac:dyDescent="0.25">
      <c r="A85" s="17" t="str">
        <f t="shared" si="0"/>
        <v>CUSTO OFFSHORE USD 85,81 - BGC - MARÇO 26</v>
      </c>
      <c r="B85" s="18">
        <v>46082</v>
      </c>
      <c r="C85" s="17">
        <v>817395</v>
      </c>
      <c r="D85" s="23" t="s">
        <v>12</v>
      </c>
      <c r="E85" s="26">
        <f t="shared" si="19"/>
        <v>-447.87671400000005</v>
      </c>
      <c r="F85" s="17" t="s">
        <v>22</v>
      </c>
      <c r="G85" s="18">
        <f t="shared" si="18"/>
        <v>46082</v>
      </c>
      <c r="H85" s="17">
        <v>1170</v>
      </c>
      <c r="J85" s="20" t="s">
        <v>30</v>
      </c>
      <c r="K85" s="20" t="s">
        <v>21</v>
      </c>
      <c r="L85" s="33">
        <f t="shared" si="9"/>
        <v>447.87671400000005</v>
      </c>
      <c r="M85" s="21" t="s">
        <v>29</v>
      </c>
      <c r="N85" s="25" t="s">
        <v>84</v>
      </c>
      <c r="O85" s="25" t="s">
        <v>38</v>
      </c>
      <c r="P85" s="22">
        <v>1</v>
      </c>
      <c r="Q85" s="26">
        <v>85.81</v>
      </c>
    </row>
    <row r="86" spans="1:17" x14ac:dyDescent="0.25">
      <c r="A86" s="4" t="str">
        <f>CONCATENATE(J86,Q86,M86,K86,M86,N86)</f>
        <v>CUSTO OFFSHORE USD 387,35 - BGC BONDS - MARÇO 26</v>
      </c>
      <c r="B86" s="9">
        <v>46082</v>
      </c>
      <c r="C86" s="4">
        <v>817395</v>
      </c>
      <c r="D86" s="11" t="s">
        <v>32</v>
      </c>
      <c r="E86" s="10">
        <f>-L86*P86</f>
        <v>-2021.7345900000003</v>
      </c>
      <c r="F86" s="4" t="s">
        <v>23</v>
      </c>
      <c r="G86" s="9">
        <f t="shared" si="18"/>
        <v>46082</v>
      </c>
      <c r="H86" s="4">
        <v>1170</v>
      </c>
      <c r="J86" s="13" t="s">
        <v>30</v>
      </c>
      <c r="K86" s="13" t="s">
        <v>51</v>
      </c>
      <c r="L86" s="14">
        <f>IF(O86="USD",Q86*$S$1)</f>
        <v>2021.7345900000003</v>
      </c>
      <c r="M86" s="15" t="s">
        <v>29</v>
      </c>
      <c r="N86" s="24" t="s">
        <v>84</v>
      </c>
      <c r="O86" s="24" t="s">
        <v>38</v>
      </c>
      <c r="P86" s="16">
        <v>1</v>
      </c>
      <c r="Q86" s="12">
        <v>387.35</v>
      </c>
    </row>
    <row r="87" spans="1:17" x14ac:dyDescent="0.25">
      <c r="A87" s="4" t="str">
        <f>CONCATENATE(J87,Q87,M87,K87,M87,N87)</f>
        <v>CUSTO OFFSHORE USD 559 - BGC - MARÇO 26</v>
      </c>
      <c r="B87" s="9">
        <v>46082</v>
      </c>
      <c r="C87" s="4">
        <v>817395</v>
      </c>
      <c r="D87" s="11" t="s">
        <v>46</v>
      </c>
      <c r="E87" s="10">
        <f>-L87*P87</f>
        <v>-2917.6446000000001</v>
      </c>
      <c r="F87" s="4" t="s">
        <v>23</v>
      </c>
      <c r="G87" s="9">
        <f t="shared" si="18"/>
        <v>46082</v>
      </c>
      <c r="H87" s="4">
        <v>1170</v>
      </c>
      <c r="J87" s="13" t="s">
        <v>30</v>
      </c>
      <c r="K87" s="13" t="s">
        <v>21</v>
      </c>
      <c r="L87" s="14">
        <f>IF(O87="USD",Q87*$S$1)</f>
        <v>2917.6446000000001</v>
      </c>
      <c r="M87" s="15" t="s">
        <v>29</v>
      </c>
      <c r="N87" s="24" t="s">
        <v>84</v>
      </c>
      <c r="O87" s="24" t="s">
        <v>38</v>
      </c>
      <c r="P87" s="16">
        <v>1</v>
      </c>
      <c r="Q87" s="12">
        <v>559</v>
      </c>
    </row>
    <row r="88" spans="1:17" x14ac:dyDescent="0.25">
      <c r="A88" s="4" t="str">
        <f>CONCATENATE(J88,Q88,M88,K88,M88,N88)</f>
        <v>CUSTO OFFSHORE USD 17,5 - VINLAND  - MARÇO 26</v>
      </c>
      <c r="B88" s="9">
        <v>46082</v>
      </c>
      <c r="C88" s="4">
        <v>817395</v>
      </c>
      <c r="D88" s="11" t="s">
        <v>47</v>
      </c>
      <c r="E88" s="10">
        <f>-L88*P88</f>
        <v>-91.339500000000001</v>
      </c>
      <c r="F88" s="4" t="s">
        <v>23</v>
      </c>
      <c r="G88" s="9">
        <f t="shared" si="18"/>
        <v>46082</v>
      </c>
      <c r="H88" s="4">
        <v>80359</v>
      </c>
      <c r="J88" s="13" t="s">
        <v>30</v>
      </c>
      <c r="K88" s="13" t="s">
        <v>20</v>
      </c>
      <c r="L88" s="14">
        <f>IF(O88="USD",Q88*$S$1)</f>
        <v>91.339500000000001</v>
      </c>
      <c r="M88" s="15" t="s">
        <v>29</v>
      </c>
      <c r="N88" s="24" t="s">
        <v>84</v>
      </c>
      <c r="O88" s="24" t="s">
        <v>38</v>
      </c>
      <c r="P88" s="16">
        <v>1</v>
      </c>
      <c r="Q88" s="12">
        <v>17.5</v>
      </c>
    </row>
    <row r="89" spans="1:17" x14ac:dyDescent="0.25">
      <c r="A89" s="4" t="str">
        <f>CONCATENATE(J89,Q89,M89,K89,M89,N89)</f>
        <v>CUSTO OFFSHORE USD 53707,626 - BGC NDF OFFSHORE - MARÇO 26</v>
      </c>
      <c r="B89" s="9">
        <v>46082</v>
      </c>
      <c r="C89" s="4">
        <v>817395</v>
      </c>
      <c r="D89" s="11" t="s">
        <v>58</v>
      </c>
      <c r="E89" s="10">
        <f t="shared" si="19"/>
        <v>-279883.15354439995</v>
      </c>
      <c r="F89" s="4" t="s">
        <v>23</v>
      </c>
      <c r="G89" s="9">
        <f t="shared" si="18"/>
        <v>46082</v>
      </c>
      <c r="H89" s="4">
        <v>1170</v>
      </c>
      <c r="J89" s="13" t="s">
        <v>30</v>
      </c>
      <c r="K89" s="13" t="s">
        <v>35</v>
      </c>
      <c r="L89" s="14">
        <f>IF(O89="USD",Q89*$S$1)</f>
        <v>280321.58314439998</v>
      </c>
      <c r="M89" s="15" t="s">
        <v>29</v>
      </c>
      <c r="N89" s="24" t="s">
        <v>84</v>
      </c>
      <c r="O89" s="24" t="s">
        <v>38</v>
      </c>
      <c r="P89" s="55">
        <v>0.99843597629878478</v>
      </c>
      <c r="Q89" s="30">
        <v>53707.625999999997</v>
      </c>
    </row>
    <row r="90" spans="1:17" x14ac:dyDescent="0.25">
      <c r="A90" s="4" t="str">
        <f>CONCATENATE(J90,Q90,M90,K90,M90,N90)</f>
        <v>CUSTO OFFSHORE USD 53707,626 - BGC NDF OFFSHORE - MARÇO 26</v>
      </c>
      <c r="B90" s="9">
        <v>46082</v>
      </c>
      <c r="C90" s="4">
        <v>817395</v>
      </c>
      <c r="D90" s="11" t="s">
        <v>43</v>
      </c>
      <c r="E90" s="10">
        <f t="shared" si="19"/>
        <v>-438.42960000000045</v>
      </c>
      <c r="F90" s="4" t="s">
        <v>23</v>
      </c>
      <c r="G90" s="9">
        <f t="shared" si="18"/>
        <v>46082</v>
      </c>
      <c r="H90" s="4">
        <v>1170</v>
      </c>
      <c r="J90" s="13" t="s">
        <v>30</v>
      </c>
      <c r="K90" s="13" t="s">
        <v>35</v>
      </c>
      <c r="L90" s="14">
        <f>IF(O90="USD",Q90*$S$1)</f>
        <v>280321.58314439998</v>
      </c>
      <c r="M90" s="15" t="s">
        <v>29</v>
      </c>
      <c r="N90" s="24" t="s">
        <v>84</v>
      </c>
      <c r="O90" s="24" t="s">
        <v>38</v>
      </c>
      <c r="P90" s="55">
        <v>1.56402370121517E-3</v>
      </c>
      <c r="Q90" s="30">
        <v>53707.625999999997</v>
      </c>
    </row>
    <row r="91" spans="1:17" x14ac:dyDescent="0.25">
      <c r="A91" s="17" t="str">
        <f t="shared" si="0"/>
        <v>CUSTO OFFSHORE USD 53707,626 - BGC NDF OFFSHORE - MARÇO 26</v>
      </c>
      <c r="B91" s="18">
        <v>46082</v>
      </c>
      <c r="C91" s="17">
        <v>817395</v>
      </c>
      <c r="D91" s="23" t="s">
        <v>42</v>
      </c>
      <c r="E91" s="19">
        <f t="shared" si="19"/>
        <v>0</v>
      </c>
      <c r="F91" s="17" t="s">
        <v>23</v>
      </c>
      <c r="G91" s="18">
        <f t="shared" si="18"/>
        <v>46082</v>
      </c>
      <c r="H91" s="17">
        <v>1170</v>
      </c>
      <c r="J91" s="20" t="s">
        <v>30</v>
      </c>
      <c r="K91" s="20" t="s">
        <v>35</v>
      </c>
      <c r="L91" s="33">
        <f t="shared" si="9"/>
        <v>280321.58314439998</v>
      </c>
      <c r="M91" s="21" t="s">
        <v>29</v>
      </c>
      <c r="N91" s="25" t="s">
        <v>84</v>
      </c>
      <c r="O91" s="25" t="s">
        <v>38</v>
      </c>
      <c r="P91" s="56">
        <v>0</v>
      </c>
      <c r="Q91" s="26">
        <v>53707.625999999997</v>
      </c>
    </row>
    <row r="92" spans="1:17" x14ac:dyDescent="0.25">
      <c r="A92" s="4" t="str">
        <f t="shared" si="0"/>
        <v>CUSTO OFFSHORE USD 2155,8340039085 - BGC DI FUTURES - MARÇO 26</v>
      </c>
      <c r="B92" s="9">
        <v>46082</v>
      </c>
      <c r="C92" s="4">
        <v>817395</v>
      </c>
      <c r="D92" s="32" t="s">
        <v>28</v>
      </c>
      <c r="E92" s="10">
        <f t="shared" si="19"/>
        <v>-1719.0800000000038</v>
      </c>
      <c r="F92" s="4" t="s">
        <v>23</v>
      </c>
      <c r="G92" s="9">
        <f t="shared" si="18"/>
        <v>46082</v>
      </c>
      <c r="H92" s="4">
        <v>1170</v>
      </c>
      <c r="J92" s="13" t="s">
        <v>30</v>
      </c>
      <c r="K92" s="13" t="s">
        <v>34</v>
      </c>
      <c r="L92" s="14">
        <f t="shared" si="9"/>
        <v>11252.160000000025</v>
      </c>
      <c r="M92" s="15" t="s">
        <v>29</v>
      </c>
      <c r="N92" s="24" t="s">
        <v>84</v>
      </c>
      <c r="O92" s="24" t="s">
        <v>38</v>
      </c>
      <c r="P92" s="27">
        <v>0.15277777777777776</v>
      </c>
      <c r="Q92" s="30">
        <v>2155.8340039085001</v>
      </c>
    </row>
    <row r="93" spans="1:17" x14ac:dyDescent="0.25">
      <c r="A93" s="4" t="str">
        <f t="shared" si="0"/>
        <v>CUSTO OFFSHORE USD 2155,8340039085 - BGC DI FUTURES - MARÇO 26</v>
      </c>
      <c r="B93" s="9">
        <v>46082</v>
      </c>
      <c r="C93" s="4">
        <v>817395</v>
      </c>
      <c r="D93" s="32" t="s">
        <v>32</v>
      </c>
      <c r="E93" s="10">
        <f t="shared" si="19"/>
        <v>-1562.8000000000036</v>
      </c>
      <c r="F93" s="4" t="s">
        <v>23</v>
      </c>
      <c r="G93" s="9">
        <f t="shared" si="18"/>
        <v>46082</v>
      </c>
      <c r="H93" s="4">
        <v>1170</v>
      </c>
      <c r="J93" s="13" t="s">
        <v>30</v>
      </c>
      <c r="K93" s="13" t="s">
        <v>34</v>
      </c>
      <c r="L93" s="14">
        <f t="shared" ref="L93:L100" si="21">IF(O93="USD",Q93*$S$1)</f>
        <v>11252.160000000025</v>
      </c>
      <c r="M93" s="15" t="s">
        <v>29</v>
      </c>
      <c r="N93" s="24" t="s">
        <v>84</v>
      </c>
      <c r="O93" s="24" t="s">
        <v>38</v>
      </c>
      <c r="P93" s="27">
        <v>0.1388888888888889</v>
      </c>
      <c r="Q93" s="30">
        <v>2155.8340039085001</v>
      </c>
    </row>
    <row r="94" spans="1:17" x14ac:dyDescent="0.25">
      <c r="A94" s="4" t="str">
        <f t="shared" si="0"/>
        <v>CUSTO OFFSHORE USD 2155,8340039085 - BGC DI FUTURES - MARÇO 26</v>
      </c>
      <c r="B94" s="9">
        <v>46082</v>
      </c>
      <c r="C94" s="4">
        <v>817395</v>
      </c>
      <c r="D94" s="32" t="s">
        <v>25</v>
      </c>
      <c r="E94" s="10">
        <f t="shared" si="19"/>
        <v>-2344.2000000000057</v>
      </c>
      <c r="F94" s="4" t="s">
        <v>23</v>
      </c>
      <c r="G94" s="9">
        <f t="shared" si="18"/>
        <v>46082</v>
      </c>
      <c r="H94" s="4">
        <v>1170</v>
      </c>
      <c r="J94" s="13" t="s">
        <v>30</v>
      </c>
      <c r="K94" s="13" t="s">
        <v>34</v>
      </c>
      <c r="L94" s="14">
        <f t="shared" si="21"/>
        <v>11252.160000000025</v>
      </c>
      <c r="M94" s="15" t="s">
        <v>29</v>
      </c>
      <c r="N94" s="24" t="s">
        <v>84</v>
      </c>
      <c r="O94" s="24" t="s">
        <v>38</v>
      </c>
      <c r="P94" s="27">
        <v>0.20833333333333337</v>
      </c>
      <c r="Q94" s="30">
        <v>2155.8340039085001</v>
      </c>
    </row>
    <row r="95" spans="1:17" x14ac:dyDescent="0.25">
      <c r="A95" s="17" t="str">
        <f t="shared" si="0"/>
        <v>CUSTO OFFSHORE USD 2155,8340039085 - BGC DI FUTURES - MARÇO 26</v>
      </c>
      <c r="B95" s="18">
        <v>46082</v>
      </c>
      <c r="C95" s="17">
        <v>817395</v>
      </c>
      <c r="D95" s="23" t="s">
        <v>41</v>
      </c>
      <c r="E95" s="19">
        <f t="shared" si="19"/>
        <v>-5626.0800000000136</v>
      </c>
      <c r="F95" s="17" t="s">
        <v>23</v>
      </c>
      <c r="G95" s="18">
        <f t="shared" si="18"/>
        <v>46082</v>
      </c>
      <c r="H95" s="17">
        <v>1170</v>
      </c>
      <c r="J95" s="20" t="s">
        <v>30</v>
      </c>
      <c r="K95" s="20" t="s">
        <v>34</v>
      </c>
      <c r="L95" s="33">
        <f t="shared" si="21"/>
        <v>11252.160000000025</v>
      </c>
      <c r="M95" s="21" t="s">
        <v>29</v>
      </c>
      <c r="N95" s="25" t="s">
        <v>84</v>
      </c>
      <c r="O95" s="25" t="s">
        <v>38</v>
      </c>
      <c r="P95" s="22">
        <v>0.50000000000000011</v>
      </c>
      <c r="Q95" s="26">
        <v>2155.8340039085001</v>
      </c>
    </row>
    <row r="96" spans="1:17" x14ac:dyDescent="0.25">
      <c r="A96" s="17" t="str">
        <f t="shared" si="0"/>
        <v>CUSTO OFFSHORE USD 1778,3 - BGC - MARÇO 26</v>
      </c>
      <c r="B96" s="18">
        <v>46082</v>
      </c>
      <c r="C96" s="17">
        <v>817395</v>
      </c>
      <c r="D96" s="23" t="s">
        <v>12</v>
      </c>
      <c r="E96" s="26">
        <f t="shared" si="19"/>
        <v>-1778.3</v>
      </c>
      <c r="F96" s="17" t="s">
        <v>53</v>
      </c>
      <c r="G96" s="18">
        <f t="shared" si="18"/>
        <v>46082</v>
      </c>
      <c r="H96" s="17">
        <v>1170</v>
      </c>
      <c r="J96" s="20" t="s">
        <v>30</v>
      </c>
      <c r="K96" s="20" t="s">
        <v>21</v>
      </c>
      <c r="L96" s="33">
        <f>IF(O96="USD",Q96*$S$1,Q96)</f>
        <v>1778.3</v>
      </c>
      <c r="M96" s="21" t="s">
        <v>29</v>
      </c>
      <c r="N96" s="25" t="s">
        <v>84</v>
      </c>
      <c r="O96" s="25" t="s">
        <v>54</v>
      </c>
      <c r="P96" s="22">
        <v>1</v>
      </c>
      <c r="Q96" s="26">
        <v>1778.3</v>
      </c>
    </row>
    <row r="97" spans="1:17" x14ac:dyDescent="0.25">
      <c r="A97" s="4" t="str">
        <f t="shared" si="0"/>
        <v>CUSTO OFFSHORE USD 3413,29 - BGC - GALBUQUERQUE - MARÇO 26</v>
      </c>
      <c r="B97" s="9">
        <v>46082</v>
      </c>
      <c r="C97" s="4">
        <v>817395</v>
      </c>
      <c r="D97" s="11" t="s">
        <v>47</v>
      </c>
      <c r="E97" s="12">
        <f t="shared" si="19"/>
        <v>-17815.325826</v>
      </c>
      <c r="F97" s="4" t="s">
        <v>36</v>
      </c>
      <c r="G97" s="9">
        <f t="shared" si="18"/>
        <v>46082</v>
      </c>
      <c r="H97" s="4">
        <v>1170</v>
      </c>
      <c r="J97" s="13" t="s">
        <v>30</v>
      </c>
      <c r="K97" s="13" t="s">
        <v>64</v>
      </c>
      <c r="L97" s="14">
        <f t="shared" si="21"/>
        <v>17815.325826</v>
      </c>
      <c r="M97" s="15" t="s">
        <v>29</v>
      </c>
      <c r="N97" s="24" t="s">
        <v>84</v>
      </c>
      <c r="O97" s="24" t="s">
        <v>38</v>
      </c>
      <c r="P97" s="16">
        <v>1</v>
      </c>
      <c r="Q97" s="12">
        <v>3413.29</v>
      </c>
    </row>
    <row r="98" spans="1:17" x14ac:dyDescent="0.25">
      <c r="A98" s="4" t="str">
        <f t="shared" si="0"/>
        <v>CUSTO OFFSHORE USD 3413,29 - BGC - CMALTA - MARÇO 26</v>
      </c>
      <c r="B98" s="9">
        <v>46082</v>
      </c>
      <c r="C98" s="4">
        <v>817395</v>
      </c>
      <c r="D98" s="11" t="s">
        <v>47</v>
      </c>
      <c r="E98" s="12">
        <f t="shared" si="19"/>
        <v>-17815.325826</v>
      </c>
      <c r="F98" s="4" t="s">
        <v>36</v>
      </c>
      <c r="G98" s="9">
        <f t="shared" si="18"/>
        <v>46082</v>
      </c>
      <c r="H98" s="4">
        <v>1170</v>
      </c>
      <c r="J98" s="13" t="s">
        <v>30</v>
      </c>
      <c r="K98" s="13" t="s">
        <v>65</v>
      </c>
      <c r="L98" s="14">
        <f t="shared" si="21"/>
        <v>17815.325826</v>
      </c>
      <c r="M98" s="15" t="s">
        <v>29</v>
      </c>
      <c r="N98" s="24" t="s">
        <v>84</v>
      </c>
      <c r="O98" s="24" t="s">
        <v>38</v>
      </c>
      <c r="P98" s="16">
        <v>1</v>
      </c>
      <c r="Q98" s="12">
        <v>3413.29</v>
      </c>
    </row>
    <row r="99" spans="1:17" x14ac:dyDescent="0.25">
      <c r="A99" s="4" t="str">
        <f t="shared" ref="A99:A100" si="22">CONCATENATE(J99,Q99,M99,K99,M99,N99)</f>
        <v>CUSTO OFFSHORE USD 3413,29 - BGC - CPACINI - MARÇO 26</v>
      </c>
      <c r="B99" s="9">
        <v>46082</v>
      </c>
      <c r="C99" s="4">
        <v>817395</v>
      </c>
      <c r="D99" s="11" t="s">
        <v>61</v>
      </c>
      <c r="E99" s="30">
        <f t="shared" si="19"/>
        <v>-17815.325826</v>
      </c>
      <c r="F99" s="4" t="s">
        <v>36</v>
      </c>
      <c r="G99" s="9">
        <f t="shared" si="18"/>
        <v>46082</v>
      </c>
      <c r="H99" s="4">
        <v>1170</v>
      </c>
      <c r="J99" s="13" t="s">
        <v>30</v>
      </c>
      <c r="K99" s="13" t="s">
        <v>63</v>
      </c>
      <c r="L99" s="14">
        <f t="shared" si="21"/>
        <v>17815.325826</v>
      </c>
      <c r="M99" s="15" t="s">
        <v>29</v>
      </c>
      <c r="N99" s="24" t="s">
        <v>84</v>
      </c>
      <c r="O99" s="24" t="s">
        <v>38</v>
      </c>
      <c r="P99" s="27">
        <v>1</v>
      </c>
      <c r="Q99" s="12">
        <v>3413.29</v>
      </c>
    </row>
    <row r="100" spans="1:17" x14ac:dyDescent="0.25">
      <c r="A100" s="4" t="str">
        <f t="shared" si="22"/>
        <v>CUSTO OFFSHORE USD 3413,29 - BGC - AFIUZA - MARÇO 26</v>
      </c>
      <c r="B100" s="9">
        <v>46082</v>
      </c>
      <c r="C100" s="4">
        <v>817395</v>
      </c>
      <c r="D100" s="11" t="s">
        <v>61</v>
      </c>
      <c r="E100" s="30">
        <f t="shared" si="19"/>
        <v>-17815.325826</v>
      </c>
      <c r="F100" s="4" t="s">
        <v>36</v>
      </c>
      <c r="G100" s="9">
        <f t="shared" si="18"/>
        <v>46082</v>
      </c>
      <c r="H100" s="4">
        <v>1170</v>
      </c>
      <c r="J100" s="13" t="s">
        <v>30</v>
      </c>
      <c r="K100" s="13" t="s">
        <v>62</v>
      </c>
      <c r="L100" s="14">
        <f t="shared" si="21"/>
        <v>17815.325826</v>
      </c>
      <c r="M100" s="15" t="s">
        <v>29</v>
      </c>
      <c r="N100" s="24" t="s">
        <v>84</v>
      </c>
      <c r="O100" s="24" t="s">
        <v>38</v>
      </c>
      <c r="P100" s="27">
        <v>1</v>
      </c>
      <c r="Q100" s="12">
        <v>3413.29</v>
      </c>
    </row>
    <row r="101" spans="1:17" x14ac:dyDescent="0.25">
      <c r="A101" s="4" t="str">
        <f>CONCATENATE(J101,Q102,M101,K101,M101,N101)</f>
        <v>CUSTO OFFSHORE USD 3413,29 - BGC - JJUNQUEIRA - MARÇO 26</v>
      </c>
      <c r="B101" s="9">
        <v>46082</v>
      </c>
      <c r="C101" s="4">
        <v>817395</v>
      </c>
      <c r="D101" s="11" t="s">
        <v>12</v>
      </c>
      <c r="E101" s="30">
        <f t="shared" si="19"/>
        <v>-17815.325826</v>
      </c>
      <c r="F101" s="4" t="s">
        <v>36</v>
      </c>
      <c r="G101" s="9">
        <f t="shared" si="18"/>
        <v>46082</v>
      </c>
      <c r="H101" s="4">
        <v>1170</v>
      </c>
      <c r="J101" s="13" t="s">
        <v>30</v>
      </c>
      <c r="K101" s="13" t="s">
        <v>66</v>
      </c>
      <c r="L101" s="14">
        <f>IF(O101="USD",Q102*$S$1)</f>
        <v>17815.325826</v>
      </c>
      <c r="M101" s="15" t="s">
        <v>29</v>
      </c>
      <c r="N101" s="24" t="s">
        <v>84</v>
      </c>
      <c r="O101" s="24" t="s">
        <v>38</v>
      </c>
      <c r="P101" s="27">
        <v>1</v>
      </c>
      <c r="Q101" s="30">
        <v>3413.29</v>
      </c>
    </row>
    <row r="102" spans="1:17" x14ac:dyDescent="0.25">
      <c r="A102" s="17" t="str">
        <f>CONCATENATE(J102,Q102,M102,K102,M102,N102)</f>
        <v>CUSTO OFFSHORE USD 3413,29 - BGC - ASOARES - MARÇO 26</v>
      </c>
      <c r="B102" s="18">
        <v>46082</v>
      </c>
      <c r="C102" s="17">
        <v>817395</v>
      </c>
      <c r="D102" s="23" t="s">
        <v>12</v>
      </c>
      <c r="E102" s="19">
        <f t="shared" si="19"/>
        <v>-17815.325826</v>
      </c>
      <c r="F102" s="17" t="s">
        <v>36</v>
      </c>
      <c r="G102" s="18">
        <f t="shared" si="18"/>
        <v>46082</v>
      </c>
      <c r="H102" s="17">
        <v>1170</v>
      </c>
      <c r="J102" s="20" t="s">
        <v>30</v>
      </c>
      <c r="K102" s="20" t="s">
        <v>67</v>
      </c>
      <c r="L102" s="33">
        <f>IF(O102="USD",Q102*$S$1)</f>
        <v>17815.325826</v>
      </c>
      <c r="M102" s="21" t="s">
        <v>29</v>
      </c>
      <c r="N102" s="25" t="s">
        <v>84</v>
      </c>
      <c r="O102" s="25" t="s">
        <v>38</v>
      </c>
      <c r="P102" s="22">
        <v>1</v>
      </c>
      <c r="Q102" s="30">
        <v>3413.29</v>
      </c>
    </row>
    <row r="103" spans="1:17" x14ac:dyDescent="0.25">
      <c r="A103" s="4" t="str">
        <f t="shared" ref="A103:A136" si="23">CONCATENATE(J103,Q103,M103,K103,M103,N103)</f>
        <v>CUSTO OFFSHORE USD 144,974372175956 - ASSET1 - MARÇO 26</v>
      </c>
      <c r="B103" s="9">
        <v>46082</v>
      </c>
      <c r="C103" s="4">
        <v>817395</v>
      </c>
      <c r="D103" s="11" t="s">
        <v>12</v>
      </c>
      <c r="E103" s="12">
        <f>-L103*P103</f>
        <v>-252.27685799427124</v>
      </c>
      <c r="F103" s="4" t="s">
        <v>44</v>
      </c>
      <c r="G103" s="9">
        <f t="shared" si="18"/>
        <v>46082</v>
      </c>
      <c r="H103" s="4">
        <v>80834</v>
      </c>
      <c r="J103" s="13" t="s">
        <v>30</v>
      </c>
      <c r="K103" s="13" t="s">
        <v>14</v>
      </c>
      <c r="L103" s="14">
        <f>IF(O103="USD",Q103*$S$1)</f>
        <v>756.67923813518678</v>
      </c>
      <c r="M103" s="15" t="s">
        <v>29</v>
      </c>
      <c r="N103" s="24" t="s">
        <v>84</v>
      </c>
      <c r="O103" s="24" t="s">
        <v>38</v>
      </c>
      <c r="P103" s="16">
        <v>0.33339999999999997</v>
      </c>
      <c r="Q103" s="35">
        <v>144.97437217595638</v>
      </c>
    </row>
    <row r="104" spans="1:17" x14ac:dyDescent="0.25">
      <c r="A104" s="4" t="str">
        <f t="shared" si="23"/>
        <v>CUSTO OFFSHORE USD 144,974372175956 - ASSET1 - MARÇO 26</v>
      </c>
      <c r="B104" s="9">
        <v>46082</v>
      </c>
      <c r="C104" s="4">
        <v>817395</v>
      </c>
      <c r="D104" s="11" t="s">
        <v>45</v>
      </c>
      <c r="E104" s="12">
        <f t="shared" ref="E104:E136" si="24">-L104*P104</f>
        <v>-252.20119007045776</v>
      </c>
      <c r="F104" s="4" t="s">
        <v>44</v>
      </c>
      <c r="G104" s="9">
        <f t="shared" si="18"/>
        <v>46082</v>
      </c>
      <c r="H104" s="4">
        <v>80834</v>
      </c>
      <c r="J104" s="13" t="s">
        <v>30</v>
      </c>
      <c r="K104" s="13" t="s">
        <v>14</v>
      </c>
      <c r="L104" s="14">
        <f t="shared" ref="L104:L131" si="25">IF(O104="USD",Q104*$S$1)</f>
        <v>756.67923813518678</v>
      </c>
      <c r="M104" s="15" t="s">
        <v>29</v>
      </c>
      <c r="N104" s="24" t="s">
        <v>84</v>
      </c>
      <c r="O104" s="24" t="s">
        <v>38</v>
      </c>
      <c r="P104" s="16">
        <v>0.33329999999999999</v>
      </c>
      <c r="Q104" s="36">
        <v>144.97437217595638</v>
      </c>
    </row>
    <row r="105" spans="1:17" x14ac:dyDescent="0.25">
      <c r="A105" s="4" t="str">
        <f>CONCATENATE(J105,Q105,M105,K105,M105,N105)</f>
        <v>CUSTO OFFSHORE USD 144,974372175956 - ASSET1 - MARÇO 26</v>
      </c>
      <c r="B105" s="9">
        <v>46082</v>
      </c>
      <c r="C105" s="4">
        <v>817395</v>
      </c>
      <c r="D105" s="11" t="s">
        <v>46</v>
      </c>
      <c r="E105" s="12">
        <f t="shared" si="24"/>
        <v>-252.20119007045776</v>
      </c>
      <c r="F105" s="4" t="s">
        <v>44</v>
      </c>
      <c r="G105" s="9">
        <f t="shared" si="18"/>
        <v>46082</v>
      </c>
      <c r="H105" s="4">
        <v>80834</v>
      </c>
      <c r="J105" s="13" t="s">
        <v>30</v>
      </c>
      <c r="K105" s="13" t="s">
        <v>14</v>
      </c>
      <c r="L105" s="14">
        <f t="shared" si="25"/>
        <v>756.67923813518678</v>
      </c>
      <c r="M105" s="15" t="s">
        <v>29</v>
      </c>
      <c r="N105" s="24" t="s">
        <v>84</v>
      </c>
      <c r="O105" s="24" t="s">
        <v>38</v>
      </c>
      <c r="P105" s="16">
        <v>0.33329999999999999</v>
      </c>
      <c r="Q105" s="37">
        <v>144.97437217595638</v>
      </c>
    </row>
    <row r="106" spans="1:17" x14ac:dyDescent="0.25">
      <c r="A106" s="4" t="str">
        <f t="shared" si="23"/>
        <v>CUSTO OFFSHORE USD 440,663386251413 - RPS - MARÇO 26</v>
      </c>
      <c r="B106" s="9">
        <v>46082</v>
      </c>
      <c r="C106" s="4">
        <v>817395</v>
      </c>
      <c r="D106" s="11" t="s">
        <v>45</v>
      </c>
      <c r="E106" s="10">
        <f t="shared" si="24"/>
        <v>-1149.9992391003138</v>
      </c>
      <c r="F106" s="4" t="s">
        <v>44</v>
      </c>
      <c r="G106" s="9">
        <f t="shared" si="18"/>
        <v>46082</v>
      </c>
      <c r="H106" s="4">
        <v>12339</v>
      </c>
      <c r="J106" s="13" t="s">
        <v>30</v>
      </c>
      <c r="K106" s="13" t="s">
        <v>16</v>
      </c>
      <c r="L106" s="14">
        <f t="shared" si="25"/>
        <v>2299.9984782006277</v>
      </c>
      <c r="M106" s="15" t="s">
        <v>29</v>
      </c>
      <c r="N106" s="24" t="s">
        <v>84</v>
      </c>
      <c r="O106" s="24" t="s">
        <v>38</v>
      </c>
      <c r="P106" s="16">
        <v>0.5</v>
      </c>
      <c r="Q106" s="35">
        <v>440.6633862514135</v>
      </c>
    </row>
    <row r="107" spans="1:17" x14ac:dyDescent="0.25">
      <c r="A107" s="4" t="str">
        <f t="shared" si="23"/>
        <v>CUSTO OFFSHORE USD 440,663386251413 - RPS - MARÇO 26</v>
      </c>
      <c r="B107" s="9">
        <v>46082</v>
      </c>
      <c r="C107" s="4">
        <v>817395</v>
      </c>
      <c r="D107" s="11" t="s">
        <v>12</v>
      </c>
      <c r="E107" s="10">
        <f t="shared" si="24"/>
        <v>-1149.9992391003138</v>
      </c>
      <c r="F107" s="4" t="s">
        <v>44</v>
      </c>
      <c r="G107" s="9">
        <f t="shared" si="18"/>
        <v>46082</v>
      </c>
      <c r="H107" s="4">
        <v>12339</v>
      </c>
      <c r="J107" s="13" t="s">
        <v>30</v>
      </c>
      <c r="K107" s="13" t="s">
        <v>16</v>
      </c>
      <c r="L107" s="14">
        <f t="shared" si="25"/>
        <v>2299.9984782006277</v>
      </c>
      <c r="M107" s="15" t="s">
        <v>29</v>
      </c>
      <c r="N107" s="24" t="s">
        <v>84</v>
      </c>
      <c r="O107" s="24" t="s">
        <v>38</v>
      </c>
      <c r="P107" s="16">
        <v>0.5</v>
      </c>
      <c r="Q107" s="37">
        <v>440.6633862514135</v>
      </c>
    </row>
    <row r="108" spans="1:17" x14ac:dyDescent="0.25">
      <c r="A108" s="4" t="str">
        <f t="shared" si="23"/>
        <v>CUSTO OFFSHORE USD 9402,79886980741 - GOLDMAN SACHS IL - BRAS - MARÇO 26</v>
      </c>
      <c r="B108" s="9">
        <v>46082</v>
      </c>
      <c r="C108" s="4">
        <v>817395</v>
      </c>
      <c r="D108" s="11" t="s">
        <v>12</v>
      </c>
      <c r="E108" s="10">
        <f t="shared" si="24"/>
        <v>-49076.968421072786</v>
      </c>
      <c r="F108" s="4" t="s">
        <v>44</v>
      </c>
      <c r="G108" s="9">
        <f t="shared" si="18"/>
        <v>46082</v>
      </c>
      <c r="H108" s="4">
        <v>79791</v>
      </c>
      <c r="J108" s="13" t="s">
        <v>30</v>
      </c>
      <c r="K108" s="13" t="s">
        <v>24</v>
      </c>
      <c r="L108" s="14">
        <f t="shared" si="25"/>
        <v>49076.968421072786</v>
      </c>
      <c r="M108" s="15" t="s">
        <v>29</v>
      </c>
      <c r="N108" s="24" t="s">
        <v>84</v>
      </c>
      <c r="O108" s="24" t="s">
        <v>38</v>
      </c>
      <c r="P108" s="16">
        <v>1</v>
      </c>
      <c r="Q108" s="12">
        <v>9402.7988698074078</v>
      </c>
    </row>
    <row r="109" spans="1:17" x14ac:dyDescent="0.25">
      <c r="A109" s="4" t="str">
        <f t="shared" si="23"/>
        <v>CUSTO OFFSHORE USD 169,853774831041 - ITAÚ - MSCO - MARÇO 26</v>
      </c>
      <c r="B109" s="9">
        <v>46082</v>
      </c>
      <c r="C109" s="4">
        <v>817395</v>
      </c>
      <c r="D109" s="11" t="s">
        <v>12</v>
      </c>
      <c r="E109" s="10">
        <f t="shared" si="24"/>
        <v>-886.53479235313739</v>
      </c>
      <c r="F109" s="4" t="s">
        <v>44</v>
      </c>
      <c r="G109" s="9">
        <f t="shared" si="18"/>
        <v>46082</v>
      </c>
      <c r="H109" s="4">
        <v>79460</v>
      </c>
      <c r="J109" s="13" t="s">
        <v>30</v>
      </c>
      <c r="K109" s="13" t="s">
        <v>17</v>
      </c>
      <c r="L109" s="14">
        <f t="shared" si="25"/>
        <v>886.53479235313739</v>
      </c>
      <c r="M109" s="15" t="s">
        <v>29</v>
      </c>
      <c r="N109" s="24" t="s">
        <v>84</v>
      </c>
      <c r="O109" s="24" t="s">
        <v>38</v>
      </c>
      <c r="P109" s="16">
        <v>1</v>
      </c>
      <c r="Q109" s="12">
        <v>169.85377483104136</v>
      </c>
    </row>
    <row r="110" spans="1:17" x14ac:dyDescent="0.25">
      <c r="A110" s="4" t="str">
        <f t="shared" si="23"/>
        <v>CUSTO OFFSHORE USD 3296,27 - ITAÚ - NASSAU - MARÇO 26</v>
      </c>
      <c r="B110" s="9">
        <v>46082</v>
      </c>
      <c r="C110" s="4">
        <v>817395</v>
      </c>
      <c r="D110" s="11" t="s">
        <v>12</v>
      </c>
      <c r="E110" s="10">
        <f t="shared" si="24"/>
        <v>-17204.551638000001</v>
      </c>
      <c r="F110" s="4" t="s">
        <v>44</v>
      </c>
      <c r="G110" s="9">
        <f t="shared" si="18"/>
        <v>46082</v>
      </c>
      <c r="H110" s="4">
        <v>79460</v>
      </c>
      <c r="J110" s="13" t="s">
        <v>30</v>
      </c>
      <c r="K110" s="13" t="s">
        <v>18</v>
      </c>
      <c r="L110" s="14">
        <f t="shared" si="25"/>
        <v>17204.551638000001</v>
      </c>
      <c r="M110" s="15" t="s">
        <v>29</v>
      </c>
      <c r="N110" s="24" t="s">
        <v>84</v>
      </c>
      <c r="O110" s="24" t="s">
        <v>38</v>
      </c>
      <c r="P110" s="16">
        <v>1</v>
      </c>
      <c r="Q110" s="12">
        <v>3296.27</v>
      </c>
    </row>
    <row r="111" spans="1:17" x14ac:dyDescent="0.25">
      <c r="A111" s="4" t="str">
        <f t="shared" si="23"/>
        <v>CUSTO OFFSHORE USD 6055,79320835812 - XPADVISORY_MO - MARÇO 26</v>
      </c>
      <c r="B111" s="9">
        <v>46082</v>
      </c>
      <c r="C111" s="4">
        <v>817395</v>
      </c>
      <c r="D111" s="11" t="s">
        <v>50</v>
      </c>
      <c r="E111" s="28">
        <f t="shared" si="24"/>
        <v>-31607.607071704359</v>
      </c>
      <c r="F111" s="4" t="s">
        <v>44</v>
      </c>
      <c r="G111" s="9">
        <f t="shared" si="18"/>
        <v>46082</v>
      </c>
      <c r="H111" s="4">
        <v>80769</v>
      </c>
      <c r="J111" s="13" t="s">
        <v>30</v>
      </c>
      <c r="K111" s="13" t="s">
        <v>49</v>
      </c>
      <c r="L111" s="14">
        <f t="shared" si="25"/>
        <v>31607.607071704359</v>
      </c>
      <c r="M111" s="15" t="s">
        <v>29</v>
      </c>
      <c r="N111" s="24" t="s">
        <v>84</v>
      </c>
      <c r="O111" s="24" t="s">
        <v>38</v>
      </c>
      <c r="P111" s="27">
        <v>1</v>
      </c>
      <c r="Q111" s="30">
        <v>6055.7932083581172</v>
      </c>
    </row>
    <row r="112" spans="1:17" x14ac:dyDescent="0.25">
      <c r="A112" s="4" t="str">
        <f>CONCATENATE(J112,Q112,M112,K112,M112,N112)</f>
        <v>CUSTO OFFSHORE USD 108,825075851384 - VINLAND  - MARÇO 26</v>
      </c>
      <c r="B112" s="9">
        <v>46082</v>
      </c>
      <c r="C112" s="4">
        <v>817395</v>
      </c>
      <c r="D112" s="11" t="s">
        <v>47</v>
      </c>
      <c r="E112" s="28">
        <f t="shared" si="24"/>
        <v>-568.00160089871588</v>
      </c>
      <c r="F112" s="4" t="s">
        <v>44</v>
      </c>
      <c r="G112" s="9">
        <f t="shared" si="18"/>
        <v>46082</v>
      </c>
      <c r="H112" s="4">
        <v>80359</v>
      </c>
      <c r="J112" s="13" t="s">
        <v>30</v>
      </c>
      <c r="K112" s="13" t="s">
        <v>20</v>
      </c>
      <c r="L112" s="14">
        <f>IF(O112="USD",Q112*$S$1)</f>
        <v>568.00160089871588</v>
      </c>
      <c r="M112" s="15" t="s">
        <v>29</v>
      </c>
      <c r="N112" s="24" t="s">
        <v>84</v>
      </c>
      <c r="O112" s="24" t="s">
        <v>38</v>
      </c>
      <c r="P112" s="27">
        <v>1</v>
      </c>
      <c r="Q112" s="30">
        <v>108.82507585138441</v>
      </c>
    </row>
    <row r="113" spans="1:17" x14ac:dyDescent="0.25">
      <c r="A113" s="4" t="str">
        <f>CONCATENATE(J113,Q113,M113,K113,M113,N113)</f>
        <v>CUSTO OFFSHORE USD 1998,30185082061 - SCHONFELD_MO - MARÇO 26</v>
      </c>
      <c r="B113" s="9">
        <v>46082</v>
      </c>
      <c r="C113" s="4">
        <v>817395</v>
      </c>
      <c r="D113" s="11" t="s">
        <v>47</v>
      </c>
      <c r="E113" s="30">
        <f t="shared" si="24"/>
        <v>-10429.936680173087</v>
      </c>
      <c r="F113" s="4" t="s">
        <v>44</v>
      </c>
      <c r="G113" s="9">
        <f t="shared" si="18"/>
        <v>46082</v>
      </c>
      <c r="H113" s="4">
        <v>83061</v>
      </c>
      <c r="J113" s="13" t="s">
        <v>30</v>
      </c>
      <c r="K113" s="13" t="s">
        <v>59</v>
      </c>
      <c r="L113" s="14">
        <f>IF(O113="USD",Q113*$S$1)</f>
        <v>10429.936680173087</v>
      </c>
      <c r="M113" s="15" t="s">
        <v>29</v>
      </c>
      <c r="N113" s="24" t="s">
        <v>84</v>
      </c>
      <c r="O113" s="24" t="s">
        <v>38</v>
      </c>
      <c r="P113" s="27">
        <v>1</v>
      </c>
      <c r="Q113" s="30">
        <v>1998.3018508206089</v>
      </c>
    </row>
    <row r="114" spans="1:17" x14ac:dyDescent="0.25">
      <c r="A114" s="4" t="str">
        <f t="shared" si="23"/>
        <v>CUSTO OFFSHORE USD  - BNP_MO - MARÇO 26</v>
      </c>
      <c r="B114" s="9">
        <v>46082</v>
      </c>
      <c r="C114" s="4">
        <v>817395</v>
      </c>
      <c r="D114" s="11" t="s">
        <v>12</v>
      </c>
      <c r="E114" s="30">
        <f t="shared" si="24"/>
        <v>0</v>
      </c>
      <c r="F114" s="4" t="s">
        <v>44</v>
      </c>
      <c r="G114" s="9">
        <f t="shared" si="18"/>
        <v>46082</v>
      </c>
      <c r="H114" s="4">
        <v>95005</v>
      </c>
      <c r="J114" s="13" t="s">
        <v>30</v>
      </c>
      <c r="K114" s="13" t="s">
        <v>57</v>
      </c>
      <c r="L114" s="14">
        <f t="shared" si="25"/>
        <v>0</v>
      </c>
      <c r="M114" s="15" t="s">
        <v>29</v>
      </c>
      <c r="N114" s="24" t="s">
        <v>84</v>
      </c>
      <c r="O114" s="24" t="s">
        <v>38</v>
      </c>
      <c r="P114" s="16">
        <v>1</v>
      </c>
      <c r="Q114" s="12"/>
    </row>
    <row r="115" spans="1:17" x14ac:dyDescent="0.25">
      <c r="A115" s="4" t="str">
        <f t="shared" si="23"/>
        <v>CUSTO OFFSHORE USD 2,52223624652915 - ADAMGestao_MO - MARÇO 26</v>
      </c>
      <c r="B115" s="9">
        <v>46082</v>
      </c>
      <c r="C115" s="4">
        <v>817395</v>
      </c>
      <c r="D115" s="11" t="s">
        <v>12</v>
      </c>
      <c r="E115" s="30">
        <f t="shared" si="24"/>
        <v>-13.164559865134271</v>
      </c>
      <c r="F115" s="4" t="s">
        <v>44</v>
      </c>
      <c r="G115" s="9">
        <f t="shared" ref="G115" si="26">B115</f>
        <v>46082</v>
      </c>
      <c r="H115" s="4">
        <v>79973</v>
      </c>
      <c r="J115" s="13" t="s">
        <v>30</v>
      </c>
      <c r="K115" s="13" t="s">
        <v>77</v>
      </c>
      <c r="L115" s="14">
        <f t="shared" si="25"/>
        <v>13.164559865134271</v>
      </c>
      <c r="M115" s="15" t="s">
        <v>29</v>
      </c>
      <c r="N115" s="24" t="s">
        <v>84</v>
      </c>
      <c r="O115" s="24" t="s">
        <v>38</v>
      </c>
      <c r="P115" s="27">
        <v>1</v>
      </c>
      <c r="Q115" s="26">
        <v>2.5222362465291548</v>
      </c>
    </row>
    <row r="116" spans="1:17" x14ac:dyDescent="0.25">
      <c r="A116" s="4" t="str">
        <f t="shared" si="23"/>
        <v>CUSTO OFFSHORE USD 0,872905076212276 - SPRINGS_MO - MARÇO 26</v>
      </c>
      <c r="B116" s="9">
        <v>46082</v>
      </c>
      <c r="C116" s="4">
        <v>817395</v>
      </c>
      <c r="D116" s="11" t="s">
        <v>12</v>
      </c>
      <c r="E116" s="30">
        <f t="shared" si="24"/>
        <v>-3.0370567671379161</v>
      </c>
      <c r="F116" s="4" t="s">
        <v>44</v>
      </c>
      <c r="G116" s="9">
        <f t="shared" si="18"/>
        <v>46082</v>
      </c>
      <c r="H116" s="4">
        <v>82748</v>
      </c>
      <c r="J116" s="13" t="s">
        <v>30</v>
      </c>
      <c r="K116" s="13" t="s">
        <v>56</v>
      </c>
      <c r="L116" s="14">
        <f t="shared" si="25"/>
        <v>4.5560407547823525</v>
      </c>
      <c r="M116" s="15" t="s">
        <v>29</v>
      </c>
      <c r="N116" s="24" t="s">
        <v>84</v>
      </c>
      <c r="O116" s="24" t="s">
        <v>38</v>
      </c>
      <c r="P116" s="16">
        <v>0.66659999999999997</v>
      </c>
      <c r="Q116" s="35">
        <v>0.87290507621227587</v>
      </c>
    </row>
    <row r="117" spans="1:17" x14ac:dyDescent="0.25">
      <c r="A117" s="4" t="str">
        <f t="shared" si="23"/>
        <v>CUSTO OFFSHORE USD 0,872905076212276 - SPRINGS_MO - MARÇO 26</v>
      </c>
      <c r="B117" s="9">
        <v>46082</v>
      </c>
      <c r="C117" s="4">
        <v>817395</v>
      </c>
      <c r="D117" s="11" t="s">
        <v>45</v>
      </c>
      <c r="E117" s="30">
        <f t="shared" si="24"/>
        <v>-1.518528383568958</v>
      </c>
      <c r="F117" s="4" t="s">
        <v>44</v>
      </c>
      <c r="G117" s="9">
        <f t="shared" si="18"/>
        <v>46082</v>
      </c>
      <c r="H117" s="4">
        <v>82748</v>
      </c>
      <c r="J117" s="13" t="s">
        <v>30</v>
      </c>
      <c r="K117" s="13" t="s">
        <v>56</v>
      </c>
      <c r="L117" s="14">
        <f t="shared" si="25"/>
        <v>4.5560407547823525</v>
      </c>
      <c r="M117" s="15" t="s">
        <v>29</v>
      </c>
      <c r="N117" s="24" t="s">
        <v>84</v>
      </c>
      <c r="O117" s="24" t="s">
        <v>38</v>
      </c>
      <c r="P117" s="16">
        <v>0.33329999999999999</v>
      </c>
      <c r="Q117" s="37">
        <v>0.87290507621227587</v>
      </c>
    </row>
    <row r="118" spans="1:17" x14ac:dyDescent="0.25">
      <c r="A118" s="4" t="str">
        <f t="shared" si="23"/>
        <v>CUSTO OFFSHORE USD 1777,94362597482 - KAPITALO - MARÇO 26</v>
      </c>
      <c r="B118" s="9">
        <v>46082</v>
      </c>
      <c r="C118" s="4">
        <v>817395</v>
      </c>
      <c r="D118" s="11" t="s">
        <v>12</v>
      </c>
      <c r="E118" s="28">
        <f t="shared" si="24"/>
        <v>-6959.8492210597415</v>
      </c>
      <c r="F118" s="4" t="s">
        <v>44</v>
      </c>
      <c r="G118" s="9">
        <f t="shared" si="18"/>
        <v>46082</v>
      </c>
      <c r="H118" s="4">
        <v>12413</v>
      </c>
      <c r="J118" s="13" t="s">
        <v>30</v>
      </c>
      <c r="K118" s="13" t="s">
        <v>26</v>
      </c>
      <c r="L118" s="14">
        <f t="shared" si="25"/>
        <v>9279.7989614129892</v>
      </c>
      <c r="M118" s="15" t="s">
        <v>29</v>
      </c>
      <c r="N118" s="24" t="s">
        <v>84</v>
      </c>
      <c r="O118" s="24" t="s">
        <v>38</v>
      </c>
      <c r="P118" s="27">
        <v>0.75</v>
      </c>
      <c r="Q118" s="35">
        <v>1777.9436259748227</v>
      </c>
    </row>
    <row r="119" spans="1:17" x14ac:dyDescent="0.25">
      <c r="A119" s="4" t="str">
        <f t="shared" si="23"/>
        <v>CUSTO OFFSHORE USD 1777,94362597482 - KAPITALO - MARÇO 26</v>
      </c>
      <c r="B119" s="9">
        <v>46082</v>
      </c>
      <c r="C119" s="4">
        <v>817395</v>
      </c>
      <c r="D119" s="11" t="s">
        <v>45</v>
      </c>
      <c r="E119" s="28">
        <f t="shared" si="24"/>
        <v>-2319.9497403532473</v>
      </c>
      <c r="F119" s="4" t="s">
        <v>44</v>
      </c>
      <c r="G119" s="9">
        <f t="shared" si="18"/>
        <v>46082</v>
      </c>
      <c r="H119" s="4">
        <v>12413</v>
      </c>
      <c r="J119" s="13" t="s">
        <v>30</v>
      </c>
      <c r="K119" s="13" t="s">
        <v>26</v>
      </c>
      <c r="L119" s="14">
        <f t="shared" si="25"/>
        <v>9279.7989614129892</v>
      </c>
      <c r="M119" s="15" t="s">
        <v>29</v>
      </c>
      <c r="N119" s="24" t="s">
        <v>84</v>
      </c>
      <c r="O119" s="24" t="s">
        <v>38</v>
      </c>
      <c r="P119" s="27">
        <v>0.25</v>
      </c>
      <c r="Q119" s="36">
        <v>1777.9436259748227</v>
      </c>
    </row>
    <row r="120" spans="1:17" x14ac:dyDescent="0.25">
      <c r="A120" s="4" t="str">
        <f t="shared" si="23"/>
        <v>CUSTO OFFSHORE USD 329,64 - CITIGBL_MO - MARÇO 26</v>
      </c>
      <c r="B120" s="9">
        <v>46082</v>
      </c>
      <c r="C120" s="4">
        <v>817395</v>
      </c>
      <c r="D120" s="11" t="s">
        <v>12</v>
      </c>
      <c r="E120" s="28">
        <f t="shared" si="24"/>
        <v>-860.26150800000005</v>
      </c>
      <c r="F120" s="4" t="s">
        <v>44</v>
      </c>
      <c r="G120" s="9">
        <f t="shared" si="18"/>
        <v>46082</v>
      </c>
      <c r="H120" s="4">
        <v>79791</v>
      </c>
      <c r="J120" s="13" t="s">
        <v>30</v>
      </c>
      <c r="K120" s="13" t="s">
        <v>48</v>
      </c>
      <c r="L120" s="14">
        <f t="shared" si="25"/>
        <v>1720.5230160000001</v>
      </c>
      <c r="M120" s="15" t="s">
        <v>29</v>
      </c>
      <c r="N120" s="24" t="s">
        <v>84</v>
      </c>
      <c r="O120" s="24" t="s">
        <v>38</v>
      </c>
      <c r="P120" s="27">
        <v>0.5</v>
      </c>
      <c r="Q120" s="35">
        <v>329.64</v>
      </c>
    </row>
    <row r="121" spans="1:17" x14ac:dyDescent="0.25">
      <c r="A121" s="4" t="str">
        <f t="shared" si="23"/>
        <v>CUSTO OFFSHORE USD 329,64 - CITIGBL_MO - MARÇO 26</v>
      </c>
      <c r="B121" s="9">
        <v>46082</v>
      </c>
      <c r="C121" s="4">
        <v>817395</v>
      </c>
      <c r="D121" s="11" t="s">
        <v>45</v>
      </c>
      <c r="E121" s="28">
        <f t="shared" si="24"/>
        <v>-860.26150800000005</v>
      </c>
      <c r="F121" s="4" t="s">
        <v>44</v>
      </c>
      <c r="G121" s="9">
        <f t="shared" si="18"/>
        <v>46082</v>
      </c>
      <c r="H121" s="4">
        <v>79791</v>
      </c>
      <c r="J121" s="13" t="s">
        <v>30</v>
      </c>
      <c r="K121" s="13" t="s">
        <v>48</v>
      </c>
      <c r="L121" s="14">
        <f t="shared" si="25"/>
        <v>1720.5230160000001</v>
      </c>
      <c r="M121" s="15" t="s">
        <v>29</v>
      </c>
      <c r="N121" s="24" t="s">
        <v>84</v>
      </c>
      <c r="O121" s="24" t="s">
        <v>38</v>
      </c>
      <c r="P121" s="27">
        <v>0.5</v>
      </c>
      <c r="Q121" s="37">
        <v>329.64</v>
      </c>
    </row>
    <row r="122" spans="1:17" x14ac:dyDescent="0.25">
      <c r="A122" s="4" t="str">
        <f t="shared" si="23"/>
        <v>CUSTO OFFSHORE USD 235,15350646386 - BRADESCO_BZL - MARÇO 26</v>
      </c>
      <c r="B122" s="9">
        <v>46082</v>
      </c>
      <c r="C122" s="4">
        <v>817395</v>
      </c>
      <c r="D122" s="11" t="s">
        <v>12</v>
      </c>
      <c r="E122" s="28">
        <f t="shared" si="24"/>
        <v>-920.52015872810352</v>
      </c>
      <c r="F122" s="4" t="s">
        <v>44</v>
      </c>
      <c r="G122" s="9">
        <f t="shared" si="18"/>
        <v>46082</v>
      </c>
      <c r="H122" s="4">
        <v>16705</v>
      </c>
      <c r="J122" s="13" t="s">
        <v>30</v>
      </c>
      <c r="K122" s="13" t="s">
        <v>27</v>
      </c>
      <c r="L122" s="14">
        <f t="shared" si="25"/>
        <v>1227.3602116374714</v>
      </c>
      <c r="M122" s="15" t="s">
        <v>29</v>
      </c>
      <c r="N122" s="24" t="s">
        <v>84</v>
      </c>
      <c r="O122" s="24" t="s">
        <v>38</v>
      </c>
      <c r="P122" s="27">
        <v>0.75</v>
      </c>
      <c r="Q122" s="35">
        <v>235.15350646386008</v>
      </c>
    </row>
    <row r="123" spans="1:17" x14ac:dyDescent="0.25">
      <c r="A123" s="4" t="str">
        <f t="shared" si="23"/>
        <v>CUSTO OFFSHORE USD 235,15350646386 - BRADESCO_BZL - MARÇO 26</v>
      </c>
      <c r="B123" s="9">
        <v>46082</v>
      </c>
      <c r="C123" s="4">
        <v>817395</v>
      </c>
      <c r="D123" s="11" t="s">
        <v>45</v>
      </c>
      <c r="E123" s="28">
        <f t="shared" si="24"/>
        <v>-306.84005290936784</v>
      </c>
      <c r="F123" s="4" t="s">
        <v>44</v>
      </c>
      <c r="G123" s="9">
        <f t="shared" si="18"/>
        <v>46082</v>
      </c>
      <c r="H123" s="4">
        <v>16705</v>
      </c>
      <c r="J123" s="13" t="s">
        <v>30</v>
      </c>
      <c r="K123" s="13" t="s">
        <v>27</v>
      </c>
      <c r="L123" s="14">
        <f t="shared" si="25"/>
        <v>1227.3602116374714</v>
      </c>
      <c r="M123" s="15" t="s">
        <v>29</v>
      </c>
      <c r="N123" s="24" t="s">
        <v>84</v>
      </c>
      <c r="O123" s="24" t="s">
        <v>38</v>
      </c>
      <c r="P123" s="27">
        <v>0.25</v>
      </c>
      <c r="Q123" s="37">
        <v>235.15350646386008</v>
      </c>
    </row>
    <row r="124" spans="1:17" x14ac:dyDescent="0.25">
      <c r="A124" s="4" t="str">
        <f t="shared" si="23"/>
        <v>CUSTO OFFSHORE USD 178,155331817682 - BRADESCO_MO - MARÇO 26</v>
      </c>
      <c r="B124" s="9">
        <v>46082</v>
      </c>
      <c r="C124" s="4">
        <v>817395</v>
      </c>
      <c r="D124" s="11" t="s">
        <v>12</v>
      </c>
      <c r="E124" s="28">
        <f t="shared" si="24"/>
        <v>-697.39795416690811</v>
      </c>
      <c r="F124" s="4" t="s">
        <v>44</v>
      </c>
      <c r="G124" s="9">
        <f t="shared" si="18"/>
        <v>46082</v>
      </c>
      <c r="H124" s="4">
        <v>16705</v>
      </c>
      <c r="J124" s="13" t="s">
        <v>30</v>
      </c>
      <c r="K124" s="13" t="s">
        <v>69</v>
      </c>
      <c r="L124" s="14">
        <f t="shared" si="25"/>
        <v>929.86393888921077</v>
      </c>
      <c r="M124" s="15" t="s">
        <v>29</v>
      </c>
      <c r="N124" s="24" t="s">
        <v>84</v>
      </c>
      <c r="O124" s="24" t="s">
        <v>38</v>
      </c>
      <c r="P124" s="27">
        <v>0.75</v>
      </c>
      <c r="Q124" s="35">
        <v>178.15533181768225</v>
      </c>
    </row>
    <row r="125" spans="1:17" x14ac:dyDescent="0.25">
      <c r="A125" s="4" t="str">
        <f t="shared" si="23"/>
        <v>CUSTO OFFSHORE USD 178,155331817682 - BRADESCO_MO - MARÇO 26</v>
      </c>
      <c r="B125" s="9">
        <v>46082</v>
      </c>
      <c r="C125" s="4">
        <v>817395</v>
      </c>
      <c r="D125" s="11" t="s">
        <v>45</v>
      </c>
      <c r="E125" s="28">
        <f t="shared" si="24"/>
        <v>-232.46598472230269</v>
      </c>
      <c r="F125" s="4" t="s">
        <v>44</v>
      </c>
      <c r="G125" s="9">
        <f t="shared" si="18"/>
        <v>46082</v>
      </c>
      <c r="H125" s="4">
        <v>16705</v>
      </c>
      <c r="J125" s="13" t="s">
        <v>30</v>
      </c>
      <c r="K125" s="13" t="s">
        <v>69</v>
      </c>
      <c r="L125" s="14">
        <f t="shared" si="25"/>
        <v>929.86393888921077</v>
      </c>
      <c r="M125" s="15" t="s">
        <v>29</v>
      </c>
      <c r="N125" s="24" t="s">
        <v>84</v>
      </c>
      <c r="O125" s="24" t="s">
        <v>38</v>
      </c>
      <c r="P125" s="27">
        <v>0.25</v>
      </c>
      <c r="Q125" s="37">
        <v>178.15533181768225</v>
      </c>
    </row>
    <row r="126" spans="1:17" x14ac:dyDescent="0.25">
      <c r="A126" s="4" t="str">
        <f t="shared" si="23"/>
        <v>CUSTO OFFSHORE USD 47,831293074776 - BRAMBRAD_MO - MARÇO 26</v>
      </c>
      <c r="B126" s="9">
        <v>46082</v>
      </c>
      <c r="C126" s="4">
        <v>817395</v>
      </c>
      <c r="D126" s="11" t="s">
        <v>12</v>
      </c>
      <c r="E126" s="30">
        <f t="shared" si="24"/>
        <v>-187.23798830586432</v>
      </c>
      <c r="F126" s="4" t="s">
        <v>44</v>
      </c>
      <c r="G126" s="9">
        <f t="shared" si="18"/>
        <v>46082</v>
      </c>
      <c r="H126" s="4">
        <v>16705</v>
      </c>
      <c r="J126" s="13" t="s">
        <v>30</v>
      </c>
      <c r="K126" s="13" t="s">
        <v>85</v>
      </c>
      <c r="L126" s="14">
        <f t="shared" si="25"/>
        <v>249.65065107448575</v>
      </c>
      <c r="M126" s="15" t="s">
        <v>29</v>
      </c>
      <c r="N126" s="24" t="s">
        <v>84</v>
      </c>
      <c r="O126" s="24" t="s">
        <v>38</v>
      </c>
      <c r="P126" s="27">
        <v>0.75</v>
      </c>
      <c r="Q126" s="35">
        <v>47.831293074775978</v>
      </c>
    </row>
    <row r="127" spans="1:17" x14ac:dyDescent="0.25">
      <c r="A127" s="4" t="str">
        <f t="shared" si="23"/>
        <v>CUSTO OFFSHORE USD 47,831293074776 - BRAMBRAD_MO - MARÇO 26</v>
      </c>
      <c r="B127" s="9">
        <v>46082</v>
      </c>
      <c r="C127" s="4">
        <v>817395</v>
      </c>
      <c r="D127" s="11" t="s">
        <v>45</v>
      </c>
      <c r="E127" s="30">
        <f t="shared" si="24"/>
        <v>-62.412662768621438</v>
      </c>
      <c r="F127" s="4" t="s">
        <v>44</v>
      </c>
      <c r="G127" s="9">
        <f t="shared" si="18"/>
        <v>46082</v>
      </c>
      <c r="H127" s="4">
        <v>16705</v>
      </c>
      <c r="J127" s="13" t="s">
        <v>30</v>
      </c>
      <c r="K127" s="13" t="s">
        <v>85</v>
      </c>
      <c r="L127" s="14">
        <f t="shared" si="25"/>
        <v>249.65065107448575</v>
      </c>
      <c r="M127" s="15" t="s">
        <v>29</v>
      </c>
      <c r="N127" s="24" t="s">
        <v>84</v>
      </c>
      <c r="O127" s="24" t="s">
        <v>38</v>
      </c>
      <c r="P127" s="27">
        <v>0.25</v>
      </c>
      <c r="Q127" s="37">
        <v>47.831293074775978</v>
      </c>
    </row>
    <row r="128" spans="1:17" x14ac:dyDescent="0.25">
      <c r="A128" s="4" t="str">
        <f t="shared" si="23"/>
        <v>CUSTO OFFSHORE USD 4847,61494027092 - JPMPLC_MO - MARÇO 26</v>
      </c>
      <c r="B128" s="9">
        <v>46082</v>
      </c>
      <c r="C128" s="4">
        <v>817395</v>
      </c>
      <c r="D128" s="11" t="s">
        <v>12</v>
      </c>
      <c r="E128" s="30">
        <f t="shared" si="24"/>
        <v>-16868.604334213993</v>
      </c>
      <c r="F128" s="4" t="s">
        <v>44</v>
      </c>
      <c r="G128" s="9">
        <f t="shared" si="18"/>
        <v>46082</v>
      </c>
      <c r="H128" s="4">
        <v>81541</v>
      </c>
      <c r="J128" s="13" t="s">
        <v>30</v>
      </c>
      <c r="K128" s="13" t="s">
        <v>55</v>
      </c>
      <c r="L128" s="14">
        <f t="shared" si="25"/>
        <v>25301.641419250027</v>
      </c>
      <c r="M128" s="15" t="s">
        <v>29</v>
      </c>
      <c r="N128" s="24" t="s">
        <v>84</v>
      </c>
      <c r="O128" s="24" t="s">
        <v>38</v>
      </c>
      <c r="P128" s="27">
        <v>0.66669999999999996</v>
      </c>
      <c r="Q128" s="36">
        <v>4847.614940270917</v>
      </c>
    </row>
    <row r="129" spans="1:17" x14ac:dyDescent="0.25">
      <c r="A129" s="4" t="str">
        <f t="shared" si="23"/>
        <v>CUSTO OFFSHORE USD 4847,61494027092 - JPMPLC_MO - MARÇO 26</v>
      </c>
      <c r="B129" s="9">
        <v>46082</v>
      </c>
      <c r="C129" s="4">
        <v>817395</v>
      </c>
      <c r="D129" s="11" t="s">
        <v>45</v>
      </c>
      <c r="E129" s="30">
        <f t="shared" si="24"/>
        <v>-8433.0370850360341</v>
      </c>
      <c r="F129" s="4" t="s">
        <v>44</v>
      </c>
      <c r="G129" s="9">
        <f t="shared" si="18"/>
        <v>46082</v>
      </c>
      <c r="H129" s="4">
        <v>81541</v>
      </c>
      <c r="J129" s="13" t="s">
        <v>30</v>
      </c>
      <c r="K129" s="13" t="s">
        <v>55</v>
      </c>
      <c r="L129" s="34">
        <f t="shared" si="25"/>
        <v>25301.641419250027</v>
      </c>
      <c r="M129" s="15" t="s">
        <v>29</v>
      </c>
      <c r="N129" s="24" t="s">
        <v>84</v>
      </c>
      <c r="O129" s="24" t="s">
        <v>38</v>
      </c>
      <c r="P129" s="27">
        <v>0.33329999999999999</v>
      </c>
      <c r="Q129" s="37">
        <v>4847.614940270917</v>
      </c>
    </row>
    <row r="130" spans="1:17" x14ac:dyDescent="0.25">
      <c r="A130" s="4" t="str">
        <f t="shared" si="23"/>
        <v>CUSTO OFFSHORE USD 759,154748324295 - SPX_MO - MARÇO 26</v>
      </c>
      <c r="B130" s="9">
        <v>46082</v>
      </c>
      <c r="C130" s="4">
        <v>817395</v>
      </c>
      <c r="D130" s="11" t="s">
        <v>12</v>
      </c>
      <c r="E130" s="28">
        <f t="shared" si="24"/>
        <v>-2377.3993760422941</v>
      </c>
      <c r="F130" s="4" t="s">
        <v>44</v>
      </c>
      <c r="G130" s="9">
        <f t="shared" si="18"/>
        <v>46082</v>
      </c>
      <c r="H130" s="4">
        <v>79931</v>
      </c>
      <c r="J130" s="13" t="s">
        <v>30</v>
      </c>
      <c r="K130" s="13" t="s">
        <v>31</v>
      </c>
      <c r="L130" s="34">
        <f t="shared" si="25"/>
        <v>3962.3322934038238</v>
      </c>
      <c r="M130" s="15" t="s">
        <v>29</v>
      </c>
      <c r="N130" s="24" t="s">
        <v>84</v>
      </c>
      <c r="O130" s="24" t="s">
        <v>38</v>
      </c>
      <c r="P130" s="27">
        <v>0.6</v>
      </c>
      <c r="Q130" s="35">
        <v>759.1547483242947</v>
      </c>
    </row>
    <row r="131" spans="1:17" x14ac:dyDescent="0.25">
      <c r="A131" s="17" t="str">
        <f t="shared" si="23"/>
        <v>CUSTO OFFSHORE USD 759,154748324295 - SPX_MO - MARÇO 26</v>
      </c>
      <c r="B131" s="18">
        <v>46082</v>
      </c>
      <c r="C131" s="17">
        <v>817395</v>
      </c>
      <c r="D131" s="23" t="s">
        <v>45</v>
      </c>
      <c r="E131" s="19">
        <f t="shared" si="24"/>
        <v>-1584.9329173615297</v>
      </c>
      <c r="F131" s="17" t="s">
        <v>44</v>
      </c>
      <c r="G131" s="18">
        <f t="shared" si="18"/>
        <v>46082</v>
      </c>
      <c r="H131" s="17">
        <v>79931</v>
      </c>
      <c r="J131" s="20" t="s">
        <v>30</v>
      </c>
      <c r="K131" s="20" t="s">
        <v>31</v>
      </c>
      <c r="L131" s="33">
        <f t="shared" si="25"/>
        <v>3962.3322934038238</v>
      </c>
      <c r="M131" s="21" t="s">
        <v>29</v>
      </c>
      <c r="N131" s="25" t="s">
        <v>84</v>
      </c>
      <c r="O131" s="25" t="s">
        <v>38</v>
      </c>
      <c r="P131" s="22">
        <v>0.4</v>
      </c>
      <c r="Q131" s="37">
        <v>759.1547483242947</v>
      </c>
    </row>
    <row r="132" spans="1:17" x14ac:dyDescent="0.25">
      <c r="A132" s="17" t="str">
        <f t="shared" si="23"/>
        <v>CUSTO OFFSHORE USD 3511,24 - BGC - MARÇO 26</v>
      </c>
      <c r="B132" s="18">
        <v>46082</v>
      </c>
      <c r="C132" s="17">
        <v>817395</v>
      </c>
      <c r="D132" s="23" t="s">
        <v>61</v>
      </c>
      <c r="E132" s="26">
        <f t="shared" si="24"/>
        <v>-18326.566056</v>
      </c>
      <c r="F132" s="17" t="s">
        <v>83</v>
      </c>
      <c r="G132" s="18">
        <v>46082</v>
      </c>
      <c r="H132" s="17">
        <v>1170</v>
      </c>
      <c r="I132" s="31"/>
      <c r="J132" s="20" t="s">
        <v>30</v>
      </c>
      <c r="K132" s="20" t="s">
        <v>21</v>
      </c>
      <c r="L132" s="33">
        <f t="shared" ref="L132" si="27">IF(O132="USD",Q132*$S$1,Q132)</f>
        <v>18326.566056</v>
      </c>
      <c r="M132" s="21" t="s">
        <v>29</v>
      </c>
      <c r="N132" s="25" t="s">
        <v>84</v>
      </c>
      <c r="O132" s="25" t="s">
        <v>38</v>
      </c>
      <c r="P132" s="22">
        <v>1</v>
      </c>
      <c r="Q132" s="26">
        <v>3511.24</v>
      </c>
    </row>
    <row r="133" spans="1:17" x14ac:dyDescent="0.25">
      <c r="A133" s="17" t="str">
        <f t="shared" si="23"/>
        <v>CUSTO OFFSHORE USD 0 - BGC - MARÇO 26</v>
      </c>
      <c r="B133" s="18">
        <v>46082</v>
      </c>
      <c r="C133" s="17">
        <v>817395</v>
      </c>
      <c r="D133" s="23" t="s">
        <v>61</v>
      </c>
      <c r="E133" s="26">
        <f t="shared" si="24"/>
        <v>0</v>
      </c>
      <c r="F133" s="17" t="s">
        <v>78</v>
      </c>
      <c r="G133" s="18">
        <v>46023</v>
      </c>
      <c r="H133" s="17">
        <v>1170</v>
      </c>
      <c r="J133" s="20" t="s">
        <v>30</v>
      </c>
      <c r="K133" s="20" t="s">
        <v>21</v>
      </c>
      <c r="L133" s="33">
        <f t="shared" ref="L133:L136" si="28">IF(O133="USD",Q133*$S$1,Q133)</f>
        <v>0</v>
      </c>
      <c r="M133" s="21" t="s">
        <v>29</v>
      </c>
      <c r="N133" s="25" t="s">
        <v>84</v>
      </c>
      <c r="O133" s="25" t="s">
        <v>38</v>
      </c>
      <c r="P133" s="22">
        <v>1</v>
      </c>
      <c r="Q133" s="26">
        <v>0</v>
      </c>
    </row>
    <row r="134" spans="1:17" x14ac:dyDescent="0.25">
      <c r="A134" s="17" t="str">
        <f t="shared" si="23"/>
        <v>CUSTO OFFSHORE USD 3487,19 - BGC - MARÇO 26</v>
      </c>
      <c r="B134" s="18">
        <v>46082</v>
      </c>
      <c r="C134" s="17">
        <v>817395</v>
      </c>
      <c r="D134" s="23" t="s">
        <v>61</v>
      </c>
      <c r="E134" s="26">
        <f t="shared" si="24"/>
        <v>-18201.039486000001</v>
      </c>
      <c r="F134" s="17" t="s">
        <v>79</v>
      </c>
      <c r="G134" s="18">
        <v>46023</v>
      </c>
      <c r="H134" s="17">
        <v>1170</v>
      </c>
      <c r="J134" s="20" t="s">
        <v>30</v>
      </c>
      <c r="K134" s="20" t="s">
        <v>21</v>
      </c>
      <c r="L134" s="33">
        <f t="shared" si="28"/>
        <v>18201.039486000001</v>
      </c>
      <c r="M134" s="21" t="s">
        <v>29</v>
      </c>
      <c r="N134" s="25" t="s">
        <v>84</v>
      </c>
      <c r="O134" s="25" t="s">
        <v>38</v>
      </c>
      <c r="P134" s="22">
        <v>1</v>
      </c>
      <c r="Q134" s="26">
        <v>3487.19</v>
      </c>
    </row>
    <row r="135" spans="1:17" x14ac:dyDescent="0.25">
      <c r="A135" s="17" t="str">
        <f t="shared" si="23"/>
        <v>CUSTO OFFSHORE USD 0 - BGC - MARÇO 26</v>
      </c>
      <c r="B135" s="18">
        <v>46082</v>
      </c>
      <c r="C135" s="17">
        <v>817395</v>
      </c>
      <c r="D135" s="23" t="s">
        <v>61</v>
      </c>
      <c r="E135" s="26">
        <f t="shared" si="24"/>
        <v>0</v>
      </c>
      <c r="F135" s="17" t="s">
        <v>80</v>
      </c>
      <c r="G135" s="18">
        <v>46023</v>
      </c>
      <c r="H135" s="17">
        <v>1170</v>
      </c>
      <c r="J135" s="20" t="s">
        <v>30</v>
      </c>
      <c r="K135" s="20" t="s">
        <v>21</v>
      </c>
      <c r="L135" s="33">
        <f t="shared" si="28"/>
        <v>0</v>
      </c>
      <c r="M135" s="21" t="s">
        <v>29</v>
      </c>
      <c r="N135" s="25" t="s">
        <v>84</v>
      </c>
      <c r="O135" s="25" t="s">
        <v>38</v>
      </c>
      <c r="P135" s="22">
        <v>1</v>
      </c>
      <c r="Q135" s="26">
        <v>0</v>
      </c>
    </row>
    <row r="136" spans="1:17" x14ac:dyDescent="0.25">
      <c r="A136" s="17" t="str">
        <f t="shared" si="23"/>
        <v>CUSTO OFFSHORE USD 2692,14 - BGC - MARÇO 26</v>
      </c>
      <c r="B136" s="18">
        <v>46082</v>
      </c>
      <c r="C136" s="17">
        <v>817395</v>
      </c>
      <c r="D136" s="23" t="s">
        <v>61</v>
      </c>
      <c r="E136" s="26">
        <f t="shared" si="24"/>
        <v>-14051.355516</v>
      </c>
      <c r="F136" s="17" t="s">
        <v>81</v>
      </c>
      <c r="G136" s="18">
        <v>46023</v>
      </c>
      <c r="H136" s="17">
        <v>1170</v>
      </c>
      <c r="J136" s="20" t="s">
        <v>30</v>
      </c>
      <c r="K136" s="20" t="s">
        <v>21</v>
      </c>
      <c r="L136" s="33">
        <f t="shared" si="28"/>
        <v>14051.355516</v>
      </c>
      <c r="M136" s="21" t="s">
        <v>29</v>
      </c>
      <c r="N136" s="25" t="s">
        <v>84</v>
      </c>
      <c r="O136" s="25" t="s">
        <v>38</v>
      </c>
      <c r="P136" s="22">
        <v>1</v>
      </c>
      <c r="Q136" s="26">
        <v>2692.14</v>
      </c>
    </row>
  </sheetData>
  <autoFilter ref="A1:Q136" xr:uid="{86920FE8-52B5-46CC-9B38-62C273FC0EBA}"/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B2C6-6E4C-4C59-8B83-4102CB1D4F86}">
  <dimension ref="A1:S143"/>
  <sheetViews>
    <sheetView showGridLines="0" topLeftCell="A118" zoomScaleNormal="100" workbookViewId="0">
      <selection activeCell="K136" sqref="K136"/>
    </sheetView>
  </sheetViews>
  <sheetFormatPr defaultRowHeight="15" x14ac:dyDescent="0.25"/>
  <cols>
    <col min="1" max="1" width="49" customWidth="1"/>
    <col min="2" max="2" width="10.5703125" customWidth="1"/>
    <col min="3" max="3" width="10.7109375" bestFit="1" customWidth="1"/>
    <col min="4" max="4" width="30" bestFit="1" customWidth="1"/>
    <col min="5" max="5" width="15.7109375" customWidth="1"/>
    <col min="6" max="6" width="17.28515625" bestFit="1" customWidth="1"/>
    <col min="7" max="7" width="11" customWidth="1"/>
    <col min="8" max="8" width="12.28515625" customWidth="1"/>
    <col min="9" max="9" width="2.7109375" customWidth="1"/>
    <col min="10" max="10" width="15.7109375" bestFit="1" customWidth="1"/>
    <col min="11" max="11" width="18.28515625" bestFit="1" customWidth="1"/>
    <col min="12" max="12" width="13.85546875" customWidth="1"/>
    <col min="14" max="14" width="10.85546875" bestFit="1" customWidth="1"/>
    <col min="15" max="15" width="10.85546875" customWidth="1"/>
    <col min="17" max="17" width="11.7109375" bestFit="1" customWidth="1"/>
    <col min="18" max="18" width="12.5703125" bestFit="1" customWidth="1"/>
    <col min="19" max="19" width="9.5703125" bestFit="1" customWidth="1"/>
  </cols>
  <sheetData>
    <row r="1" spans="1:19" x14ac:dyDescent="0.25">
      <c r="A1" s="29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2" t="s">
        <v>6</v>
      </c>
      <c r="H1" s="1" t="s">
        <v>7</v>
      </c>
      <c r="J1" s="5" t="s">
        <v>8</v>
      </c>
      <c r="K1" s="5" t="s">
        <v>13</v>
      </c>
      <c r="L1" s="6" t="s">
        <v>4</v>
      </c>
      <c r="M1" s="7" t="s">
        <v>9</v>
      </c>
      <c r="N1" s="5" t="s">
        <v>10</v>
      </c>
      <c r="O1" s="5" t="s">
        <v>37</v>
      </c>
      <c r="P1" s="8" t="s">
        <v>11</v>
      </c>
      <c r="Q1" s="6" t="s">
        <v>4</v>
      </c>
      <c r="R1" s="38" t="s">
        <v>39</v>
      </c>
      <c r="S1" s="39">
        <v>4.9885999999999999</v>
      </c>
    </row>
    <row r="2" spans="1:19" x14ac:dyDescent="0.25">
      <c r="A2" s="4" t="str">
        <f t="shared" ref="A2:A103" si="0">CONCATENATE(J2,Q2,M2,K2,M2,N2)</f>
        <v>CUSTO OFFSHORE USD 21,9733836186387 - ASSET1 - ABRIL 26</v>
      </c>
      <c r="B2" s="9">
        <v>46113</v>
      </c>
      <c r="C2" s="4">
        <v>817395</v>
      </c>
      <c r="D2" s="11" t="s">
        <v>12</v>
      </c>
      <c r="E2" s="30">
        <f>-L2*P2</f>
        <v>-36.546114934748296</v>
      </c>
      <c r="F2" s="4" t="s">
        <v>68</v>
      </c>
      <c r="G2" s="9">
        <f t="shared" ref="G2:G71" si="1">B2</f>
        <v>46113</v>
      </c>
      <c r="H2" s="4">
        <v>80834</v>
      </c>
      <c r="J2" s="13" t="s">
        <v>30</v>
      </c>
      <c r="K2" s="13" t="s">
        <v>14</v>
      </c>
      <c r="L2" s="14">
        <f>IF(O2="USD",Q2*$S$1)</f>
        <v>109.61642151994091</v>
      </c>
      <c r="M2" s="15" t="s">
        <v>29</v>
      </c>
      <c r="N2" s="24" t="s">
        <v>87</v>
      </c>
      <c r="O2" s="24" t="s">
        <v>38</v>
      </c>
      <c r="P2" s="16">
        <v>0.33339999999999997</v>
      </c>
      <c r="Q2" s="35">
        <v>21.973383618638678</v>
      </c>
    </row>
    <row r="3" spans="1:19" x14ac:dyDescent="0.25">
      <c r="A3" s="4" t="str">
        <f t="shared" si="0"/>
        <v>CUSTO OFFSHORE USD 21,9733836186387 - ASSET1 - ABRIL 26</v>
      </c>
      <c r="B3" s="9">
        <v>46113</v>
      </c>
      <c r="C3" s="4">
        <v>817395</v>
      </c>
      <c r="D3" s="11" t="s">
        <v>45</v>
      </c>
      <c r="E3" s="30">
        <f t="shared" ref="E3:E58" si="2">-L3*P3</f>
        <v>-36.535153292596306</v>
      </c>
      <c r="F3" s="4" t="s">
        <v>68</v>
      </c>
      <c r="G3" s="9">
        <f t="shared" si="1"/>
        <v>46113</v>
      </c>
      <c r="H3" s="4">
        <v>80834</v>
      </c>
      <c r="J3" s="13" t="s">
        <v>30</v>
      </c>
      <c r="K3" s="13" t="s">
        <v>14</v>
      </c>
      <c r="L3" s="14">
        <f t="shared" ref="L3:L25" si="3">IF(O3="USD",Q3*$S$1)</f>
        <v>109.61642151994091</v>
      </c>
      <c r="M3" s="15" t="s">
        <v>29</v>
      </c>
      <c r="N3" s="24" t="s">
        <v>87</v>
      </c>
      <c r="O3" s="24" t="s">
        <v>38</v>
      </c>
      <c r="P3" s="16">
        <v>0.33329999999999999</v>
      </c>
      <c r="Q3" s="36">
        <v>21.973383618638678</v>
      </c>
    </row>
    <row r="4" spans="1:19" x14ac:dyDescent="0.25">
      <c r="A4" s="4" t="str">
        <f t="shared" si="0"/>
        <v>CUSTO OFFSHORE USD 21,9733836186387 - ASSET1 - ABRIL 26</v>
      </c>
      <c r="B4" s="9">
        <v>46113</v>
      </c>
      <c r="C4" s="4">
        <v>817395</v>
      </c>
      <c r="D4" s="11" t="s">
        <v>46</v>
      </c>
      <c r="E4" s="30">
        <f t="shared" si="2"/>
        <v>-36.535153292596306</v>
      </c>
      <c r="F4" s="4" t="s">
        <v>68</v>
      </c>
      <c r="G4" s="9">
        <f t="shared" si="1"/>
        <v>46113</v>
      </c>
      <c r="H4" s="4">
        <v>80834</v>
      </c>
      <c r="J4" s="13" t="s">
        <v>30</v>
      </c>
      <c r="K4" s="13" t="s">
        <v>14</v>
      </c>
      <c r="L4" s="14">
        <f t="shared" si="3"/>
        <v>109.61642151994091</v>
      </c>
      <c r="M4" s="15" t="s">
        <v>29</v>
      </c>
      <c r="N4" s="24" t="s">
        <v>87</v>
      </c>
      <c r="O4" s="24" t="s">
        <v>38</v>
      </c>
      <c r="P4" s="16">
        <v>0.33329999999999999</v>
      </c>
      <c r="Q4" s="37">
        <v>21.973383618638678</v>
      </c>
    </row>
    <row r="5" spans="1:19" x14ac:dyDescent="0.25">
      <c r="A5" s="4" t="str">
        <f t="shared" si="0"/>
        <v>CUSTO OFFSHORE USD 250,608144734889 - RPS - ABRIL 26</v>
      </c>
      <c r="B5" s="9">
        <v>46113</v>
      </c>
      <c r="C5" s="4">
        <v>817395</v>
      </c>
      <c r="D5" s="11" t="s">
        <v>45</v>
      </c>
      <c r="E5" s="30">
        <f t="shared" si="2"/>
        <v>-625.09189541223282</v>
      </c>
      <c r="F5" s="4" t="s">
        <v>68</v>
      </c>
      <c r="G5" s="9">
        <f t="shared" si="1"/>
        <v>46113</v>
      </c>
      <c r="H5" s="4">
        <v>12339</v>
      </c>
      <c r="J5" s="13" t="s">
        <v>30</v>
      </c>
      <c r="K5" s="13" t="s">
        <v>16</v>
      </c>
      <c r="L5" s="14">
        <f t="shared" si="3"/>
        <v>1250.1837908244656</v>
      </c>
      <c r="M5" s="15" t="s">
        <v>29</v>
      </c>
      <c r="N5" s="24" t="s">
        <v>87</v>
      </c>
      <c r="O5" s="24" t="s">
        <v>38</v>
      </c>
      <c r="P5" s="16">
        <v>0.5</v>
      </c>
      <c r="Q5" s="35">
        <v>250.60814473488867</v>
      </c>
    </row>
    <row r="6" spans="1:19" x14ac:dyDescent="0.25">
      <c r="A6" s="4" t="str">
        <f t="shared" si="0"/>
        <v>CUSTO OFFSHORE USD 250,608144734889 - RPS - ABRIL 26</v>
      </c>
      <c r="B6" s="9">
        <v>46113</v>
      </c>
      <c r="C6" s="4">
        <v>817395</v>
      </c>
      <c r="D6" s="11" t="s">
        <v>12</v>
      </c>
      <c r="E6" s="30">
        <f t="shared" si="2"/>
        <v>-625.09189541223282</v>
      </c>
      <c r="F6" s="4" t="s">
        <v>68</v>
      </c>
      <c r="G6" s="9">
        <f t="shared" si="1"/>
        <v>46113</v>
      </c>
      <c r="H6" s="4">
        <v>12339</v>
      </c>
      <c r="J6" s="13" t="s">
        <v>30</v>
      </c>
      <c r="K6" s="13" t="s">
        <v>16</v>
      </c>
      <c r="L6" s="14">
        <f t="shared" si="3"/>
        <v>1250.1837908244656</v>
      </c>
      <c r="M6" s="15" t="s">
        <v>29</v>
      </c>
      <c r="N6" s="24" t="s">
        <v>87</v>
      </c>
      <c r="O6" s="24" t="s">
        <v>38</v>
      </c>
      <c r="P6" s="16">
        <v>0.5</v>
      </c>
      <c r="Q6" s="37">
        <v>250.60814473488867</v>
      </c>
    </row>
    <row r="7" spans="1:19" x14ac:dyDescent="0.25">
      <c r="A7" s="4" t="str">
        <f t="shared" si="0"/>
        <v>CUSTO OFFSHORE USD 25799,29 - GOLDMAN SACHS IL - BRAS - ABRIL 26</v>
      </c>
      <c r="B7" s="9">
        <v>46113</v>
      </c>
      <c r="C7" s="4">
        <v>817395</v>
      </c>
      <c r="D7" s="11" t="s">
        <v>12</v>
      </c>
      <c r="E7" s="30">
        <f t="shared" si="2"/>
        <v>-128702.33809400001</v>
      </c>
      <c r="F7" s="4" t="s">
        <v>68</v>
      </c>
      <c r="G7" s="9">
        <f t="shared" si="1"/>
        <v>46113</v>
      </c>
      <c r="H7" s="4">
        <v>79791</v>
      </c>
      <c r="J7" s="13" t="s">
        <v>30</v>
      </c>
      <c r="K7" s="13" t="s">
        <v>24</v>
      </c>
      <c r="L7" s="14">
        <f t="shared" si="3"/>
        <v>128702.33809400001</v>
      </c>
      <c r="M7" s="15" t="s">
        <v>29</v>
      </c>
      <c r="N7" s="24" t="s">
        <v>87</v>
      </c>
      <c r="O7" s="24" t="s">
        <v>38</v>
      </c>
      <c r="P7" s="16">
        <v>1</v>
      </c>
      <c r="Q7" s="12">
        <v>25799.29</v>
      </c>
    </row>
    <row r="8" spans="1:19" x14ac:dyDescent="0.25">
      <c r="A8" s="4" t="str">
        <f t="shared" si="0"/>
        <v>CUSTO OFFSHORE USD 3055,07 - ITAÚ - MSCO - ABRIL 26</v>
      </c>
      <c r="B8" s="9">
        <v>46113</v>
      </c>
      <c r="C8" s="4">
        <v>817395</v>
      </c>
      <c r="D8" s="11" t="s">
        <v>12</v>
      </c>
      <c r="E8" s="30">
        <f t="shared" si="2"/>
        <v>-15240.522202</v>
      </c>
      <c r="F8" s="4" t="s">
        <v>68</v>
      </c>
      <c r="G8" s="9">
        <f t="shared" si="1"/>
        <v>46113</v>
      </c>
      <c r="H8" s="4">
        <v>79460</v>
      </c>
      <c r="J8" s="13" t="s">
        <v>30</v>
      </c>
      <c r="K8" s="13" t="s">
        <v>17</v>
      </c>
      <c r="L8" s="14">
        <f t="shared" si="3"/>
        <v>15240.522202</v>
      </c>
      <c r="M8" s="15" t="s">
        <v>29</v>
      </c>
      <c r="N8" s="24" t="s">
        <v>87</v>
      </c>
      <c r="O8" s="24" t="s">
        <v>38</v>
      </c>
      <c r="P8" s="16">
        <v>1</v>
      </c>
      <c r="Q8" s="12">
        <v>3055.07</v>
      </c>
    </row>
    <row r="9" spans="1:19" x14ac:dyDescent="0.25">
      <c r="A9" s="4" t="str">
        <f t="shared" si="0"/>
        <v>CUSTO OFFSHORE USD  - ITAÚ - NASSAU - ABRIL 26</v>
      </c>
      <c r="B9" s="9">
        <v>46113</v>
      </c>
      <c r="C9" s="4">
        <v>817395</v>
      </c>
      <c r="D9" s="11" t="s">
        <v>12</v>
      </c>
      <c r="E9" s="30">
        <f t="shared" si="2"/>
        <v>0</v>
      </c>
      <c r="F9" s="4" t="s">
        <v>68</v>
      </c>
      <c r="G9" s="9">
        <f t="shared" si="1"/>
        <v>46113</v>
      </c>
      <c r="H9" s="4">
        <v>79460</v>
      </c>
      <c r="J9" s="13" t="s">
        <v>30</v>
      </c>
      <c r="K9" s="13" t="s">
        <v>18</v>
      </c>
      <c r="L9" s="14">
        <f t="shared" si="3"/>
        <v>0</v>
      </c>
      <c r="M9" s="15" t="s">
        <v>29</v>
      </c>
      <c r="N9" s="24" t="s">
        <v>87</v>
      </c>
      <c r="O9" s="24" t="s">
        <v>38</v>
      </c>
      <c r="P9" s="16">
        <v>1</v>
      </c>
      <c r="Q9" s="26"/>
    </row>
    <row r="10" spans="1:19" x14ac:dyDescent="0.25">
      <c r="A10" s="4" t="str">
        <f t="shared" si="0"/>
        <v>CUSTO OFFSHORE USD 70,4449943091195 - SPRINGS_MO - ABRIL 26</v>
      </c>
      <c r="B10" s="9">
        <v>46113</v>
      </c>
      <c r="C10" s="4">
        <v>817395</v>
      </c>
      <c r="D10" s="11" t="s">
        <v>12</v>
      </c>
      <c r="E10" s="30">
        <f t="shared" si="2"/>
        <v>-234.25783761374157</v>
      </c>
      <c r="F10" s="4" t="s">
        <v>68</v>
      </c>
      <c r="G10" s="9">
        <f t="shared" si="1"/>
        <v>46113</v>
      </c>
      <c r="H10" s="4">
        <v>82748</v>
      </c>
      <c r="J10" s="13" t="s">
        <v>30</v>
      </c>
      <c r="K10" s="13" t="s">
        <v>56</v>
      </c>
      <c r="L10" s="14">
        <f t="shared" si="3"/>
        <v>351.42189861047342</v>
      </c>
      <c r="M10" s="15" t="s">
        <v>29</v>
      </c>
      <c r="N10" s="24" t="s">
        <v>87</v>
      </c>
      <c r="O10" s="24" t="s">
        <v>38</v>
      </c>
      <c r="P10" s="16">
        <v>0.66659999999999997</v>
      </c>
      <c r="Q10" s="35">
        <v>70.44499430911948</v>
      </c>
    </row>
    <row r="11" spans="1:19" x14ac:dyDescent="0.25">
      <c r="A11" s="4" t="str">
        <f t="shared" si="0"/>
        <v>CUSTO OFFSHORE USD 70,4449943091195 - SPRINGS_MO - ABRIL 26</v>
      </c>
      <c r="B11" s="9">
        <v>46113</v>
      </c>
      <c r="C11" s="4">
        <v>817395</v>
      </c>
      <c r="D11" s="11" t="s">
        <v>45</v>
      </c>
      <c r="E11" s="30">
        <f t="shared" si="2"/>
        <v>-117.12891880687079</v>
      </c>
      <c r="F11" s="4" t="s">
        <v>68</v>
      </c>
      <c r="G11" s="9">
        <f t="shared" si="1"/>
        <v>46113</v>
      </c>
      <c r="H11" s="4">
        <v>82748</v>
      </c>
      <c r="J11" s="13" t="s">
        <v>30</v>
      </c>
      <c r="K11" s="13" t="s">
        <v>56</v>
      </c>
      <c r="L11" s="14">
        <f t="shared" si="3"/>
        <v>351.42189861047342</v>
      </c>
      <c r="M11" s="15" t="s">
        <v>29</v>
      </c>
      <c r="N11" s="24" t="s">
        <v>87</v>
      </c>
      <c r="O11" s="24" t="s">
        <v>38</v>
      </c>
      <c r="P11" s="16">
        <v>0.33329999999999999</v>
      </c>
      <c r="Q11" s="37">
        <v>70.44499430911948</v>
      </c>
    </row>
    <row r="12" spans="1:19" x14ac:dyDescent="0.25">
      <c r="A12" s="4" t="str">
        <f t="shared" ref="A12" si="4">CONCATENATE(J12,Q12,M12,K12,M12,N12)</f>
        <v>CUSTO OFFSHORE USD 362,04 - MSIPLC_SUN - ABRIL 26</v>
      </c>
      <c r="B12" s="9">
        <v>46113</v>
      </c>
      <c r="C12" s="4">
        <v>817395</v>
      </c>
      <c r="D12" s="11" t="s">
        <v>88</v>
      </c>
      <c r="E12" s="30">
        <f t="shared" ref="E12" si="5">-L12*P12</f>
        <v>-1806.0727440000001</v>
      </c>
      <c r="F12" s="4" t="s">
        <v>68</v>
      </c>
      <c r="G12" s="9">
        <f t="shared" ref="G12" si="6">B12</f>
        <v>46113</v>
      </c>
      <c r="H12" s="4">
        <v>80754</v>
      </c>
      <c r="J12" s="13" t="s">
        <v>30</v>
      </c>
      <c r="K12" s="13" t="s">
        <v>89</v>
      </c>
      <c r="L12" s="14">
        <f t="shared" ref="L12" si="7">IF(O12="USD",Q12*$S$1)</f>
        <v>1806.0727440000001</v>
      </c>
      <c r="M12" s="15" t="s">
        <v>29</v>
      </c>
      <c r="N12" s="24" t="s">
        <v>87</v>
      </c>
      <c r="O12" s="24" t="s">
        <v>38</v>
      </c>
      <c r="P12" s="27">
        <v>1</v>
      </c>
      <c r="Q12" s="30">
        <v>362.04</v>
      </c>
    </row>
    <row r="13" spans="1:19" x14ac:dyDescent="0.25">
      <c r="A13" s="4" t="str">
        <f t="shared" si="0"/>
        <v>CUSTO OFFSHORE USD 86,5 - VINLAND  - ABRIL 26</v>
      </c>
      <c r="B13" s="9">
        <v>46113</v>
      </c>
      <c r="C13" s="4">
        <v>817395</v>
      </c>
      <c r="D13" s="11" t="s">
        <v>47</v>
      </c>
      <c r="E13" s="30">
        <f t="shared" si="2"/>
        <v>-431.51389999999998</v>
      </c>
      <c r="F13" s="4" t="s">
        <v>68</v>
      </c>
      <c r="G13" s="9">
        <f t="shared" si="1"/>
        <v>46113</v>
      </c>
      <c r="H13" s="4">
        <v>80359</v>
      </c>
      <c r="J13" s="13" t="s">
        <v>30</v>
      </c>
      <c r="K13" s="13" t="s">
        <v>20</v>
      </c>
      <c r="L13" s="14">
        <f t="shared" si="3"/>
        <v>431.51389999999998</v>
      </c>
      <c r="M13" s="15" t="s">
        <v>29</v>
      </c>
      <c r="N13" s="24" t="s">
        <v>87</v>
      </c>
      <c r="O13" s="24" t="s">
        <v>38</v>
      </c>
      <c r="P13" s="27">
        <v>1</v>
      </c>
      <c r="Q13" s="30">
        <v>86.5</v>
      </c>
    </row>
    <row r="14" spans="1:19" x14ac:dyDescent="0.25">
      <c r="A14" s="4" t="str">
        <f t="shared" si="0"/>
        <v>CUSTO OFFSHORE USD 1025 - SCHONFELD_MO - ABRIL 26</v>
      </c>
      <c r="B14" s="9">
        <v>46113</v>
      </c>
      <c r="C14" s="4">
        <v>817395</v>
      </c>
      <c r="D14" s="11" t="s">
        <v>47</v>
      </c>
      <c r="E14" s="30">
        <f t="shared" si="2"/>
        <v>-5113.3149999999996</v>
      </c>
      <c r="F14" s="4" t="s">
        <v>68</v>
      </c>
      <c r="G14" s="9">
        <f t="shared" si="1"/>
        <v>46113</v>
      </c>
      <c r="H14" s="4">
        <v>83061</v>
      </c>
      <c r="J14" s="13" t="s">
        <v>30</v>
      </c>
      <c r="K14" s="13" t="s">
        <v>59</v>
      </c>
      <c r="L14" s="14">
        <f t="shared" si="3"/>
        <v>5113.3149999999996</v>
      </c>
      <c r="M14" s="15" t="s">
        <v>29</v>
      </c>
      <c r="N14" s="24" t="s">
        <v>87</v>
      </c>
      <c r="O14" s="24" t="s">
        <v>38</v>
      </c>
      <c r="P14" s="27">
        <v>1</v>
      </c>
      <c r="Q14" s="30">
        <v>1025</v>
      </c>
    </row>
    <row r="15" spans="1:19" x14ac:dyDescent="0.25">
      <c r="A15" s="4" t="str">
        <f t="shared" si="0"/>
        <v>CUSTO OFFSHORE USD 9783,54 - XPADVISORY_MO - ABRIL 26</v>
      </c>
      <c r="B15" s="9">
        <v>46113</v>
      </c>
      <c r="C15" s="4">
        <v>817395</v>
      </c>
      <c r="D15" s="11" t="s">
        <v>50</v>
      </c>
      <c r="E15" s="30">
        <f t="shared" si="2"/>
        <v>-48806.167644000001</v>
      </c>
      <c r="F15" s="4" t="s">
        <v>68</v>
      </c>
      <c r="G15" s="9">
        <f t="shared" si="1"/>
        <v>46113</v>
      </c>
      <c r="H15" s="4">
        <v>80769</v>
      </c>
      <c r="J15" s="13" t="s">
        <v>30</v>
      </c>
      <c r="K15" s="13" t="s">
        <v>49</v>
      </c>
      <c r="L15" s="14">
        <f t="shared" si="3"/>
        <v>48806.167644000001</v>
      </c>
      <c r="M15" s="15" t="s">
        <v>29</v>
      </c>
      <c r="N15" s="24" t="s">
        <v>87</v>
      </c>
      <c r="O15" s="24" t="s">
        <v>38</v>
      </c>
      <c r="P15" s="27">
        <v>1</v>
      </c>
      <c r="Q15" s="30">
        <v>9783.5400000000009</v>
      </c>
    </row>
    <row r="16" spans="1:19" x14ac:dyDescent="0.25">
      <c r="A16" s="4" t="str">
        <f t="shared" si="0"/>
        <v>CUSTO OFFSHORE USD  - ABSOLUTE_CP - ABRIL 26</v>
      </c>
      <c r="B16" s="9">
        <v>46113</v>
      </c>
      <c r="C16" s="4">
        <v>817395</v>
      </c>
      <c r="D16" s="11" t="s">
        <v>61</v>
      </c>
      <c r="E16" s="30">
        <f t="shared" si="2"/>
        <v>0</v>
      </c>
      <c r="F16" s="4" t="s">
        <v>68</v>
      </c>
      <c r="G16" s="9">
        <f t="shared" si="1"/>
        <v>46113</v>
      </c>
      <c r="H16" s="4">
        <v>144548</v>
      </c>
      <c r="J16" s="13" t="s">
        <v>30</v>
      </c>
      <c r="K16" s="13" t="s">
        <v>72</v>
      </c>
      <c r="L16" s="14">
        <f t="shared" si="3"/>
        <v>0</v>
      </c>
      <c r="M16" s="15" t="s">
        <v>29</v>
      </c>
      <c r="N16" s="24" t="s">
        <v>87</v>
      </c>
      <c r="O16" s="24" t="s">
        <v>38</v>
      </c>
      <c r="P16" s="27">
        <v>1</v>
      </c>
      <c r="Q16" s="30"/>
    </row>
    <row r="17" spans="1:17" x14ac:dyDescent="0.25">
      <c r="A17" s="4" t="str">
        <f t="shared" si="0"/>
        <v>CUSTO OFFSHORE USD 7,43809882718376 - BTGCAY_CP - ABRIL 26</v>
      </c>
      <c r="B17" s="9">
        <v>46113</v>
      </c>
      <c r="C17" s="4">
        <v>817395</v>
      </c>
      <c r="D17" s="11" t="s">
        <v>61</v>
      </c>
      <c r="E17" s="30">
        <f t="shared" si="2"/>
        <v>-37.105699809288879</v>
      </c>
      <c r="F17" s="4" t="s">
        <v>68</v>
      </c>
      <c r="G17" s="9">
        <f t="shared" si="1"/>
        <v>46113</v>
      </c>
      <c r="H17" s="4">
        <v>82964</v>
      </c>
      <c r="J17" s="13" t="s">
        <v>30</v>
      </c>
      <c r="K17" s="13" t="s">
        <v>73</v>
      </c>
      <c r="L17" s="14">
        <f t="shared" si="3"/>
        <v>37.105699809288879</v>
      </c>
      <c r="M17" s="15" t="s">
        <v>29</v>
      </c>
      <c r="N17" s="24" t="s">
        <v>87</v>
      </c>
      <c r="O17" s="24" t="s">
        <v>38</v>
      </c>
      <c r="P17" s="27">
        <v>1</v>
      </c>
      <c r="Q17" s="30">
        <v>7.4380988271837554</v>
      </c>
    </row>
    <row r="18" spans="1:17" x14ac:dyDescent="0.25">
      <c r="A18" s="4" t="str">
        <f t="shared" si="0"/>
        <v>CUSTO OFFSHORE USD 2,63432666796091 - DIG_CP - ABRIL 26</v>
      </c>
      <c r="B18" s="9">
        <v>46113</v>
      </c>
      <c r="C18" s="4">
        <v>817395</v>
      </c>
      <c r="D18" s="11" t="s">
        <v>61</v>
      </c>
      <c r="E18" s="30">
        <f t="shared" si="2"/>
        <v>-13.141602015789813</v>
      </c>
      <c r="F18" s="4" t="s">
        <v>68</v>
      </c>
      <c r="G18" s="9">
        <f t="shared" si="1"/>
        <v>46113</v>
      </c>
      <c r="H18" s="4">
        <v>125520</v>
      </c>
      <c r="J18" s="13" t="s">
        <v>30</v>
      </c>
      <c r="K18" s="13" t="s">
        <v>74</v>
      </c>
      <c r="L18" s="14">
        <f t="shared" si="3"/>
        <v>13.141602015789813</v>
      </c>
      <c r="M18" s="15" t="s">
        <v>29</v>
      </c>
      <c r="N18" s="24" t="s">
        <v>87</v>
      </c>
      <c r="O18" s="24" t="s">
        <v>38</v>
      </c>
      <c r="P18" s="27">
        <v>1</v>
      </c>
      <c r="Q18" s="30">
        <v>2.6343266679609134</v>
      </c>
    </row>
    <row r="19" spans="1:17" x14ac:dyDescent="0.25">
      <c r="A19" s="4" t="str">
        <f t="shared" si="0"/>
        <v>CUSTO OFFSHORE USD  - KAPITALO_CP - ABRIL 26</v>
      </c>
      <c r="B19" s="9">
        <v>46113</v>
      </c>
      <c r="C19" s="4">
        <v>817395</v>
      </c>
      <c r="D19" s="11" t="s">
        <v>61</v>
      </c>
      <c r="E19" s="30">
        <f t="shared" si="2"/>
        <v>0</v>
      </c>
      <c r="F19" s="4" t="s">
        <v>68</v>
      </c>
      <c r="G19" s="9">
        <f t="shared" si="1"/>
        <v>46113</v>
      </c>
      <c r="H19" s="4">
        <v>12413</v>
      </c>
      <c r="J19" s="13" t="s">
        <v>30</v>
      </c>
      <c r="K19" s="13" t="s">
        <v>70</v>
      </c>
      <c r="L19" s="14">
        <f t="shared" si="3"/>
        <v>0</v>
      </c>
      <c r="M19" s="15" t="s">
        <v>29</v>
      </c>
      <c r="N19" s="24" t="s">
        <v>87</v>
      </c>
      <c r="O19" s="24" t="s">
        <v>38</v>
      </c>
      <c r="P19" s="27">
        <v>1</v>
      </c>
      <c r="Q19" s="30"/>
    </row>
    <row r="20" spans="1:17" x14ac:dyDescent="0.25">
      <c r="A20" s="4" t="str">
        <f t="shared" si="0"/>
        <v>CUSTO OFFSHORE USD  - SHARP_CP - ABRIL 26</v>
      </c>
      <c r="B20" s="9">
        <v>46113</v>
      </c>
      <c r="C20" s="4">
        <v>817395</v>
      </c>
      <c r="D20" s="11" t="s">
        <v>61</v>
      </c>
      <c r="E20" s="30">
        <f t="shared" si="2"/>
        <v>0</v>
      </c>
      <c r="F20" s="4" t="s">
        <v>68</v>
      </c>
      <c r="G20" s="9">
        <f t="shared" si="1"/>
        <v>46113</v>
      </c>
      <c r="H20" s="4">
        <v>80515</v>
      </c>
      <c r="J20" s="13" t="s">
        <v>30</v>
      </c>
      <c r="K20" s="13" t="s">
        <v>75</v>
      </c>
      <c r="L20" s="14">
        <f t="shared" si="3"/>
        <v>0</v>
      </c>
      <c r="M20" s="15" t="s">
        <v>29</v>
      </c>
      <c r="N20" s="24" t="s">
        <v>87</v>
      </c>
      <c r="O20" s="24" t="s">
        <v>38</v>
      </c>
      <c r="P20" s="27">
        <v>1</v>
      </c>
      <c r="Q20" s="30"/>
    </row>
    <row r="21" spans="1:17" x14ac:dyDescent="0.25">
      <c r="A21" s="4" t="str">
        <f t="shared" si="0"/>
        <v>CUSTO OFFSHORE USD 10,7542512209698 - TRUXT_CP - ABRIL 26</v>
      </c>
      <c r="B21" s="9">
        <v>46113</v>
      </c>
      <c r="C21" s="4">
        <v>817395</v>
      </c>
      <c r="D21" s="11" t="s">
        <v>61</v>
      </c>
      <c r="E21" s="30">
        <f t="shared" si="2"/>
        <v>-53.648657640930168</v>
      </c>
      <c r="F21" s="4" t="s">
        <v>68</v>
      </c>
      <c r="G21" s="9">
        <f t="shared" si="1"/>
        <v>46113</v>
      </c>
      <c r="H21" s="4">
        <v>12402</v>
      </c>
      <c r="J21" s="13" t="s">
        <v>30</v>
      </c>
      <c r="K21" s="13" t="s">
        <v>76</v>
      </c>
      <c r="L21" s="14">
        <f t="shared" si="3"/>
        <v>53.648657640930168</v>
      </c>
      <c r="M21" s="15" t="s">
        <v>29</v>
      </c>
      <c r="N21" s="24" t="s">
        <v>87</v>
      </c>
      <c r="O21" s="24" t="s">
        <v>38</v>
      </c>
      <c r="P21" s="27">
        <v>1</v>
      </c>
      <c r="Q21" s="30">
        <v>10.754251220969845</v>
      </c>
    </row>
    <row r="22" spans="1:17" x14ac:dyDescent="0.25">
      <c r="A22" s="4" t="str">
        <f t="shared" si="0"/>
        <v>CUSTO OFFSHORE USD  - VISTA_CP - ABRIL 26</v>
      </c>
      <c r="B22" s="9">
        <v>46113</v>
      </c>
      <c r="C22" s="4">
        <v>817395</v>
      </c>
      <c r="D22" s="11" t="s">
        <v>61</v>
      </c>
      <c r="E22" s="30">
        <f t="shared" si="2"/>
        <v>0</v>
      </c>
      <c r="F22" s="4" t="s">
        <v>68</v>
      </c>
      <c r="G22" s="9">
        <f t="shared" si="1"/>
        <v>46113</v>
      </c>
      <c r="H22" s="4">
        <v>80360</v>
      </c>
      <c r="J22" s="13" t="s">
        <v>30</v>
      </c>
      <c r="K22" s="13" t="s">
        <v>86</v>
      </c>
      <c r="L22" s="14">
        <f t="shared" si="3"/>
        <v>0</v>
      </c>
      <c r="M22" s="15" t="s">
        <v>29</v>
      </c>
      <c r="N22" s="24" t="s">
        <v>87</v>
      </c>
      <c r="O22" s="24" t="s">
        <v>38</v>
      </c>
      <c r="P22" s="27">
        <v>1</v>
      </c>
      <c r="Q22" s="30"/>
    </row>
    <row r="23" spans="1:17" x14ac:dyDescent="0.25">
      <c r="A23" s="4" t="str">
        <f t="shared" si="0"/>
        <v>CUSTO OFFSHORE USD  - ADAMGestao_MO - ABRIL 26</v>
      </c>
      <c r="B23" s="9">
        <v>46113</v>
      </c>
      <c r="C23" s="4">
        <v>817395</v>
      </c>
      <c r="D23" s="11" t="s">
        <v>12</v>
      </c>
      <c r="E23" s="30">
        <f t="shared" si="2"/>
        <v>0</v>
      </c>
      <c r="F23" s="4" t="s">
        <v>68</v>
      </c>
      <c r="G23" s="9">
        <f t="shared" si="1"/>
        <v>46113</v>
      </c>
      <c r="H23" s="4">
        <v>79973</v>
      </c>
      <c r="J23" s="13" t="s">
        <v>30</v>
      </c>
      <c r="K23" s="13" t="s">
        <v>77</v>
      </c>
      <c r="L23" s="14">
        <f t="shared" si="3"/>
        <v>0</v>
      </c>
      <c r="M23" s="15" t="s">
        <v>29</v>
      </c>
      <c r="N23" s="24" t="s">
        <v>87</v>
      </c>
      <c r="O23" s="24" t="s">
        <v>38</v>
      </c>
      <c r="P23" s="27">
        <v>1</v>
      </c>
      <c r="Q23" s="26"/>
    </row>
    <row r="24" spans="1:17" x14ac:dyDescent="0.25">
      <c r="A24" s="4" t="str">
        <f t="shared" si="0"/>
        <v>CUSTO OFFSHORE USD  - CITIGBL_MO - ABRIL 26</v>
      </c>
      <c r="B24" s="9">
        <v>46113</v>
      </c>
      <c r="C24" s="4">
        <v>817395</v>
      </c>
      <c r="D24" s="11" t="s">
        <v>12</v>
      </c>
      <c r="E24" s="30">
        <f t="shared" si="2"/>
        <v>0</v>
      </c>
      <c r="F24" s="4" t="s">
        <v>68</v>
      </c>
      <c r="G24" s="9">
        <f t="shared" si="1"/>
        <v>46113</v>
      </c>
      <c r="H24" s="4">
        <v>79791</v>
      </c>
      <c r="J24" s="13" t="s">
        <v>30</v>
      </c>
      <c r="K24" s="13" t="s">
        <v>48</v>
      </c>
      <c r="L24" s="14">
        <f t="shared" si="3"/>
        <v>0</v>
      </c>
      <c r="M24" s="15" t="s">
        <v>29</v>
      </c>
      <c r="N24" s="24" t="s">
        <v>87</v>
      </c>
      <c r="O24" s="24" t="s">
        <v>38</v>
      </c>
      <c r="P24" s="27">
        <v>0.5</v>
      </c>
      <c r="Q24" s="36"/>
    </row>
    <row r="25" spans="1:17" x14ac:dyDescent="0.25">
      <c r="A25" s="4" t="str">
        <f t="shared" si="0"/>
        <v>CUSTO OFFSHORE USD  - CITIGBL_MO - ABRIL 26</v>
      </c>
      <c r="B25" s="9">
        <v>46113</v>
      </c>
      <c r="C25" s="4">
        <v>817395</v>
      </c>
      <c r="D25" s="11" t="s">
        <v>45</v>
      </c>
      <c r="E25" s="30">
        <f t="shared" si="2"/>
        <v>0</v>
      </c>
      <c r="F25" s="4" t="s">
        <v>68</v>
      </c>
      <c r="G25" s="9">
        <f t="shared" si="1"/>
        <v>46113</v>
      </c>
      <c r="H25" s="4">
        <v>79791</v>
      </c>
      <c r="J25" s="13" t="s">
        <v>30</v>
      </c>
      <c r="K25" s="13" t="s">
        <v>48</v>
      </c>
      <c r="L25" s="14">
        <f t="shared" si="3"/>
        <v>0</v>
      </c>
      <c r="M25" s="15" t="s">
        <v>29</v>
      </c>
      <c r="N25" s="24" t="s">
        <v>87</v>
      </c>
      <c r="O25" s="24" t="s">
        <v>38</v>
      </c>
      <c r="P25" s="27">
        <v>0.5</v>
      </c>
      <c r="Q25" s="37"/>
    </row>
    <row r="26" spans="1:17" x14ac:dyDescent="0.25">
      <c r="A26" s="4" t="str">
        <f>CONCATENATE(J26,Q26,M26,K26,M26,N26)</f>
        <v>CUSTO OFFSHORE USD 1728,46 - KAPITALO - ABRIL 26</v>
      </c>
      <c r="B26" s="9">
        <v>46113</v>
      </c>
      <c r="C26" s="4">
        <v>817395</v>
      </c>
      <c r="D26" s="11" t="s">
        <v>12</v>
      </c>
      <c r="E26" s="30">
        <f t="shared" si="2"/>
        <v>-6466.9466670000002</v>
      </c>
      <c r="F26" s="4" t="s">
        <v>68</v>
      </c>
      <c r="G26" s="9">
        <f t="shared" si="1"/>
        <v>46113</v>
      </c>
      <c r="H26" s="4">
        <v>12413</v>
      </c>
      <c r="J26" s="13" t="s">
        <v>30</v>
      </c>
      <c r="K26" s="13" t="s">
        <v>26</v>
      </c>
      <c r="L26" s="14">
        <f>IF(O26="USD",Q26*$S$1)</f>
        <v>8622.5955560000002</v>
      </c>
      <c r="M26" s="15" t="s">
        <v>29</v>
      </c>
      <c r="N26" s="24" t="s">
        <v>87</v>
      </c>
      <c r="O26" s="24" t="s">
        <v>38</v>
      </c>
      <c r="P26" s="27">
        <v>0.75</v>
      </c>
      <c r="Q26" s="36">
        <v>1728.46</v>
      </c>
    </row>
    <row r="27" spans="1:17" x14ac:dyDescent="0.25">
      <c r="A27" s="4" t="str">
        <f>CONCATENATE(J27,Q27,M27,K27,M27,N27)</f>
        <v>CUSTO OFFSHORE USD 1728,46 - KAPITALO - ABRIL 26</v>
      </c>
      <c r="B27" s="9">
        <v>46113</v>
      </c>
      <c r="C27" s="4">
        <v>817395</v>
      </c>
      <c r="D27" s="11" t="s">
        <v>45</v>
      </c>
      <c r="E27" s="30">
        <f t="shared" si="2"/>
        <v>-2155.6488890000001</v>
      </c>
      <c r="F27" s="4" t="s">
        <v>68</v>
      </c>
      <c r="G27" s="9">
        <f t="shared" si="1"/>
        <v>46113</v>
      </c>
      <c r="H27" s="4">
        <v>12413</v>
      </c>
      <c r="J27" s="13" t="s">
        <v>30</v>
      </c>
      <c r="K27" s="13" t="s">
        <v>26</v>
      </c>
      <c r="L27" s="14">
        <f>IF(O27="USD",Q27*$S$1)</f>
        <v>8622.5955560000002</v>
      </c>
      <c r="M27" s="15" t="s">
        <v>29</v>
      </c>
      <c r="N27" s="24" t="s">
        <v>87</v>
      </c>
      <c r="O27" s="24" t="s">
        <v>38</v>
      </c>
      <c r="P27" s="27">
        <v>0.25</v>
      </c>
      <c r="Q27" s="36">
        <v>1728.46</v>
      </c>
    </row>
    <row r="28" spans="1:17" x14ac:dyDescent="0.25">
      <c r="A28" s="4" t="str">
        <f t="shared" ref="A28:A37" si="8">CONCATENATE(J28,Q28,M28,K28,M28,N28)</f>
        <v>CUSTO OFFSHORE USD 632,238400310619 - BRADESCO_BZL - ABRIL 26</v>
      </c>
      <c r="B28" s="9">
        <v>46113</v>
      </c>
      <c r="C28" s="4">
        <v>817395</v>
      </c>
      <c r="D28" s="11" t="s">
        <v>12</v>
      </c>
      <c r="E28" s="30">
        <f t="shared" si="2"/>
        <v>-2365.4883628421662</v>
      </c>
      <c r="F28" s="4" t="s">
        <v>68</v>
      </c>
      <c r="G28" s="9">
        <f t="shared" si="1"/>
        <v>46113</v>
      </c>
      <c r="H28" s="4">
        <v>16705</v>
      </c>
      <c r="J28" s="13" t="s">
        <v>30</v>
      </c>
      <c r="K28" s="13" t="s">
        <v>27</v>
      </c>
      <c r="L28" s="14">
        <f t="shared" ref="L28:L96" si="9">IF(O28="USD",Q28*$S$1)</f>
        <v>3153.9844837895548</v>
      </c>
      <c r="M28" s="15" t="s">
        <v>29</v>
      </c>
      <c r="N28" s="24" t="s">
        <v>87</v>
      </c>
      <c r="O28" s="24" t="s">
        <v>38</v>
      </c>
      <c r="P28" s="27">
        <v>0.75</v>
      </c>
      <c r="Q28" s="35">
        <v>632.23840031061923</v>
      </c>
    </row>
    <row r="29" spans="1:17" x14ac:dyDescent="0.25">
      <c r="A29" s="4" t="str">
        <f t="shared" si="8"/>
        <v>CUSTO OFFSHORE USD 632,238400310619 - BRADESCO_BZL - ABRIL 26</v>
      </c>
      <c r="B29" s="9">
        <v>46113</v>
      </c>
      <c r="C29" s="4">
        <v>817395</v>
      </c>
      <c r="D29" s="11" t="s">
        <v>45</v>
      </c>
      <c r="E29" s="30">
        <f t="shared" si="2"/>
        <v>-788.4961209473887</v>
      </c>
      <c r="F29" s="4" t="s">
        <v>68</v>
      </c>
      <c r="G29" s="9">
        <f t="shared" si="1"/>
        <v>46113</v>
      </c>
      <c r="H29" s="4">
        <v>16705</v>
      </c>
      <c r="J29" s="13" t="s">
        <v>30</v>
      </c>
      <c r="K29" s="13" t="s">
        <v>27</v>
      </c>
      <c r="L29" s="14">
        <f t="shared" si="9"/>
        <v>3153.9844837895548</v>
      </c>
      <c r="M29" s="15" t="s">
        <v>29</v>
      </c>
      <c r="N29" s="24" t="s">
        <v>87</v>
      </c>
      <c r="O29" s="24" t="s">
        <v>38</v>
      </c>
      <c r="P29" s="27">
        <v>0.25</v>
      </c>
      <c r="Q29" s="37">
        <v>632.23840031061923</v>
      </c>
    </row>
    <row r="30" spans="1:17" x14ac:dyDescent="0.25">
      <c r="A30" s="4" t="str">
        <f t="shared" si="8"/>
        <v>CUSTO OFFSHORE USD 632,238400310619 - BRADESCO_MO - ABRIL 26</v>
      </c>
      <c r="B30" s="9">
        <v>46113</v>
      </c>
      <c r="C30" s="4">
        <v>817395</v>
      </c>
      <c r="D30" s="11" t="s">
        <v>12</v>
      </c>
      <c r="E30" s="30">
        <f t="shared" si="2"/>
        <v>-2365.4883628421662</v>
      </c>
      <c r="F30" s="4" t="s">
        <v>68</v>
      </c>
      <c r="G30" s="9">
        <f t="shared" si="1"/>
        <v>46113</v>
      </c>
      <c r="H30" s="4">
        <v>16705</v>
      </c>
      <c r="J30" s="13" t="s">
        <v>30</v>
      </c>
      <c r="K30" s="13" t="s">
        <v>69</v>
      </c>
      <c r="L30" s="14">
        <f t="shared" si="9"/>
        <v>3153.9844837895548</v>
      </c>
      <c r="M30" s="15" t="s">
        <v>29</v>
      </c>
      <c r="N30" s="24" t="s">
        <v>87</v>
      </c>
      <c r="O30" s="24" t="s">
        <v>38</v>
      </c>
      <c r="P30" s="27">
        <v>0.75</v>
      </c>
      <c r="Q30" s="35">
        <v>632.23840031061923</v>
      </c>
    </row>
    <row r="31" spans="1:17" x14ac:dyDescent="0.25">
      <c r="A31" s="4" t="str">
        <f t="shared" si="8"/>
        <v>CUSTO OFFSHORE USD 632,238400310619 - BRADESCO_MO - ABRIL 26</v>
      </c>
      <c r="B31" s="9">
        <v>46113</v>
      </c>
      <c r="C31" s="4">
        <v>817395</v>
      </c>
      <c r="D31" s="11" t="s">
        <v>45</v>
      </c>
      <c r="E31" s="30">
        <f t="shared" si="2"/>
        <v>-788.4961209473887</v>
      </c>
      <c r="F31" s="4" t="s">
        <v>68</v>
      </c>
      <c r="G31" s="9">
        <f t="shared" si="1"/>
        <v>46113</v>
      </c>
      <c r="H31" s="4">
        <v>16705</v>
      </c>
      <c r="J31" s="13" t="s">
        <v>30</v>
      </c>
      <c r="K31" s="13" t="s">
        <v>69</v>
      </c>
      <c r="L31" s="14">
        <f t="shared" si="9"/>
        <v>3153.9844837895548</v>
      </c>
      <c r="M31" s="15" t="s">
        <v>29</v>
      </c>
      <c r="N31" s="24" t="s">
        <v>87</v>
      </c>
      <c r="O31" s="24" t="s">
        <v>38</v>
      </c>
      <c r="P31" s="27">
        <v>0.25</v>
      </c>
      <c r="Q31" s="37">
        <v>632.23840031061923</v>
      </c>
    </row>
    <row r="32" spans="1:17" x14ac:dyDescent="0.25">
      <c r="A32" s="4" t="str">
        <f t="shared" si="8"/>
        <v>CUSTO OFFSHORE USD  - BRAMBRAD_MO - ABRIL 26</v>
      </c>
      <c r="B32" s="9">
        <v>46113</v>
      </c>
      <c r="C32" s="4">
        <v>817395</v>
      </c>
      <c r="D32" s="11" t="s">
        <v>12</v>
      </c>
      <c r="E32" s="30">
        <f t="shared" si="2"/>
        <v>0</v>
      </c>
      <c r="F32" s="4" t="s">
        <v>68</v>
      </c>
      <c r="G32" s="9">
        <f t="shared" si="1"/>
        <v>46113</v>
      </c>
      <c r="H32" s="4">
        <v>16705</v>
      </c>
      <c r="J32" s="13" t="s">
        <v>30</v>
      </c>
      <c r="K32" s="13" t="s">
        <v>85</v>
      </c>
      <c r="L32" s="14">
        <f t="shared" si="9"/>
        <v>0</v>
      </c>
      <c r="M32" s="15" t="s">
        <v>29</v>
      </c>
      <c r="N32" s="24" t="s">
        <v>87</v>
      </c>
      <c r="O32" s="24" t="s">
        <v>38</v>
      </c>
      <c r="P32" s="27">
        <v>0.75</v>
      </c>
      <c r="Q32" s="35"/>
    </row>
    <row r="33" spans="1:17" x14ac:dyDescent="0.25">
      <c r="A33" s="4" t="str">
        <f t="shared" si="8"/>
        <v>CUSTO OFFSHORE USD  - BRAMBRAD_MO - ABRIL 26</v>
      </c>
      <c r="B33" s="9">
        <v>46113</v>
      </c>
      <c r="C33" s="4">
        <v>817395</v>
      </c>
      <c r="D33" s="11" t="s">
        <v>45</v>
      </c>
      <c r="E33" s="30">
        <f t="shared" si="2"/>
        <v>0</v>
      </c>
      <c r="F33" s="4" t="s">
        <v>68</v>
      </c>
      <c r="G33" s="9">
        <f t="shared" si="1"/>
        <v>46113</v>
      </c>
      <c r="H33" s="4">
        <v>16705</v>
      </c>
      <c r="J33" s="13" t="s">
        <v>30</v>
      </c>
      <c r="K33" s="13" t="s">
        <v>85</v>
      </c>
      <c r="L33" s="14">
        <f t="shared" si="9"/>
        <v>0</v>
      </c>
      <c r="M33" s="15" t="s">
        <v>29</v>
      </c>
      <c r="N33" s="24" t="s">
        <v>87</v>
      </c>
      <c r="O33" s="24" t="s">
        <v>38</v>
      </c>
      <c r="P33" s="27">
        <v>0.25</v>
      </c>
      <c r="Q33" s="37"/>
    </row>
    <row r="34" spans="1:17" x14ac:dyDescent="0.25">
      <c r="A34" s="4" t="str">
        <f t="shared" si="8"/>
        <v>CUSTO OFFSHORE USD 5149,06 - JPMPLC_MO - ABRIL 26</v>
      </c>
      <c r="B34" s="9">
        <v>46113</v>
      </c>
      <c r="C34" s="4">
        <v>817395</v>
      </c>
      <c r="D34" s="11" t="s">
        <v>12</v>
      </c>
      <c r="E34" s="30">
        <f t="shared" si="2"/>
        <v>-17125.256697357199</v>
      </c>
      <c r="F34" s="4" t="s">
        <v>68</v>
      </c>
      <c r="G34" s="9">
        <f t="shared" si="1"/>
        <v>46113</v>
      </c>
      <c r="H34" s="4">
        <v>81541</v>
      </c>
      <c r="J34" s="13" t="s">
        <v>30</v>
      </c>
      <c r="K34" s="13" t="s">
        <v>55</v>
      </c>
      <c r="L34" s="14">
        <f t="shared" si="9"/>
        <v>25686.600716000001</v>
      </c>
      <c r="M34" s="15" t="s">
        <v>29</v>
      </c>
      <c r="N34" s="24" t="s">
        <v>87</v>
      </c>
      <c r="O34" s="24" t="s">
        <v>38</v>
      </c>
      <c r="P34" s="27">
        <v>0.66669999999999996</v>
      </c>
      <c r="Q34" s="35">
        <v>5149.0600000000004</v>
      </c>
    </row>
    <row r="35" spans="1:17" x14ac:dyDescent="0.25">
      <c r="A35" s="4" t="str">
        <f t="shared" si="8"/>
        <v>CUSTO OFFSHORE USD 5149,06 - JPMPLC_MO - ABRIL 26</v>
      </c>
      <c r="B35" s="9">
        <v>46113</v>
      </c>
      <c r="C35" s="4">
        <v>817395</v>
      </c>
      <c r="D35" s="11" t="s">
        <v>45</v>
      </c>
      <c r="E35" s="30">
        <f t="shared" si="2"/>
        <v>-8561.3440186427997</v>
      </c>
      <c r="F35" s="4" t="s">
        <v>68</v>
      </c>
      <c r="G35" s="9">
        <f t="shared" si="1"/>
        <v>46113</v>
      </c>
      <c r="H35" s="4">
        <v>81541</v>
      </c>
      <c r="J35" s="13" t="s">
        <v>30</v>
      </c>
      <c r="K35" s="13" t="s">
        <v>55</v>
      </c>
      <c r="L35" s="14">
        <f t="shared" si="9"/>
        <v>25686.600716000001</v>
      </c>
      <c r="M35" s="15" t="s">
        <v>29</v>
      </c>
      <c r="N35" s="24" t="s">
        <v>87</v>
      </c>
      <c r="O35" s="24" t="s">
        <v>38</v>
      </c>
      <c r="P35" s="27">
        <v>0.33329999999999999</v>
      </c>
      <c r="Q35" s="37">
        <v>5149.0600000000004</v>
      </c>
    </row>
    <row r="36" spans="1:17" x14ac:dyDescent="0.25">
      <c r="A36" s="4" t="str">
        <f t="shared" si="8"/>
        <v>CUSTO OFFSHORE USD 7883,23 - SPX_MO - ABRIL 26</v>
      </c>
      <c r="B36" s="9">
        <v>46113</v>
      </c>
      <c r="C36" s="4">
        <v>817395</v>
      </c>
      <c r="D36" s="11" t="s">
        <v>12</v>
      </c>
      <c r="E36" s="30">
        <f t="shared" si="2"/>
        <v>-23595.768706799998</v>
      </c>
      <c r="F36" s="4" t="s">
        <v>68</v>
      </c>
      <c r="G36" s="9">
        <f t="shared" si="1"/>
        <v>46113</v>
      </c>
      <c r="H36" s="4">
        <v>79931</v>
      </c>
      <c r="J36" s="13" t="s">
        <v>30</v>
      </c>
      <c r="K36" s="13" t="s">
        <v>31</v>
      </c>
      <c r="L36" s="14">
        <f t="shared" si="9"/>
        <v>39326.281177999997</v>
      </c>
      <c r="M36" s="15" t="s">
        <v>29</v>
      </c>
      <c r="N36" s="24" t="s">
        <v>87</v>
      </c>
      <c r="O36" s="24" t="s">
        <v>38</v>
      </c>
      <c r="P36" s="27">
        <v>0.6</v>
      </c>
      <c r="Q36" s="35">
        <v>7883.23</v>
      </c>
    </row>
    <row r="37" spans="1:17" x14ac:dyDescent="0.25">
      <c r="A37" s="17" t="str">
        <f t="shared" si="8"/>
        <v>CUSTO OFFSHORE USD 7883,23 - SPX_MO - ABRIL 26</v>
      </c>
      <c r="B37" s="18">
        <v>46113</v>
      </c>
      <c r="C37" s="17">
        <v>817395</v>
      </c>
      <c r="D37" s="23" t="s">
        <v>45</v>
      </c>
      <c r="E37" s="26">
        <f t="shared" si="2"/>
        <v>-15730.5124712</v>
      </c>
      <c r="F37" s="17" t="s">
        <v>68</v>
      </c>
      <c r="G37" s="18">
        <f t="shared" si="1"/>
        <v>46113</v>
      </c>
      <c r="H37" s="17">
        <v>79931</v>
      </c>
      <c r="J37" s="20" t="s">
        <v>30</v>
      </c>
      <c r="K37" s="20" t="s">
        <v>31</v>
      </c>
      <c r="L37" s="33">
        <f t="shared" si="9"/>
        <v>39326.281177999997</v>
      </c>
      <c r="M37" s="21" t="s">
        <v>29</v>
      </c>
      <c r="N37" s="25" t="s">
        <v>87</v>
      </c>
      <c r="O37" s="25" t="s">
        <v>38</v>
      </c>
      <c r="P37" s="22">
        <v>0.4</v>
      </c>
      <c r="Q37" s="37">
        <v>7883.23</v>
      </c>
    </row>
    <row r="38" spans="1:17" x14ac:dyDescent="0.25">
      <c r="A38" s="4" t="str">
        <f t="shared" si="0"/>
        <v>CUSTO OFFSHORE USD  - VINLAND  - ABRIL 26</v>
      </c>
      <c r="B38" s="9">
        <v>46113</v>
      </c>
      <c r="C38" s="4">
        <v>817395</v>
      </c>
      <c r="D38" s="11" t="s">
        <v>47</v>
      </c>
      <c r="E38" s="10">
        <f t="shared" si="2"/>
        <v>0</v>
      </c>
      <c r="F38" s="4" t="s">
        <v>19</v>
      </c>
      <c r="G38" s="9">
        <f t="shared" si="1"/>
        <v>46113</v>
      </c>
      <c r="H38" s="4">
        <v>80359</v>
      </c>
      <c r="J38" s="13" t="s">
        <v>30</v>
      </c>
      <c r="K38" s="13" t="s">
        <v>20</v>
      </c>
      <c r="L38" s="14">
        <f t="shared" si="9"/>
        <v>0</v>
      </c>
      <c r="M38" s="15" t="s">
        <v>29</v>
      </c>
      <c r="N38" s="24" t="s">
        <v>87</v>
      </c>
      <c r="O38" s="24" t="s">
        <v>38</v>
      </c>
      <c r="P38" s="16">
        <v>1</v>
      </c>
      <c r="Q38" s="30"/>
    </row>
    <row r="39" spans="1:17" x14ac:dyDescent="0.25">
      <c r="A39" s="4" t="str">
        <f t="shared" si="0"/>
        <v>CUSTO OFFSHORE USD 22,3 - SCHONFELD_MO - ABRIL 26</v>
      </c>
      <c r="B39" s="9">
        <v>46113</v>
      </c>
      <c r="C39" s="4">
        <v>817395</v>
      </c>
      <c r="D39" s="11" t="s">
        <v>47</v>
      </c>
      <c r="E39" s="30">
        <f t="shared" si="2"/>
        <v>-111.24578</v>
      </c>
      <c r="F39" s="4" t="s">
        <v>19</v>
      </c>
      <c r="G39" s="9">
        <f t="shared" si="1"/>
        <v>46113</v>
      </c>
      <c r="H39" s="4">
        <v>83061</v>
      </c>
      <c r="J39" s="13" t="s">
        <v>30</v>
      </c>
      <c r="K39" s="13" t="s">
        <v>59</v>
      </c>
      <c r="L39" s="14">
        <f t="shared" si="9"/>
        <v>111.24578</v>
      </c>
      <c r="M39" s="15" t="s">
        <v>29</v>
      </c>
      <c r="N39" s="24" t="s">
        <v>87</v>
      </c>
      <c r="O39" s="24" t="s">
        <v>38</v>
      </c>
      <c r="P39" s="27">
        <v>1</v>
      </c>
      <c r="Q39" s="30">
        <v>22.3</v>
      </c>
    </row>
    <row r="40" spans="1:17" x14ac:dyDescent="0.25">
      <c r="A40" s="4" t="str">
        <f t="shared" si="0"/>
        <v>CUSTO OFFSHORE USD -349,487260563742 - GOLDMAN SACHS IL - BRAS - ABRIL 26</v>
      </c>
      <c r="B40" s="9">
        <v>46113</v>
      </c>
      <c r="C40" s="4">
        <v>817395</v>
      </c>
      <c r="D40" s="11" t="s">
        <v>12</v>
      </c>
      <c r="E40" s="10">
        <f t="shared" si="2"/>
        <v>1743.4521480482833</v>
      </c>
      <c r="F40" s="4" t="s">
        <v>19</v>
      </c>
      <c r="G40" s="9">
        <f t="shared" si="1"/>
        <v>46113</v>
      </c>
      <c r="H40" s="4">
        <v>79791</v>
      </c>
      <c r="J40" s="13" t="s">
        <v>30</v>
      </c>
      <c r="K40" s="13" t="s">
        <v>24</v>
      </c>
      <c r="L40" s="14">
        <f t="shared" si="9"/>
        <v>-1743.4521480482833</v>
      </c>
      <c r="M40" s="15" t="s">
        <v>29</v>
      </c>
      <c r="N40" s="24" t="s">
        <v>87</v>
      </c>
      <c r="O40" s="24" t="s">
        <v>38</v>
      </c>
      <c r="P40" s="16">
        <v>1</v>
      </c>
      <c r="Q40" s="30">
        <v>-349.48726056374198</v>
      </c>
    </row>
    <row r="41" spans="1:17" x14ac:dyDescent="0.25">
      <c r="A41" s="4" t="str">
        <f t="shared" si="0"/>
        <v>CUSTO OFFSHORE USD -36,0446653469633 - ITAÚ - NASSAU - ABRIL 26</v>
      </c>
      <c r="B41" s="9">
        <v>46113</v>
      </c>
      <c r="C41" s="4">
        <v>817395</v>
      </c>
      <c r="D41" s="11" t="s">
        <v>12</v>
      </c>
      <c r="E41" s="30">
        <f t="shared" si="2"/>
        <v>179.81241754986129</v>
      </c>
      <c r="F41" s="4" t="s">
        <v>19</v>
      </c>
      <c r="G41" s="9">
        <f t="shared" si="1"/>
        <v>46113</v>
      </c>
      <c r="H41" s="4">
        <v>79460</v>
      </c>
      <c r="J41" s="13" t="s">
        <v>30</v>
      </c>
      <c r="K41" s="13" t="s">
        <v>18</v>
      </c>
      <c r="L41" s="14">
        <f t="shared" si="9"/>
        <v>-179.81241754986129</v>
      </c>
      <c r="M41" s="15" t="s">
        <v>29</v>
      </c>
      <c r="N41" s="24" t="s">
        <v>87</v>
      </c>
      <c r="O41" s="24" t="s">
        <v>38</v>
      </c>
      <c r="P41" s="16">
        <v>1</v>
      </c>
      <c r="Q41" s="12">
        <v>-36.044665346963335</v>
      </c>
    </row>
    <row r="42" spans="1:17" x14ac:dyDescent="0.25">
      <c r="A42" s="4" t="str">
        <f t="shared" si="0"/>
        <v>CUSTO OFFSHORE USD  - SPX_MO - ABRIL 26</v>
      </c>
      <c r="B42" s="9">
        <v>46113</v>
      </c>
      <c r="C42" s="4">
        <v>817395</v>
      </c>
      <c r="D42" s="11" t="s">
        <v>12</v>
      </c>
      <c r="E42" s="30">
        <f t="shared" si="2"/>
        <v>0</v>
      </c>
      <c r="F42" s="4" t="s">
        <v>19</v>
      </c>
      <c r="G42" s="9">
        <f t="shared" si="1"/>
        <v>46113</v>
      </c>
      <c r="H42" s="4">
        <v>79931</v>
      </c>
      <c r="J42" s="13" t="s">
        <v>30</v>
      </c>
      <c r="K42" s="13" t="s">
        <v>31</v>
      </c>
      <c r="L42" s="14">
        <f t="shared" si="9"/>
        <v>0</v>
      </c>
      <c r="M42" s="15" t="s">
        <v>29</v>
      </c>
      <c r="N42" s="24" t="s">
        <v>87</v>
      </c>
      <c r="O42" s="24" t="s">
        <v>38</v>
      </c>
      <c r="P42" s="27">
        <v>0.6</v>
      </c>
      <c r="Q42" s="35"/>
    </row>
    <row r="43" spans="1:17" x14ac:dyDescent="0.25">
      <c r="A43" s="4" t="str">
        <f t="shared" si="0"/>
        <v>CUSTO OFFSHORE USD  - SPX_MO - ABRIL 26</v>
      </c>
      <c r="B43" s="9">
        <v>46113</v>
      </c>
      <c r="C43" s="4">
        <v>817395</v>
      </c>
      <c r="D43" s="11" t="s">
        <v>45</v>
      </c>
      <c r="E43" s="30">
        <f t="shared" si="2"/>
        <v>0</v>
      </c>
      <c r="F43" s="4" t="s">
        <v>19</v>
      </c>
      <c r="G43" s="9">
        <f t="shared" si="1"/>
        <v>46113</v>
      </c>
      <c r="H43" s="4">
        <v>79931</v>
      </c>
      <c r="J43" s="13" t="s">
        <v>30</v>
      </c>
      <c r="K43" s="13" t="s">
        <v>31</v>
      </c>
      <c r="L43" s="14">
        <f t="shared" si="9"/>
        <v>0</v>
      </c>
      <c r="M43" s="15" t="s">
        <v>29</v>
      </c>
      <c r="N43" s="24" t="s">
        <v>87</v>
      </c>
      <c r="O43" s="24" t="s">
        <v>38</v>
      </c>
      <c r="P43" s="27">
        <v>0.4</v>
      </c>
      <c r="Q43" s="37"/>
    </row>
    <row r="44" spans="1:17" x14ac:dyDescent="0.25">
      <c r="A44" s="4" t="str">
        <f t="shared" si="0"/>
        <v>CUSTO OFFSHORE USD  - CITIGBL_MO - ABRIL 26</v>
      </c>
      <c r="B44" s="9">
        <v>46113</v>
      </c>
      <c r="C44" s="4">
        <v>817395</v>
      </c>
      <c r="D44" s="11" t="s">
        <v>12</v>
      </c>
      <c r="E44" s="30">
        <f t="shared" si="2"/>
        <v>0</v>
      </c>
      <c r="F44" s="4" t="s">
        <v>19</v>
      </c>
      <c r="G44" s="9">
        <f t="shared" si="1"/>
        <v>46113</v>
      </c>
      <c r="H44" s="4">
        <v>79791</v>
      </c>
      <c r="J44" s="13" t="s">
        <v>30</v>
      </c>
      <c r="K44" s="13" t="s">
        <v>48</v>
      </c>
      <c r="L44" s="14">
        <f t="shared" si="9"/>
        <v>0</v>
      </c>
      <c r="M44" s="15" t="s">
        <v>29</v>
      </c>
      <c r="N44" s="24" t="s">
        <v>87</v>
      </c>
      <c r="O44" s="24" t="s">
        <v>38</v>
      </c>
      <c r="P44" s="27">
        <v>0.5</v>
      </c>
      <c r="Q44" s="35"/>
    </row>
    <row r="45" spans="1:17" x14ac:dyDescent="0.25">
      <c r="A45" s="4" t="str">
        <f t="shared" si="0"/>
        <v>CUSTO OFFSHORE USD  - CITIGBL_MO - ABRIL 26</v>
      </c>
      <c r="B45" s="9">
        <v>46113</v>
      </c>
      <c r="C45" s="4">
        <v>817395</v>
      </c>
      <c r="D45" s="11" t="s">
        <v>45</v>
      </c>
      <c r="E45" s="30">
        <f t="shared" si="2"/>
        <v>0</v>
      </c>
      <c r="F45" s="4" t="s">
        <v>19</v>
      </c>
      <c r="G45" s="9">
        <f t="shared" si="1"/>
        <v>46113</v>
      </c>
      <c r="H45" s="4">
        <v>79791</v>
      </c>
      <c r="J45" s="13" t="s">
        <v>30</v>
      </c>
      <c r="K45" s="13" t="s">
        <v>48</v>
      </c>
      <c r="L45" s="14">
        <f t="shared" si="9"/>
        <v>0</v>
      </c>
      <c r="M45" s="15" t="s">
        <v>29</v>
      </c>
      <c r="N45" s="24" t="s">
        <v>87</v>
      </c>
      <c r="O45" s="24" t="s">
        <v>38</v>
      </c>
      <c r="P45" s="27">
        <v>0.5</v>
      </c>
      <c r="Q45" s="37"/>
    </row>
    <row r="46" spans="1:17" x14ac:dyDescent="0.25">
      <c r="A46" s="4" t="str">
        <f t="shared" si="0"/>
        <v>CUSTO OFFSHORE USD -7,61174670502245 - ASSET1 - ABRIL 26</v>
      </c>
      <c r="B46" s="9">
        <v>46113</v>
      </c>
      <c r="C46" s="4">
        <v>817395</v>
      </c>
      <c r="D46" s="11" t="s">
        <v>12</v>
      </c>
      <c r="E46" s="30">
        <f>-L46*P46</f>
        <v>12.659851334865849</v>
      </c>
      <c r="F46" s="4" t="s">
        <v>19</v>
      </c>
      <c r="G46" s="9">
        <f t="shared" si="1"/>
        <v>46113</v>
      </c>
      <c r="H46" s="4">
        <v>80834</v>
      </c>
      <c r="J46" s="13" t="s">
        <v>30</v>
      </c>
      <c r="K46" s="13" t="s">
        <v>14</v>
      </c>
      <c r="L46" s="14">
        <f>IF(O46="USD",Q46*$S$1)</f>
        <v>-37.971959612675015</v>
      </c>
      <c r="M46" s="15" t="s">
        <v>29</v>
      </c>
      <c r="N46" s="24" t="s">
        <v>87</v>
      </c>
      <c r="O46" s="24" t="s">
        <v>38</v>
      </c>
      <c r="P46" s="16">
        <v>0.33339999999999997</v>
      </c>
      <c r="Q46" s="35">
        <v>-7.6117467050224548</v>
      </c>
    </row>
    <row r="47" spans="1:17" x14ac:dyDescent="0.25">
      <c r="A47" s="4" t="str">
        <f t="shared" si="0"/>
        <v>CUSTO OFFSHORE USD -7,61174670502245 - ASSET1 - ABRIL 26</v>
      </c>
      <c r="B47" s="9">
        <v>46113</v>
      </c>
      <c r="C47" s="4">
        <v>817395</v>
      </c>
      <c r="D47" s="11" t="s">
        <v>45</v>
      </c>
      <c r="E47" s="30">
        <f t="shared" ref="E47:E52" si="10">-L47*P47</f>
        <v>12.656054138904581</v>
      </c>
      <c r="F47" s="4" t="s">
        <v>19</v>
      </c>
      <c r="G47" s="9">
        <f t="shared" si="1"/>
        <v>46113</v>
      </c>
      <c r="H47" s="4">
        <v>80834</v>
      </c>
      <c r="J47" s="13" t="s">
        <v>30</v>
      </c>
      <c r="K47" s="13" t="s">
        <v>14</v>
      </c>
      <c r="L47" s="14">
        <f t="shared" ref="L47:L50" si="11">IF(O47="USD",Q47*$S$1)</f>
        <v>-37.971959612675015</v>
      </c>
      <c r="M47" s="15" t="s">
        <v>29</v>
      </c>
      <c r="N47" s="24" t="s">
        <v>87</v>
      </c>
      <c r="O47" s="24" t="s">
        <v>38</v>
      </c>
      <c r="P47" s="16">
        <v>0.33329999999999999</v>
      </c>
      <c r="Q47" s="36">
        <v>-7.6117467050224548</v>
      </c>
    </row>
    <row r="48" spans="1:17" x14ac:dyDescent="0.25">
      <c r="A48" s="4" t="str">
        <f t="shared" si="0"/>
        <v>CUSTO OFFSHORE USD -7,61174670502245 - ASSET1 - ABRIL 26</v>
      </c>
      <c r="B48" s="9">
        <v>46113</v>
      </c>
      <c r="C48" s="4">
        <v>817395</v>
      </c>
      <c r="D48" s="11" t="s">
        <v>46</v>
      </c>
      <c r="E48" s="30">
        <f t="shared" si="10"/>
        <v>12.656054138904581</v>
      </c>
      <c r="F48" s="4" t="s">
        <v>19</v>
      </c>
      <c r="G48" s="9">
        <f t="shared" si="1"/>
        <v>46113</v>
      </c>
      <c r="H48" s="4">
        <v>80834</v>
      </c>
      <c r="J48" s="13" t="s">
        <v>30</v>
      </c>
      <c r="K48" s="13" t="s">
        <v>14</v>
      </c>
      <c r="L48" s="14">
        <f t="shared" si="11"/>
        <v>-37.971959612675015</v>
      </c>
      <c r="M48" s="15" t="s">
        <v>29</v>
      </c>
      <c r="N48" s="24" t="s">
        <v>87</v>
      </c>
      <c r="O48" s="24" t="s">
        <v>38</v>
      </c>
      <c r="P48" s="16">
        <v>0.33329999999999999</v>
      </c>
      <c r="Q48" s="37">
        <v>-7.6117467050224548</v>
      </c>
    </row>
    <row r="49" spans="1:17" x14ac:dyDescent="0.25">
      <c r="A49" s="4" t="str">
        <f t="shared" si="0"/>
        <v>CUSTO OFFSHORE USD -249,908867819297 - BRADESCO_BZL - ABRIL 26</v>
      </c>
      <c r="B49" s="9">
        <v>46113</v>
      </c>
      <c r="C49" s="4">
        <v>817395</v>
      </c>
      <c r="D49" s="11" t="s">
        <v>12</v>
      </c>
      <c r="E49" s="30">
        <f t="shared" si="10"/>
        <v>935.02153350250978</v>
      </c>
      <c r="F49" s="4" t="s">
        <v>19</v>
      </c>
      <c r="G49" s="9">
        <f t="shared" ref="G49:G50" si="12">B49</f>
        <v>46113</v>
      </c>
      <c r="H49" s="4">
        <v>16705</v>
      </c>
      <c r="J49" s="13" t="s">
        <v>30</v>
      </c>
      <c r="K49" s="13" t="s">
        <v>27</v>
      </c>
      <c r="L49" s="14">
        <f t="shared" si="11"/>
        <v>-1246.6953780033464</v>
      </c>
      <c r="M49" s="15" t="s">
        <v>29</v>
      </c>
      <c r="N49" s="24" t="s">
        <v>87</v>
      </c>
      <c r="O49" s="24" t="s">
        <v>38</v>
      </c>
      <c r="P49" s="27">
        <v>0.75</v>
      </c>
      <c r="Q49" s="35">
        <v>-249.90886781929726</v>
      </c>
    </row>
    <row r="50" spans="1:17" x14ac:dyDescent="0.25">
      <c r="A50" s="4" t="str">
        <f t="shared" si="0"/>
        <v>CUSTO OFFSHORE USD -249,908867819297 - BRADESCO_BZL - ABRIL 26</v>
      </c>
      <c r="B50" s="9">
        <v>46113</v>
      </c>
      <c r="C50" s="4">
        <v>817395</v>
      </c>
      <c r="D50" s="11" t="s">
        <v>45</v>
      </c>
      <c r="E50" s="30">
        <f t="shared" si="10"/>
        <v>311.67384450083659</v>
      </c>
      <c r="F50" s="4" t="s">
        <v>19</v>
      </c>
      <c r="G50" s="9">
        <f t="shared" si="12"/>
        <v>46113</v>
      </c>
      <c r="H50" s="4">
        <v>16705</v>
      </c>
      <c r="J50" s="13" t="s">
        <v>30</v>
      </c>
      <c r="K50" s="13" t="s">
        <v>27</v>
      </c>
      <c r="L50" s="14">
        <f t="shared" si="11"/>
        <v>-1246.6953780033464</v>
      </c>
      <c r="M50" s="15" t="s">
        <v>29</v>
      </c>
      <c r="N50" s="24" t="s">
        <v>87</v>
      </c>
      <c r="O50" s="24" t="s">
        <v>38</v>
      </c>
      <c r="P50" s="27">
        <v>0.25</v>
      </c>
      <c r="Q50" s="37">
        <v>-249.90886781929726</v>
      </c>
    </row>
    <row r="51" spans="1:17" x14ac:dyDescent="0.25">
      <c r="A51" s="4" t="str">
        <f>CONCATENATE(J51,Q51,M51,K51,M51,N51)</f>
        <v>CUSTO OFFSHORE USD  - KAPITALO - ABRIL 26</v>
      </c>
      <c r="B51" s="9">
        <v>46113</v>
      </c>
      <c r="C51" s="4">
        <v>817395</v>
      </c>
      <c r="D51" s="11" t="s">
        <v>12</v>
      </c>
      <c r="E51" s="30">
        <f t="shared" si="10"/>
        <v>0</v>
      </c>
      <c r="F51" s="4" t="s">
        <v>19</v>
      </c>
      <c r="G51" s="9">
        <f t="shared" si="1"/>
        <v>46113</v>
      </c>
      <c r="H51" s="4">
        <v>12413</v>
      </c>
      <c r="J51" s="13" t="s">
        <v>30</v>
      </c>
      <c r="K51" s="13" t="s">
        <v>26</v>
      </c>
      <c r="L51" s="14">
        <f>IF(O51="USD",Q51*$S$1)</f>
        <v>0</v>
      </c>
      <c r="M51" s="15" t="s">
        <v>29</v>
      </c>
      <c r="N51" s="24" t="s">
        <v>87</v>
      </c>
      <c r="O51" s="24" t="s">
        <v>38</v>
      </c>
      <c r="P51" s="27">
        <v>0.75</v>
      </c>
      <c r="Q51" s="36"/>
    </row>
    <row r="52" spans="1:17" x14ac:dyDescent="0.25">
      <c r="A52" s="4" t="str">
        <f>CONCATENATE(J52,Q52,M52,K52,M52,N52)</f>
        <v>CUSTO OFFSHORE USD  - KAPITALO - ABRIL 26</v>
      </c>
      <c r="B52" s="9">
        <v>46113</v>
      </c>
      <c r="C52" s="4">
        <v>817395</v>
      </c>
      <c r="D52" s="11" t="s">
        <v>45</v>
      </c>
      <c r="E52" s="30">
        <f t="shared" si="10"/>
        <v>0</v>
      </c>
      <c r="F52" s="4" t="s">
        <v>19</v>
      </c>
      <c r="G52" s="9">
        <f t="shared" si="1"/>
        <v>46113</v>
      </c>
      <c r="H52" s="4">
        <v>12413</v>
      </c>
      <c r="J52" s="13" t="s">
        <v>30</v>
      </c>
      <c r="K52" s="13" t="s">
        <v>26</v>
      </c>
      <c r="L52" s="14">
        <f>IF(O52="USD",Q52*$S$1)</f>
        <v>0</v>
      </c>
      <c r="M52" s="15" t="s">
        <v>29</v>
      </c>
      <c r="N52" s="24" t="s">
        <v>87</v>
      </c>
      <c r="O52" s="24" t="s">
        <v>38</v>
      </c>
      <c r="P52" s="27">
        <v>0.25</v>
      </c>
      <c r="Q52" s="36"/>
    </row>
    <row r="53" spans="1:17" x14ac:dyDescent="0.25">
      <c r="A53" s="4" t="str">
        <f t="shared" si="0"/>
        <v>CUSTO OFFSHORE USD -47,1928295711392 - SPRINGS_MO - ABRIL 26</v>
      </c>
      <c r="B53" s="9">
        <v>46113</v>
      </c>
      <c r="C53" s="4">
        <v>817395</v>
      </c>
      <c r="D53" s="11" t="s">
        <v>12</v>
      </c>
      <c r="E53" s="28">
        <f t="shared" si="2"/>
        <v>156.93507132241683</v>
      </c>
      <c r="F53" s="4" t="s">
        <v>19</v>
      </c>
      <c r="G53" s="9">
        <f t="shared" si="1"/>
        <v>46113</v>
      </c>
      <c r="H53" s="4">
        <v>82748</v>
      </c>
      <c r="J53" s="13" t="s">
        <v>30</v>
      </c>
      <c r="K53" s="13" t="s">
        <v>56</v>
      </c>
      <c r="L53" s="14">
        <f t="shared" si="9"/>
        <v>-235.42614959858511</v>
      </c>
      <c r="M53" s="15" t="s">
        <v>29</v>
      </c>
      <c r="N53" s="24" t="s">
        <v>87</v>
      </c>
      <c r="O53" s="24" t="s">
        <v>38</v>
      </c>
      <c r="P53" s="27">
        <v>0.66659999999999997</v>
      </c>
      <c r="Q53" s="35">
        <v>-47.192829571139221</v>
      </c>
    </row>
    <row r="54" spans="1:17" x14ac:dyDescent="0.25">
      <c r="A54" s="4" t="str">
        <f t="shared" si="0"/>
        <v>CUSTO OFFSHORE USD -47,1928295711392 - SPRINGS_MO - ABRIL 26</v>
      </c>
      <c r="B54" s="9">
        <v>46113</v>
      </c>
      <c r="C54" s="4">
        <v>817395</v>
      </c>
      <c r="D54" s="11" t="s">
        <v>45</v>
      </c>
      <c r="E54" s="28">
        <f t="shared" si="2"/>
        <v>78.467535661208416</v>
      </c>
      <c r="F54" s="4" t="s">
        <v>19</v>
      </c>
      <c r="G54" s="9">
        <f t="shared" si="1"/>
        <v>46113</v>
      </c>
      <c r="H54" s="4">
        <v>82748</v>
      </c>
      <c r="J54" s="13" t="s">
        <v>30</v>
      </c>
      <c r="K54" s="13" t="s">
        <v>56</v>
      </c>
      <c r="L54" s="14">
        <f t="shared" si="9"/>
        <v>-235.42614959858511</v>
      </c>
      <c r="M54" s="15" t="s">
        <v>29</v>
      </c>
      <c r="N54" s="24" t="s">
        <v>87</v>
      </c>
      <c r="O54" s="24" t="s">
        <v>38</v>
      </c>
      <c r="P54" s="27">
        <v>0.33329999999999999</v>
      </c>
      <c r="Q54" s="37">
        <v>-47.192829571139221</v>
      </c>
    </row>
    <row r="55" spans="1:17" x14ac:dyDescent="0.25">
      <c r="A55" s="4" t="str">
        <f t="shared" si="0"/>
        <v>CUSTO OFFSHORE USD  - BRADESCO_MO - ABRIL 26</v>
      </c>
      <c r="B55" s="9">
        <v>46113</v>
      </c>
      <c r="C55" s="4">
        <v>817395</v>
      </c>
      <c r="D55" s="11" t="s">
        <v>12</v>
      </c>
      <c r="E55" s="28">
        <f t="shared" si="2"/>
        <v>0</v>
      </c>
      <c r="F55" s="4" t="s">
        <v>19</v>
      </c>
      <c r="G55" s="9">
        <f t="shared" si="1"/>
        <v>46113</v>
      </c>
      <c r="H55" s="4">
        <v>16705</v>
      </c>
      <c r="J55" s="13" t="s">
        <v>30</v>
      </c>
      <c r="K55" s="13" t="s">
        <v>69</v>
      </c>
      <c r="L55" s="14">
        <f t="shared" si="9"/>
        <v>0</v>
      </c>
      <c r="M55" s="15" t="s">
        <v>29</v>
      </c>
      <c r="N55" s="24" t="s">
        <v>87</v>
      </c>
      <c r="O55" s="24" t="s">
        <v>38</v>
      </c>
      <c r="P55" s="27">
        <v>0.75</v>
      </c>
      <c r="Q55" s="35"/>
    </row>
    <row r="56" spans="1:17" x14ac:dyDescent="0.25">
      <c r="A56" s="4" t="str">
        <f>CONCATENATE(J56,Q56,M56,K56,M56,N56)</f>
        <v>CUSTO OFFSHORE USD  - BRADESCO_MO - ABRIL 26</v>
      </c>
      <c r="B56" s="9">
        <v>46113</v>
      </c>
      <c r="C56" s="4">
        <v>817395</v>
      </c>
      <c r="D56" s="11" t="s">
        <v>45</v>
      </c>
      <c r="E56" s="28">
        <f t="shared" si="2"/>
        <v>0</v>
      </c>
      <c r="F56" s="4" t="s">
        <v>19</v>
      </c>
      <c r="G56" s="9">
        <f t="shared" si="1"/>
        <v>46113</v>
      </c>
      <c r="H56" s="4">
        <v>16705</v>
      </c>
      <c r="J56" s="13" t="s">
        <v>30</v>
      </c>
      <c r="K56" s="13" t="s">
        <v>69</v>
      </c>
      <c r="L56" s="14">
        <f>IF(O56="USD",Q56*$S$1)</f>
        <v>0</v>
      </c>
      <c r="M56" s="15" t="s">
        <v>29</v>
      </c>
      <c r="N56" s="24" t="s">
        <v>87</v>
      </c>
      <c r="O56" s="24" t="s">
        <v>38</v>
      </c>
      <c r="P56" s="27">
        <v>0.25</v>
      </c>
      <c r="Q56" s="37"/>
    </row>
    <row r="57" spans="1:17" x14ac:dyDescent="0.25">
      <c r="A57" s="4" t="str">
        <f>CONCATENATE(J57,Q57,M57,K57,M57,N57)</f>
        <v>CUSTO OFFSHORE USD -139,544629993836 - RPS - ABRIL 26</v>
      </c>
      <c r="B57" s="9">
        <v>46113</v>
      </c>
      <c r="C57" s="4">
        <v>817395</v>
      </c>
      <c r="D57" s="11" t="s">
        <v>45</v>
      </c>
      <c r="E57" s="10">
        <f t="shared" si="2"/>
        <v>348.06617059362429</v>
      </c>
      <c r="F57" s="4" t="s">
        <v>19</v>
      </c>
      <c r="G57" s="9">
        <f t="shared" si="1"/>
        <v>46113</v>
      </c>
      <c r="H57" s="4">
        <v>12339</v>
      </c>
      <c r="J57" s="13" t="s">
        <v>30</v>
      </c>
      <c r="K57" s="13" t="s">
        <v>16</v>
      </c>
      <c r="L57" s="14">
        <f>IF(O57="USD",Q57*$S$1)</f>
        <v>-696.13234118724858</v>
      </c>
      <c r="M57" s="15" t="s">
        <v>29</v>
      </c>
      <c r="N57" s="24" t="s">
        <v>87</v>
      </c>
      <c r="O57" s="24" t="s">
        <v>38</v>
      </c>
      <c r="P57" s="16">
        <v>0.5</v>
      </c>
      <c r="Q57" s="35">
        <v>-139.54462999383566</v>
      </c>
    </row>
    <row r="58" spans="1:17" x14ac:dyDescent="0.25">
      <c r="A58" s="17" t="str">
        <f>CONCATENATE(J58,Q58,M58,K58,M58,N58)</f>
        <v>CUSTO OFFSHORE USD -139,544629993836 - RPS - ABRIL 26</v>
      </c>
      <c r="B58" s="18">
        <v>46113</v>
      </c>
      <c r="C58" s="17">
        <v>817395</v>
      </c>
      <c r="D58" s="23" t="s">
        <v>12</v>
      </c>
      <c r="E58" s="19">
        <f t="shared" si="2"/>
        <v>348.06617059362429</v>
      </c>
      <c r="F58" s="17" t="s">
        <v>19</v>
      </c>
      <c r="G58" s="18">
        <f t="shared" si="1"/>
        <v>46113</v>
      </c>
      <c r="H58" s="17">
        <v>12339</v>
      </c>
      <c r="J58" s="20" t="s">
        <v>30</v>
      </c>
      <c r="K58" s="20" t="s">
        <v>16</v>
      </c>
      <c r="L58" s="33">
        <f>IF(O58="USD",Q58*$S$1)</f>
        <v>-696.13234118724858</v>
      </c>
      <c r="M58" s="21" t="s">
        <v>29</v>
      </c>
      <c r="N58" s="25" t="s">
        <v>87</v>
      </c>
      <c r="O58" s="25" t="s">
        <v>38</v>
      </c>
      <c r="P58" s="22">
        <v>0.5</v>
      </c>
      <c r="Q58" s="37">
        <v>-139.54462999383566</v>
      </c>
    </row>
    <row r="59" spans="1:17" x14ac:dyDescent="0.25">
      <c r="A59" s="4" t="str">
        <f t="shared" si="0"/>
        <v>CUSTO OFFSHORE USD 66,0293859961332 - ASSET1 - ABRIL 26</v>
      </c>
      <c r="B59" s="9">
        <v>46113</v>
      </c>
      <c r="C59" s="4">
        <v>817395</v>
      </c>
      <c r="D59" s="11" t="s">
        <v>12</v>
      </c>
      <c r="E59" s="12">
        <f>-L59*P59</f>
        <v>-109.8200246064353</v>
      </c>
      <c r="F59" s="4" t="s">
        <v>52</v>
      </c>
      <c r="G59" s="9">
        <f t="shared" si="1"/>
        <v>46113</v>
      </c>
      <c r="H59" s="4">
        <v>80834</v>
      </c>
      <c r="J59" s="13" t="s">
        <v>30</v>
      </c>
      <c r="K59" s="13" t="s">
        <v>14</v>
      </c>
      <c r="L59" s="14">
        <f>IF(O59="USD",Q59*$S$1)</f>
        <v>329.39419498030986</v>
      </c>
      <c r="M59" s="15" t="s">
        <v>29</v>
      </c>
      <c r="N59" s="24" t="s">
        <v>87</v>
      </c>
      <c r="O59" s="24" t="s">
        <v>38</v>
      </c>
      <c r="P59" s="16">
        <v>0.33339999999999997</v>
      </c>
      <c r="Q59" s="36">
        <v>66.029385996133158</v>
      </c>
    </row>
    <row r="60" spans="1:17" x14ac:dyDescent="0.25">
      <c r="A60" s="4" t="str">
        <f t="shared" si="0"/>
        <v>CUSTO OFFSHORE USD 66,0293859961332 - ASSET1 - ABRIL 26</v>
      </c>
      <c r="B60" s="9">
        <v>46113</v>
      </c>
      <c r="C60" s="4">
        <v>817395</v>
      </c>
      <c r="D60" s="11" t="s">
        <v>45</v>
      </c>
      <c r="E60" s="12">
        <f t="shared" ref="E60:E70" si="13">-L60*P60</f>
        <v>-109.78708518693728</v>
      </c>
      <c r="F60" s="4" t="s">
        <v>52</v>
      </c>
      <c r="G60" s="9">
        <f t="shared" si="1"/>
        <v>46113</v>
      </c>
      <c r="H60" s="4">
        <v>80834</v>
      </c>
      <c r="J60" s="13" t="s">
        <v>30</v>
      </c>
      <c r="K60" s="13" t="s">
        <v>14</v>
      </c>
      <c r="L60" s="14">
        <f t="shared" ref="L60:L70" si="14">IF(O60="USD",Q60*$S$1)</f>
        <v>329.39419498030986</v>
      </c>
      <c r="M60" s="15" t="s">
        <v>29</v>
      </c>
      <c r="N60" s="24" t="s">
        <v>87</v>
      </c>
      <c r="O60" s="24" t="s">
        <v>38</v>
      </c>
      <c r="P60" s="16">
        <v>0.33329999999999999</v>
      </c>
      <c r="Q60" s="36">
        <v>66.029385996133158</v>
      </c>
    </row>
    <row r="61" spans="1:17" x14ac:dyDescent="0.25">
      <c r="A61" s="4" t="str">
        <f t="shared" si="0"/>
        <v>CUSTO OFFSHORE USD 66,0293859961332 - ASSET1 - ABRIL 26</v>
      </c>
      <c r="B61" s="9">
        <v>46113</v>
      </c>
      <c r="C61" s="4">
        <v>817395</v>
      </c>
      <c r="D61" s="11" t="s">
        <v>46</v>
      </c>
      <c r="E61" s="12">
        <f t="shared" si="13"/>
        <v>-109.78708518693728</v>
      </c>
      <c r="F61" s="4" t="s">
        <v>52</v>
      </c>
      <c r="G61" s="9">
        <f t="shared" si="1"/>
        <v>46113</v>
      </c>
      <c r="H61" s="4">
        <v>80834</v>
      </c>
      <c r="J61" s="13" t="s">
        <v>30</v>
      </c>
      <c r="K61" s="13" t="s">
        <v>14</v>
      </c>
      <c r="L61" s="14">
        <f t="shared" si="14"/>
        <v>329.39419498030986</v>
      </c>
      <c r="M61" s="15" t="s">
        <v>29</v>
      </c>
      <c r="N61" s="24" t="s">
        <v>87</v>
      </c>
      <c r="O61" s="24" t="s">
        <v>38</v>
      </c>
      <c r="P61" s="16">
        <v>0.33329999999999999</v>
      </c>
      <c r="Q61" s="37">
        <v>66.029385996133158</v>
      </c>
    </row>
    <row r="62" spans="1:17" x14ac:dyDescent="0.25">
      <c r="A62" s="4" t="str">
        <f t="shared" si="0"/>
        <v>CUSTO OFFSHORE USD 356,934126642755 - BRADESCO_BZL - ABRIL 26</v>
      </c>
      <c r="B62" s="9">
        <v>46113</v>
      </c>
      <c r="C62" s="4">
        <v>817395</v>
      </c>
      <c r="D62" s="11" t="s">
        <v>12</v>
      </c>
      <c r="E62" s="28">
        <f t="shared" si="13"/>
        <v>-1335.4511881275344</v>
      </c>
      <c r="F62" s="4" t="s">
        <v>52</v>
      </c>
      <c r="G62" s="9">
        <f t="shared" si="1"/>
        <v>46113</v>
      </c>
      <c r="H62" s="4">
        <v>16705</v>
      </c>
      <c r="J62" s="13" t="s">
        <v>30</v>
      </c>
      <c r="K62" s="13" t="s">
        <v>27</v>
      </c>
      <c r="L62" s="14">
        <f t="shared" si="14"/>
        <v>1780.6015841700457</v>
      </c>
      <c r="M62" s="15" t="s">
        <v>29</v>
      </c>
      <c r="N62" s="24" t="s">
        <v>87</v>
      </c>
      <c r="O62" s="24" t="s">
        <v>38</v>
      </c>
      <c r="P62" s="27">
        <v>0.75</v>
      </c>
      <c r="Q62" s="35">
        <v>356.93412664275462</v>
      </c>
    </row>
    <row r="63" spans="1:17" x14ac:dyDescent="0.25">
      <c r="A63" s="4" t="str">
        <f t="shared" si="0"/>
        <v>CUSTO OFFSHORE USD 356,934126642755 - BRADESCO_BZL - ABRIL 26</v>
      </c>
      <c r="B63" s="9">
        <v>46113</v>
      </c>
      <c r="C63" s="4">
        <v>817395</v>
      </c>
      <c r="D63" s="11" t="s">
        <v>45</v>
      </c>
      <c r="E63" s="28">
        <f t="shared" si="13"/>
        <v>-445.15039604251143</v>
      </c>
      <c r="F63" s="4" t="s">
        <v>52</v>
      </c>
      <c r="G63" s="9">
        <f t="shared" si="1"/>
        <v>46113</v>
      </c>
      <c r="H63" s="4">
        <v>16705</v>
      </c>
      <c r="J63" s="13" t="s">
        <v>30</v>
      </c>
      <c r="K63" s="13" t="s">
        <v>27</v>
      </c>
      <c r="L63" s="14">
        <f t="shared" si="14"/>
        <v>1780.6015841700457</v>
      </c>
      <c r="M63" s="15" t="s">
        <v>29</v>
      </c>
      <c r="N63" s="24" t="s">
        <v>87</v>
      </c>
      <c r="O63" s="24" t="s">
        <v>38</v>
      </c>
      <c r="P63" s="27">
        <v>0.25</v>
      </c>
      <c r="Q63" s="37">
        <v>356.93412664275462</v>
      </c>
    </row>
    <row r="64" spans="1:17" x14ac:dyDescent="0.25">
      <c r="A64" s="4" t="str">
        <f t="shared" si="0"/>
        <v>CUSTO OFFSHORE USD  - BRADESCO_MO - ABRIL 26</v>
      </c>
      <c r="B64" s="9">
        <v>46113</v>
      </c>
      <c r="C64" s="4">
        <v>817395</v>
      </c>
      <c r="D64" s="11" t="s">
        <v>12</v>
      </c>
      <c r="E64" s="30">
        <f t="shared" si="13"/>
        <v>0</v>
      </c>
      <c r="F64" s="4" t="s">
        <v>52</v>
      </c>
      <c r="G64" s="9">
        <f t="shared" si="1"/>
        <v>46113</v>
      </c>
      <c r="H64" s="4">
        <v>16705</v>
      </c>
      <c r="J64" s="13" t="s">
        <v>30</v>
      </c>
      <c r="K64" s="13" t="s">
        <v>69</v>
      </c>
      <c r="L64" s="14">
        <f t="shared" si="14"/>
        <v>0</v>
      </c>
      <c r="M64" s="15" t="s">
        <v>29</v>
      </c>
      <c r="N64" s="24" t="s">
        <v>87</v>
      </c>
      <c r="O64" s="24" t="s">
        <v>38</v>
      </c>
      <c r="P64" s="27">
        <v>0.75</v>
      </c>
      <c r="Q64" s="35"/>
    </row>
    <row r="65" spans="1:17" x14ac:dyDescent="0.25">
      <c r="A65" s="4" t="str">
        <f t="shared" si="0"/>
        <v>CUSTO OFFSHORE USD  - BRADESCO_MO - ABRIL 26</v>
      </c>
      <c r="B65" s="9">
        <v>46113</v>
      </c>
      <c r="C65" s="4">
        <v>817395</v>
      </c>
      <c r="D65" s="11" t="s">
        <v>45</v>
      </c>
      <c r="E65" s="30">
        <f t="shared" si="13"/>
        <v>0</v>
      </c>
      <c r="F65" s="4" t="s">
        <v>52</v>
      </c>
      <c r="G65" s="9">
        <f t="shared" si="1"/>
        <v>46113</v>
      </c>
      <c r="H65" s="4">
        <v>16705</v>
      </c>
      <c r="J65" s="13" t="s">
        <v>30</v>
      </c>
      <c r="K65" s="13" t="s">
        <v>69</v>
      </c>
      <c r="L65" s="14">
        <f t="shared" si="14"/>
        <v>0</v>
      </c>
      <c r="M65" s="15" t="s">
        <v>29</v>
      </c>
      <c r="N65" s="24" t="s">
        <v>87</v>
      </c>
      <c r="O65" s="24" t="s">
        <v>38</v>
      </c>
      <c r="P65" s="27">
        <v>0.25</v>
      </c>
      <c r="Q65" s="37"/>
    </row>
    <row r="66" spans="1:17" x14ac:dyDescent="0.25">
      <c r="A66" s="4" t="str">
        <f t="shared" si="0"/>
        <v>CUSTO OFFSHORE USD  - CLAVE_MO - ABRIL 26</v>
      </c>
      <c r="B66" s="9">
        <v>46113</v>
      </c>
      <c r="C66" s="4">
        <v>817395</v>
      </c>
      <c r="D66" s="11" t="s">
        <v>12</v>
      </c>
      <c r="E66" s="30">
        <f t="shared" si="13"/>
        <v>0</v>
      </c>
      <c r="F66" s="4" t="s">
        <v>52</v>
      </c>
      <c r="G66" s="9">
        <f t="shared" si="1"/>
        <v>46113</v>
      </c>
      <c r="H66" s="4">
        <v>81541</v>
      </c>
      <c r="J66" s="13" t="s">
        <v>30</v>
      </c>
      <c r="K66" s="13" t="s">
        <v>71</v>
      </c>
      <c r="L66" s="14">
        <f t="shared" si="14"/>
        <v>0</v>
      </c>
      <c r="M66" s="15" t="s">
        <v>29</v>
      </c>
      <c r="N66" s="24" t="s">
        <v>87</v>
      </c>
      <c r="O66" s="24" t="s">
        <v>38</v>
      </c>
      <c r="P66" s="27">
        <v>0.66669999999999996</v>
      </c>
      <c r="Q66" s="35"/>
    </row>
    <row r="67" spans="1:17" x14ac:dyDescent="0.25">
      <c r="A67" s="4" t="str">
        <f t="shared" si="0"/>
        <v>CUSTO OFFSHORE USD  - CLAVE_MO - ABRIL 26</v>
      </c>
      <c r="B67" s="9">
        <v>46113</v>
      </c>
      <c r="C67" s="4">
        <v>817395</v>
      </c>
      <c r="D67" s="11" t="s">
        <v>45</v>
      </c>
      <c r="E67" s="30">
        <f t="shared" si="13"/>
        <v>0</v>
      </c>
      <c r="F67" s="4" t="s">
        <v>52</v>
      </c>
      <c r="G67" s="9">
        <f t="shared" si="1"/>
        <v>46113</v>
      </c>
      <c r="H67" s="4">
        <v>81541</v>
      </c>
      <c r="J67" s="13" t="s">
        <v>30</v>
      </c>
      <c r="K67" s="13" t="s">
        <v>71</v>
      </c>
      <c r="L67" s="14">
        <f t="shared" si="14"/>
        <v>0</v>
      </c>
      <c r="M67" s="15" t="s">
        <v>29</v>
      </c>
      <c r="N67" s="24" t="s">
        <v>87</v>
      </c>
      <c r="O67" s="24" t="s">
        <v>38</v>
      </c>
      <c r="P67" s="27">
        <v>0.33329999999999999</v>
      </c>
      <c r="Q67" s="37"/>
    </row>
    <row r="68" spans="1:17" x14ac:dyDescent="0.25">
      <c r="A68" s="4" t="str">
        <f t="shared" si="0"/>
        <v>CUSTO OFFSHORE USD 94,441739292716 - CITIGBL_MO - ABRIL 26</v>
      </c>
      <c r="B68" s="9">
        <v>46113</v>
      </c>
      <c r="C68" s="4">
        <v>817395</v>
      </c>
      <c r="D68" s="11" t="s">
        <v>12</v>
      </c>
      <c r="E68" s="28">
        <f t="shared" si="13"/>
        <v>-235.56603031782154</v>
      </c>
      <c r="F68" s="4" t="s">
        <v>52</v>
      </c>
      <c r="G68" s="9">
        <f t="shared" si="1"/>
        <v>46113</v>
      </c>
      <c r="H68" s="4">
        <v>79791</v>
      </c>
      <c r="J68" s="13" t="s">
        <v>30</v>
      </c>
      <c r="K68" s="13" t="s">
        <v>48</v>
      </c>
      <c r="L68" s="14">
        <f t="shared" si="14"/>
        <v>471.13206063564309</v>
      </c>
      <c r="M68" s="15" t="s">
        <v>29</v>
      </c>
      <c r="N68" s="24" t="s">
        <v>87</v>
      </c>
      <c r="O68" s="24" t="s">
        <v>38</v>
      </c>
      <c r="P68" s="27">
        <v>0.5</v>
      </c>
      <c r="Q68" s="35">
        <v>94.441739292716008</v>
      </c>
    </row>
    <row r="69" spans="1:17" x14ac:dyDescent="0.25">
      <c r="A69" s="4" t="str">
        <f t="shared" si="0"/>
        <v>CUSTO OFFSHORE USD 94,441739292716 - CITIGBL_MO - ABRIL 26</v>
      </c>
      <c r="B69" s="9">
        <v>46113</v>
      </c>
      <c r="C69" s="4">
        <v>817395</v>
      </c>
      <c r="D69" s="11" t="s">
        <v>45</v>
      </c>
      <c r="E69" s="28">
        <f t="shared" si="13"/>
        <v>-235.56603031782154</v>
      </c>
      <c r="F69" s="4" t="s">
        <v>52</v>
      </c>
      <c r="G69" s="9">
        <f t="shared" si="1"/>
        <v>46113</v>
      </c>
      <c r="H69" s="4">
        <v>79791</v>
      </c>
      <c r="J69" s="13" t="s">
        <v>30</v>
      </c>
      <c r="K69" s="13" t="s">
        <v>48</v>
      </c>
      <c r="L69" s="14">
        <f t="shared" si="14"/>
        <v>471.13206063564309</v>
      </c>
      <c r="M69" s="15" t="s">
        <v>29</v>
      </c>
      <c r="N69" s="24" t="s">
        <v>87</v>
      </c>
      <c r="O69" s="24" t="s">
        <v>38</v>
      </c>
      <c r="P69" s="27">
        <v>0.5</v>
      </c>
      <c r="Q69" s="37">
        <v>94.441739292716008</v>
      </c>
    </row>
    <row r="70" spans="1:17" x14ac:dyDescent="0.25">
      <c r="A70" s="4" t="str">
        <f t="shared" si="0"/>
        <v>CUSTO OFFSHORE USD 3678,77515018288 - GOLDMAN SACHS IL - BRAS - ABRIL 26</v>
      </c>
      <c r="B70" s="9">
        <v>46113</v>
      </c>
      <c r="C70" s="4">
        <v>817395</v>
      </c>
      <c r="D70" s="11" t="s">
        <v>12</v>
      </c>
      <c r="E70" s="10">
        <f t="shared" si="13"/>
        <v>-18351.937714202304</v>
      </c>
      <c r="F70" s="4" t="s">
        <v>52</v>
      </c>
      <c r="G70" s="9">
        <f t="shared" si="1"/>
        <v>46113</v>
      </c>
      <c r="H70" s="4">
        <v>79791</v>
      </c>
      <c r="J70" s="13" t="s">
        <v>30</v>
      </c>
      <c r="K70" s="13" t="s">
        <v>24</v>
      </c>
      <c r="L70" s="14">
        <f t="shared" si="14"/>
        <v>18351.937714202304</v>
      </c>
      <c r="M70" s="15" t="s">
        <v>29</v>
      </c>
      <c r="N70" s="24" t="s">
        <v>87</v>
      </c>
      <c r="O70" s="24" t="s">
        <v>38</v>
      </c>
      <c r="P70" s="16">
        <v>1</v>
      </c>
      <c r="Q70" s="12">
        <v>3678.775150182878</v>
      </c>
    </row>
    <row r="71" spans="1:17" x14ac:dyDescent="0.25">
      <c r="A71" s="4" t="str">
        <f t="shared" si="0"/>
        <v>CUSTO OFFSHORE USD 130,601367968197 - ITAÚ - MSCO - ABRIL 26</v>
      </c>
      <c r="B71" s="9">
        <v>46113</v>
      </c>
      <c r="C71" s="4">
        <v>817395</v>
      </c>
      <c r="D71" s="11" t="s">
        <v>12</v>
      </c>
      <c r="E71" s="10">
        <f>-L71*P71</f>
        <v>-651.51798424614685</v>
      </c>
      <c r="F71" s="4" t="s">
        <v>52</v>
      </c>
      <c r="G71" s="9">
        <f t="shared" si="1"/>
        <v>46113</v>
      </c>
      <c r="H71" s="4">
        <v>79460</v>
      </c>
      <c r="J71" s="13" t="s">
        <v>30</v>
      </c>
      <c r="K71" s="13" t="s">
        <v>17</v>
      </c>
      <c r="L71" s="14">
        <f>IF(O71="USD",Q71*$S$1)</f>
        <v>651.51798424614685</v>
      </c>
      <c r="M71" s="15" t="s">
        <v>29</v>
      </c>
      <c r="N71" s="24" t="s">
        <v>87</v>
      </c>
      <c r="O71" s="24" t="s">
        <v>38</v>
      </c>
      <c r="P71" s="16">
        <v>1</v>
      </c>
      <c r="Q71" s="12">
        <v>130.60136796819685</v>
      </c>
    </row>
    <row r="72" spans="1:17" x14ac:dyDescent="0.25">
      <c r="A72" s="4" t="str">
        <f t="shared" si="0"/>
        <v>CUSTO OFFSHORE USD 842,986671146831 - ITAÚ - NASSAU - ABRIL 26</v>
      </c>
      <c r="B72" s="9">
        <v>46113</v>
      </c>
      <c r="C72" s="4">
        <v>817395</v>
      </c>
      <c r="D72" s="11" t="s">
        <v>12</v>
      </c>
      <c r="E72" s="10">
        <f>-L72*P72</f>
        <v>-4205.3233076830802</v>
      </c>
      <c r="F72" s="4" t="s">
        <v>52</v>
      </c>
      <c r="G72" s="9">
        <f t="shared" ref="G72:G138" si="15">B72</f>
        <v>46113</v>
      </c>
      <c r="H72" s="4">
        <v>79460</v>
      </c>
      <c r="J72" s="13" t="s">
        <v>30</v>
      </c>
      <c r="K72" s="13" t="s">
        <v>18</v>
      </c>
      <c r="L72" s="14">
        <f>IF(O72="USD",Q72*$S$1)</f>
        <v>4205.3233076830802</v>
      </c>
      <c r="M72" s="15" t="s">
        <v>29</v>
      </c>
      <c r="N72" s="24" t="s">
        <v>87</v>
      </c>
      <c r="O72" s="24" t="s">
        <v>38</v>
      </c>
      <c r="P72" s="16">
        <v>1</v>
      </c>
      <c r="Q72" s="12">
        <v>842.98667114683087</v>
      </c>
    </row>
    <row r="73" spans="1:17" x14ac:dyDescent="0.25">
      <c r="A73" s="4" t="str">
        <f t="shared" ref="A73" si="16">CONCATENATE(J73,Q73,M73,K73,M73,N73)</f>
        <v>CUSTO OFFSHORE USD 0,9 - GENOA_MO - ABRIL 26</v>
      </c>
      <c r="B73" s="9">
        <v>46113</v>
      </c>
      <c r="C73" s="4">
        <v>817395</v>
      </c>
      <c r="D73" s="11" t="s">
        <v>12</v>
      </c>
      <c r="E73" s="30">
        <f t="shared" ref="E73" si="17">-L73*P73</f>
        <v>-4.4897400000000003</v>
      </c>
      <c r="F73" s="4" t="s">
        <v>52</v>
      </c>
      <c r="G73" s="9">
        <f t="shared" ref="G73" si="18">B73</f>
        <v>46113</v>
      </c>
      <c r="H73" s="4">
        <v>80883</v>
      </c>
      <c r="J73" s="13" t="s">
        <v>30</v>
      </c>
      <c r="K73" s="13" t="s">
        <v>90</v>
      </c>
      <c r="L73" s="14">
        <f t="shared" ref="L73" si="19">IF(O73="USD",Q73*$S$1)</f>
        <v>4.4897400000000003</v>
      </c>
      <c r="M73" s="15" t="s">
        <v>29</v>
      </c>
      <c r="N73" s="24" t="s">
        <v>87</v>
      </c>
      <c r="O73" s="24" t="s">
        <v>38</v>
      </c>
      <c r="P73" s="16">
        <v>1</v>
      </c>
      <c r="Q73" s="12">
        <v>0.9</v>
      </c>
    </row>
    <row r="74" spans="1:17" x14ac:dyDescent="0.25">
      <c r="A74" s="4" t="str">
        <f t="shared" si="0"/>
        <v>CUSTO OFFSHORE USD  - BNP_MO - ABRIL 26</v>
      </c>
      <c r="B74" s="9">
        <v>46113</v>
      </c>
      <c r="C74" s="4">
        <v>817395</v>
      </c>
      <c r="D74" s="11" t="s">
        <v>12</v>
      </c>
      <c r="E74" s="30">
        <f t="shared" ref="E74:E107" si="20">-L74*P74</f>
        <v>0</v>
      </c>
      <c r="F74" s="4" t="s">
        <v>52</v>
      </c>
      <c r="G74" s="9">
        <f t="shared" si="15"/>
        <v>46113</v>
      </c>
      <c r="H74" s="4">
        <v>95005</v>
      </c>
      <c r="J74" s="13" t="s">
        <v>30</v>
      </c>
      <c r="K74" s="13" t="s">
        <v>57</v>
      </c>
      <c r="L74" s="14">
        <f t="shared" ref="L74:L85" si="21">IF(O74="USD",Q74*$S$1)</f>
        <v>0</v>
      </c>
      <c r="M74" s="15" t="s">
        <v>29</v>
      </c>
      <c r="N74" s="24" t="s">
        <v>87</v>
      </c>
      <c r="O74" s="24" t="s">
        <v>38</v>
      </c>
      <c r="P74" s="16">
        <v>1</v>
      </c>
      <c r="Q74" s="12"/>
    </row>
    <row r="75" spans="1:17" x14ac:dyDescent="0.25">
      <c r="A75" s="4" t="str">
        <f t="shared" si="0"/>
        <v>CUSTO OFFSHORE USD 1,91595621043312 - ADAMGestao_MO - ABRIL 26</v>
      </c>
      <c r="B75" s="9">
        <v>46113</v>
      </c>
      <c r="C75" s="4">
        <v>817395</v>
      </c>
      <c r="D75" s="11" t="s">
        <v>12</v>
      </c>
      <c r="E75" s="30">
        <f t="shared" si="20"/>
        <v>-9.5579391513666518</v>
      </c>
      <c r="F75" s="4" t="s">
        <v>52</v>
      </c>
      <c r="G75" s="9">
        <f t="shared" si="15"/>
        <v>46113</v>
      </c>
      <c r="H75" s="4">
        <v>79973</v>
      </c>
      <c r="J75" s="13" t="s">
        <v>30</v>
      </c>
      <c r="K75" s="13" t="s">
        <v>77</v>
      </c>
      <c r="L75" s="14">
        <f t="shared" si="21"/>
        <v>9.5579391513666518</v>
      </c>
      <c r="M75" s="15" t="s">
        <v>29</v>
      </c>
      <c r="N75" s="24" t="s">
        <v>87</v>
      </c>
      <c r="O75" s="24" t="s">
        <v>38</v>
      </c>
      <c r="P75" s="27">
        <v>1</v>
      </c>
      <c r="Q75" s="26">
        <v>1.9159562104331178</v>
      </c>
    </row>
    <row r="76" spans="1:17" x14ac:dyDescent="0.25">
      <c r="A76" s="4" t="str">
        <f t="shared" si="0"/>
        <v>CUSTO OFFSHORE USD 78,4728829308261 - SPRINGS_MO - ABRIL 26</v>
      </c>
      <c r="B76" s="9">
        <v>46113</v>
      </c>
      <c r="C76" s="4">
        <v>817395</v>
      </c>
      <c r="D76" s="11" t="s">
        <v>12</v>
      </c>
      <c r="E76" s="30">
        <f t="shared" si="20"/>
        <v>-260.95378453756018</v>
      </c>
      <c r="F76" s="4" t="s">
        <v>52</v>
      </c>
      <c r="G76" s="9">
        <f t="shared" si="15"/>
        <v>46113</v>
      </c>
      <c r="H76" s="4">
        <v>82748</v>
      </c>
      <c r="J76" s="13" t="s">
        <v>30</v>
      </c>
      <c r="K76" s="13" t="s">
        <v>56</v>
      </c>
      <c r="L76" s="14">
        <f t="shared" si="21"/>
        <v>391.46982378871917</v>
      </c>
      <c r="M76" s="15" t="s">
        <v>29</v>
      </c>
      <c r="N76" s="24" t="s">
        <v>87</v>
      </c>
      <c r="O76" s="24" t="s">
        <v>38</v>
      </c>
      <c r="P76" s="16">
        <v>0.66659999999999997</v>
      </c>
      <c r="Q76" s="35">
        <v>78.472882930826117</v>
      </c>
    </row>
    <row r="77" spans="1:17" x14ac:dyDescent="0.25">
      <c r="A77" s="4" t="str">
        <f t="shared" si="0"/>
        <v>CUSTO OFFSHORE USD 78,4728829308261 - SPRINGS_MO - ABRIL 26</v>
      </c>
      <c r="B77" s="9">
        <v>46113</v>
      </c>
      <c r="C77" s="4">
        <v>817395</v>
      </c>
      <c r="D77" s="11" t="s">
        <v>45</v>
      </c>
      <c r="E77" s="30">
        <f t="shared" si="20"/>
        <v>-130.47689226878009</v>
      </c>
      <c r="F77" s="4" t="s">
        <v>52</v>
      </c>
      <c r="G77" s="9">
        <f t="shared" si="15"/>
        <v>46113</v>
      </c>
      <c r="H77" s="4">
        <v>82748</v>
      </c>
      <c r="J77" s="13" t="s">
        <v>30</v>
      </c>
      <c r="K77" s="13" t="s">
        <v>56</v>
      </c>
      <c r="L77" s="14">
        <f t="shared" si="21"/>
        <v>391.46982378871917</v>
      </c>
      <c r="M77" s="15" t="s">
        <v>29</v>
      </c>
      <c r="N77" s="24" t="s">
        <v>87</v>
      </c>
      <c r="O77" s="24" t="s">
        <v>38</v>
      </c>
      <c r="P77" s="16">
        <v>0.33329999999999999</v>
      </c>
      <c r="Q77" s="37">
        <v>78.472882930826117</v>
      </c>
    </row>
    <row r="78" spans="1:17" x14ac:dyDescent="0.25">
      <c r="A78" s="4" t="str">
        <f t="shared" si="0"/>
        <v>CUSTO OFFSHORE USD 0,869418351489873 - JPMPLC_MO - ABRIL 26</v>
      </c>
      <c r="B78" s="9">
        <v>46113</v>
      </c>
      <c r="C78" s="4">
        <v>817395</v>
      </c>
      <c r="D78" s="11" t="s">
        <v>12</v>
      </c>
      <c r="E78" s="30">
        <f t="shared" si="20"/>
        <v>-2.8915981648411933</v>
      </c>
      <c r="F78" s="4" t="s">
        <v>52</v>
      </c>
      <c r="G78" s="9">
        <f t="shared" si="15"/>
        <v>46113</v>
      </c>
      <c r="H78" s="4">
        <v>81541</v>
      </c>
      <c r="J78" s="13" t="s">
        <v>30</v>
      </c>
      <c r="K78" s="13" t="s">
        <v>55</v>
      </c>
      <c r="L78" s="14">
        <f t="shared" si="21"/>
        <v>4.3371803882423778</v>
      </c>
      <c r="M78" s="15" t="s">
        <v>29</v>
      </c>
      <c r="N78" s="24" t="s">
        <v>87</v>
      </c>
      <c r="O78" s="24" t="s">
        <v>38</v>
      </c>
      <c r="P78" s="27">
        <v>0.66669999999999996</v>
      </c>
      <c r="Q78" s="35">
        <v>0.86941835148987257</v>
      </c>
    </row>
    <row r="79" spans="1:17" x14ac:dyDescent="0.25">
      <c r="A79" s="4" t="str">
        <f t="shared" si="0"/>
        <v>CUSTO OFFSHORE USD 0,869418351489873 - JPMPLC_MO - ABRIL 26</v>
      </c>
      <c r="B79" s="9">
        <v>46113</v>
      </c>
      <c r="C79" s="4">
        <v>817395</v>
      </c>
      <c r="D79" s="11" t="s">
        <v>45</v>
      </c>
      <c r="E79" s="30">
        <f t="shared" si="20"/>
        <v>-1.4455822234011844</v>
      </c>
      <c r="F79" s="4" t="s">
        <v>52</v>
      </c>
      <c r="G79" s="9">
        <f t="shared" si="15"/>
        <v>46113</v>
      </c>
      <c r="H79" s="4">
        <v>81541</v>
      </c>
      <c r="J79" s="13" t="s">
        <v>30</v>
      </c>
      <c r="K79" s="13" t="s">
        <v>55</v>
      </c>
      <c r="L79" s="14">
        <f t="shared" si="21"/>
        <v>4.3371803882423778</v>
      </c>
      <c r="M79" s="15" t="s">
        <v>29</v>
      </c>
      <c r="N79" s="24" t="s">
        <v>87</v>
      </c>
      <c r="O79" s="24" t="s">
        <v>38</v>
      </c>
      <c r="P79" s="27">
        <v>0.33329999999999999</v>
      </c>
      <c r="Q79" s="37">
        <v>0.86941835148987257</v>
      </c>
    </row>
    <row r="80" spans="1:17" x14ac:dyDescent="0.25">
      <c r="A80" s="4" t="str">
        <f t="shared" si="0"/>
        <v>CUSTO OFFSHORE USD 248,261090386988 - KAPITALO - ABRIL 26</v>
      </c>
      <c r="B80" s="9">
        <v>46113</v>
      </c>
      <c r="C80" s="4">
        <v>817395</v>
      </c>
      <c r="D80" s="11" t="s">
        <v>12</v>
      </c>
      <c r="E80" s="28">
        <f t="shared" si="20"/>
        <v>-928.85645662839693</v>
      </c>
      <c r="F80" s="4" t="s">
        <v>52</v>
      </c>
      <c r="G80" s="9">
        <f t="shared" si="15"/>
        <v>46113</v>
      </c>
      <c r="H80" s="4">
        <v>12413</v>
      </c>
      <c r="J80" s="13" t="s">
        <v>30</v>
      </c>
      <c r="K80" s="13" t="s">
        <v>26</v>
      </c>
      <c r="L80" s="14">
        <f t="shared" si="21"/>
        <v>1238.4752755045292</v>
      </c>
      <c r="M80" s="15" t="s">
        <v>29</v>
      </c>
      <c r="N80" s="24" t="s">
        <v>87</v>
      </c>
      <c r="O80" s="24" t="s">
        <v>38</v>
      </c>
      <c r="P80" s="27">
        <v>0.75</v>
      </c>
      <c r="Q80" s="35">
        <v>248.26109038698817</v>
      </c>
    </row>
    <row r="81" spans="1:17" x14ac:dyDescent="0.25">
      <c r="A81" s="4" t="str">
        <f t="shared" si="0"/>
        <v>CUSTO OFFSHORE USD 248,261090386988 - KAPITALO - ABRIL 26</v>
      </c>
      <c r="B81" s="9">
        <v>46113</v>
      </c>
      <c r="C81" s="4">
        <v>817395</v>
      </c>
      <c r="D81" s="11" t="s">
        <v>45</v>
      </c>
      <c r="E81" s="28">
        <f t="shared" si="20"/>
        <v>-309.61881887613231</v>
      </c>
      <c r="F81" s="4" t="s">
        <v>52</v>
      </c>
      <c r="G81" s="9">
        <f t="shared" si="15"/>
        <v>46113</v>
      </c>
      <c r="H81" s="4">
        <v>12413</v>
      </c>
      <c r="J81" s="13" t="s">
        <v>30</v>
      </c>
      <c r="K81" s="13" t="s">
        <v>26</v>
      </c>
      <c r="L81" s="14">
        <f t="shared" si="21"/>
        <v>1238.4752755045292</v>
      </c>
      <c r="M81" s="15" t="s">
        <v>29</v>
      </c>
      <c r="N81" s="24" t="s">
        <v>87</v>
      </c>
      <c r="O81" s="24" t="s">
        <v>38</v>
      </c>
      <c r="P81" s="27">
        <v>0.25</v>
      </c>
      <c r="Q81" s="37">
        <v>248.26109038698817</v>
      </c>
    </row>
    <row r="82" spans="1:17" x14ac:dyDescent="0.25">
      <c r="A82" s="4" t="str">
        <f t="shared" si="0"/>
        <v>CUSTO OFFSHORE USD 291,589375665816 - RPS - ABRIL 26</v>
      </c>
      <c r="B82" s="9">
        <v>46113</v>
      </c>
      <c r="C82" s="4">
        <v>817395</v>
      </c>
      <c r="D82" s="11" t="s">
        <v>45</v>
      </c>
      <c r="E82" s="10">
        <f t="shared" si="20"/>
        <v>-727.31137972324541</v>
      </c>
      <c r="F82" s="4" t="s">
        <v>52</v>
      </c>
      <c r="G82" s="9">
        <f t="shared" si="15"/>
        <v>46113</v>
      </c>
      <c r="H82" s="4">
        <v>12339</v>
      </c>
      <c r="J82" s="13" t="s">
        <v>30</v>
      </c>
      <c r="K82" s="13" t="s">
        <v>16</v>
      </c>
      <c r="L82" s="14">
        <f t="shared" si="21"/>
        <v>1454.6227594464908</v>
      </c>
      <c r="M82" s="15" t="s">
        <v>29</v>
      </c>
      <c r="N82" s="24" t="s">
        <v>87</v>
      </c>
      <c r="O82" s="24" t="s">
        <v>38</v>
      </c>
      <c r="P82" s="16">
        <v>0.5</v>
      </c>
      <c r="Q82" s="35">
        <v>291.58937566581625</v>
      </c>
    </row>
    <row r="83" spans="1:17" x14ac:dyDescent="0.25">
      <c r="A83" s="4" t="str">
        <f t="shared" si="0"/>
        <v>CUSTO OFFSHORE USD 291,589375665816 - RPS - ABRIL 26</v>
      </c>
      <c r="B83" s="9">
        <v>46113</v>
      </c>
      <c r="C83" s="4">
        <v>817395</v>
      </c>
      <c r="D83" s="11" t="s">
        <v>12</v>
      </c>
      <c r="E83" s="28">
        <f t="shared" si="20"/>
        <v>-727.31137972324541</v>
      </c>
      <c r="F83" s="4" t="s">
        <v>52</v>
      </c>
      <c r="G83" s="9">
        <f t="shared" si="15"/>
        <v>46113</v>
      </c>
      <c r="H83" s="4">
        <v>12339</v>
      </c>
      <c r="J83" s="13" t="s">
        <v>30</v>
      </c>
      <c r="K83" s="13" t="s">
        <v>16</v>
      </c>
      <c r="L83" s="34">
        <f t="shared" si="21"/>
        <v>1454.6227594464908</v>
      </c>
      <c r="M83" s="15" t="s">
        <v>29</v>
      </c>
      <c r="N83" s="24" t="s">
        <v>87</v>
      </c>
      <c r="O83" s="24" t="s">
        <v>38</v>
      </c>
      <c r="P83" s="27">
        <v>0.5</v>
      </c>
      <c r="Q83" s="37">
        <v>291.58937566581625</v>
      </c>
    </row>
    <row r="84" spans="1:17" x14ac:dyDescent="0.25">
      <c r="A84" s="4" t="str">
        <f t="shared" si="0"/>
        <v>CUSTO OFFSHORE USD 817,518078125567 - SPX_MO - ABRIL 26</v>
      </c>
      <c r="B84" s="9">
        <v>46113</v>
      </c>
      <c r="C84" s="4">
        <v>817395</v>
      </c>
      <c r="D84" s="11" t="s">
        <v>12</v>
      </c>
      <c r="E84" s="28">
        <f t="shared" si="20"/>
        <v>-2446.9624107223217</v>
      </c>
      <c r="F84" s="4" t="s">
        <v>52</v>
      </c>
      <c r="G84" s="9">
        <f t="shared" si="15"/>
        <v>46113</v>
      </c>
      <c r="H84" s="4">
        <v>79931</v>
      </c>
      <c r="J84" s="13" t="s">
        <v>30</v>
      </c>
      <c r="K84" s="13" t="s">
        <v>31</v>
      </c>
      <c r="L84" s="34">
        <f t="shared" si="21"/>
        <v>4078.2706845372027</v>
      </c>
      <c r="M84" s="15" t="s">
        <v>29</v>
      </c>
      <c r="N84" s="24" t="s">
        <v>87</v>
      </c>
      <c r="O84" s="24" t="s">
        <v>38</v>
      </c>
      <c r="P84" s="27">
        <v>0.6</v>
      </c>
      <c r="Q84" s="36">
        <v>817.51807812556683</v>
      </c>
    </row>
    <row r="85" spans="1:17" x14ac:dyDescent="0.25">
      <c r="A85" s="17" t="str">
        <f t="shared" si="0"/>
        <v>CUSTO OFFSHORE USD 817,518078125567 - SPX_MO - ABRIL 26</v>
      </c>
      <c r="B85" s="18">
        <v>46113</v>
      </c>
      <c r="C85" s="17">
        <v>817395</v>
      </c>
      <c r="D85" s="23" t="s">
        <v>45</v>
      </c>
      <c r="E85" s="19">
        <f t="shared" si="20"/>
        <v>-1631.3082738148812</v>
      </c>
      <c r="F85" s="17" t="s">
        <v>52</v>
      </c>
      <c r="G85" s="18">
        <f t="shared" si="15"/>
        <v>46113</v>
      </c>
      <c r="H85" s="17">
        <v>79931</v>
      </c>
      <c r="J85" s="20" t="s">
        <v>30</v>
      </c>
      <c r="K85" s="20" t="s">
        <v>31</v>
      </c>
      <c r="L85" s="33">
        <f t="shared" si="21"/>
        <v>4078.2706845372027</v>
      </c>
      <c r="M85" s="21" t="s">
        <v>29</v>
      </c>
      <c r="N85" s="25" t="s">
        <v>87</v>
      </c>
      <c r="O85" s="25" t="s">
        <v>38</v>
      </c>
      <c r="P85" s="22">
        <v>0.4</v>
      </c>
      <c r="Q85" s="37">
        <v>817.51807812556683</v>
      </c>
    </row>
    <row r="86" spans="1:17" x14ac:dyDescent="0.25">
      <c r="A86" s="17" t="str">
        <f t="shared" si="0"/>
        <v>CUSTO OFFSHORE USD 408,28 - BGC - ABRIL 26</v>
      </c>
      <c r="B86" s="18">
        <v>46113</v>
      </c>
      <c r="C86" s="17">
        <v>817395</v>
      </c>
      <c r="D86" s="23" t="s">
        <v>12</v>
      </c>
      <c r="E86" s="19">
        <f t="shared" si="20"/>
        <v>-2036.7456079999997</v>
      </c>
      <c r="F86" s="17" t="s">
        <v>33</v>
      </c>
      <c r="G86" s="18">
        <f t="shared" si="15"/>
        <v>46113</v>
      </c>
      <c r="H86" s="17">
        <v>1170</v>
      </c>
      <c r="J86" s="20" t="s">
        <v>30</v>
      </c>
      <c r="K86" s="20" t="s">
        <v>21</v>
      </c>
      <c r="L86" s="33">
        <f t="shared" si="9"/>
        <v>2036.7456079999997</v>
      </c>
      <c r="M86" s="21" t="s">
        <v>29</v>
      </c>
      <c r="N86" s="25" t="s">
        <v>87</v>
      </c>
      <c r="O86" s="25" t="s">
        <v>38</v>
      </c>
      <c r="P86" s="22">
        <v>1</v>
      </c>
      <c r="Q86" s="26">
        <v>408.28</v>
      </c>
    </row>
    <row r="87" spans="1:17" s="44" customFormat="1" ht="12.75" customHeight="1" x14ac:dyDescent="0.25">
      <c r="A87" s="49" t="str">
        <f t="shared" si="0"/>
        <v>CUSTO OFFSHORE USD  - BGC - ABRIL 26</v>
      </c>
      <c r="B87" s="50">
        <v>46113</v>
      </c>
      <c r="C87" s="49">
        <v>817395</v>
      </c>
      <c r="D87" s="51" t="s">
        <v>12</v>
      </c>
      <c r="E87" s="52">
        <f t="shared" si="20"/>
        <v>0</v>
      </c>
      <c r="F87" s="49" t="s">
        <v>40</v>
      </c>
      <c r="G87" s="50">
        <f t="shared" si="15"/>
        <v>46113</v>
      </c>
      <c r="H87" s="49">
        <v>1170</v>
      </c>
      <c r="I87"/>
      <c r="J87" s="49" t="s">
        <v>30</v>
      </c>
      <c r="K87" s="49" t="s">
        <v>21</v>
      </c>
      <c r="L87" s="52">
        <f t="shared" si="9"/>
        <v>0</v>
      </c>
      <c r="M87" s="53" t="s">
        <v>29</v>
      </c>
      <c r="N87" s="51" t="s">
        <v>87</v>
      </c>
      <c r="O87" s="51" t="s">
        <v>38</v>
      </c>
      <c r="P87" s="54">
        <v>1</v>
      </c>
      <c r="Q87" s="52"/>
    </row>
    <row r="88" spans="1:17" x14ac:dyDescent="0.25">
      <c r="A88" s="4" t="str">
        <f t="shared" si="0"/>
        <v>CUSTO OFFSHORE USD 87,845 - BGC - ABRIL 26</v>
      </c>
      <c r="B88" s="9">
        <v>46113</v>
      </c>
      <c r="C88" s="4">
        <v>817395</v>
      </c>
      <c r="D88" s="11" t="s">
        <v>47</v>
      </c>
      <c r="E88" s="12">
        <f t="shared" si="20"/>
        <v>-438.223567</v>
      </c>
      <c r="F88" s="4" t="s">
        <v>22</v>
      </c>
      <c r="G88" s="9">
        <f t="shared" si="15"/>
        <v>46113</v>
      </c>
      <c r="H88" s="4">
        <v>1170</v>
      </c>
      <c r="J88" s="13" t="s">
        <v>30</v>
      </c>
      <c r="K88" s="13" t="s">
        <v>21</v>
      </c>
      <c r="L88" s="14">
        <f t="shared" si="9"/>
        <v>438.223567</v>
      </c>
      <c r="M88" s="15" t="s">
        <v>29</v>
      </c>
      <c r="N88" s="24" t="s">
        <v>87</v>
      </c>
      <c r="O88" s="24" t="s">
        <v>38</v>
      </c>
      <c r="P88" s="16">
        <v>1</v>
      </c>
      <c r="Q88" s="12">
        <v>87.844999999999999</v>
      </c>
    </row>
    <row r="89" spans="1:17" x14ac:dyDescent="0.25">
      <c r="A89" s="17" t="str">
        <f t="shared" si="0"/>
        <v>CUSTO OFFSHORE USD 87,845 - BGC - ABRIL 26</v>
      </c>
      <c r="B89" s="18">
        <v>46113</v>
      </c>
      <c r="C89" s="17">
        <v>817395</v>
      </c>
      <c r="D89" s="23" t="s">
        <v>12</v>
      </c>
      <c r="E89" s="26">
        <f t="shared" si="20"/>
        <v>-438.223567</v>
      </c>
      <c r="F89" s="17" t="s">
        <v>22</v>
      </c>
      <c r="G89" s="18">
        <f t="shared" si="15"/>
        <v>46113</v>
      </c>
      <c r="H89" s="17">
        <v>1170</v>
      </c>
      <c r="J89" s="20" t="s">
        <v>30</v>
      </c>
      <c r="K89" s="20" t="s">
        <v>21</v>
      </c>
      <c r="L89" s="33">
        <f t="shared" si="9"/>
        <v>438.223567</v>
      </c>
      <c r="M89" s="21" t="s">
        <v>29</v>
      </c>
      <c r="N89" s="25" t="s">
        <v>87</v>
      </c>
      <c r="O89" s="25" t="s">
        <v>38</v>
      </c>
      <c r="P89" s="22">
        <v>1</v>
      </c>
      <c r="Q89" s="26">
        <v>87.844999999999999</v>
      </c>
    </row>
    <row r="90" spans="1:17" x14ac:dyDescent="0.25">
      <c r="A90" s="4" t="str">
        <f>CONCATENATE(J90,Q90,M90,K90,M90,N90)</f>
        <v>CUSTO OFFSHORE USD 418,29 - BGC BONDS - ABRIL 26</v>
      </c>
      <c r="B90" s="9">
        <v>46113</v>
      </c>
      <c r="C90" s="4">
        <v>817395</v>
      </c>
      <c r="D90" s="11" t="s">
        <v>32</v>
      </c>
      <c r="E90" s="10">
        <f>-L90*P90</f>
        <v>-2086.6814939999999</v>
      </c>
      <c r="F90" s="4" t="s">
        <v>23</v>
      </c>
      <c r="G90" s="9">
        <f t="shared" si="15"/>
        <v>46113</v>
      </c>
      <c r="H90" s="4">
        <v>1170</v>
      </c>
      <c r="J90" s="13" t="s">
        <v>30</v>
      </c>
      <c r="K90" s="13" t="s">
        <v>51</v>
      </c>
      <c r="L90" s="14">
        <f>IF(O90="USD",Q90*$S$1)</f>
        <v>2086.6814939999999</v>
      </c>
      <c r="M90" s="15" t="s">
        <v>29</v>
      </c>
      <c r="N90" s="24" t="s">
        <v>87</v>
      </c>
      <c r="O90" s="24" t="s">
        <v>38</v>
      </c>
      <c r="P90" s="16">
        <v>1</v>
      </c>
      <c r="Q90" s="12">
        <v>418.29</v>
      </c>
    </row>
    <row r="91" spans="1:17" x14ac:dyDescent="0.25">
      <c r="A91" s="4" t="str">
        <f>CONCATENATE(J91,Q91,M91,K91,M91,N91)</f>
        <v>CUSTO OFFSHORE USD 544,34 - BGC - ABRIL 26</v>
      </c>
      <c r="B91" s="9">
        <v>46113</v>
      </c>
      <c r="C91" s="4">
        <v>817395</v>
      </c>
      <c r="D91" s="11" t="s">
        <v>46</v>
      </c>
      <c r="E91" s="10">
        <f>-L91*P91</f>
        <v>-2715.4945240000002</v>
      </c>
      <c r="F91" s="4" t="s">
        <v>23</v>
      </c>
      <c r="G91" s="9">
        <f t="shared" si="15"/>
        <v>46113</v>
      </c>
      <c r="H91" s="4">
        <v>1170</v>
      </c>
      <c r="J91" s="13" t="s">
        <v>30</v>
      </c>
      <c r="K91" s="13" t="s">
        <v>21</v>
      </c>
      <c r="L91" s="14">
        <f>IF(O91="USD",Q91*$S$1)</f>
        <v>2715.4945240000002</v>
      </c>
      <c r="M91" s="15" t="s">
        <v>29</v>
      </c>
      <c r="N91" s="24" t="s">
        <v>87</v>
      </c>
      <c r="O91" s="24" t="s">
        <v>38</v>
      </c>
      <c r="P91" s="16">
        <v>1</v>
      </c>
      <c r="Q91" s="12">
        <v>544.34</v>
      </c>
    </row>
    <row r="92" spans="1:17" x14ac:dyDescent="0.25">
      <c r="A92" s="4" t="str">
        <f>CONCATENATE(J92,Q92,M92,K92,M92,N92)</f>
        <v>CUSTO OFFSHORE USD 1593,1 - VINLAND  - ABRIL 26</v>
      </c>
      <c r="B92" s="9">
        <v>46113</v>
      </c>
      <c r="C92" s="4">
        <v>817395</v>
      </c>
      <c r="D92" s="11" t="s">
        <v>47</v>
      </c>
      <c r="E92" s="10">
        <f>-L92*P92</f>
        <v>-7947.3386599999994</v>
      </c>
      <c r="F92" s="4" t="s">
        <v>23</v>
      </c>
      <c r="G92" s="9">
        <f t="shared" si="15"/>
        <v>46113</v>
      </c>
      <c r="H92" s="4">
        <v>80359</v>
      </c>
      <c r="J92" s="13" t="s">
        <v>30</v>
      </c>
      <c r="K92" s="13" t="s">
        <v>20</v>
      </c>
      <c r="L92" s="14">
        <f>IF(O92="USD",Q92*$S$1)</f>
        <v>7947.3386599999994</v>
      </c>
      <c r="M92" s="15" t="s">
        <v>29</v>
      </c>
      <c r="N92" s="24" t="s">
        <v>87</v>
      </c>
      <c r="O92" s="24" t="s">
        <v>38</v>
      </c>
      <c r="P92" s="16">
        <v>1</v>
      </c>
      <c r="Q92" s="12">
        <v>1593.1</v>
      </c>
    </row>
    <row r="93" spans="1:17" x14ac:dyDescent="0.25">
      <c r="A93" s="4" t="str">
        <f>CONCATENATE(J93,Q93,M93,K93,M93,N93)</f>
        <v>CUSTO OFFSHORE USD 9275 - BGC NDF OFFSHORE - ABRIL 26</v>
      </c>
      <c r="B93" s="9">
        <v>46113</v>
      </c>
      <c r="C93" s="4">
        <v>817395</v>
      </c>
      <c r="D93" s="11" t="s">
        <v>58</v>
      </c>
      <c r="E93" s="10">
        <f t="shared" si="20"/>
        <v>-46199.424599999998</v>
      </c>
      <c r="F93" s="4" t="s">
        <v>23</v>
      </c>
      <c r="G93" s="9">
        <f t="shared" si="15"/>
        <v>46113</v>
      </c>
      <c r="H93" s="4">
        <v>1170</v>
      </c>
      <c r="J93" s="13" t="s">
        <v>30</v>
      </c>
      <c r="K93" s="13" t="s">
        <v>35</v>
      </c>
      <c r="L93" s="14">
        <f>IF(O93="USD",Q93*$S$1)</f>
        <v>46269.264999999999</v>
      </c>
      <c r="M93" s="15" t="s">
        <v>29</v>
      </c>
      <c r="N93" s="24" t="s">
        <v>87</v>
      </c>
      <c r="O93" s="24" t="s">
        <v>38</v>
      </c>
      <c r="P93" s="55">
        <v>0.99849056603773589</v>
      </c>
      <c r="Q93" s="30">
        <v>9275</v>
      </c>
    </row>
    <row r="94" spans="1:17" x14ac:dyDescent="0.25">
      <c r="A94" s="4" t="str">
        <f>CONCATENATE(J94,Q94,M94,K94,M94,N94)</f>
        <v>CUSTO OFFSHORE USD 9275 - BGC NDF OFFSHORE - ABRIL 26</v>
      </c>
      <c r="B94" s="9">
        <v>46113</v>
      </c>
      <c r="C94" s="4">
        <v>817395</v>
      </c>
      <c r="D94" s="11" t="s">
        <v>43</v>
      </c>
      <c r="E94" s="10">
        <f t="shared" si="20"/>
        <v>-69.84039999999996</v>
      </c>
      <c r="F94" s="4" t="s">
        <v>23</v>
      </c>
      <c r="G94" s="9">
        <f t="shared" si="15"/>
        <v>46113</v>
      </c>
      <c r="H94" s="4">
        <v>1170</v>
      </c>
      <c r="J94" s="13" t="s">
        <v>30</v>
      </c>
      <c r="K94" s="13" t="s">
        <v>35</v>
      </c>
      <c r="L94" s="14">
        <f>IF(O94="USD",Q94*$S$1)</f>
        <v>46269.264999999999</v>
      </c>
      <c r="M94" s="15" t="s">
        <v>29</v>
      </c>
      <c r="N94" s="24" t="s">
        <v>87</v>
      </c>
      <c r="O94" s="24" t="s">
        <v>38</v>
      </c>
      <c r="P94" s="55">
        <v>1.50943396226415E-3</v>
      </c>
      <c r="Q94" s="30">
        <v>9275</v>
      </c>
    </row>
    <row r="95" spans="1:17" x14ac:dyDescent="0.25">
      <c r="A95" s="17" t="str">
        <f t="shared" si="0"/>
        <v>CUSTO OFFSHORE USD 9275 - BGC NDF OFFSHORE - ABRIL 26</v>
      </c>
      <c r="B95" s="18">
        <v>46113</v>
      </c>
      <c r="C95" s="17">
        <v>817395</v>
      </c>
      <c r="D95" s="23" t="s">
        <v>42</v>
      </c>
      <c r="E95" s="19">
        <f t="shared" si="20"/>
        <v>0</v>
      </c>
      <c r="F95" s="17" t="s">
        <v>23</v>
      </c>
      <c r="G95" s="18">
        <f t="shared" si="15"/>
        <v>46113</v>
      </c>
      <c r="H95" s="17">
        <v>1170</v>
      </c>
      <c r="J95" s="20" t="s">
        <v>30</v>
      </c>
      <c r="K95" s="20" t="s">
        <v>35</v>
      </c>
      <c r="L95" s="33">
        <f t="shared" si="9"/>
        <v>46269.264999999999</v>
      </c>
      <c r="M95" s="21" t="s">
        <v>29</v>
      </c>
      <c r="N95" s="25" t="s">
        <v>87</v>
      </c>
      <c r="O95" s="25" t="s">
        <v>38</v>
      </c>
      <c r="P95" s="56">
        <v>0</v>
      </c>
      <c r="Q95" s="26">
        <v>9275</v>
      </c>
    </row>
    <row r="96" spans="1:17" x14ac:dyDescent="0.25">
      <c r="A96" s="4" t="str">
        <f t="shared" si="0"/>
        <v>CUSTO OFFSHORE USD 1897,25 - BGC DI FUTURES - ABRIL 26</v>
      </c>
      <c r="B96" s="9">
        <v>46113</v>
      </c>
      <c r="C96" s="4">
        <v>817395</v>
      </c>
      <c r="D96" s="32" t="s">
        <v>28</v>
      </c>
      <c r="E96" s="10">
        <f t="shared" si="20"/>
        <v>-2714.2046414274241</v>
      </c>
      <c r="F96" s="4" t="s">
        <v>23</v>
      </c>
      <c r="G96" s="9">
        <f t="shared" si="15"/>
        <v>46113</v>
      </c>
      <c r="H96" s="4">
        <v>1170</v>
      </c>
      <c r="J96" s="13" t="s">
        <v>30</v>
      </c>
      <c r="K96" s="13" t="s">
        <v>34</v>
      </c>
      <c r="L96" s="14">
        <f t="shared" si="9"/>
        <v>9464.6213499999994</v>
      </c>
      <c r="M96" s="15" t="s">
        <v>29</v>
      </c>
      <c r="N96" s="24" t="s">
        <v>87</v>
      </c>
      <c r="O96" s="24" t="s">
        <v>38</v>
      </c>
      <c r="P96" s="27">
        <v>0.28677371667144658</v>
      </c>
      <c r="Q96" s="30">
        <v>1897.25</v>
      </c>
    </row>
    <row r="97" spans="1:17" x14ac:dyDescent="0.25">
      <c r="A97" s="4" t="str">
        <f t="shared" si="0"/>
        <v>CUSTO OFFSHORE USD 1897,25 - BGC DI FUTURES - ABRIL 26</v>
      </c>
      <c r="B97" s="9">
        <v>46113</v>
      </c>
      <c r="C97" s="4">
        <v>817395</v>
      </c>
      <c r="D97" s="32" t="s">
        <v>32</v>
      </c>
      <c r="E97" s="10">
        <f t="shared" si="20"/>
        <v>-417.55676910143461</v>
      </c>
      <c r="F97" s="4" t="s">
        <v>23</v>
      </c>
      <c r="G97" s="9">
        <f t="shared" si="15"/>
        <v>46113</v>
      </c>
      <c r="H97" s="4">
        <v>1170</v>
      </c>
      <c r="J97" s="13" t="s">
        <v>30</v>
      </c>
      <c r="K97" s="13" t="s">
        <v>34</v>
      </c>
      <c r="L97" s="14">
        <f t="shared" ref="L97:L105" si="22">IF(O97="USD",Q97*$S$1)</f>
        <v>9464.6213499999994</v>
      </c>
      <c r="M97" s="15" t="s">
        <v>29</v>
      </c>
      <c r="N97" s="24" t="s">
        <v>87</v>
      </c>
      <c r="O97" s="24" t="s">
        <v>38</v>
      </c>
      <c r="P97" s="27">
        <v>4.4117641230458166E-2</v>
      </c>
      <c r="Q97" s="30">
        <v>1897.25</v>
      </c>
    </row>
    <row r="98" spans="1:17" x14ac:dyDescent="0.25">
      <c r="A98" s="4" t="str">
        <f t="shared" si="0"/>
        <v>CUSTO OFFSHORE USD 1897,25 - BGC DI FUTURES - ABRIL 26</v>
      </c>
      <c r="B98" s="9">
        <v>46113</v>
      </c>
      <c r="C98" s="4">
        <v>817395</v>
      </c>
      <c r="D98" s="32" t="s">
        <v>25</v>
      </c>
      <c r="E98" s="10">
        <f t="shared" si="20"/>
        <v>-1043.8919227535866</v>
      </c>
      <c r="F98" s="4" t="s">
        <v>23</v>
      </c>
      <c r="G98" s="9">
        <f t="shared" si="15"/>
        <v>46113</v>
      </c>
      <c r="H98" s="4">
        <v>1170</v>
      </c>
      <c r="J98" s="13" t="s">
        <v>30</v>
      </c>
      <c r="K98" s="13" t="s">
        <v>34</v>
      </c>
      <c r="L98" s="14">
        <f t="shared" si="22"/>
        <v>9464.6213499999994</v>
      </c>
      <c r="M98" s="15" t="s">
        <v>29</v>
      </c>
      <c r="N98" s="24" t="s">
        <v>87</v>
      </c>
      <c r="O98" s="24" t="s">
        <v>38</v>
      </c>
      <c r="P98" s="27">
        <v>0.11029410307614543</v>
      </c>
      <c r="Q98" s="30">
        <v>1897.25</v>
      </c>
    </row>
    <row r="99" spans="1:17" x14ac:dyDescent="0.25">
      <c r="A99" s="4" t="str">
        <f t="shared" si="0"/>
        <v>CUSTO OFFSHORE USD 1897,25 - BGC DI FUTURES - ABRIL 26</v>
      </c>
      <c r="B99" s="9">
        <v>46113</v>
      </c>
      <c r="C99" s="4">
        <v>817395</v>
      </c>
      <c r="D99" s="11" t="s">
        <v>41</v>
      </c>
      <c r="E99" s="28">
        <f t="shared" si="20"/>
        <v>-4314.7532807148245</v>
      </c>
      <c r="F99" s="4" t="s">
        <v>23</v>
      </c>
      <c r="G99" s="9">
        <f t="shared" si="15"/>
        <v>46113</v>
      </c>
      <c r="H99" s="4">
        <v>1170</v>
      </c>
      <c r="J99" s="13" t="s">
        <v>30</v>
      </c>
      <c r="K99" s="13" t="s">
        <v>34</v>
      </c>
      <c r="L99" s="34">
        <f t="shared" si="22"/>
        <v>9464.6213499999994</v>
      </c>
      <c r="M99" s="15" t="s">
        <v>29</v>
      </c>
      <c r="N99" s="24" t="s">
        <v>87</v>
      </c>
      <c r="O99" s="24" t="s">
        <v>38</v>
      </c>
      <c r="P99" s="27">
        <v>0.45588229271473441</v>
      </c>
      <c r="Q99" s="30">
        <v>1897.25</v>
      </c>
    </row>
    <row r="100" spans="1:17" x14ac:dyDescent="0.25">
      <c r="A100" s="17" t="str">
        <f t="shared" ref="A100" si="23">CONCATENATE(J100,Q100,M100,K100,M100,N100)</f>
        <v>CUSTO OFFSHORE USD 1897,25 - BGC DI FUTURES - ABRIL 26</v>
      </c>
      <c r="B100" s="18">
        <v>46113</v>
      </c>
      <c r="C100" s="17">
        <v>817395</v>
      </c>
      <c r="D100" s="23" t="s">
        <v>91</v>
      </c>
      <c r="E100" s="19">
        <f t="shared" ref="E100" si="24">-L100*P100</f>
        <v>-974.21473600272941</v>
      </c>
      <c r="F100" s="17" t="s">
        <v>23</v>
      </c>
      <c r="G100" s="18">
        <f t="shared" ref="G100" si="25">B100</f>
        <v>46113</v>
      </c>
      <c r="H100" s="17">
        <v>1170</v>
      </c>
      <c r="I100" s="31"/>
      <c r="J100" s="20" t="s">
        <v>30</v>
      </c>
      <c r="K100" s="20" t="s">
        <v>34</v>
      </c>
      <c r="L100" s="33">
        <f t="shared" ref="L100" si="26">IF(O100="USD",Q100*$S$1)</f>
        <v>9464.6213499999994</v>
      </c>
      <c r="M100" s="21" t="s">
        <v>29</v>
      </c>
      <c r="N100" s="25" t="s">
        <v>87</v>
      </c>
      <c r="O100" s="25" t="s">
        <v>38</v>
      </c>
      <c r="P100" s="22">
        <v>0.1029322463072154</v>
      </c>
      <c r="Q100" s="26">
        <v>1897.25</v>
      </c>
    </row>
    <row r="101" spans="1:17" x14ac:dyDescent="0.25">
      <c r="A101" s="17" t="str">
        <f t="shared" si="0"/>
        <v>CUSTO OFFSHORE USD 1694,48 - BGC - ABRIL 26</v>
      </c>
      <c r="B101" s="18">
        <v>46113</v>
      </c>
      <c r="C101" s="17">
        <v>817395</v>
      </c>
      <c r="D101" s="23" t="s">
        <v>12</v>
      </c>
      <c r="E101" s="26">
        <f t="shared" si="20"/>
        <v>-1694.48</v>
      </c>
      <c r="F101" s="17" t="s">
        <v>53</v>
      </c>
      <c r="G101" s="18">
        <f t="shared" si="15"/>
        <v>46113</v>
      </c>
      <c r="H101" s="17">
        <v>1170</v>
      </c>
      <c r="J101" s="20" t="s">
        <v>30</v>
      </c>
      <c r="K101" s="20" t="s">
        <v>21</v>
      </c>
      <c r="L101" s="33">
        <f>IF(O101="USD",Q101*$S$1,Q101)</f>
        <v>1694.48</v>
      </c>
      <c r="M101" s="21" t="s">
        <v>29</v>
      </c>
      <c r="N101" s="25" t="s">
        <v>87</v>
      </c>
      <c r="O101" s="25" t="s">
        <v>54</v>
      </c>
      <c r="P101" s="22">
        <v>1</v>
      </c>
      <c r="Q101" s="26">
        <v>1694.48</v>
      </c>
    </row>
    <row r="102" spans="1:17" x14ac:dyDescent="0.25">
      <c r="A102" s="4" t="str">
        <f t="shared" si="0"/>
        <v>CUSTO OFFSHORE USD 3413,29 - BGC - GALBUQUERQUE - ABRIL 26</v>
      </c>
      <c r="B102" s="9">
        <v>46113</v>
      </c>
      <c r="C102" s="4">
        <v>817395</v>
      </c>
      <c r="D102" s="11" t="s">
        <v>47</v>
      </c>
      <c r="E102" s="12">
        <f t="shared" si="20"/>
        <v>-17027.538494</v>
      </c>
      <c r="F102" s="4" t="s">
        <v>36</v>
      </c>
      <c r="G102" s="9">
        <f t="shared" si="15"/>
        <v>46113</v>
      </c>
      <c r="H102" s="4">
        <v>1170</v>
      </c>
      <c r="J102" s="13" t="s">
        <v>30</v>
      </c>
      <c r="K102" s="13" t="s">
        <v>64</v>
      </c>
      <c r="L102" s="14">
        <f t="shared" si="22"/>
        <v>17027.538494</v>
      </c>
      <c r="M102" s="15" t="s">
        <v>29</v>
      </c>
      <c r="N102" s="24" t="s">
        <v>87</v>
      </c>
      <c r="O102" s="24" t="s">
        <v>38</v>
      </c>
      <c r="P102" s="16">
        <v>1</v>
      </c>
      <c r="Q102" s="12">
        <v>3413.29</v>
      </c>
    </row>
    <row r="103" spans="1:17" x14ac:dyDescent="0.25">
      <c r="A103" s="4" t="str">
        <f t="shared" si="0"/>
        <v>CUSTO OFFSHORE USD 3413,29 - BGC - CMALTA - ABRIL 26</v>
      </c>
      <c r="B103" s="9">
        <v>46113</v>
      </c>
      <c r="C103" s="4">
        <v>817395</v>
      </c>
      <c r="D103" s="11" t="s">
        <v>47</v>
      </c>
      <c r="E103" s="12">
        <f t="shared" si="20"/>
        <v>-17027.538494</v>
      </c>
      <c r="F103" s="4" t="s">
        <v>36</v>
      </c>
      <c r="G103" s="9">
        <f t="shared" si="15"/>
        <v>46113</v>
      </c>
      <c r="H103" s="4">
        <v>1170</v>
      </c>
      <c r="J103" s="13" t="s">
        <v>30</v>
      </c>
      <c r="K103" s="13" t="s">
        <v>65</v>
      </c>
      <c r="L103" s="14">
        <f t="shared" si="22"/>
        <v>17027.538494</v>
      </c>
      <c r="M103" s="15" t="s">
        <v>29</v>
      </c>
      <c r="N103" s="24" t="s">
        <v>87</v>
      </c>
      <c r="O103" s="24" t="s">
        <v>38</v>
      </c>
      <c r="P103" s="16">
        <v>1</v>
      </c>
      <c r="Q103" s="12">
        <v>3413.29</v>
      </c>
    </row>
    <row r="104" spans="1:17" x14ac:dyDescent="0.25">
      <c r="A104" s="4" t="str">
        <f t="shared" ref="A104:A105" si="27">CONCATENATE(J104,Q104,M104,K104,M104,N104)</f>
        <v>CUSTO OFFSHORE USD 3413,29 - BGC - CPACINI - ABRIL 26</v>
      </c>
      <c r="B104" s="9">
        <v>46113</v>
      </c>
      <c r="C104" s="4">
        <v>817395</v>
      </c>
      <c r="D104" s="11" t="s">
        <v>61</v>
      </c>
      <c r="E104" s="30">
        <f t="shared" si="20"/>
        <v>-17027.538494</v>
      </c>
      <c r="F104" s="4" t="s">
        <v>36</v>
      </c>
      <c r="G104" s="9">
        <f t="shared" si="15"/>
        <v>46113</v>
      </c>
      <c r="H104" s="4">
        <v>1170</v>
      </c>
      <c r="J104" s="13" t="s">
        <v>30</v>
      </c>
      <c r="K104" s="13" t="s">
        <v>63</v>
      </c>
      <c r="L104" s="14">
        <f t="shared" si="22"/>
        <v>17027.538494</v>
      </c>
      <c r="M104" s="15" t="s">
        <v>29</v>
      </c>
      <c r="N104" s="24" t="s">
        <v>87</v>
      </c>
      <c r="O104" s="24" t="s">
        <v>38</v>
      </c>
      <c r="P104" s="27">
        <v>1</v>
      </c>
      <c r="Q104" s="12">
        <v>3413.29</v>
      </c>
    </row>
    <row r="105" spans="1:17" x14ac:dyDescent="0.25">
      <c r="A105" s="4" t="str">
        <f t="shared" si="27"/>
        <v>CUSTO OFFSHORE USD 3413,29 - BGC - AFIUZA - ABRIL 26</v>
      </c>
      <c r="B105" s="9">
        <v>46113</v>
      </c>
      <c r="C105" s="4">
        <v>817395</v>
      </c>
      <c r="D105" s="11" t="s">
        <v>61</v>
      </c>
      <c r="E105" s="30">
        <f t="shared" si="20"/>
        <v>-17027.538494</v>
      </c>
      <c r="F105" s="4" t="s">
        <v>36</v>
      </c>
      <c r="G105" s="9">
        <f t="shared" si="15"/>
        <v>46113</v>
      </c>
      <c r="H105" s="4">
        <v>1170</v>
      </c>
      <c r="J105" s="13" t="s">
        <v>30</v>
      </c>
      <c r="K105" s="13" t="s">
        <v>62</v>
      </c>
      <c r="L105" s="14">
        <f t="shared" si="22"/>
        <v>17027.538494</v>
      </c>
      <c r="M105" s="15" t="s">
        <v>29</v>
      </c>
      <c r="N105" s="24" t="s">
        <v>87</v>
      </c>
      <c r="O105" s="24" t="s">
        <v>38</v>
      </c>
      <c r="P105" s="27">
        <v>1</v>
      </c>
      <c r="Q105" s="12">
        <v>3413.29</v>
      </c>
    </row>
    <row r="106" spans="1:17" x14ac:dyDescent="0.25">
      <c r="A106" s="4" t="str">
        <f>CONCATENATE(J106,Q107,M106,K106,M106,N106)</f>
        <v>CUSTO OFFSHORE USD 3413,29 - BGC - JJUNQUEIRA - ABRIL 26</v>
      </c>
      <c r="B106" s="9">
        <v>46113</v>
      </c>
      <c r="C106" s="4">
        <v>817395</v>
      </c>
      <c r="D106" s="11" t="s">
        <v>12</v>
      </c>
      <c r="E106" s="30">
        <f t="shared" si="20"/>
        <v>-17027.538494</v>
      </c>
      <c r="F106" s="4" t="s">
        <v>36</v>
      </c>
      <c r="G106" s="9">
        <f t="shared" si="15"/>
        <v>46113</v>
      </c>
      <c r="H106" s="4">
        <v>1170</v>
      </c>
      <c r="J106" s="13" t="s">
        <v>30</v>
      </c>
      <c r="K106" s="13" t="s">
        <v>66</v>
      </c>
      <c r="L106" s="14">
        <f>IF(O106="USD",Q107*$S$1)</f>
        <v>17027.538494</v>
      </c>
      <c r="M106" s="15" t="s">
        <v>29</v>
      </c>
      <c r="N106" s="24" t="s">
        <v>87</v>
      </c>
      <c r="O106" s="24" t="s">
        <v>38</v>
      </c>
      <c r="P106" s="27">
        <v>1</v>
      </c>
      <c r="Q106" s="30">
        <v>3413.29</v>
      </c>
    </row>
    <row r="107" spans="1:17" x14ac:dyDescent="0.25">
      <c r="A107" s="17" t="str">
        <f>CONCATENATE(J107,Q107,M107,K107,M107,N107)</f>
        <v>CUSTO OFFSHORE USD 3413,29 - BGC - ASOARES - ABRIL 26</v>
      </c>
      <c r="B107" s="18">
        <v>46113</v>
      </c>
      <c r="C107" s="17">
        <v>817395</v>
      </c>
      <c r="D107" s="23" t="s">
        <v>12</v>
      </c>
      <c r="E107" s="19">
        <f t="shared" si="20"/>
        <v>-17027.538494</v>
      </c>
      <c r="F107" s="17" t="s">
        <v>36</v>
      </c>
      <c r="G107" s="18">
        <f t="shared" si="15"/>
        <v>46113</v>
      </c>
      <c r="H107" s="17">
        <v>1170</v>
      </c>
      <c r="J107" s="20" t="s">
        <v>30</v>
      </c>
      <c r="K107" s="20" t="s">
        <v>67</v>
      </c>
      <c r="L107" s="33">
        <f>IF(O107="USD",Q107*$S$1)</f>
        <v>17027.538494</v>
      </c>
      <c r="M107" s="21" t="s">
        <v>29</v>
      </c>
      <c r="N107" s="25" t="s">
        <v>87</v>
      </c>
      <c r="O107" s="25" t="s">
        <v>38</v>
      </c>
      <c r="P107" s="22">
        <v>1</v>
      </c>
      <c r="Q107" s="30">
        <v>3413.29</v>
      </c>
    </row>
    <row r="108" spans="1:17" x14ac:dyDescent="0.25">
      <c r="A108" s="4" t="str">
        <f t="shared" ref="A108:A143" si="28">CONCATENATE(J108,Q108,M108,K108,M108,N108)</f>
        <v>CUSTO OFFSHORE USD 34,9588843631348 - ASSET1 - ABRIL 26</v>
      </c>
      <c r="B108" s="9">
        <v>46113</v>
      </c>
      <c r="C108" s="4">
        <v>817395</v>
      </c>
      <c r="D108" s="11" t="s">
        <v>12</v>
      </c>
      <c r="E108" s="12">
        <f>-L108*P108</f>
        <v>-58.143589904013673</v>
      </c>
      <c r="F108" s="4" t="s">
        <v>44</v>
      </c>
      <c r="G108" s="9">
        <f t="shared" si="15"/>
        <v>46113</v>
      </c>
      <c r="H108" s="4">
        <v>80834</v>
      </c>
      <c r="J108" s="13" t="s">
        <v>30</v>
      </c>
      <c r="K108" s="13" t="s">
        <v>14</v>
      </c>
      <c r="L108" s="14">
        <f>IF(O108="USD",Q108*$S$1)</f>
        <v>174.39589053393425</v>
      </c>
      <c r="M108" s="15" t="s">
        <v>29</v>
      </c>
      <c r="N108" s="24" t="s">
        <v>87</v>
      </c>
      <c r="O108" s="24" t="s">
        <v>38</v>
      </c>
      <c r="P108" s="16">
        <v>0.33339999999999997</v>
      </c>
      <c r="Q108" s="35">
        <v>34.9588843631348</v>
      </c>
    </row>
    <row r="109" spans="1:17" x14ac:dyDescent="0.25">
      <c r="A109" s="4" t="str">
        <f t="shared" si="28"/>
        <v>CUSTO OFFSHORE USD 34,9588843631348 - ASSET1 - ABRIL 26</v>
      </c>
      <c r="B109" s="9">
        <v>46113</v>
      </c>
      <c r="C109" s="4">
        <v>817395</v>
      </c>
      <c r="D109" s="11" t="s">
        <v>45</v>
      </c>
      <c r="E109" s="12">
        <f t="shared" ref="E109:E143" si="29">-L109*P109</f>
        <v>-58.126150314960285</v>
      </c>
      <c r="F109" s="4" t="s">
        <v>44</v>
      </c>
      <c r="G109" s="9">
        <f t="shared" si="15"/>
        <v>46113</v>
      </c>
      <c r="H109" s="4">
        <v>80834</v>
      </c>
      <c r="J109" s="13" t="s">
        <v>30</v>
      </c>
      <c r="K109" s="13" t="s">
        <v>14</v>
      </c>
      <c r="L109" s="14">
        <f t="shared" ref="L109:L138" si="30">IF(O109="USD",Q109*$S$1)</f>
        <v>174.39589053393425</v>
      </c>
      <c r="M109" s="15" t="s">
        <v>29</v>
      </c>
      <c r="N109" s="24" t="s">
        <v>87</v>
      </c>
      <c r="O109" s="24" t="s">
        <v>38</v>
      </c>
      <c r="P109" s="16">
        <v>0.33329999999999999</v>
      </c>
      <c r="Q109" s="36">
        <v>34.9588843631348</v>
      </c>
    </row>
    <row r="110" spans="1:17" x14ac:dyDescent="0.25">
      <c r="A110" s="4" t="str">
        <f>CONCATENATE(J110,Q110,M110,K110,M110,N110)</f>
        <v>CUSTO OFFSHORE USD 34,9588843631348 - ASSET1 - ABRIL 26</v>
      </c>
      <c r="B110" s="9">
        <v>46113</v>
      </c>
      <c r="C110" s="4">
        <v>817395</v>
      </c>
      <c r="D110" s="11" t="s">
        <v>46</v>
      </c>
      <c r="E110" s="12">
        <f t="shared" si="29"/>
        <v>-58.126150314960285</v>
      </c>
      <c r="F110" s="4" t="s">
        <v>44</v>
      </c>
      <c r="G110" s="9">
        <f t="shared" si="15"/>
        <v>46113</v>
      </c>
      <c r="H110" s="4">
        <v>80834</v>
      </c>
      <c r="J110" s="13" t="s">
        <v>30</v>
      </c>
      <c r="K110" s="13" t="s">
        <v>14</v>
      </c>
      <c r="L110" s="14">
        <f t="shared" si="30"/>
        <v>174.39589053393425</v>
      </c>
      <c r="M110" s="15" t="s">
        <v>29</v>
      </c>
      <c r="N110" s="24" t="s">
        <v>87</v>
      </c>
      <c r="O110" s="24" t="s">
        <v>38</v>
      </c>
      <c r="P110" s="16">
        <v>0.33329999999999999</v>
      </c>
      <c r="Q110" s="37">
        <v>34.9588843631348</v>
      </c>
    </row>
    <row r="111" spans="1:17" x14ac:dyDescent="0.25">
      <c r="A111" s="4" t="str">
        <f t="shared" si="28"/>
        <v>CUSTO OFFSHORE USD 174,540180045365 - RPS - ABRIL 26</v>
      </c>
      <c r="B111" s="9">
        <v>46113</v>
      </c>
      <c r="C111" s="4">
        <v>817395</v>
      </c>
      <c r="D111" s="11" t="s">
        <v>45</v>
      </c>
      <c r="E111" s="10">
        <f t="shared" si="29"/>
        <v>-435.35557108715375</v>
      </c>
      <c r="F111" s="4" t="s">
        <v>44</v>
      </c>
      <c r="G111" s="9">
        <f t="shared" si="15"/>
        <v>46113</v>
      </c>
      <c r="H111" s="4">
        <v>12339</v>
      </c>
      <c r="J111" s="13" t="s">
        <v>30</v>
      </c>
      <c r="K111" s="13" t="s">
        <v>16</v>
      </c>
      <c r="L111" s="14">
        <f t="shared" si="30"/>
        <v>870.7111421743075</v>
      </c>
      <c r="M111" s="15" t="s">
        <v>29</v>
      </c>
      <c r="N111" s="24" t="s">
        <v>87</v>
      </c>
      <c r="O111" s="24" t="s">
        <v>38</v>
      </c>
      <c r="P111" s="16">
        <v>0.5</v>
      </c>
      <c r="Q111" s="35">
        <v>174.54018004536493</v>
      </c>
    </row>
    <row r="112" spans="1:17" x14ac:dyDescent="0.25">
      <c r="A112" s="4" t="str">
        <f t="shared" si="28"/>
        <v>CUSTO OFFSHORE USD 174,540180045365 - RPS - ABRIL 26</v>
      </c>
      <c r="B112" s="9">
        <v>46113</v>
      </c>
      <c r="C112" s="4">
        <v>817395</v>
      </c>
      <c r="D112" s="11" t="s">
        <v>12</v>
      </c>
      <c r="E112" s="10">
        <f t="shared" si="29"/>
        <v>-435.35557108715375</v>
      </c>
      <c r="F112" s="4" t="s">
        <v>44</v>
      </c>
      <c r="G112" s="9">
        <f t="shared" si="15"/>
        <v>46113</v>
      </c>
      <c r="H112" s="4">
        <v>12339</v>
      </c>
      <c r="J112" s="13" t="s">
        <v>30</v>
      </c>
      <c r="K112" s="13" t="s">
        <v>16</v>
      </c>
      <c r="L112" s="14">
        <f t="shared" si="30"/>
        <v>870.7111421743075</v>
      </c>
      <c r="M112" s="15" t="s">
        <v>29</v>
      </c>
      <c r="N112" s="24" t="s">
        <v>87</v>
      </c>
      <c r="O112" s="24" t="s">
        <v>38</v>
      </c>
      <c r="P112" s="16">
        <v>0.5</v>
      </c>
      <c r="Q112" s="37">
        <v>174.54018004536493</v>
      </c>
    </row>
    <row r="113" spans="1:17" x14ac:dyDescent="0.25">
      <c r="A113" s="4" t="str">
        <f t="shared" si="28"/>
        <v>CUSTO OFFSHORE USD 11668,9379502515 - GOLDMAN SACHS IL - BRAS - ABRIL 26</v>
      </c>
      <c r="B113" s="9">
        <v>46113</v>
      </c>
      <c r="C113" s="4">
        <v>817395</v>
      </c>
      <c r="D113" s="11" t="s">
        <v>12</v>
      </c>
      <c r="E113" s="10">
        <f t="shared" si="29"/>
        <v>-58211.663858624845</v>
      </c>
      <c r="F113" s="4" t="s">
        <v>44</v>
      </c>
      <c r="G113" s="9">
        <f t="shared" si="15"/>
        <v>46113</v>
      </c>
      <c r="H113" s="4">
        <v>79791</v>
      </c>
      <c r="J113" s="13" t="s">
        <v>30</v>
      </c>
      <c r="K113" s="13" t="s">
        <v>24</v>
      </c>
      <c r="L113" s="14">
        <f t="shared" si="30"/>
        <v>58211.663858624845</v>
      </c>
      <c r="M113" s="15" t="s">
        <v>29</v>
      </c>
      <c r="N113" s="24" t="s">
        <v>87</v>
      </c>
      <c r="O113" s="24" t="s">
        <v>38</v>
      </c>
      <c r="P113" s="16">
        <v>1</v>
      </c>
      <c r="Q113" s="12">
        <v>11668.937950251542</v>
      </c>
    </row>
    <row r="114" spans="1:17" x14ac:dyDescent="0.25">
      <c r="A114" s="4" t="str">
        <f t="shared" si="28"/>
        <v>CUSTO OFFSHORE USD 65,5351960923623 - ITAÚ - MSCO - ABRIL 26</v>
      </c>
      <c r="B114" s="9">
        <v>46113</v>
      </c>
      <c r="C114" s="4">
        <v>817395</v>
      </c>
      <c r="D114" s="11" t="s">
        <v>12</v>
      </c>
      <c r="E114" s="10">
        <f t="shared" si="29"/>
        <v>-326.92887922635856</v>
      </c>
      <c r="F114" s="4" t="s">
        <v>44</v>
      </c>
      <c r="G114" s="9">
        <f t="shared" si="15"/>
        <v>46113</v>
      </c>
      <c r="H114" s="4">
        <v>79460</v>
      </c>
      <c r="J114" s="13" t="s">
        <v>30</v>
      </c>
      <c r="K114" s="13" t="s">
        <v>17</v>
      </c>
      <c r="L114" s="14">
        <f t="shared" si="30"/>
        <v>326.92887922635856</v>
      </c>
      <c r="M114" s="15" t="s">
        <v>29</v>
      </c>
      <c r="N114" s="24" t="s">
        <v>87</v>
      </c>
      <c r="O114" s="24" t="s">
        <v>38</v>
      </c>
      <c r="P114" s="16">
        <v>1</v>
      </c>
      <c r="Q114" s="12">
        <v>65.535196092362298</v>
      </c>
    </row>
    <row r="115" spans="1:17" x14ac:dyDescent="0.25">
      <c r="A115" s="4" t="str">
        <f t="shared" si="28"/>
        <v>CUSTO OFFSHORE USD 1599,83898641567 - ITAÚ - NASSAU - ABRIL 26</v>
      </c>
      <c r="B115" s="9">
        <v>46113</v>
      </c>
      <c r="C115" s="4">
        <v>817395</v>
      </c>
      <c r="D115" s="11" t="s">
        <v>12</v>
      </c>
      <c r="E115" s="10">
        <f t="shared" si="29"/>
        <v>-7980.9567676332063</v>
      </c>
      <c r="F115" s="4" t="s">
        <v>44</v>
      </c>
      <c r="G115" s="9">
        <f t="shared" si="15"/>
        <v>46113</v>
      </c>
      <c r="H115" s="4">
        <v>79460</v>
      </c>
      <c r="J115" s="13" t="s">
        <v>30</v>
      </c>
      <c r="K115" s="13" t="s">
        <v>18</v>
      </c>
      <c r="L115" s="14">
        <f t="shared" si="30"/>
        <v>7980.9567676332063</v>
      </c>
      <c r="M115" s="15" t="s">
        <v>29</v>
      </c>
      <c r="N115" s="24" t="s">
        <v>87</v>
      </c>
      <c r="O115" s="24" t="s">
        <v>38</v>
      </c>
      <c r="P115" s="16">
        <v>1</v>
      </c>
      <c r="Q115" s="12">
        <v>1599.8389864156691</v>
      </c>
    </row>
    <row r="116" spans="1:17" x14ac:dyDescent="0.25">
      <c r="A116" s="4" t="str">
        <f t="shared" si="28"/>
        <v>CUSTO OFFSHORE USD 3483,73226131596 - XPADVISORY_MO - ABRIL 26</v>
      </c>
      <c r="B116" s="9">
        <v>46113</v>
      </c>
      <c r="C116" s="4">
        <v>817395</v>
      </c>
      <c r="D116" s="11" t="s">
        <v>50</v>
      </c>
      <c r="E116" s="28">
        <f t="shared" si="29"/>
        <v>-17378.946758800812</v>
      </c>
      <c r="F116" s="4" t="s">
        <v>44</v>
      </c>
      <c r="G116" s="9">
        <f t="shared" si="15"/>
        <v>46113</v>
      </c>
      <c r="H116" s="4">
        <v>80769</v>
      </c>
      <c r="J116" s="13" t="s">
        <v>30</v>
      </c>
      <c r="K116" s="13" t="s">
        <v>49</v>
      </c>
      <c r="L116" s="14">
        <f t="shared" si="30"/>
        <v>17378.946758800812</v>
      </c>
      <c r="M116" s="15" t="s">
        <v>29</v>
      </c>
      <c r="N116" s="24" t="s">
        <v>87</v>
      </c>
      <c r="O116" s="24" t="s">
        <v>38</v>
      </c>
      <c r="P116" s="27">
        <v>1</v>
      </c>
      <c r="Q116" s="30">
        <v>3483.7322613159631</v>
      </c>
    </row>
    <row r="117" spans="1:17" x14ac:dyDescent="0.25">
      <c r="A117" s="4" t="str">
        <f>CONCATENATE(J117,Q117,M117,K117,M117,N117)</f>
        <v>CUSTO OFFSHORE USD 30,801283648669 - VINLAND  - ABRIL 26</v>
      </c>
      <c r="B117" s="9">
        <v>46113</v>
      </c>
      <c r="C117" s="4">
        <v>817395</v>
      </c>
      <c r="D117" s="11" t="s">
        <v>47</v>
      </c>
      <c r="E117" s="28">
        <f t="shared" si="29"/>
        <v>-153.65528360975037</v>
      </c>
      <c r="F117" s="4" t="s">
        <v>44</v>
      </c>
      <c r="G117" s="9">
        <f t="shared" si="15"/>
        <v>46113</v>
      </c>
      <c r="H117" s="4">
        <v>80359</v>
      </c>
      <c r="J117" s="13" t="s">
        <v>30</v>
      </c>
      <c r="K117" s="13" t="s">
        <v>20</v>
      </c>
      <c r="L117" s="14">
        <f>IF(O117="USD",Q117*$S$1)</f>
        <v>153.65528360975037</v>
      </c>
      <c r="M117" s="15" t="s">
        <v>29</v>
      </c>
      <c r="N117" s="24" t="s">
        <v>87</v>
      </c>
      <c r="O117" s="24" t="s">
        <v>38</v>
      </c>
      <c r="P117" s="27">
        <v>1</v>
      </c>
      <c r="Q117" s="30">
        <v>30.801283648669038</v>
      </c>
    </row>
    <row r="118" spans="1:17" x14ac:dyDescent="0.25">
      <c r="A118" s="4" t="str">
        <f>CONCATENATE(J118,Q118,M118,K118,M118,N118)</f>
        <v>CUSTO OFFSHORE USD 1301,02542904324 - SCHONFELD_MO - ABRIL 26</v>
      </c>
      <c r="B118" s="9">
        <v>46113</v>
      </c>
      <c r="C118" s="4">
        <v>817395</v>
      </c>
      <c r="D118" s="11" t="s">
        <v>47</v>
      </c>
      <c r="E118" s="30">
        <f t="shared" si="29"/>
        <v>-6490.295455325092</v>
      </c>
      <c r="F118" s="4" t="s">
        <v>44</v>
      </c>
      <c r="G118" s="9">
        <f t="shared" si="15"/>
        <v>46113</v>
      </c>
      <c r="H118" s="4">
        <v>83061</v>
      </c>
      <c r="J118" s="13" t="s">
        <v>30</v>
      </c>
      <c r="K118" s="13" t="s">
        <v>59</v>
      </c>
      <c r="L118" s="14">
        <f>IF(O118="USD",Q118*$S$1)</f>
        <v>6490.295455325092</v>
      </c>
      <c r="M118" s="15" t="s">
        <v>29</v>
      </c>
      <c r="N118" s="24" t="s">
        <v>87</v>
      </c>
      <c r="O118" s="24" t="s">
        <v>38</v>
      </c>
      <c r="P118" s="27">
        <v>1</v>
      </c>
      <c r="Q118" s="30">
        <v>1301.025429043237</v>
      </c>
    </row>
    <row r="119" spans="1:17" x14ac:dyDescent="0.25">
      <c r="A119" s="4" t="str">
        <f t="shared" ref="A119" si="31">CONCATENATE(J119,Q119,M119,K119,M119,N119)</f>
        <v>CUSTO OFFSHORE USD 0,454003161266174 - GENOA_MO - ABRIL 26</v>
      </c>
      <c r="B119" s="9">
        <v>46113</v>
      </c>
      <c r="C119" s="4">
        <v>817395</v>
      </c>
      <c r="D119" s="11" t="s">
        <v>12</v>
      </c>
      <c r="E119" s="30">
        <f t="shared" si="29"/>
        <v>-2.2648401702924335</v>
      </c>
      <c r="F119" s="4" t="s">
        <v>44</v>
      </c>
      <c r="G119" s="9">
        <f t="shared" si="15"/>
        <v>46113</v>
      </c>
      <c r="H119" s="4">
        <v>80883</v>
      </c>
      <c r="J119" s="13" t="s">
        <v>30</v>
      </c>
      <c r="K119" s="13" t="s">
        <v>90</v>
      </c>
      <c r="L119" s="14">
        <f t="shared" ref="L119" si="32">IF(O119="USD",Q119*$S$1)</f>
        <v>2.2648401702924335</v>
      </c>
      <c r="M119" s="15" t="s">
        <v>29</v>
      </c>
      <c r="N119" s="24" t="s">
        <v>87</v>
      </c>
      <c r="O119" s="24" t="s">
        <v>38</v>
      </c>
      <c r="P119" s="16">
        <v>1</v>
      </c>
      <c r="Q119" s="12">
        <v>0.45400316126617357</v>
      </c>
    </row>
    <row r="120" spans="1:17" x14ac:dyDescent="0.25">
      <c r="A120" s="4" t="str">
        <f t="shared" si="28"/>
        <v>CUSTO OFFSHORE USD  - BNP_MO - ABRIL 26</v>
      </c>
      <c r="B120" s="9">
        <v>46113</v>
      </c>
      <c r="C120" s="4">
        <v>817395</v>
      </c>
      <c r="D120" s="11" t="s">
        <v>12</v>
      </c>
      <c r="E120" s="30">
        <f t="shared" si="29"/>
        <v>0</v>
      </c>
      <c r="F120" s="4" t="s">
        <v>44</v>
      </c>
      <c r="G120" s="9">
        <f t="shared" si="15"/>
        <v>46113</v>
      </c>
      <c r="H120" s="4">
        <v>95005</v>
      </c>
      <c r="J120" s="13" t="s">
        <v>30</v>
      </c>
      <c r="K120" s="13" t="s">
        <v>57</v>
      </c>
      <c r="L120" s="14">
        <f t="shared" si="30"/>
        <v>0</v>
      </c>
      <c r="M120" s="15" t="s">
        <v>29</v>
      </c>
      <c r="N120" s="24" t="s">
        <v>87</v>
      </c>
      <c r="O120" s="24" t="s">
        <v>38</v>
      </c>
      <c r="P120" s="16">
        <v>1</v>
      </c>
      <c r="Q120" s="12"/>
    </row>
    <row r="121" spans="1:17" x14ac:dyDescent="0.25">
      <c r="A121" s="4" t="str">
        <f t="shared" si="28"/>
        <v>CUSTO OFFSHORE USD 128,915532944945 - MSIPLC_SUN - ABRIL 26</v>
      </c>
      <c r="B121" s="9">
        <v>46113</v>
      </c>
      <c r="C121" s="4">
        <v>817395</v>
      </c>
      <c r="D121" s="11" t="s">
        <v>88</v>
      </c>
      <c r="E121" s="30">
        <f t="shared" si="29"/>
        <v>-643.10802764915491</v>
      </c>
      <c r="F121" s="4" t="s">
        <v>44</v>
      </c>
      <c r="G121" s="9">
        <f t="shared" si="15"/>
        <v>46113</v>
      </c>
      <c r="H121" s="4">
        <v>80754</v>
      </c>
      <c r="J121" s="13" t="s">
        <v>30</v>
      </c>
      <c r="K121" s="13" t="s">
        <v>89</v>
      </c>
      <c r="L121" s="14">
        <f t="shared" si="30"/>
        <v>643.10802764915491</v>
      </c>
      <c r="M121" s="15" t="s">
        <v>29</v>
      </c>
      <c r="N121" s="24" t="s">
        <v>87</v>
      </c>
      <c r="O121" s="24" t="s">
        <v>38</v>
      </c>
      <c r="P121" s="27">
        <v>1</v>
      </c>
      <c r="Q121" s="30">
        <v>128.91553294494545</v>
      </c>
    </row>
    <row r="122" spans="1:17" x14ac:dyDescent="0.25">
      <c r="A122" s="4" t="str">
        <f t="shared" si="28"/>
        <v>CUSTO OFFSHORE USD 0,961418459151897 - ADAMGestao_MO - ABRIL 26</v>
      </c>
      <c r="B122" s="9">
        <v>46113</v>
      </c>
      <c r="C122" s="4">
        <v>817395</v>
      </c>
      <c r="D122" s="11" t="s">
        <v>12</v>
      </c>
      <c r="E122" s="30">
        <f t="shared" si="29"/>
        <v>-4.796132125325153</v>
      </c>
      <c r="F122" s="4" t="s">
        <v>44</v>
      </c>
      <c r="G122" s="9">
        <f t="shared" si="15"/>
        <v>46113</v>
      </c>
      <c r="H122" s="4">
        <v>79973</v>
      </c>
      <c r="J122" s="13" t="s">
        <v>30</v>
      </c>
      <c r="K122" s="13" t="s">
        <v>77</v>
      </c>
      <c r="L122" s="14">
        <f t="shared" si="30"/>
        <v>4.796132125325153</v>
      </c>
      <c r="M122" s="15" t="s">
        <v>29</v>
      </c>
      <c r="N122" s="24" t="s">
        <v>87</v>
      </c>
      <c r="O122" s="24" t="s">
        <v>38</v>
      </c>
      <c r="P122" s="27">
        <v>1</v>
      </c>
      <c r="Q122" s="26">
        <v>0.96141845915189694</v>
      </c>
    </row>
    <row r="123" spans="1:17" x14ac:dyDescent="0.25">
      <c r="A123" s="4" t="str">
        <f t="shared" si="28"/>
        <v>CUSTO OFFSHORE USD 48,4285706243994 - SPRINGS_MO - ABRIL 26</v>
      </c>
      <c r="B123" s="9">
        <v>46113</v>
      </c>
      <c r="C123" s="4">
        <v>817395</v>
      </c>
      <c r="D123" s="11" t="s">
        <v>12</v>
      </c>
      <c r="E123" s="30">
        <f t="shared" si="29"/>
        <v>-161.04440556009129</v>
      </c>
      <c r="F123" s="4" t="s">
        <v>44</v>
      </c>
      <c r="G123" s="9">
        <f t="shared" si="15"/>
        <v>46113</v>
      </c>
      <c r="H123" s="4">
        <v>82748</v>
      </c>
      <c r="J123" s="13" t="s">
        <v>30</v>
      </c>
      <c r="K123" s="13" t="s">
        <v>56</v>
      </c>
      <c r="L123" s="14">
        <f t="shared" si="30"/>
        <v>241.59076741687863</v>
      </c>
      <c r="M123" s="15" t="s">
        <v>29</v>
      </c>
      <c r="N123" s="24" t="s">
        <v>87</v>
      </c>
      <c r="O123" s="24" t="s">
        <v>38</v>
      </c>
      <c r="P123" s="16">
        <v>0.66659999999999997</v>
      </c>
      <c r="Q123" s="35">
        <v>48.428570624399356</v>
      </c>
    </row>
    <row r="124" spans="1:17" x14ac:dyDescent="0.25">
      <c r="A124" s="4" t="str">
        <f t="shared" si="28"/>
        <v>CUSTO OFFSHORE USD 48,4285706243994 - SPRINGS_MO - ABRIL 26</v>
      </c>
      <c r="B124" s="9">
        <v>46113</v>
      </c>
      <c r="C124" s="4">
        <v>817395</v>
      </c>
      <c r="D124" s="11" t="s">
        <v>45</v>
      </c>
      <c r="E124" s="30">
        <f t="shared" si="29"/>
        <v>-80.522202780045646</v>
      </c>
      <c r="F124" s="4" t="s">
        <v>44</v>
      </c>
      <c r="G124" s="9">
        <f t="shared" si="15"/>
        <v>46113</v>
      </c>
      <c r="H124" s="4">
        <v>82748</v>
      </c>
      <c r="J124" s="13" t="s">
        <v>30</v>
      </c>
      <c r="K124" s="13" t="s">
        <v>56</v>
      </c>
      <c r="L124" s="14">
        <f t="shared" si="30"/>
        <v>241.59076741687863</v>
      </c>
      <c r="M124" s="15" t="s">
        <v>29</v>
      </c>
      <c r="N124" s="24" t="s">
        <v>87</v>
      </c>
      <c r="O124" s="24" t="s">
        <v>38</v>
      </c>
      <c r="P124" s="16">
        <v>0.33329999999999999</v>
      </c>
      <c r="Q124" s="37">
        <v>48.428570624399356</v>
      </c>
    </row>
    <row r="125" spans="1:17" x14ac:dyDescent="0.25">
      <c r="A125" s="4" t="str">
        <f t="shared" si="28"/>
        <v>CUSTO OFFSHORE USD 772,095081581519 - KAPITALO - ABRIL 26</v>
      </c>
      <c r="B125" s="9">
        <v>46113</v>
      </c>
      <c r="C125" s="4">
        <v>817395</v>
      </c>
      <c r="D125" s="11" t="s">
        <v>12</v>
      </c>
      <c r="E125" s="28">
        <f t="shared" si="29"/>
        <v>-2888.755142983176</v>
      </c>
      <c r="F125" s="4" t="s">
        <v>44</v>
      </c>
      <c r="G125" s="9">
        <f t="shared" si="15"/>
        <v>46113</v>
      </c>
      <c r="H125" s="4">
        <v>12413</v>
      </c>
      <c r="J125" s="13" t="s">
        <v>30</v>
      </c>
      <c r="K125" s="13" t="s">
        <v>26</v>
      </c>
      <c r="L125" s="14">
        <f t="shared" si="30"/>
        <v>3851.673523977568</v>
      </c>
      <c r="M125" s="15" t="s">
        <v>29</v>
      </c>
      <c r="N125" s="24" t="s">
        <v>87</v>
      </c>
      <c r="O125" s="24" t="s">
        <v>38</v>
      </c>
      <c r="P125" s="27">
        <v>0.75</v>
      </c>
      <c r="Q125" s="35">
        <v>772.09508158151948</v>
      </c>
    </row>
    <row r="126" spans="1:17" x14ac:dyDescent="0.25">
      <c r="A126" s="4" t="str">
        <f t="shared" si="28"/>
        <v>CUSTO OFFSHORE USD 772,095081581519 - KAPITALO - ABRIL 26</v>
      </c>
      <c r="B126" s="9">
        <v>46113</v>
      </c>
      <c r="C126" s="4">
        <v>817395</v>
      </c>
      <c r="D126" s="11" t="s">
        <v>45</v>
      </c>
      <c r="E126" s="28">
        <f t="shared" si="29"/>
        <v>-962.91838099439201</v>
      </c>
      <c r="F126" s="4" t="s">
        <v>44</v>
      </c>
      <c r="G126" s="9">
        <f t="shared" si="15"/>
        <v>46113</v>
      </c>
      <c r="H126" s="4">
        <v>12413</v>
      </c>
      <c r="J126" s="13" t="s">
        <v>30</v>
      </c>
      <c r="K126" s="13" t="s">
        <v>26</v>
      </c>
      <c r="L126" s="14">
        <f t="shared" si="30"/>
        <v>3851.673523977568</v>
      </c>
      <c r="M126" s="15" t="s">
        <v>29</v>
      </c>
      <c r="N126" s="24" t="s">
        <v>87</v>
      </c>
      <c r="O126" s="24" t="s">
        <v>38</v>
      </c>
      <c r="P126" s="27">
        <v>0.25</v>
      </c>
      <c r="Q126" s="36">
        <v>772.09508158151948</v>
      </c>
    </row>
    <row r="127" spans="1:17" x14ac:dyDescent="0.25">
      <c r="A127" s="4" t="str">
        <f t="shared" si="28"/>
        <v>CUSTO OFFSHORE USD 73,87 - CITIGBL_MO - ABRIL 26</v>
      </c>
      <c r="B127" s="9">
        <v>46113</v>
      </c>
      <c r="C127" s="4">
        <v>817395</v>
      </c>
      <c r="D127" s="11" t="s">
        <v>12</v>
      </c>
      <c r="E127" s="28">
        <f t="shared" si="29"/>
        <v>-184.253941</v>
      </c>
      <c r="F127" s="4" t="s">
        <v>44</v>
      </c>
      <c r="G127" s="9">
        <f t="shared" si="15"/>
        <v>46113</v>
      </c>
      <c r="H127" s="4">
        <v>79791</v>
      </c>
      <c r="J127" s="13" t="s">
        <v>30</v>
      </c>
      <c r="K127" s="13" t="s">
        <v>48</v>
      </c>
      <c r="L127" s="14">
        <f t="shared" si="30"/>
        <v>368.507882</v>
      </c>
      <c r="M127" s="15" t="s">
        <v>29</v>
      </c>
      <c r="N127" s="24" t="s">
        <v>87</v>
      </c>
      <c r="O127" s="24" t="s">
        <v>38</v>
      </c>
      <c r="P127" s="27">
        <v>0.5</v>
      </c>
      <c r="Q127" s="35">
        <v>73.87</v>
      </c>
    </row>
    <row r="128" spans="1:17" x14ac:dyDescent="0.25">
      <c r="A128" s="4" t="str">
        <f t="shared" si="28"/>
        <v>CUSTO OFFSHORE USD 73,87 - CITIGBL_MO - ABRIL 26</v>
      </c>
      <c r="B128" s="9">
        <v>46113</v>
      </c>
      <c r="C128" s="4">
        <v>817395</v>
      </c>
      <c r="D128" s="11" t="s">
        <v>45</v>
      </c>
      <c r="E128" s="28">
        <f t="shared" si="29"/>
        <v>-184.253941</v>
      </c>
      <c r="F128" s="4" t="s">
        <v>44</v>
      </c>
      <c r="G128" s="9">
        <f t="shared" si="15"/>
        <v>46113</v>
      </c>
      <c r="H128" s="4">
        <v>79791</v>
      </c>
      <c r="J128" s="13" t="s">
        <v>30</v>
      </c>
      <c r="K128" s="13" t="s">
        <v>48</v>
      </c>
      <c r="L128" s="14">
        <f t="shared" si="30"/>
        <v>368.507882</v>
      </c>
      <c r="M128" s="15" t="s">
        <v>29</v>
      </c>
      <c r="N128" s="24" t="s">
        <v>87</v>
      </c>
      <c r="O128" s="24" t="s">
        <v>38</v>
      </c>
      <c r="P128" s="27">
        <v>0.5</v>
      </c>
      <c r="Q128" s="37">
        <v>73.87</v>
      </c>
    </row>
    <row r="129" spans="1:17" x14ac:dyDescent="0.25">
      <c r="A129" s="4" t="str">
        <f>CONCATENATE(J129,Q129,M129,K129,M129,N129)</f>
        <v>CUSTO OFFSHORE USD 235,972683099706 - BRADESCO_BZL - ABRIL 26</v>
      </c>
      <c r="B129" s="9">
        <v>46113</v>
      </c>
      <c r="C129" s="4">
        <v>817395</v>
      </c>
      <c r="D129" s="11" t="s">
        <v>12</v>
      </c>
      <c r="E129" s="28">
        <f t="shared" si="29"/>
        <v>-882.87999518339643</v>
      </c>
      <c r="F129" s="4" t="s">
        <v>44</v>
      </c>
      <c r="G129" s="9">
        <f t="shared" si="15"/>
        <v>46113</v>
      </c>
      <c r="H129" s="4">
        <v>16705</v>
      </c>
      <c r="J129" s="13" t="s">
        <v>30</v>
      </c>
      <c r="K129" s="13" t="s">
        <v>27</v>
      </c>
      <c r="L129" s="14">
        <f>IF(O129="USD",Q129*$S$1)</f>
        <v>1177.1733269111953</v>
      </c>
      <c r="M129" s="15" t="s">
        <v>29</v>
      </c>
      <c r="N129" s="24" t="s">
        <v>87</v>
      </c>
      <c r="O129" s="24" t="s">
        <v>38</v>
      </c>
      <c r="P129" s="27">
        <v>0.75</v>
      </c>
      <c r="Q129" s="35">
        <v>235.97268309970639</v>
      </c>
    </row>
    <row r="130" spans="1:17" x14ac:dyDescent="0.25">
      <c r="A130" s="4" t="str">
        <f>CONCATENATE(J130,Q130,M130,K130,M130,N130)</f>
        <v>CUSTO OFFSHORE USD 235,972683099706 - BRADESCO_BZL - ABRIL 26</v>
      </c>
      <c r="B130" s="9">
        <v>46113</v>
      </c>
      <c r="C130" s="4">
        <v>817395</v>
      </c>
      <c r="D130" s="11" t="s">
        <v>45</v>
      </c>
      <c r="E130" s="28">
        <f t="shared" si="29"/>
        <v>-294.29333172779883</v>
      </c>
      <c r="F130" s="4" t="s">
        <v>44</v>
      </c>
      <c r="G130" s="9">
        <f t="shared" si="15"/>
        <v>46113</v>
      </c>
      <c r="H130" s="4">
        <v>16705</v>
      </c>
      <c r="J130" s="13" t="s">
        <v>30</v>
      </c>
      <c r="K130" s="13" t="s">
        <v>27</v>
      </c>
      <c r="L130" s="14">
        <f>IF(O130="USD",Q130*$S$1)</f>
        <v>1177.1733269111953</v>
      </c>
      <c r="M130" s="15" t="s">
        <v>29</v>
      </c>
      <c r="N130" s="24" t="s">
        <v>87</v>
      </c>
      <c r="O130" s="24" t="s">
        <v>38</v>
      </c>
      <c r="P130" s="27">
        <v>0.25</v>
      </c>
      <c r="Q130" s="37">
        <v>235.97268309970639</v>
      </c>
    </row>
    <row r="131" spans="1:17" x14ac:dyDescent="0.25">
      <c r="A131" s="4" t="str">
        <f t="shared" si="28"/>
        <v>CUSTO OFFSHORE USD 468,73636503131 - BRADESCO_MO - ABRIL 26</v>
      </c>
      <c r="B131" s="9">
        <v>46113</v>
      </c>
      <c r="C131" s="4">
        <v>817395</v>
      </c>
      <c r="D131" s="11" t="s">
        <v>12</v>
      </c>
      <c r="E131" s="28">
        <f t="shared" si="29"/>
        <v>-1753.7536729463955</v>
      </c>
      <c r="F131" s="4" t="s">
        <v>44</v>
      </c>
      <c r="G131" s="9">
        <f t="shared" si="15"/>
        <v>46113</v>
      </c>
      <c r="H131" s="4">
        <v>16705</v>
      </c>
      <c r="J131" s="13" t="s">
        <v>30</v>
      </c>
      <c r="K131" s="13" t="s">
        <v>69</v>
      </c>
      <c r="L131" s="14">
        <f t="shared" si="30"/>
        <v>2338.3382305951941</v>
      </c>
      <c r="M131" s="15" t="s">
        <v>29</v>
      </c>
      <c r="N131" s="24" t="s">
        <v>87</v>
      </c>
      <c r="O131" s="24" t="s">
        <v>38</v>
      </c>
      <c r="P131" s="27">
        <v>0.75</v>
      </c>
      <c r="Q131" s="35">
        <v>468.73636503131019</v>
      </c>
    </row>
    <row r="132" spans="1:17" x14ac:dyDescent="0.25">
      <c r="A132" s="4" t="str">
        <f>CONCATENATE(J132,Q132,M132,K132,M132,N132)</f>
        <v>CUSTO OFFSHORE USD 468,73636503131 - BRADESCO_MO - ABRIL 26</v>
      </c>
      <c r="B132" s="9">
        <v>46113</v>
      </c>
      <c r="C132" s="4">
        <v>817395</v>
      </c>
      <c r="D132" s="11" t="s">
        <v>45</v>
      </c>
      <c r="E132" s="28">
        <f t="shared" si="29"/>
        <v>-584.58455764879852</v>
      </c>
      <c r="F132" s="4" t="s">
        <v>44</v>
      </c>
      <c r="G132" s="9">
        <f t="shared" si="15"/>
        <v>46113</v>
      </c>
      <c r="H132" s="4">
        <v>16705</v>
      </c>
      <c r="J132" s="13" t="s">
        <v>30</v>
      </c>
      <c r="K132" s="13" t="s">
        <v>69</v>
      </c>
      <c r="L132" s="14">
        <f>IF(O132="USD",Q132*$S$1)</f>
        <v>2338.3382305951941</v>
      </c>
      <c r="M132" s="15" t="s">
        <v>29</v>
      </c>
      <c r="N132" s="24" t="s">
        <v>87</v>
      </c>
      <c r="O132" s="24" t="s">
        <v>38</v>
      </c>
      <c r="P132" s="27">
        <v>0.25</v>
      </c>
      <c r="Q132" s="37">
        <v>468.73636503131019</v>
      </c>
    </row>
    <row r="133" spans="1:17" x14ac:dyDescent="0.25">
      <c r="A133" s="4" t="str">
        <f>CONCATENATE(J133,Q133,M133,K133,M133,N133)</f>
        <v>CUSTO OFFSHORE USD  - BRAMBRAD_MO - ABRIL 26</v>
      </c>
      <c r="B133" s="9">
        <v>46113</v>
      </c>
      <c r="C133" s="4">
        <v>817395</v>
      </c>
      <c r="D133" s="11" t="s">
        <v>12</v>
      </c>
      <c r="E133" s="30">
        <f t="shared" si="29"/>
        <v>0</v>
      </c>
      <c r="F133" s="4" t="s">
        <v>44</v>
      </c>
      <c r="G133" s="9">
        <f t="shared" si="15"/>
        <v>46113</v>
      </c>
      <c r="H133" s="4">
        <v>16705</v>
      </c>
      <c r="J133" s="13" t="s">
        <v>30</v>
      </c>
      <c r="K133" s="13" t="s">
        <v>85</v>
      </c>
      <c r="L133" s="14">
        <f>IF(O133="USD",Q133*$S$1)</f>
        <v>0</v>
      </c>
      <c r="M133" s="15" t="s">
        <v>29</v>
      </c>
      <c r="N133" s="24" t="s">
        <v>87</v>
      </c>
      <c r="O133" s="24" t="s">
        <v>38</v>
      </c>
      <c r="P133" s="27">
        <v>0.75</v>
      </c>
      <c r="Q133" s="35"/>
    </row>
    <row r="134" spans="1:17" x14ac:dyDescent="0.25">
      <c r="A134" s="4" t="str">
        <f t="shared" si="28"/>
        <v>CUSTO OFFSHORE USD  - BRAMBRAD_MO - ABRIL 26</v>
      </c>
      <c r="B134" s="9">
        <v>46113</v>
      </c>
      <c r="C134" s="4">
        <v>817395</v>
      </c>
      <c r="D134" s="11" t="s">
        <v>45</v>
      </c>
      <c r="E134" s="30">
        <f t="shared" si="29"/>
        <v>0</v>
      </c>
      <c r="F134" s="4" t="s">
        <v>44</v>
      </c>
      <c r="G134" s="9">
        <f t="shared" si="15"/>
        <v>46113</v>
      </c>
      <c r="H134" s="4">
        <v>16705</v>
      </c>
      <c r="J134" s="13" t="s">
        <v>30</v>
      </c>
      <c r="K134" s="13" t="s">
        <v>85</v>
      </c>
      <c r="L134" s="14">
        <f t="shared" si="30"/>
        <v>0</v>
      </c>
      <c r="M134" s="15" t="s">
        <v>29</v>
      </c>
      <c r="N134" s="24" t="s">
        <v>87</v>
      </c>
      <c r="O134" s="24" t="s">
        <v>38</v>
      </c>
      <c r="P134" s="27">
        <v>0.25</v>
      </c>
      <c r="Q134" s="37"/>
    </row>
    <row r="135" spans="1:17" x14ac:dyDescent="0.25">
      <c r="A135" s="4" t="str">
        <f t="shared" si="28"/>
        <v>CUSTO OFFSHORE USD 1962,09035209969 - JPMPLC_MO - ABRIL 26</v>
      </c>
      <c r="B135" s="9">
        <v>46113</v>
      </c>
      <c r="C135" s="4">
        <v>817395</v>
      </c>
      <c r="D135" s="11" t="s">
        <v>12</v>
      </c>
      <c r="E135" s="30">
        <f t="shared" si="29"/>
        <v>-6525.7155564540153</v>
      </c>
      <c r="F135" s="4" t="s">
        <v>44</v>
      </c>
      <c r="G135" s="9">
        <f t="shared" si="15"/>
        <v>46113</v>
      </c>
      <c r="H135" s="4">
        <v>81541</v>
      </c>
      <c r="J135" s="13" t="s">
        <v>30</v>
      </c>
      <c r="K135" s="13" t="s">
        <v>55</v>
      </c>
      <c r="L135" s="14">
        <f t="shared" si="30"/>
        <v>9788.0839304844994</v>
      </c>
      <c r="M135" s="15" t="s">
        <v>29</v>
      </c>
      <c r="N135" s="24" t="s">
        <v>87</v>
      </c>
      <c r="O135" s="24" t="s">
        <v>38</v>
      </c>
      <c r="P135" s="27">
        <v>0.66669999999999996</v>
      </c>
      <c r="Q135" s="36">
        <v>1962.0903520996872</v>
      </c>
    </row>
    <row r="136" spans="1:17" x14ac:dyDescent="0.25">
      <c r="A136" s="4" t="str">
        <f t="shared" si="28"/>
        <v>CUSTO OFFSHORE USD 1962,09035209969 - JPMPLC_MO - ABRIL 26</v>
      </c>
      <c r="B136" s="9">
        <v>46113</v>
      </c>
      <c r="C136" s="4">
        <v>817395</v>
      </c>
      <c r="D136" s="11" t="s">
        <v>45</v>
      </c>
      <c r="E136" s="30">
        <f t="shared" si="29"/>
        <v>-3262.3683740304837</v>
      </c>
      <c r="F136" s="4" t="s">
        <v>44</v>
      </c>
      <c r="G136" s="9">
        <f t="shared" si="15"/>
        <v>46113</v>
      </c>
      <c r="H136" s="4">
        <v>81541</v>
      </c>
      <c r="J136" s="13" t="s">
        <v>30</v>
      </c>
      <c r="K136" s="13" t="s">
        <v>55</v>
      </c>
      <c r="L136" s="34">
        <f t="shared" si="30"/>
        <v>9788.0839304844994</v>
      </c>
      <c r="M136" s="15" t="s">
        <v>29</v>
      </c>
      <c r="N136" s="24" t="s">
        <v>87</v>
      </c>
      <c r="O136" s="24" t="s">
        <v>38</v>
      </c>
      <c r="P136" s="27">
        <v>0.33329999999999999</v>
      </c>
      <c r="Q136" s="37">
        <v>1962.0903520996872</v>
      </c>
    </row>
    <row r="137" spans="1:17" x14ac:dyDescent="0.25">
      <c r="A137" s="4" t="str">
        <f t="shared" si="28"/>
        <v>CUSTO OFFSHORE USD 5020,64149566357 - SPX_MO - ABRIL 26</v>
      </c>
      <c r="B137" s="9">
        <v>46113</v>
      </c>
      <c r="C137" s="4">
        <v>817395</v>
      </c>
      <c r="D137" s="11" t="s">
        <v>12</v>
      </c>
      <c r="E137" s="28">
        <f t="shared" si="29"/>
        <v>-15027.583299160375</v>
      </c>
      <c r="F137" s="4" t="s">
        <v>44</v>
      </c>
      <c r="G137" s="9">
        <f t="shared" si="15"/>
        <v>46113</v>
      </c>
      <c r="H137" s="4">
        <v>79931</v>
      </c>
      <c r="J137" s="13" t="s">
        <v>30</v>
      </c>
      <c r="K137" s="13" t="s">
        <v>31</v>
      </c>
      <c r="L137" s="34">
        <f t="shared" si="30"/>
        <v>25045.972165267292</v>
      </c>
      <c r="M137" s="15" t="s">
        <v>29</v>
      </c>
      <c r="N137" s="24" t="s">
        <v>87</v>
      </c>
      <c r="O137" s="24" t="s">
        <v>38</v>
      </c>
      <c r="P137" s="27">
        <v>0.6</v>
      </c>
      <c r="Q137" s="35">
        <v>5020.6414956635717</v>
      </c>
    </row>
    <row r="138" spans="1:17" x14ac:dyDescent="0.25">
      <c r="A138" s="17" t="str">
        <f t="shared" si="28"/>
        <v>CUSTO OFFSHORE USD 5020,64149566357 - SPX_MO - ABRIL 26</v>
      </c>
      <c r="B138" s="18">
        <v>46113</v>
      </c>
      <c r="C138" s="17">
        <v>817395</v>
      </c>
      <c r="D138" s="23" t="s">
        <v>45</v>
      </c>
      <c r="E138" s="19">
        <f t="shared" si="29"/>
        <v>-10018.388866106918</v>
      </c>
      <c r="F138" s="17" t="s">
        <v>44</v>
      </c>
      <c r="G138" s="18">
        <f t="shared" si="15"/>
        <v>46113</v>
      </c>
      <c r="H138" s="17">
        <v>79931</v>
      </c>
      <c r="J138" s="20" t="s">
        <v>30</v>
      </c>
      <c r="K138" s="20" t="s">
        <v>31</v>
      </c>
      <c r="L138" s="33">
        <f t="shared" si="30"/>
        <v>25045.972165267292</v>
      </c>
      <c r="M138" s="21" t="s">
        <v>29</v>
      </c>
      <c r="N138" s="25" t="s">
        <v>87</v>
      </c>
      <c r="O138" s="25" t="s">
        <v>38</v>
      </c>
      <c r="P138" s="22">
        <v>0.4</v>
      </c>
      <c r="Q138" s="37">
        <v>5020.6414956635717</v>
      </c>
    </row>
    <row r="139" spans="1:17" x14ac:dyDescent="0.25">
      <c r="A139" s="17" t="str">
        <f t="shared" si="28"/>
        <v>CUSTO OFFSHORE USD 2803,03 - BGC - ABRIL 26</v>
      </c>
      <c r="B139" s="18">
        <v>46113</v>
      </c>
      <c r="C139" s="17">
        <v>817395</v>
      </c>
      <c r="D139" s="23" t="s">
        <v>61</v>
      </c>
      <c r="E139" s="26">
        <f t="shared" si="29"/>
        <v>-13983.195458</v>
      </c>
      <c r="F139" s="17" t="s">
        <v>83</v>
      </c>
      <c r="G139" s="18">
        <v>46082</v>
      </c>
      <c r="H139" s="17">
        <v>1170</v>
      </c>
      <c r="I139" s="31"/>
      <c r="J139" s="20" t="s">
        <v>30</v>
      </c>
      <c r="K139" s="20" t="s">
        <v>21</v>
      </c>
      <c r="L139" s="33">
        <f t="shared" ref="L139:L143" si="33">IF(O139="USD",Q139*$S$1,Q139)</f>
        <v>13983.195458</v>
      </c>
      <c r="M139" s="21" t="s">
        <v>29</v>
      </c>
      <c r="N139" s="25" t="s">
        <v>87</v>
      </c>
      <c r="O139" s="25" t="s">
        <v>38</v>
      </c>
      <c r="P139" s="22">
        <v>1</v>
      </c>
      <c r="Q139" s="26">
        <v>2803.03</v>
      </c>
    </row>
    <row r="140" spans="1:17" x14ac:dyDescent="0.25">
      <c r="A140" s="17" t="str">
        <f t="shared" si="28"/>
        <v>CUSTO OFFSHORE USD 0 - BGC - ABRIL 26</v>
      </c>
      <c r="B140" s="18">
        <v>46113</v>
      </c>
      <c r="C140" s="17">
        <v>817395</v>
      </c>
      <c r="D140" s="23" t="s">
        <v>61</v>
      </c>
      <c r="E140" s="26">
        <f t="shared" si="29"/>
        <v>0</v>
      </c>
      <c r="F140" s="17" t="s">
        <v>78</v>
      </c>
      <c r="G140" s="18">
        <v>46023</v>
      </c>
      <c r="H140" s="17">
        <v>1170</v>
      </c>
      <c r="J140" s="20" t="s">
        <v>30</v>
      </c>
      <c r="K140" s="20" t="s">
        <v>21</v>
      </c>
      <c r="L140" s="33">
        <f t="shared" si="33"/>
        <v>0</v>
      </c>
      <c r="M140" s="21" t="s">
        <v>29</v>
      </c>
      <c r="N140" s="25" t="s">
        <v>87</v>
      </c>
      <c r="O140" s="25" t="s">
        <v>38</v>
      </c>
      <c r="P140" s="22">
        <v>1</v>
      </c>
      <c r="Q140" s="26">
        <v>0</v>
      </c>
    </row>
    <row r="141" spans="1:17" x14ac:dyDescent="0.25">
      <c r="A141" s="17" t="str">
        <f t="shared" si="28"/>
        <v>CUSTO OFFSHORE USD 2865,7 - BGC - ABRIL 26</v>
      </c>
      <c r="B141" s="18">
        <v>46113</v>
      </c>
      <c r="C141" s="17">
        <v>817395</v>
      </c>
      <c r="D141" s="23" t="s">
        <v>61</v>
      </c>
      <c r="E141" s="26">
        <f t="shared" si="29"/>
        <v>-14295.83102</v>
      </c>
      <c r="F141" s="17" t="s">
        <v>79</v>
      </c>
      <c r="G141" s="18">
        <v>46023</v>
      </c>
      <c r="H141" s="17">
        <v>1170</v>
      </c>
      <c r="J141" s="20" t="s">
        <v>30</v>
      </c>
      <c r="K141" s="20" t="s">
        <v>21</v>
      </c>
      <c r="L141" s="33">
        <f t="shared" si="33"/>
        <v>14295.83102</v>
      </c>
      <c r="M141" s="21" t="s">
        <v>29</v>
      </c>
      <c r="N141" s="25" t="s">
        <v>87</v>
      </c>
      <c r="O141" s="25" t="s">
        <v>38</v>
      </c>
      <c r="P141" s="22">
        <v>1</v>
      </c>
      <c r="Q141" s="26">
        <v>2865.7</v>
      </c>
    </row>
    <row r="142" spans="1:17" x14ac:dyDescent="0.25">
      <c r="A142" s="17" t="str">
        <f t="shared" si="28"/>
        <v>CUSTO OFFSHORE USD 5,04 - BGC - ABRIL 26</v>
      </c>
      <c r="B142" s="18">
        <v>46113</v>
      </c>
      <c r="C142" s="17">
        <v>817395</v>
      </c>
      <c r="D142" s="23" t="s">
        <v>61</v>
      </c>
      <c r="E142" s="26">
        <f t="shared" si="29"/>
        <v>-25.142544000000001</v>
      </c>
      <c r="F142" s="17" t="s">
        <v>80</v>
      </c>
      <c r="G142" s="18">
        <v>46023</v>
      </c>
      <c r="H142" s="17">
        <v>1170</v>
      </c>
      <c r="J142" s="20" t="s">
        <v>30</v>
      </c>
      <c r="K142" s="20" t="s">
        <v>21</v>
      </c>
      <c r="L142" s="33">
        <f t="shared" si="33"/>
        <v>25.142544000000001</v>
      </c>
      <c r="M142" s="21" t="s">
        <v>29</v>
      </c>
      <c r="N142" s="25" t="s">
        <v>87</v>
      </c>
      <c r="O142" s="25" t="s">
        <v>38</v>
      </c>
      <c r="P142" s="22">
        <v>1</v>
      </c>
      <c r="Q142" s="26">
        <v>5.04</v>
      </c>
    </row>
    <row r="143" spans="1:17" x14ac:dyDescent="0.25">
      <c r="A143" s="17" t="str">
        <f t="shared" si="28"/>
        <v>CUSTO OFFSHORE USD 1995,63 - BGC - ABRIL 26</v>
      </c>
      <c r="B143" s="18">
        <v>46113</v>
      </c>
      <c r="C143" s="17">
        <v>817395</v>
      </c>
      <c r="D143" s="23" t="s">
        <v>61</v>
      </c>
      <c r="E143" s="26">
        <f t="shared" si="29"/>
        <v>-9955.3998179999999</v>
      </c>
      <c r="F143" s="17" t="s">
        <v>81</v>
      </c>
      <c r="G143" s="18">
        <v>46023</v>
      </c>
      <c r="H143" s="17">
        <v>1170</v>
      </c>
      <c r="J143" s="20" t="s">
        <v>30</v>
      </c>
      <c r="K143" s="20" t="s">
        <v>21</v>
      </c>
      <c r="L143" s="33">
        <f t="shared" si="33"/>
        <v>9955.3998179999999</v>
      </c>
      <c r="M143" s="21" t="s">
        <v>29</v>
      </c>
      <c r="N143" s="25" t="s">
        <v>87</v>
      </c>
      <c r="O143" s="25" t="s">
        <v>38</v>
      </c>
      <c r="P143" s="22">
        <v>1</v>
      </c>
      <c r="Q143" s="26">
        <v>1995.63</v>
      </c>
    </row>
  </sheetData>
  <autoFilter ref="A1:Q143" xr:uid="{86920FE8-52B5-46CC-9B38-62C273FC0EBA}"/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0E9D-44FB-47E2-9510-BF8CA430499C}">
  <dimension ref="A1:S143"/>
  <sheetViews>
    <sheetView showGridLines="0" zoomScaleNormal="100" workbookViewId="0">
      <selection activeCell="A2" sqref="A2:H143"/>
    </sheetView>
  </sheetViews>
  <sheetFormatPr defaultRowHeight="15" x14ac:dyDescent="0.25"/>
  <cols>
    <col min="1" max="1" width="49" customWidth="1"/>
    <col min="2" max="2" width="10.5703125" customWidth="1"/>
    <col min="3" max="3" width="10.7109375" bestFit="1" customWidth="1"/>
    <col min="4" max="4" width="30" bestFit="1" customWidth="1"/>
    <col min="5" max="5" width="15.7109375" customWidth="1"/>
    <col min="6" max="6" width="17.28515625" bestFit="1" customWidth="1"/>
    <col min="7" max="7" width="11" customWidth="1"/>
    <col min="8" max="8" width="12.28515625" customWidth="1"/>
    <col min="9" max="9" width="2.7109375" customWidth="1"/>
    <col min="10" max="10" width="15.7109375" bestFit="1" customWidth="1"/>
    <col min="11" max="11" width="18.28515625" bestFit="1" customWidth="1"/>
    <col min="12" max="12" width="13.85546875" customWidth="1"/>
    <col min="14" max="14" width="10.85546875" bestFit="1" customWidth="1"/>
    <col min="15" max="15" width="10.85546875" customWidth="1"/>
    <col min="17" max="17" width="11.7109375" bestFit="1" customWidth="1"/>
    <col min="18" max="18" width="12.5703125" bestFit="1" customWidth="1"/>
    <col min="19" max="19" width="9.5703125" bestFit="1" customWidth="1"/>
  </cols>
  <sheetData>
    <row r="1" spans="1:19" x14ac:dyDescent="0.25">
      <c r="A1" s="29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2" t="s">
        <v>6</v>
      </c>
      <c r="H1" s="1" t="s">
        <v>7</v>
      </c>
      <c r="J1" s="5" t="s">
        <v>8</v>
      </c>
      <c r="K1" s="5" t="s">
        <v>13</v>
      </c>
      <c r="L1" s="6" t="s">
        <v>4</v>
      </c>
      <c r="M1" s="7" t="s">
        <v>9</v>
      </c>
      <c r="N1" s="5" t="s">
        <v>10</v>
      </c>
      <c r="O1" s="5" t="s">
        <v>37</v>
      </c>
      <c r="P1" s="8" t="s">
        <v>11</v>
      </c>
      <c r="Q1" s="6" t="s">
        <v>4</v>
      </c>
      <c r="R1" s="38" t="s">
        <v>39</v>
      </c>
      <c r="S1" s="39">
        <v>5.0568999999999997</v>
      </c>
    </row>
    <row r="2" spans="1:19" x14ac:dyDescent="0.25">
      <c r="A2" s="4" t="str">
        <f t="shared" ref="A2:A103" si="0">CONCATENATE(J2,Q2,M2,K2,M2,N2)</f>
        <v>CUSTO OFFSHORE USD  - ASSET1 - MAIO 26</v>
      </c>
      <c r="B2" s="9">
        <v>46143</v>
      </c>
      <c r="C2" s="4">
        <v>817395</v>
      </c>
      <c r="D2" s="11" t="s">
        <v>12</v>
      </c>
      <c r="E2" s="30">
        <f>-L2*P2</f>
        <v>0</v>
      </c>
      <c r="F2" s="4" t="s">
        <v>68</v>
      </c>
      <c r="G2" s="9">
        <v>46143</v>
      </c>
      <c r="H2" s="4">
        <v>80834</v>
      </c>
      <c r="J2" s="13" t="s">
        <v>30</v>
      </c>
      <c r="K2" s="13" t="s">
        <v>14</v>
      </c>
      <c r="L2" s="14">
        <f>IF(O2="USD",Q2*$S$1)</f>
        <v>0</v>
      </c>
      <c r="M2" s="15" t="s">
        <v>29</v>
      </c>
      <c r="N2" s="24" t="s">
        <v>92</v>
      </c>
      <c r="O2" s="24" t="s">
        <v>38</v>
      </c>
      <c r="P2" s="16">
        <v>0.33339999999999997</v>
      </c>
      <c r="Q2" s="35"/>
    </row>
    <row r="3" spans="1:19" x14ac:dyDescent="0.25">
      <c r="A3" s="4" t="str">
        <f t="shared" si="0"/>
        <v>CUSTO OFFSHORE USD  - ASSET1 - MAIO 26</v>
      </c>
      <c r="B3" s="9">
        <v>46143</v>
      </c>
      <c r="C3" s="4">
        <v>817395</v>
      </c>
      <c r="D3" s="11" t="s">
        <v>45</v>
      </c>
      <c r="E3" s="30">
        <f t="shared" ref="E3:E58" si="1">-L3*P3</f>
        <v>0</v>
      </c>
      <c r="F3" s="4" t="s">
        <v>68</v>
      </c>
      <c r="G3" s="9">
        <v>46143</v>
      </c>
      <c r="H3" s="4">
        <v>80834</v>
      </c>
      <c r="J3" s="13" t="s">
        <v>30</v>
      </c>
      <c r="K3" s="13" t="s">
        <v>14</v>
      </c>
      <c r="L3" s="14">
        <f t="shared" ref="L3:L25" si="2">IF(O3="USD",Q3*$S$1)</f>
        <v>0</v>
      </c>
      <c r="M3" s="15" t="s">
        <v>29</v>
      </c>
      <c r="N3" s="24" t="s">
        <v>92</v>
      </c>
      <c r="O3" s="24" t="s">
        <v>38</v>
      </c>
      <c r="P3" s="16">
        <v>0.33329999999999999</v>
      </c>
      <c r="Q3" s="36"/>
    </row>
    <row r="4" spans="1:19" x14ac:dyDescent="0.25">
      <c r="A4" s="4" t="str">
        <f t="shared" si="0"/>
        <v>CUSTO OFFSHORE USD  - ASSET1 - MAIO 26</v>
      </c>
      <c r="B4" s="9">
        <v>46143</v>
      </c>
      <c r="C4" s="4">
        <v>817395</v>
      </c>
      <c r="D4" s="11" t="s">
        <v>46</v>
      </c>
      <c r="E4" s="30">
        <f t="shared" si="1"/>
        <v>0</v>
      </c>
      <c r="F4" s="4" t="s">
        <v>68</v>
      </c>
      <c r="G4" s="9">
        <v>46143</v>
      </c>
      <c r="H4" s="4">
        <v>80834</v>
      </c>
      <c r="J4" s="13" t="s">
        <v>30</v>
      </c>
      <c r="K4" s="13" t="s">
        <v>14</v>
      </c>
      <c r="L4" s="14">
        <f t="shared" si="2"/>
        <v>0</v>
      </c>
      <c r="M4" s="15" t="s">
        <v>29</v>
      </c>
      <c r="N4" s="24" t="s">
        <v>92</v>
      </c>
      <c r="O4" s="24" t="s">
        <v>38</v>
      </c>
      <c r="P4" s="16">
        <v>0.33329999999999999</v>
      </c>
      <c r="Q4" s="37"/>
    </row>
    <row r="5" spans="1:19" x14ac:dyDescent="0.25">
      <c r="A5" s="4" t="str">
        <f t="shared" si="0"/>
        <v>CUSTO OFFSHORE USD  - RPS - MAIO 26</v>
      </c>
      <c r="B5" s="9">
        <v>46143</v>
      </c>
      <c r="C5" s="4">
        <v>817395</v>
      </c>
      <c r="D5" s="11" t="s">
        <v>45</v>
      </c>
      <c r="E5" s="30">
        <f t="shared" si="1"/>
        <v>0</v>
      </c>
      <c r="F5" s="4" t="s">
        <v>68</v>
      </c>
      <c r="G5" s="9">
        <v>46143</v>
      </c>
      <c r="H5" s="4">
        <v>12339</v>
      </c>
      <c r="J5" s="13" t="s">
        <v>30</v>
      </c>
      <c r="K5" s="13" t="s">
        <v>16</v>
      </c>
      <c r="L5" s="14">
        <f t="shared" si="2"/>
        <v>0</v>
      </c>
      <c r="M5" s="15" t="s">
        <v>29</v>
      </c>
      <c r="N5" s="24" t="s">
        <v>92</v>
      </c>
      <c r="O5" s="24" t="s">
        <v>38</v>
      </c>
      <c r="P5" s="16">
        <v>0.5</v>
      </c>
      <c r="Q5" s="35"/>
    </row>
    <row r="6" spans="1:19" x14ac:dyDescent="0.25">
      <c r="A6" s="4" t="str">
        <f t="shared" si="0"/>
        <v>CUSTO OFFSHORE USD  - RPS - MAIO 26</v>
      </c>
      <c r="B6" s="9">
        <v>46143</v>
      </c>
      <c r="C6" s="4">
        <v>817395</v>
      </c>
      <c r="D6" s="11" t="s">
        <v>12</v>
      </c>
      <c r="E6" s="30">
        <f t="shared" si="1"/>
        <v>0</v>
      </c>
      <c r="F6" s="4" t="s">
        <v>68</v>
      </c>
      <c r="G6" s="9">
        <v>46143</v>
      </c>
      <c r="H6" s="4">
        <v>12339</v>
      </c>
      <c r="J6" s="13" t="s">
        <v>30</v>
      </c>
      <c r="K6" s="13" t="s">
        <v>16</v>
      </c>
      <c r="L6" s="14">
        <f t="shared" si="2"/>
        <v>0</v>
      </c>
      <c r="M6" s="15" t="s">
        <v>29</v>
      </c>
      <c r="N6" s="24" t="s">
        <v>92</v>
      </c>
      <c r="O6" s="24" t="s">
        <v>38</v>
      </c>
      <c r="P6" s="16">
        <v>0.5</v>
      </c>
      <c r="Q6" s="37"/>
    </row>
    <row r="7" spans="1:19" x14ac:dyDescent="0.25">
      <c r="A7" s="4" t="str">
        <f t="shared" si="0"/>
        <v>CUSTO OFFSHORE USD 18623,45 - GOLDMAN SACHS IL - BRAS - MAIO 26</v>
      </c>
      <c r="B7" s="9">
        <v>46143</v>
      </c>
      <c r="C7" s="4">
        <v>817395</v>
      </c>
      <c r="D7" s="11" t="s">
        <v>12</v>
      </c>
      <c r="E7" s="30">
        <f t="shared" si="1"/>
        <v>-94176.924304999993</v>
      </c>
      <c r="F7" s="4" t="s">
        <v>68</v>
      </c>
      <c r="G7" s="9">
        <v>46143</v>
      </c>
      <c r="H7" s="4">
        <v>79791</v>
      </c>
      <c r="J7" s="13" t="s">
        <v>30</v>
      </c>
      <c r="K7" s="13" t="s">
        <v>24</v>
      </c>
      <c r="L7" s="14">
        <f t="shared" si="2"/>
        <v>94176.924304999993</v>
      </c>
      <c r="M7" s="15" t="s">
        <v>29</v>
      </c>
      <c r="N7" s="24" t="s">
        <v>92</v>
      </c>
      <c r="O7" s="24" t="s">
        <v>38</v>
      </c>
      <c r="P7" s="16">
        <v>1</v>
      </c>
      <c r="Q7" s="12">
        <v>18623.45</v>
      </c>
    </row>
    <row r="8" spans="1:19" x14ac:dyDescent="0.25">
      <c r="A8" s="4" t="str">
        <f t="shared" si="0"/>
        <v>CUSTO OFFSHORE USD 7309,7 - ITAÚ - MSCO - MAIO 26</v>
      </c>
      <c r="B8" s="9">
        <v>46143</v>
      </c>
      <c r="C8" s="4">
        <v>817395</v>
      </c>
      <c r="D8" s="11" t="s">
        <v>12</v>
      </c>
      <c r="E8" s="30">
        <f t="shared" si="1"/>
        <v>-36964.421929999997</v>
      </c>
      <c r="F8" s="4" t="s">
        <v>68</v>
      </c>
      <c r="G8" s="9">
        <v>46143</v>
      </c>
      <c r="H8" s="4">
        <v>79460</v>
      </c>
      <c r="J8" s="13" t="s">
        <v>30</v>
      </c>
      <c r="K8" s="13" t="s">
        <v>17</v>
      </c>
      <c r="L8" s="14">
        <f t="shared" si="2"/>
        <v>36964.421929999997</v>
      </c>
      <c r="M8" s="15" t="s">
        <v>29</v>
      </c>
      <c r="N8" s="24" t="s">
        <v>92</v>
      </c>
      <c r="O8" s="24" t="s">
        <v>38</v>
      </c>
      <c r="P8" s="16">
        <v>1</v>
      </c>
      <c r="Q8" s="12">
        <v>7309.7</v>
      </c>
    </row>
    <row r="9" spans="1:19" x14ac:dyDescent="0.25">
      <c r="A9" s="4" t="str">
        <f t="shared" si="0"/>
        <v>CUSTO OFFSHORE USD -0,75 - ITAÚ - NASSAU - MAIO 26</v>
      </c>
      <c r="B9" s="9">
        <v>46143</v>
      </c>
      <c r="C9" s="4">
        <v>817395</v>
      </c>
      <c r="D9" s="11" t="s">
        <v>12</v>
      </c>
      <c r="E9" s="30">
        <f t="shared" si="1"/>
        <v>3.792675</v>
      </c>
      <c r="F9" s="4" t="s">
        <v>68</v>
      </c>
      <c r="G9" s="9">
        <v>46143</v>
      </c>
      <c r="H9" s="4">
        <v>79460</v>
      </c>
      <c r="J9" s="13" t="s">
        <v>30</v>
      </c>
      <c r="K9" s="13" t="s">
        <v>18</v>
      </c>
      <c r="L9" s="14">
        <f t="shared" si="2"/>
        <v>-3.792675</v>
      </c>
      <c r="M9" s="15" t="s">
        <v>29</v>
      </c>
      <c r="N9" s="24" t="s">
        <v>92</v>
      </c>
      <c r="O9" s="24" t="s">
        <v>38</v>
      </c>
      <c r="P9" s="16">
        <v>1</v>
      </c>
      <c r="Q9" s="26">
        <v>-0.75</v>
      </c>
    </row>
    <row r="10" spans="1:19" x14ac:dyDescent="0.25">
      <c r="A10" s="4" t="str">
        <f t="shared" si="0"/>
        <v>CUSTO OFFSHORE USD -10 - SPRINGS_MO - MAIO 26</v>
      </c>
      <c r="B10" s="9">
        <v>46143</v>
      </c>
      <c r="C10" s="4">
        <v>817395</v>
      </c>
      <c r="D10" s="11" t="s">
        <v>12</v>
      </c>
      <c r="E10" s="30">
        <f t="shared" si="1"/>
        <v>33.709295399999995</v>
      </c>
      <c r="F10" s="4" t="s">
        <v>68</v>
      </c>
      <c r="G10" s="9">
        <v>46143</v>
      </c>
      <c r="H10" s="4">
        <v>82748</v>
      </c>
      <c r="J10" s="13" t="s">
        <v>30</v>
      </c>
      <c r="K10" s="13" t="s">
        <v>56</v>
      </c>
      <c r="L10" s="14">
        <f t="shared" si="2"/>
        <v>-50.568999999999996</v>
      </c>
      <c r="M10" s="15" t="s">
        <v>29</v>
      </c>
      <c r="N10" s="24" t="s">
        <v>92</v>
      </c>
      <c r="O10" s="24" t="s">
        <v>38</v>
      </c>
      <c r="P10" s="16">
        <v>0.66659999999999997</v>
      </c>
      <c r="Q10" s="35">
        <v>-10</v>
      </c>
    </row>
    <row r="11" spans="1:19" x14ac:dyDescent="0.25">
      <c r="A11" s="4" t="str">
        <f t="shared" si="0"/>
        <v>CUSTO OFFSHORE USD -10 - SPRINGS_MO - MAIO 26</v>
      </c>
      <c r="B11" s="9">
        <v>46143</v>
      </c>
      <c r="C11" s="4">
        <v>817395</v>
      </c>
      <c r="D11" s="11" t="s">
        <v>45</v>
      </c>
      <c r="E11" s="30">
        <f t="shared" si="1"/>
        <v>16.854647699999997</v>
      </c>
      <c r="F11" s="4" t="s">
        <v>68</v>
      </c>
      <c r="G11" s="9">
        <v>46143</v>
      </c>
      <c r="H11" s="4">
        <v>82748</v>
      </c>
      <c r="J11" s="13" t="s">
        <v>30</v>
      </c>
      <c r="K11" s="13" t="s">
        <v>56</v>
      </c>
      <c r="L11" s="14">
        <f t="shared" si="2"/>
        <v>-50.568999999999996</v>
      </c>
      <c r="M11" s="15" t="s">
        <v>29</v>
      </c>
      <c r="N11" s="24" t="s">
        <v>92</v>
      </c>
      <c r="O11" s="24" t="s">
        <v>38</v>
      </c>
      <c r="P11" s="16">
        <v>0.33329999999999999</v>
      </c>
      <c r="Q11" s="37">
        <v>-10</v>
      </c>
    </row>
    <row r="12" spans="1:19" x14ac:dyDescent="0.25">
      <c r="A12" s="4" t="str">
        <f t="shared" si="0"/>
        <v>CUSTO OFFSHORE USD 367,08 - MSIPLC_SUN - MAIO 26</v>
      </c>
      <c r="B12" s="9">
        <v>46143</v>
      </c>
      <c r="C12" s="4">
        <v>817395</v>
      </c>
      <c r="D12" s="11" t="s">
        <v>88</v>
      </c>
      <c r="E12" s="30">
        <f t="shared" si="1"/>
        <v>-1856.2868519999997</v>
      </c>
      <c r="F12" s="4" t="s">
        <v>68</v>
      </c>
      <c r="G12" s="9">
        <v>46143</v>
      </c>
      <c r="H12" s="4">
        <v>80754</v>
      </c>
      <c r="J12" s="13" t="s">
        <v>30</v>
      </c>
      <c r="K12" s="13" t="s">
        <v>89</v>
      </c>
      <c r="L12" s="14">
        <f t="shared" si="2"/>
        <v>1856.2868519999997</v>
      </c>
      <c r="M12" s="15" t="s">
        <v>29</v>
      </c>
      <c r="N12" s="24" t="s">
        <v>92</v>
      </c>
      <c r="O12" s="24" t="s">
        <v>38</v>
      </c>
      <c r="P12" s="27">
        <v>1</v>
      </c>
      <c r="Q12" s="30">
        <v>367.08</v>
      </c>
    </row>
    <row r="13" spans="1:19" x14ac:dyDescent="0.25">
      <c r="A13" s="4" t="str">
        <f t="shared" si="0"/>
        <v>CUSTO OFFSHORE USD 294,99 - VINLAND  - MAIO 26</v>
      </c>
      <c r="B13" s="9">
        <v>46143</v>
      </c>
      <c r="C13" s="4">
        <v>817395</v>
      </c>
      <c r="D13" s="11" t="s">
        <v>47</v>
      </c>
      <c r="E13" s="30">
        <f t="shared" si="1"/>
        <v>-1491.734931</v>
      </c>
      <c r="F13" s="4" t="s">
        <v>68</v>
      </c>
      <c r="G13" s="9">
        <v>46143</v>
      </c>
      <c r="H13" s="4">
        <v>80359</v>
      </c>
      <c r="J13" s="13" t="s">
        <v>30</v>
      </c>
      <c r="K13" s="13" t="s">
        <v>20</v>
      </c>
      <c r="L13" s="14">
        <f t="shared" si="2"/>
        <v>1491.734931</v>
      </c>
      <c r="M13" s="15" t="s">
        <v>29</v>
      </c>
      <c r="N13" s="24" t="s">
        <v>92</v>
      </c>
      <c r="O13" s="24" t="s">
        <v>38</v>
      </c>
      <c r="P13" s="27">
        <v>1</v>
      </c>
      <c r="Q13" s="30">
        <f>295.79-0.8</f>
        <v>294.99</v>
      </c>
    </row>
    <row r="14" spans="1:19" x14ac:dyDescent="0.25">
      <c r="A14" s="4" t="str">
        <f t="shared" si="0"/>
        <v>CUSTO OFFSHORE USD 576,86 - SCHONFELD_MO - MAIO 26</v>
      </c>
      <c r="B14" s="9">
        <v>46143</v>
      </c>
      <c r="C14" s="4">
        <v>817395</v>
      </c>
      <c r="D14" s="11" t="s">
        <v>47</v>
      </c>
      <c r="E14" s="30">
        <f t="shared" si="1"/>
        <v>-2917.1233339999999</v>
      </c>
      <c r="F14" s="4" t="s">
        <v>68</v>
      </c>
      <c r="G14" s="9">
        <v>46143</v>
      </c>
      <c r="H14" s="4">
        <v>83061</v>
      </c>
      <c r="J14" s="13" t="s">
        <v>30</v>
      </c>
      <c r="K14" s="13" t="s">
        <v>59</v>
      </c>
      <c r="L14" s="14">
        <f t="shared" si="2"/>
        <v>2917.1233339999999</v>
      </c>
      <c r="M14" s="15" t="s">
        <v>29</v>
      </c>
      <c r="N14" s="24" t="s">
        <v>92</v>
      </c>
      <c r="O14" s="24" t="s">
        <v>38</v>
      </c>
      <c r="P14" s="27">
        <v>1</v>
      </c>
      <c r="Q14" s="30">
        <v>576.86</v>
      </c>
    </row>
    <row r="15" spans="1:19" x14ac:dyDescent="0.25">
      <c r="A15" s="4" t="str">
        <f t="shared" si="0"/>
        <v>CUSTO OFFSHORE USD 9724,65 - XPADVISORY_MO - MAIO 26</v>
      </c>
      <c r="B15" s="9">
        <v>46143</v>
      </c>
      <c r="C15" s="4">
        <v>817395</v>
      </c>
      <c r="D15" s="11" t="s">
        <v>50</v>
      </c>
      <c r="E15" s="30">
        <f t="shared" si="1"/>
        <v>-49176.582584999996</v>
      </c>
      <c r="F15" s="4" t="s">
        <v>68</v>
      </c>
      <c r="G15" s="9">
        <v>46143</v>
      </c>
      <c r="H15" s="4">
        <v>80769</v>
      </c>
      <c r="J15" s="13" t="s">
        <v>30</v>
      </c>
      <c r="K15" s="13" t="s">
        <v>49</v>
      </c>
      <c r="L15" s="14">
        <f t="shared" si="2"/>
        <v>49176.582584999996</v>
      </c>
      <c r="M15" s="15" t="s">
        <v>29</v>
      </c>
      <c r="N15" s="24" t="s">
        <v>92</v>
      </c>
      <c r="O15" s="24" t="s">
        <v>38</v>
      </c>
      <c r="P15" s="27">
        <v>1</v>
      </c>
      <c r="Q15" s="30">
        <v>9724.65</v>
      </c>
    </row>
    <row r="16" spans="1:19" x14ac:dyDescent="0.25">
      <c r="A16" s="4" t="str">
        <f t="shared" si="0"/>
        <v>CUSTO OFFSHORE USD  - ABSOLUTE_CP - MAIO 26</v>
      </c>
      <c r="B16" s="9">
        <v>46143</v>
      </c>
      <c r="C16" s="4">
        <v>817395</v>
      </c>
      <c r="D16" s="11" t="s">
        <v>61</v>
      </c>
      <c r="E16" s="30">
        <f t="shared" si="1"/>
        <v>0</v>
      </c>
      <c r="F16" s="4" t="s">
        <v>68</v>
      </c>
      <c r="G16" s="9">
        <v>46143</v>
      </c>
      <c r="H16" s="4">
        <v>144548</v>
      </c>
      <c r="J16" s="13" t="s">
        <v>30</v>
      </c>
      <c r="K16" s="13" t="s">
        <v>72</v>
      </c>
      <c r="L16" s="14">
        <f t="shared" si="2"/>
        <v>0</v>
      </c>
      <c r="M16" s="15" t="s">
        <v>29</v>
      </c>
      <c r="N16" s="24" t="s">
        <v>92</v>
      </c>
      <c r="O16" s="24" t="s">
        <v>38</v>
      </c>
      <c r="P16" s="27">
        <v>1</v>
      </c>
      <c r="Q16" s="30"/>
    </row>
    <row r="17" spans="1:17" x14ac:dyDescent="0.25">
      <c r="A17" s="4" t="str">
        <f t="shared" si="0"/>
        <v>CUSTO OFFSHORE USD  - BTGCAY_CP - MAIO 26</v>
      </c>
      <c r="B17" s="9">
        <v>46143</v>
      </c>
      <c r="C17" s="4">
        <v>817395</v>
      </c>
      <c r="D17" s="11" t="s">
        <v>61</v>
      </c>
      <c r="E17" s="30">
        <f t="shared" si="1"/>
        <v>0</v>
      </c>
      <c r="F17" s="4" t="s">
        <v>68</v>
      </c>
      <c r="G17" s="9">
        <v>46143</v>
      </c>
      <c r="H17" s="4">
        <v>82964</v>
      </c>
      <c r="J17" s="13" t="s">
        <v>30</v>
      </c>
      <c r="K17" s="13" t="s">
        <v>73</v>
      </c>
      <c r="L17" s="14">
        <f t="shared" si="2"/>
        <v>0</v>
      </c>
      <c r="M17" s="15" t="s">
        <v>29</v>
      </c>
      <c r="N17" s="24" t="s">
        <v>92</v>
      </c>
      <c r="O17" s="24" t="s">
        <v>38</v>
      </c>
      <c r="P17" s="27">
        <v>1</v>
      </c>
      <c r="Q17" s="30"/>
    </row>
    <row r="18" spans="1:17" x14ac:dyDescent="0.25">
      <c r="A18" s="4" t="str">
        <f t="shared" si="0"/>
        <v>CUSTO OFFSHORE USD  - DIG_CP - MAIO 26</v>
      </c>
      <c r="B18" s="9">
        <v>46143</v>
      </c>
      <c r="C18" s="4">
        <v>817395</v>
      </c>
      <c r="D18" s="11" t="s">
        <v>61</v>
      </c>
      <c r="E18" s="30">
        <f t="shared" si="1"/>
        <v>0</v>
      </c>
      <c r="F18" s="4" t="s">
        <v>68</v>
      </c>
      <c r="G18" s="9">
        <v>46143</v>
      </c>
      <c r="H18" s="4">
        <v>125520</v>
      </c>
      <c r="J18" s="13" t="s">
        <v>30</v>
      </c>
      <c r="K18" s="13" t="s">
        <v>74</v>
      </c>
      <c r="L18" s="14">
        <f t="shared" si="2"/>
        <v>0</v>
      </c>
      <c r="M18" s="15" t="s">
        <v>29</v>
      </c>
      <c r="N18" s="24" t="s">
        <v>92</v>
      </c>
      <c r="O18" s="24" t="s">
        <v>38</v>
      </c>
      <c r="P18" s="27">
        <v>1</v>
      </c>
      <c r="Q18" s="30"/>
    </row>
    <row r="19" spans="1:17" x14ac:dyDescent="0.25">
      <c r="A19" s="4" t="str">
        <f t="shared" si="0"/>
        <v>CUSTO OFFSHORE USD  - KAPITALO_CP - MAIO 26</v>
      </c>
      <c r="B19" s="9">
        <v>46143</v>
      </c>
      <c r="C19" s="4">
        <v>817395</v>
      </c>
      <c r="D19" s="11" t="s">
        <v>61</v>
      </c>
      <c r="E19" s="30">
        <f t="shared" si="1"/>
        <v>0</v>
      </c>
      <c r="F19" s="4" t="s">
        <v>68</v>
      </c>
      <c r="G19" s="9">
        <v>46143</v>
      </c>
      <c r="H19" s="4">
        <v>12413</v>
      </c>
      <c r="J19" s="13" t="s">
        <v>30</v>
      </c>
      <c r="K19" s="13" t="s">
        <v>70</v>
      </c>
      <c r="L19" s="14">
        <f t="shared" si="2"/>
        <v>0</v>
      </c>
      <c r="M19" s="15" t="s">
        <v>29</v>
      </c>
      <c r="N19" s="24" t="s">
        <v>92</v>
      </c>
      <c r="O19" s="24" t="s">
        <v>38</v>
      </c>
      <c r="P19" s="27">
        <v>1</v>
      </c>
      <c r="Q19" s="30"/>
    </row>
    <row r="20" spans="1:17" x14ac:dyDescent="0.25">
      <c r="A20" s="4" t="str">
        <f t="shared" si="0"/>
        <v>CUSTO OFFSHORE USD  - SHARP_CP - MAIO 26</v>
      </c>
      <c r="B20" s="9">
        <v>46143</v>
      </c>
      <c r="C20" s="4">
        <v>817395</v>
      </c>
      <c r="D20" s="11" t="s">
        <v>61</v>
      </c>
      <c r="E20" s="30">
        <f t="shared" si="1"/>
        <v>0</v>
      </c>
      <c r="F20" s="4" t="s">
        <v>68</v>
      </c>
      <c r="G20" s="9">
        <v>46143</v>
      </c>
      <c r="H20" s="4">
        <v>80515</v>
      </c>
      <c r="J20" s="13" t="s">
        <v>30</v>
      </c>
      <c r="K20" s="13" t="s">
        <v>75</v>
      </c>
      <c r="L20" s="14">
        <f t="shared" si="2"/>
        <v>0</v>
      </c>
      <c r="M20" s="15" t="s">
        <v>29</v>
      </c>
      <c r="N20" s="24" t="s">
        <v>92</v>
      </c>
      <c r="O20" s="24" t="s">
        <v>38</v>
      </c>
      <c r="P20" s="27">
        <v>1</v>
      </c>
      <c r="Q20" s="30"/>
    </row>
    <row r="21" spans="1:17" x14ac:dyDescent="0.25">
      <c r="A21" s="4" t="str">
        <f t="shared" si="0"/>
        <v>CUSTO OFFSHORE USD  - TRUXT_CP - MAIO 26</v>
      </c>
      <c r="B21" s="9">
        <v>46143</v>
      </c>
      <c r="C21" s="4">
        <v>817395</v>
      </c>
      <c r="D21" s="11" t="s">
        <v>61</v>
      </c>
      <c r="E21" s="30">
        <f t="shared" si="1"/>
        <v>0</v>
      </c>
      <c r="F21" s="4" t="s">
        <v>68</v>
      </c>
      <c r="G21" s="9">
        <v>46143</v>
      </c>
      <c r="H21" s="4">
        <v>12402</v>
      </c>
      <c r="J21" s="13" t="s">
        <v>30</v>
      </c>
      <c r="K21" s="13" t="s">
        <v>76</v>
      </c>
      <c r="L21" s="14">
        <f t="shared" si="2"/>
        <v>0</v>
      </c>
      <c r="M21" s="15" t="s">
        <v>29</v>
      </c>
      <c r="N21" s="24" t="s">
        <v>92</v>
      </c>
      <c r="O21" s="24" t="s">
        <v>38</v>
      </c>
      <c r="P21" s="27">
        <v>1</v>
      </c>
      <c r="Q21" s="30"/>
    </row>
    <row r="22" spans="1:17" x14ac:dyDescent="0.25">
      <c r="A22" s="4" t="str">
        <f t="shared" si="0"/>
        <v>CUSTO OFFSHORE USD  - VISTA_CP - MAIO 26</v>
      </c>
      <c r="B22" s="9">
        <v>46143</v>
      </c>
      <c r="C22" s="4">
        <v>817395</v>
      </c>
      <c r="D22" s="11" t="s">
        <v>61</v>
      </c>
      <c r="E22" s="30">
        <f t="shared" si="1"/>
        <v>0</v>
      </c>
      <c r="F22" s="4" t="s">
        <v>68</v>
      </c>
      <c r="G22" s="9">
        <v>46143</v>
      </c>
      <c r="H22" s="4">
        <v>80360</v>
      </c>
      <c r="J22" s="13" t="s">
        <v>30</v>
      </c>
      <c r="K22" s="13" t="s">
        <v>86</v>
      </c>
      <c r="L22" s="14">
        <f t="shared" si="2"/>
        <v>0</v>
      </c>
      <c r="M22" s="15" t="s">
        <v>29</v>
      </c>
      <c r="N22" s="24" t="s">
        <v>92</v>
      </c>
      <c r="O22" s="24" t="s">
        <v>38</v>
      </c>
      <c r="P22" s="27">
        <v>1</v>
      </c>
      <c r="Q22" s="30"/>
    </row>
    <row r="23" spans="1:17" x14ac:dyDescent="0.25">
      <c r="A23" s="4" t="str">
        <f t="shared" si="0"/>
        <v>CUSTO OFFSHORE USD  - ADAMGestao_MO - MAIO 26</v>
      </c>
      <c r="B23" s="9">
        <v>46143</v>
      </c>
      <c r="C23" s="4">
        <v>817395</v>
      </c>
      <c r="D23" s="11" t="s">
        <v>12</v>
      </c>
      <c r="E23" s="30">
        <f t="shared" si="1"/>
        <v>0</v>
      </c>
      <c r="F23" s="4" t="s">
        <v>68</v>
      </c>
      <c r="G23" s="9">
        <v>46143</v>
      </c>
      <c r="H23" s="4">
        <v>79973</v>
      </c>
      <c r="J23" s="13" t="s">
        <v>30</v>
      </c>
      <c r="K23" s="13" t="s">
        <v>77</v>
      </c>
      <c r="L23" s="14">
        <f t="shared" si="2"/>
        <v>0</v>
      </c>
      <c r="M23" s="15" t="s">
        <v>29</v>
      </c>
      <c r="N23" s="24" t="s">
        <v>92</v>
      </c>
      <c r="O23" s="24" t="s">
        <v>38</v>
      </c>
      <c r="P23" s="27">
        <v>1</v>
      </c>
      <c r="Q23" s="26"/>
    </row>
    <row r="24" spans="1:17" x14ac:dyDescent="0.25">
      <c r="A24" s="4" t="str">
        <f t="shared" si="0"/>
        <v>CUSTO OFFSHORE USD  - CITIGBL_MO - MAIO 26</v>
      </c>
      <c r="B24" s="9">
        <v>46143</v>
      </c>
      <c r="C24" s="4">
        <v>817395</v>
      </c>
      <c r="D24" s="11" t="s">
        <v>12</v>
      </c>
      <c r="E24" s="30">
        <f t="shared" si="1"/>
        <v>0</v>
      </c>
      <c r="F24" s="4" t="s">
        <v>68</v>
      </c>
      <c r="G24" s="9">
        <v>46143</v>
      </c>
      <c r="H24" s="4">
        <v>79791</v>
      </c>
      <c r="J24" s="13" t="s">
        <v>30</v>
      </c>
      <c r="K24" s="13" t="s">
        <v>48</v>
      </c>
      <c r="L24" s="14">
        <f t="shared" si="2"/>
        <v>0</v>
      </c>
      <c r="M24" s="15" t="s">
        <v>29</v>
      </c>
      <c r="N24" s="24" t="s">
        <v>92</v>
      </c>
      <c r="O24" s="24" t="s">
        <v>38</v>
      </c>
      <c r="P24" s="27">
        <v>0.5</v>
      </c>
      <c r="Q24" s="36"/>
    </row>
    <row r="25" spans="1:17" x14ac:dyDescent="0.25">
      <c r="A25" s="4" t="str">
        <f t="shared" si="0"/>
        <v>CUSTO OFFSHORE USD  - CITIGBL_MO - MAIO 26</v>
      </c>
      <c r="B25" s="9">
        <v>46143</v>
      </c>
      <c r="C25" s="4">
        <v>817395</v>
      </c>
      <c r="D25" s="11" t="s">
        <v>45</v>
      </c>
      <c r="E25" s="30">
        <f t="shared" si="1"/>
        <v>0</v>
      </c>
      <c r="F25" s="4" t="s">
        <v>68</v>
      </c>
      <c r="G25" s="9">
        <v>46143</v>
      </c>
      <c r="H25" s="4">
        <v>79791</v>
      </c>
      <c r="J25" s="13" t="s">
        <v>30</v>
      </c>
      <c r="K25" s="13" t="s">
        <v>48</v>
      </c>
      <c r="L25" s="14">
        <f t="shared" si="2"/>
        <v>0</v>
      </c>
      <c r="M25" s="15" t="s">
        <v>29</v>
      </c>
      <c r="N25" s="24" t="s">
        <v>92</v>
      </c>
      <c r="O25" s="24" t="s">
        <v>38</v>
      </c>
      <c r="P25" s="27">
        <v>0.5</v>
      </c>
      <c r="Q25" s="37"/>
    </row>
    <row r="26" spans="1:17" x14ac:dyDescent="0.25">
      <c r="A26" s="4" t="str">
        <f>CONCATENATE(J26,Q26,M26,K26,M26,N26)</f>
        <v>CUSTO OFFSHORE USD 2522,43 - KAPITALO - MAIO 26</v>
      </c>
      <c r="B26" s="9">
        <v>46143</v>
      </c>
      <c r="C26" s="4">
        <v>817395</v>
      </c>
      <c r="D26" s="11" t="s">
        <v>12</v>
      </c>
      <c r="E26" s="30">
        <f t="shared" si="1"/>
        <v>-9566.7572002499983</v>
      </c>
      <c r="F26" s="4" t="s">
        <v>68</v>
      </c>
      <c r="G26" s="9">
        <v>46143</v>
      </c>
      <c r="H26" s="4">
        <v>12413</v>
      </c>
      <c r="J26" s="13" t="s">
        <v>30</v>
      </c>
      <c r="K26" s="13" t="s">
        <v>26</v>
      </c>
      <c r="L26" s="14">
        <f>IF(O26="USD",Q26*$S$1)</f>
        <v>12755.676266999999</v>
      </c>
      <c r="M26" s="15" t="s">
        <v>29</v>
      </c>
      <c r="N26" s="24" t="s">
        <v>92</v>
      </c>
      <c r="O26" s="24" t="s">
        <v>38</v>
      </c>
      <c r="P26" s="27">
        <v>0.75</v>
      </c>
      <c r="Q26" s="36">
        <v>2522.4299999999998</v>
      </c>
    </row>
    <row r="27" spans="1:17" x14ac:dyDescent="0.25">
      <c r="A27" s="4" t="str">
        <f>CONCATENATE(J27,Q27,M27,K27,M27,N27)</f>
        <v>CUSTO OFFSHORE USD 2522,43 - KAPITALO - MAIO 26</v>
      </c>
      <c r="B27" s="9">
        <v>46143</v>
      </c>
      <c r="C27" s="4">
        <v>817395</v>
      </c>
      <c r="D27" s="11" t="s">
        <v>45</v>
      </c>
      <c r="E27" s="30">
        <f t="shared" si="1"/>
        <v>-3188.9190667499997</v>
      </c>
      <c r="F27" s="4" t="s">
        <v>68</v>
      </c>
      <c r="G27" s="9">
        <v>46143</v>
      </c>
      <c r="H27" s="4">
        <v>12413</v>
      </c>
      <c r="J27" s="13" t="s">
        <v>30</v>
      </c>
      <c r="K27" s="13" t="s">
        <v>26</v>
      </c>
      <c r="L27" s="14">
        <f>IF(O27="USD",Q27*$S$1)</f>
        <v>12755.676266999999</v>
      </c>
      <c r="M27" s="15" t="s">
        <v>29</v>
      </c>
      <c r="N27" s="24" t="s">
        <v>92</v>
      </c>
      <c r="O27" s="24" t="s">
        <v>38</v>
      </c>
      <c r="P27" s="27">
        <v>0.25</v>
      </c>
      <c r="Q27" s="36">
        <v>2522.4299999999998</v>
      </c>
    </row>
    <row r="28" spans="1:17" x14ac:dyDescent="0.25">
      <c r="A28" s="4" t="str">
        <f t="shared" ref="A28:A37" si="3">CONCATENATE(J28,Q28,M28,K28,M28,N28)</f>
        <v>CUSTO OFFSHORE USD  - BRADESCO_BZL - MAIO 26</v>
      </c>
      <c r="B28" s="9">
        <v>46143</v>
      </c>
      <c r="C28" s="4">
        <v>817395</v>
      </c>
      <c r="D28" s="11" t="s">
        <v>12</v>
      </c>
      <c r="E28" s="30">
        <f t="shared" si="1"/>
        <v>0</v>
      </c>
      <c r="F28" s="4" t="s">
        <v>68</v>
      </c>
      <c r="G28" s="9">
        <v>46143</v>
      </c>
      <c r="H28" s="4">
        <v>16705</v>
      </c>
      <c r="J28" s="13" t="s">
        <v>30</v>
      </c>
      <c r="K28" s="13" t="s">
        <v>27</v>
      </c>
      <c r="L28" s="14">
        <f t="shared" ref="L28:L96" si="4">IF(O28="USD",Q28*$S$1)</f>
        <v>0</v>
      </c>
      <c r="M28" s="15" t="s">
        <v>29</v>
      </c>
      <c r="N28" s="24" t="s">
        <v>92</v>
      </c>
      <c r="O28" s="24" t="s">
        <v>38</v>
      </c>
      <c r="P28" s="27">
        <v>0.75</v>
      </c>
      <c r="Q28" s="35"/>
    </row>
    <row r="29" spans="1:17" x14ac:dyDescent="0.25">
      <c r="A29" s="4" t="str">
        <f t="shared" si="3"/>
        <v>CUSTO OFFSHORE USD  - BRADESCO_BZL - MAIO 26</v>
      </c>
      <c r="B29" s="9">
        <v>46143</v>
      </c>
      <c r="C29" s="4">
        <v>817395</v>
      </c>
      <c r="D29" s="11" t="s">
        <v>45</v>
      </c>
      <c r="E29" s="30">
        <f t="shared" si="1"/>
        <v>0</v>
      </c>
      <c r="F29" s="4" t="s">
        <v>68</v>
      </c>
      <c r="G29" s="9">
        <v>46143</v>
      </c>
      <c r="H29" s="4">
        <v>16705</v>
      </c>
      <c r="J29" s="13" t="s">
        <v>30</v>
      </c>
      <c r="K29" s="13" t="s">
        <v>27</v>
      </c>
      <c r="L29" s="14">
        <f t="shared" si="4"/>
        <v>0</v>
      </c>
      <c r="M29" s="15" t="s">
        <v>29</v>
      </c>
      <c r="N29" s="24" t="s">
        <v>92</v>
      </c>
      <c r="O29" s="24" t="s">
        <v>38</v>
      </c>
      <c r="P29" s="27">
        <v>0.25</v>
      </c>
      <c r="Q29" s="37"/>
    </row>
    <row r="30" spans="1:17" x14ac:dyDescent="0.25">
      <c r="A30" s="4" t="str">
        <f t="shared" si="3"/>
        <v>CUSTO OFFSHORE USD -4 - BRADESCO_MO - MAIO 26</v>
      </c>
      <c r="B30" s="9">
        <v>46143</v>
      </c>
      <c r="C30" s="4">
        <v>817395</v>
      </c>
      <c r="D30" s="11" t="s">
        <v>12</v>
      </c>
      <c r="E30" s="30">
        <f t="shared" si="1"/>
        <v>15.1707</v>
      </c>
      <c r="F30" s="4" t="s">
        <v>68</v>
      </c>
      <c r="G30" s="9">
        <v>46143</v>
      </c>
      <c r="H30" s="4">
        <v>16705</v>
      </c>
      <c r="J30" s="13" t="s">
        <v>30</v>
      </c>
      <c r="K30" s="13" t="s">
        <v>69</v>
      </c>
      <c r="L30" s="14">
        <f t="shared" si="4"/>
        <v>-20.227599999999999</v>
      </c>
      <c r="M30" s="15" t="s">
        <v>29</v>
      </c>
      <c r="N30" s="24" t="s">
        <v>92</v>
      </c>
      <c r="O30" s="24" t="s">
        <v>38</v>
      </c>
      <c r="P30" s="27">
        <v>0.75</v>
      </c>
      <c r="Q30" s="35">
        <v>-4</v>
      </c>
    </row>
    <row r="31" spans="1:17" x14ac:dyDescent="0.25">
      <c r="A31" s="4" t="str">
        <f t="shared" si="3"/>
        <v>CUSTO OFFSHORE USD -4 - BRADESCO_MO - MAIO 26</v>
      </c>
      <c r="B31" s="9">
        <v>46143</v>
      </c>
      <c r="C31" s="4">
        <v>817395</v>
      </c>
      <c r="D31" s="11" t="s">
        <v>45</v>
      </c>
      <c r="E31" s="30">
        <f t="shared" si="1"/>
        <v>5.0568999999999997</v>
      </c>
      <c r="F31" s="4" t="s">
        <v>68</v>
      </c>
      <c r="G31" s="9">
        <v>46143</v>
      </c>
      <c r="H31" s="4">
        <v>16705</v>
      </c>
      <c r="J31" s="13" t="s">
        <v>30</v>
      </c>
      <c r="K31" s="13" t="s">
        <v>69</v>
      </c>
      <c r="L31" s="14">
        <f t="shared" si="4"/>
        <v>-20.227599999999999</v>
      </c>
      <c r="M31" s="15" t="s">
        <v>29</v>
      </c>
      <c r="N31" s="24" t="s">
        <v>92</v>
      </c>
      <c r="O31" s="24" t="s">
        <v>38</v>
      </c>
      <c r="P31" s="27">
        <v>0.25</v>
      </c>
      <c r="Q31" s="37">
        <v>-4</v>
      </c>
    </row>
    <row r="32" spans="1:17" x14ac:dyDescent="0.25">
      <c r="A32" s="4" t="str">
        <f t="shared" si="3"/>
        <v>CUSTO OFFSHORE USD  - BRAMBRAD_MO - MAIO 26</v>
      </c>
      <c r="B32" s="9">
        <v>46143</v>
      </c>
      <c r="C32" s="4">
        <v>817395</v>
      </c>
      <c r="D32" s="11" t="s">
        <v>12</v>
      </c>
      <c r="E32" s="30">
        <f t="shared" si="1"/>
        <v>0</v>
      </c>
      <c r="F32" s="4" t="s">
        <v>68</v>
      </c>
      <c r="G32" s="9">
        <v>46143</v>
      </c>
      <c r="H32" s="4">
        <v>16705</v>
      </c>
      <c r="J32" s="13" t="s">
        <v>30</v>
      </c>
      <c r="K32" s="13" t="s">
        <v>85</v>
      </c>
      <c r="L32" s="14">
        <f t="shared" si="4"/>
        <v>0</v>
      </c>
      <c r="M32" s="15" t="s">
        <v>29</v>
      </c>
      <c r="N32" s="24" t="s">
        <v>92</v>
      </c>
      <c r="O32" s="24" t="s">
        <v>38</v>
      </c>
      <c r="P32" s="27">
        <v>0.75</v>
      </c>
      <c r="Q32" s="35"/>
    </row>
    <row r="33" spans="1:17" x14ac:dyDescent="0.25">
      <c r="A33" s="4" t="str">
        <f t="shared" si="3"/>
        <v>CUSTO OFFSHORE USD  - BRAMBRAD_MO - MAIO 26</v>
      </c>
      <c r="B33" s="9">
        <v>46143</v>
      </c>
      <c r="C33" s="4">
        <v>817395</v>
      </c>
      <c r="D33" s="11" t="s">
        <v>45</v>
      </c>
      <c r="E33" s="30">
        <f t="shared" si="1"/>
        <v>0</v>
      </c>
      <c r="F33" s="4" t="s">
        <v>68</v>
      </c>
      <c r="G33" s="9">
        <v>46143</v>
      </c>
      <c r="H33" s="4">
        <v>16705</v>
      </c>
      <c r="J33" s="13" t="s">
        <v>30</v>
      </c>
      <c r="K33" s="13" t="s">
        <v>85</v>
      </c>
      <c r="L33" s="14">
        <f t="shared" si="4"/>
        <v>0</v>
      </c>
      <c r="M33" s="15" t="s">
        <v>29</v>
      </c>
      <c r="N33" s="24" t="s">
        <v>92</v>
      </c>
      <c r="O33" s="24" t="s">
        <v>38</v>
      </c>
      <c r="P33" s="27">
        <v>0.25</v>
      </c>
      <c r="Q33" s="37"/>
    </row>
    <row r="34" spans="1:17" x14ac:dyDescent="0.25">
      <c r="A34" s="4" t="str">
        <f t="shared" si="3"/>
        <v>CUSTO OFFSHORE USD 5024,61 - JPMPLC_MO - MAIO 26</v>
      </c>
      <c r="B34" s="9">
        <v>46143</v>
      </c>
      <c r="C34" s="4">
        <v>817395</v>
      </c>
      <c r="D34" s="11" t="s">
        <v>12</v>
      </c>
      <c r="E34" s="30">
        <f t="shared" si="1"/>
        <v>-16940.147171010296</v>
      </c>
      <c r="F34" s="4" t="s">
        <v>68</v>
      </c>
      <c r="G34" s="9">
        <v>46143</v>
      </c>
      <c r="H34" s="4">
        <v>81541</v>
      </c>
      <c r="J34" s="13" t="s">
        <v>30</v>
      </c>
      <c r="K34" s="13" t="s">
        <v>55</v>
      </c>
      <c r="L34" s="14">
        <f t="shared" si="4"/>
        <v>25408.950308999996</v>
      </c>
      <c r="M34" s="15" t="s">
        <v>29</v>
      </c>
      <c r="N34" s="24" t="s">
        <v>92</v>
      </c>
      <c r="O34" s="24" t="s">
        <v>38</v>
      </c>
      <c r="P34" s="27">
        <v>0.66669999999999996</v>
      </c>
      <c r="Q34" s="35">
        <v>5024.6099999999997</v>
      </c>
    </row>
    <row r="35" spans="1:17" x14ac:dyDescent="0.25">
      <c r="A35" s="4" t="str">
        <f t="shared" si="3"/>
        <v>CUSTO OFFSHORE USD 5024,61 - JPMPLC_MO - MAIO 26</v>
      </c>
      <c r="B35" s="9">
        <v>46143</v>
      </c>
      <c r="C35" s="4">
        <v>817395</v>
      </c>
      <c r="D35" s="11" t="s">
        <v>45</v>
      </c>
      <c r="E35" s="30">
        <f t="shared" si="1"/>
        <v>-8468.8031379896984</v>
      </c>
      <c r="F35" s="4" t="s">
        <v>68</v>
      </c>
      <c r="G35" s="9">
        <v>46143</v>
      </c>
      <c r="H35" s="4">
        <v>81541</v>
      </c>
      <c r="J35" s="13" t="s">
        <v>30</v>
      </c>
      <c r="K35" s="13" t="s">
        <v>55</v>
      </c>
      <c r="L35" s="14">
        <f t="shared" si="4"/>
        <v>25408.950308999996</v>
      </c>
      <c r="M35" s="15" t="s">
        <v>29</v>
      </c>
      <c r="N35" s="24" t="s">
        <v>92</v>
      </c>
      <c r="O35" s="24" t="s">
        <v>38</v>
      </c>
      <c r="P35" s="27">
        <v>0.33329999999999999</v>
      </c>
      <c r="Q35" s="37">
        <v>5024.6099999999997</v>
      </c>
    </row>
    <row r="36" spans="1:17" x14ac:dyDescent="0.25">
      <c r="A36" s="4" t="str">
        <f t="shared" si="3"/>
        <v>CUSTO OFFSHORE USD 1849,67 - SPX_MO - MAIO 26</v>
      </c>
      <c r="B36" s="9">
        <v>46143</v>
      </c>
      <c r="C36" s="4">
        <v>817395</v>
      </c>
      <c r="D36" s="11" t="s">
        <v>12</v>
      </c>
      <c r="E36" s="30">
        <f t="shared" si="1"/>
        <v>-5612.1577337999997</v>
      </c>
      <c r="F36" s="4" t="s">
        <v>68</v>
      </c>
      <c r="G36" s="9">
        <v>46143</v>
      </c>
      <c r="H36" s="4">
        <v>79931</v>
      </c>
      <c r="J36" s="13" t="s">
        <v>30</v>
      </c>
      <c r="K36" s="13" t="s">
        <v>31</v>
      </c>
      <c r="L36" s="14">
        <f t="shared" si="4"/>
        <v>9353.5962230000005</v>
      </c>
      <c r="M36" s="15" t="s">
        <v>29</v>
      </c>
      <c r="N36" s="24" t="s">
        <v>92</v>
      </c>
      <c r="O36" s="24" t="s">
        <v>38</v>
      </c>
      <c r="P36" s="27">
        <v>0.6</v>
      </c>
      <c r="Q36" s="35">
        <v>1849.67</v>
      </c>
    </row>
    <row r="37" spans="1:17" x14ac:dyDescent="0.25">
      <c r="A37" s="17" t="str">
        <f t="shared" si="3"/>
        <v>CUSTO OFFSHORE USD 1849,67 - SPX_MO - MAIO 26</v>
      </c>
      <c r="B37" s="18">
        <v>46143</v>
      </c>
      <c r="C37" s="17">
        <v>817395</v>
      </c>
      <c r="D37" s="23" t="s">
        <v>45</v>
      </c>
      <c r="E37" s="26">
        <f t="shared" si="1"/>
        <v>-3741.4384892000003</v>
      </c>
      <c r="F37" s="17" t="s">
        <v>68</v>
      </c>
      <c r="G37" s="18">
        <v>46143</v>
      </c>
      <c r="H37" s="17">
        <v>79931</v>
      </c>
      <c r="J37" s="20" t="s">
        <v>30</v>
      </c>
      <c r="K37" s="20" t="s">
        <v>31</v>
      </c>
      <c r="L37" s="33">
        <f t="shared" si="4"/>
        <v>9353.5962230000005</v>
      </c>
      <c r="M37" s="21" t="s">
        <v>29</v>
      </c>
      <c r="N37" s="25" t="s">
        <v>92</v>
      </c>
      <c r="O37" s="25" t="s">
        <v>38</v>
      </c>
      <c r="P37" s="22">
        <v>0.4</v>
      </c>
      <c r="Q37" s="37">
        <v>1849.67</v>
      </c>
    </row>
    <row r="38" spans="1:17" x14ac:dyDescent="0.25">
      <c r="A38" s="4" t="str">
        <f t="shared" si="0"/>
        <v>CUSTO OFFSHORE USD  - VINLAND  - MAIO 26</v>
      </c>
      <c r="B38" s="9">
        <v>46143</v>
      </c>
      <c r="C38" s="4">
        <v>817395</v>
      </c>
      <c r="D38" s="11" t="s">
        <v>47</v>
      </c>
      <c r="E38" s="10">
        <f t="shared" si="1"/>
        <v>0</v>
      </c>
      <c r="F38" s="4" t="s">
        <v>19</v>
      </c>
      <c r="G38" s="9">
        <v>46143</v>
      </c>
      <c r="H38" s="4">
        <v>80359</v>
      </c>
      <c r="J38" s="13" t="s">
        <v>30</v>
      </c>
      <c r="K38" s="13" t="s">
        <v>20</v>
      </c>
      <c r="L38" s="14">
        <f t="shared" si="4"/>
        <v>0</v>
      </c>
      <c r="M38" s="15" t="s">
        <v>29</v>
      </c>
      <c r="N38" s="24" t="s">
        <v>92</v>
      </c>
      <c r="O38" s="24" t="s">
        <v>38</v>
      </c>
      <c r="P38" s="16">
        <v>1</v>
      </c>
      <c r="Q38" s="30"/>
    </row>
    <row r="39" spans="1:17" x14ac:dyDescent="0.25">
      <c r="A39" s="4" t="str">
        <f t="shared" si="0"/>
        <v>CUSTO OFFSHORE USD -6,75 - SCHONFELD_MO - MAIO 26</v>
      </c>
      <c r="B39" s="9">
        <v>46143</v>
      </c>
      <c r="C39" s="4">
        <v>817395</v>
      </c>
      <c r="D39" s="11" t="s">
        <v>47</v>
      </c>
      <c r="E39" s="30">
        <f t="shared" si="1"/>
        <v>34.134075000000003</v>
      </c>
      <c r="F39" s="4" t="s">
        <v>19</v>
      </c>
      <c r="G39" s="9">
        <v>46143</v>
      </c>
      <c r="H39" s="4">
        <v>83061</v>
      </c>
      <c r="J39" s="13" t="s">
        <v>30</v>
      </c>
      <c r="K39" s="13" t="s">
        <v>59</v>
      </c>
      <c r="L39" s="14">
        <f t="shared" si="4"/>
        <v>-34.134075000000003</v>
      </c>
      <c r="M39" s="15" t="s">
        <v>29</v>
      </c>
      <c r="N39" s="24" t="s">
        <v>92</v>
      </c>
      <c r="O39" s="24" t="s">
        <v>38</v>
      </c>
      <c r="P39" s="27">
        <v>1</v>
      </c>
      <c r="Q39" s="30">
        <v>-6.7500000000000009</v>
      </c>
    </row>
    <row r="40" spans="1:17" x14ac:dyDescent="0.25">
      <c r="A40" s="4" t="str">
        <f t="shared" si="0"/>
        <v>CUSTO OFFSHORE USD -35,1589808095006 - GOLDMAN SACHS IL - BRAS - MAIO 26</v>
      </c>
      <c r="B40" s="9">
        <v>46143</v>
      </c>
      <c r="C40" s="4">
        <v>817395</v>
      </c>
      <c r="D40" s="11" t="s">
        <v>12</v>
      </c>
      <c r="E40" s="10">
        <f t="shared" si="1"/>
        <v>177.79545005556352</v>
      </c>
      <c r="F40" s="4" t="s">
        <v>19</v>
      </c>
      <c r="G40" s="9">
        <v>46143</v>
      </c>
      <c r="H40" s="4">
        <v>79791</v>
      </c>
      <c r="J40" s="13" t="s">
        <v>30</v>
      </c>
      <c r="K40" s="13" t="s">
        <v>24</v>
      </c>
      <c r="L40" s="14">
        <f t="shared" si="4"/>
        <v>-177.79545005556352</v>
      </c>
      <c r="M40" s="15" t="s">
        <v>29</v>
      </c>
      <c r="N40" s="24" t="s">
        <v>92</v>
      </c>
      <c r="O40" s="24" t="s">
        <v>38</v>
      </c>
      <c r="P40" s="16">
        <v>1</v>
      </c>
      <c r="Q40" s="30">
        <v>-35.158980809500591</v>
      </c>
    </row>
    <row r="41" spans="1:17" x14ac:dyDescent="0.25">
      <c r="A41" s="4" t="str">
        <f t="shared" si="0"/>
        <v>CUSTO OFFSHORE USD -32,52 - ITAÚ - NASSAU - MAIO 26</v>
      </c>
      <c r="B41" s="9">
        <v>46143</v>
      </c>
      <c r="C41" s="4">
        <v>817395</v>
      </c>
      <c r="D41" s="11" t="s">
        <v>12</v>
      </c>
      <c r="E41" s="30">
        <f t="shared" si="1"/>
        <v>164.450388</v>
      </c>
      <c r="F41" s="4" t="s">
        <v>19</v>
      </c>
      <c r="G41" s="9">
        <v>46143</v>
      </c>
      <c r="H41" s="4">
        <v>79460</v>
      </c>
      <c r="J41" s="13" t="s">
        <v>30</v>
      </c>
      <c r="K41" s="13" t="s">
        <v>18</v>
      </c>
      <c r="L41" s="14">
        <f t="shared" si="4"/>
        <v>-164.450388</v>
      </c>
      <c r="M41" s="15" t="s">
        <v>29</v>
      </c>
      <c r="N41" s="24" t="s">
        <v>92</v>
      </c>
      <c r="O41" s="24" t="s">
        <v>38</v>
      </c>
      <c r="P41" s="16">
        <v>1</v>
      </c>
      <c r="Q41" s="12">
        <v>-32.520000000000003</v>
      </c>
    </row>
    <row r="42" spans="1:17" x14ac:dyDescent="0.25">
      <c r="A42" s="4" t="str">
        <f t="shared" si="0"/>
        <v>CUSTO OFFSHORE USD  - SPX_MO - MAIO 26</v>
      </c>
      <c r="B42" s="9">
        <v>46143</v>
      </c>
      <c r="C42" s="4">
        <v>817395</v>
      </c>
      <c r="D42" s="11" t="s">
        <v>12</v>
      </c>
      <c r="E42" s="30">
        <f t="shared" si="1"/>
        <v>0</v>
      </c>
      <c r="F42" s="4" t="s">
        <v>19</v>
      </c>
      <c r="G42" s="9">
        <v>46143</v>
      </c>
      <c r="H42" s="4">
        <v>79931</v>
      </c>
      <c r="J42" s="13" t="s">
        <v>30</v>
      </c>
      <c r="K42" s="13" t="s">
        <v>31</v>
      </c>
      <c r="L42" s="14">
        <f t="shared" si="4"/>
        <v>0</v>
      </c>
      <c r="M42" s="15" t="s">
        <v>29</v>
      </c>
      <c r="N42" s="24" t="s">
        <v>92</v>
      </c>
      <c r="O42" s="24" t="s">
        <v>38</v>
      </c>
      <c r="P42" s="27">
        <v>0.6</v>
      </c>
      <c r="Q42" s="35"/>
    </row>
    <row r="43" spans="1:17" x14ac:dyDescent="0.25">
      <c r="A43" s="4" t="str">
        <f t="shared" si="0"/>
        <v>CUSTO OFFSHORE USD  - SPX_MO - MAIO 26</v>
      </c>
      <c r="B43" s="9">
        <v>46143</v>
      </c>
      <c r="C43" s="4">
        <v>817395</v>
      </c>
      <c r="D43" s="11" t="s">
        <v>45</v>
      </c>
      <c r="E43" s="30">
        <f t="shared" si="1"/>
        <v>0</v>
      </c>
      <c r="F43" s="4" t="s">
        <v>19</v>
      </c>
      <c r="G43" s="9">
        <v>46143</v>
      </c>
      <c r="H43" s="4">
        <v>79931</v>
      </c>
      <c r="J43" s="13" t="s">
        <v>30</v>
      </c>
      <c r="K43" s="13" t="s">
        <v>31</v>
      </c>
      <c r="L43" s="14">
        <f t="shared" si="4"/>
        <v>0</v>
      </c>
      <c r="M43" s="15" t="s">
        <v>29</v>
      </c>
      <c r="N43" s="24" t="s">
        <v>92</v>
      </c>
      <c r="O43" s="24" t="s">
        <v>38</v>
      </c>
      <c r="P43" s="27">
        <v>0.4</v>
      </c>
      <c r="Q43" s="37"/>
    </row>
    <row r="44" spans="1:17" x14ac:dyDescent="0.25">
      <c r="A44" s="4" t="str">
        <f t="shared" si="0"/>
        <v>CUSTO OFFSHORE USD  - CITIGBL_MO - MAIO 26</v>
      </c>
      <c r="B44" s="9">
        <v>46143</v>
      </c>
      <c r="C44" s="4">
        <v>817395</v>
      </c>
      <c r="D44" s="11" t="s">
        <v>12</v>
      </c>
      <c r="E44" s="30">
        <f t="shared" si="1"/>
        <v>0</v>
      </c>
      <c r="F44" s="4" t="s">
        <v>19</v>
      </c>
      <c r="G44" s="9">
        <v>46143</v>
      </c>
      <c r="H44" s="4">
        <v>79791</v>
      </c>
      <c r="J44" s="13" t="s">
        <v>30</v>
      </c>
      <c r="K44" s="13" t="s">
        <v>48</v>
      </c>
      <c r="L44" s="14">
        <f t="shared" si="4"/>
        <v>0</v>
      </c>
      <c r="M44" s="15" t="s">
        <v>29</v>
      </c>
      <c r="N44" s="24" t="s">
        <v>92</v>
      </c>
      <c r="O44" s="24" t="s">
        <v>38</v>
      </c>
      <c r="P44" s="27">
        <v>0.5</v>
      </c>
      <c r="Q44" s="35"/>
    </row>
    <row r="45" spans="1:17" x14ac:dyDescent="0.25">
      <c r="A45" s="4" t="str">
        <f t="shared" si="0"/>
        <v>CUSTO OFFSHORE USD  - CITIGBL_MO - MAIO 26</v>
      </c>
      <c r="B45" s="9">
        <v>46143</v>
      </c>
      <c r="C45" s="4">
        <v>817395</v>
      </c>
      <c r="D45" s="11" t="s">
        <v>45</v>
      </c>
      <c r="E45" s="30">
        <f t="shared" si="1"/>
        <v>0</v>
      </c>
      <c r="F45" s="4" t="s">
        <v>19</v>
      </c>
      <c r="G45" s="9">
        <v>46143</v>
      </c>
      <c r="H45" s="4">
        <v>79791</v>
      </c>
      <c r="J45" s="13" t="s">
        <v>30</v>
      </c>
      <c r="K45" s="13" t="s">
        <v>48</v>
      </c>
      <c r="L45" s="14">
        <f t="shared" si="4"/>
        <v>0</v>
      </c>
      <c r="M45" s="15" t="s">
        <v>29</v>
      </c>
      <c r="N45" s="24" t="s">
        <v>92</v>
      </c>
      <c r="O45" s="24" t="s">
        <v>38</v>
      </c>
      <c r="P45" s="27">
        <v>0.5</v>
      </c>
      <c r="Q45" s="37"/>
    </row>
    <row r="46" spans="1:17" x14ac:dyDescent="0.25">
      <c r="A46" s="4" t="str">
        <f t="shared" si="0"/>
        <v>CUSTO OFFSHORE USD -1,04545652735148 - ASSET1 - MAIO 26</v>
      </c>
      <c r="B46" s="9">
        <v>46143</v>
      </c>
      <c r="C46" s="4">
        <v>817395</v>
      </c>
      <c r="D46" s="11" t="s">
        <v>12</v>
      </c>
      <c r="E46" s="30">
        <f>-L46*P46</f>
        <v>1.7626088223287801</v>
      </c>
      <c r="F46" s="4" t="s">
        <v>19</v>
      </c>
      <c r="G46" s="9">
        <v>46143</v>
      </c>
      <c r="H46" s="4">
        <v>80834</v>
      </c>
      <c r="J46" s="13" t="s">
        <v>30</v>
      </c>
      <c r="K46" s="13" t="s">
        <v>14</v>
      </c>
      <c r="L46" s="14">
        <f>IF(O46="USD",Q46*$S$1)</f>
        <v>-5.2867691131637082</v>
      </c>
      <c r="M46" s="15" t="s">
        <v>29</v>
      </c>
      <c r="N46" s="24" t="s">
        <v>92</v>
      </c>
      <c r="O46" s="24" t="s">
        <v>38</v>
      </c>
      <c r="P46" s="16">
        <v>0.33339999999999997</v>
      </c>
      <c r="Q46" s="35">
        <v>-1.0454565273514818</v>
      </c>
    </row>
    <row r="47" spans="1:17" x14ac:dyDescent="0.25">
      <c r="A47" s="4" t="str">
        <f t="shared" si="0"/>
        <v>CUSTO OFFSHORE USD -1,04545652735148 - ASSET1 - MAIO 26</v>
      </c>
      <c r="B47" s="9">
        <v>46143</v>
      </c>
      <c r="C47" s="4">
        <v>817395</v>
      </c>
      <c r="D47" s="11" t="s">
        <v>45</v>
      </c>
      <c r="E47" s="30">
        <f t="shared" ref="E47:E52" si="5">-L47*P47</f>
        <v>1.7620801454174639</v>
      </c>
      <c r="F47" s="4" t="s">
        <v>19</v>
      </c>
      <c r="G47" s="9">
        <v>46143</v>
      </c>
      <c r="H47" s="4">
        <v>80834</v>
      </c>
      <c r="J47" s="13" t="s">
        <v>30</v>
      </c>
      <c r="K47" s="13" t="s">
        <v>14</v>
      </c>
      <c r="L47" s="14">
        <f t="shared" ref="L47:L50" si="6">IF(O47="USD",Q47*$S$1)</f>
        <v>-5.2867691131637082</v>
      </c>
      <c r="M47" s="15" t="s">
        <v>29</v>
      </c>
      <c r="N47" s="24" t="s">
        <v>92</v>
      </c>
      <c r="O47" s="24" t="s">
        <v>38</v>
      </c>
      <c r="P47" s="16">
        <v>0.33329999999999999</v>
      </c>
      <c r="Q47" s="36">
        <v>-1.0454565273514818</v>
      </c>
    </row>
    <row r="48" spans="1:17" x14ac:dyDescent="0.25">
      <c r="A48" s="4" t="str">
        <f t="shared" si="0"/>
        <v>CUSTO OFFSHORE USD -1,04545652735148 - ASSET1 - MAIO 26</v>
      </c>
      <c r="B48" s="9">
        <v>46143</v>
      </c>
      <c r="C48" s="4">
        <v>817395</v>
      </c>
      <c r="D48" s="11" t="s">
        <v>46</v>
      </c>
      <c r="E48" s="30">
        <f t="shared" si="5"/>
        <v>1.7620801454174639</v>
      </c>
      <c r="F48" s="4" t="s">
        <v>19</v>
      </c>
      <c r="G48" s="9">
        <v>46143</v>
      </c>
      <c r="H48" s="4">
        <v>80834</v>
      </c>
      <c r="J48" s="13" t="s">
        <v>30</v>
      </c>
      <c r="K48" s="13" t="s">
        <v>14</v>
      </c>
      <c r="L48" s="14">
        <f t="shared" si="6"/>
        <v>-5.2867691131637082</v>
      </c>
      <c r="M48" s="15" t="s">
        <v>29</v>
      </c>
      <c r="N48" s="24" t="s">
        <v>92</v>
      </c>
      <c r="O48" s="24" t="s">
        <v>38</v>
      </c>
      <c r="P48" s="16">
        <v>0.33329999999999999</v>
      </c>
      <c r="Q48" s="37">
        <v>-1.0454565273514818</v>
      </c>
    </row>
    <row r="49" spans="1:17" x14ac:dyDescent="0.25">
      <c r="A49" s="4" t="str">
        <f t="shared" si="0"/>
        <v>CUSTO OFFSHORE USD -10,7052580247268 - BRADESCO_BZL - MAIO 26</v>
      </c>
      <c r="B49" s="9">
        <v>46143</v>
      </c>
      <c r="C49" s="4">
        <v>817395</v>
      </c>
      <c r="D49" s="11" t="s">
        <v>12</v>
      </c>
      <c r="E49" s="30">
        <f t="shared" si="5"/>
        <v>40.601564478930619</v>
      </c>
      <c r="F49" s="4" t="s">
        <v>19</v>
      </c>
      <c r="G49" s="9">
        <v>46143</v>
      </c>
      <c r="H49" s="4">
        <v>16705</v>
      </c>
      <c r="J49" s="13" t="s">
        <v>30</v>
      </c>
      <c r="K49" s="13" t="s">
        <v>27</v>
      </c>
      <c r="L49" s="14">
        <f t="shared" si="6"/>
        <v>-54.135419305240823</v>
      </c>
      <c r="M49" s="15" t="s">
        <v>29</v>
      </c>
      <c r="N49" s="24" t="s">
        <v>92</v>
      </c>
      <c r="O49" s="24" t="s">
        <v>38</v>
      </c>
      <c r="P49" s="27">
        <v>0.75</v>
      </c>
      <c r="Q49" s="35">
        <v>-10.705258024726774</v>
      </c>
    </row>
    <row r="50" spans="1:17" x14ac:dyDescent="0.25">
      <c r="A50" s="4" t="str">
        <f t="shared" si="0"/>
        <v>CUSTO OFFSHORE USD -10,7052580247268 - BRADESCO_BZL - MAIO 26</v>
      </c>
      <c r="B50" s="9">
        <v>46143</v>
      </c>
      <c r="C50" s="4">
        <v>817395</v>
      </c>
      <c r="D50" s="11" t="s">
        <v>45</v>
      </c>
      <c r="E50" s="30">
        <f t="shared" si="5"/>
        <v>13.533854826310206</v>
      </c>
      <c r="F50" s="4" t="s">
        <v>19</v>
      </c>
      <c r="G50" s="9">
        <v>46143</v>
      </c>
      <c r="H50" s="4">
        <v>16705</v>
      </c>
      <c r="J50" s="13" t="s">
        <v>30</v>
      </c>
      <c r="K50" s="13" t="s">
        <v>27</v>
      </c>
      <c r="L50" s="14">
        <f t="shared" si="6"/>
        <v>-54.135419305240823</v>
      </c>
      <c r="M50" s="15" t="s">
        <v>29</v>
      </c>
      <c r="N50" s="24" t="s">
        <v>92</v>
      </c>
      <c r="O50" s="24" t="s">
        <v>38</v>
      </c>
      <c r="P50" s="27">
        <v>0.25</v>
      </c>
      <c r="Q50" s="37">
        <v>-10.705258024726774</v>
      </c>
    </row>
    <row r="51" spans="1:17" x14ac:dyDescent="0.25">
      <c r="A51" s="4" t="str">
        <f>CONCATENATE(J51,Q51,M51,K51,M51,N51)</f>
        <v>CUSTO OFFSHORE USD -8,46596196322538 - KAPITALO - MAIO 26</v>
      </c>
      <c r="B51" s="9">
        <v>46143</v>
      </c>
      <c r="C51" s="4">
        <v>817395</v>
      </c>
      <c r="D51" s="11" t="s">
        <v>12</v>
      </c>
      <c r="E51" s="30">
        <f t="shared" si="5"/>
        <v>32.108642288875828</v>
      </c>
      <c r="F51" s="4" t="s">
        <v>19</v>
      </c>
      <c r="G51" s="9">
        <v>46143</v>
      </c>
      <c r="H51" s="4">
        <v>12413</v>
      </c>
      <c r="J51" s="13" t="s">
        <v>30</v>
      </c>
      <c r="K51" s="13" t="s">
        <v>26</v>
      </c>
      <c r="L51" s="14">
        <f>IF(O51="USD",Q51*$S$1)</f>
        <v>-42.811523051834435</v>
      </c>
      <c r="M51" s="15" t="s">
        <v>29</v>
      </c>
      <c r="N51" s="24" t="s">
        <v>92</v>
      </c>
      <c r="O51" s="24" t="s">
        <v>38</v>
      </c>
      <c r="P51" s="27">
        <v>0.75</v>
      </c>
      <c r="Q51" s="36">
        <v>-8.4659619632253822</v>
      </c>
    </row>
    <row r="52" spans="1:17" x14ac:dyDescent="0.25">
      <c r="A52" s="4" t="str">
        <f>CONCATENATE(J52,Q52,M52,K52,M52,N52)</f>
        <v>CUSTO OFFSHORE USD -8,46596196322538 - KAPITALO - MAIO 26</v>
      </c>
      <c r="B52" s="9">
        <v>46143</v>
      </c>
      <c r="C52" s="4">
        <v>817395</v>
      </c>
      <c r="D52" s="11" t="s">
        <v>45</v>
      </c>
      <c r="E52" s="30">
        <f t="shared" si="5"/>
        <v>10.702880762958609</v>
      </c>
      <c r="F52" s="4" t="s">
        <v>19</v>
      </c>
      <c r="G52" s="9">
        <v>46143</v>
      </c>
      <c r="H52" s="4">
        <v>12413</v>
      </c>
      <c r="J52" s="13" t="s">
        <v>30</v>
      </c>
      <c r="K52" s="13" t="s">
        <v>26</v>
      </c>
      <c r="L52" s="14">
        <f>IF(O52="USD",Q52*$S$1)</f>
        <v>-42.811523051834435</v>
      </c>
      <c r="M52" s="15" t="s">
        <v>29</v>
      </c>
      <c r="N52" s="24" t="s">
        <v>92</v>
      </c>
      <c r="O52" s="24" t="s">
        <v>38</v>
      </c>
      <c r="P52" s="27">
        <v>0.25</v>
      </c>
      <c r="Q52" s="36">
        <v>-8.4659619632253822</v>
      </c>
    </row>
    <row r="53" spans="1:17" x14ac:dyDescent="0.25">
      <c r="A53" s="4" t="str">
        <f t="shared" si="0"/>
        <v>CUSTO OFFSHORE USD -17,8838788330799 - SPRINGS_MO - MAIO 26</v>
      </c>
      <c r="B53" s="9">
        <v>46143</v>
      </c>
      <c r="C53" s="4">
        <v>817395</v>
      </c>
      <c r="D53" s="11" t="s">
        <v>12</v>
      </c>
      <c r="E53" s="28">
        <f t="shared" si="1"/>
        <v>60.285295448209915</v>
      </c>
      <c r="F53" s="4" t="s">
        <v>19</v>
      </c>
      <c r="G53" s="9">
        <v>46143</v>
      </c>
      <c r="H53" s="4">
        <v>82748</v>
      </c>
      <c r="J53" s="13" t="s">
        <v>30</v>
      </c>
      <c r="K53" s="13" t="s">
        <v>56</v>
      </c>
      <c r="L53" s="14">
        <f t="shared" si="4"/>
        <v>-90.436986871001977</v>
      </c>
      <c r="M53" s="15" t="s">
        <v>29</v>
      </c>
      <c r="N53" s="24" t="s">
        <v>92</v>
      </c>
      <c r="O53" s="24" t="s">
        <v>38</v>
      </c>
      <c r="P53" s="27">
        <v>0.66659999999999997</v>
      </c>
      <c r="Q53" s="35">
        <v>-17.883878833079947</v>
      </c>
    </row>
    <row r="54" spans="1:17" x14ac:dyDescent="0.25">
      <c r="A54" s="4" t="str">
        <f t="shared" si="0"/>
        <v>CUSTO OFFSHORE USD -17,8838788330799 - SPRINGS_MO - MAIO 26</v>
      </c>
      <c r="B54" s="9">
        <v>46143</v>
      </c>
      <c r="C54" s="4">
        <v>817395</v>
      </c>
      <c r="D54" s="11" t="s">
        <v>45</v>
      </c>
      <c r="E54" s="28">
        <f t="shared" si="1"/>
        <v>30.142647724104958</v>
      </c>
      <c r="F54" s="4" t="s">
        <v>19</v>
      </c>
      <c r="G54" s="9">
        <v>46143</v>
      </c>
      <c r="H54" s="4">
        <v>82748</v>
      </c>
      <c r="J54" s="13" t="s">
        <v>30</v>
      </c>
      <c r="K54" s="13" t="s">
        <v>56</v>
      </c>
      <c r="L54" s="14">
        <f t="shared" si="4"/>
        <v>-90.436986871001977</v>
      </c>
      <c r="M54" s="15" t="s">
        <v>29</v>
      </c>
      <c r="N54" s="24" t="s">
        <v>92</v>
      </c>
      <c r="O54" s="24" t="s">
        <v>38</v>
      </c>
      <c r="P54" s="27">
        <v>0.33329999999999999</v>
      </c>
      <c r="Q54" s="37">
        <v>-17.883878833079947</v>
      </c>
    </row>
    <row r="55" spans="1:17" x14ac:dyDescent="0.25">
      <c r="A55" s="4" t="str">
        <f t="shared" si="0"/>
        <v>CUSTO OFFSHORE USD  - BRADESCO_MO - MAIO 26</v>
      </c>
      <c r="B55" s="9">
        <v>46143</v>
      </c>
      <c r="C55" s="4">
        <v>817395</v>
      </c>
      <c r="D55" s="11" t="s">
        <v>12</v>
      </c>
      <c r="E55" s="28">
        <f t="shared" si="1"/>
        <v>0</v>
      </c>
      <c r="F55" s="4" t="s">
        <v>19</v>
      </c>
      <c r="G55" s="9">
        <v>46143</v>
      </c>
      <c r="H55" s="4">
        <v>16705</v>
      </c>
      <c r="J55" s="13" t="s">
        <v>30</v>
      </c>
      <c r="K55" s="13" t="s">
        <v>69</v>
      </c>
      <c r="L55" s="14">
        <f t="shared" si="4"/>
        <v>0</v>
      </c>
      <c r="M55" s="15" t="s">
        <v>29</v>
      </c>
      <c r="N55" s="24" t="s">
        <v>92</v>
      </c>
      <c r="O55" s="24" t="s">
        <v>38</v>
      </c>
      <c r="P55" s="27">
        <v>0.75</v>
      </c>
      <c r="Q55" s="35"/>
    </row>
    <row r="56" spans="1:17" x14ac:dyDescent="0.25">
      <c r="A56" s="4" t="str">
        <f>CONCATENATE(J56,Q56,M56,K56,M56,N56)</f>
        <v>CUSTO OFFSHORE USD  - BRADESCO_MO - MAIO 26</v>
      </c>
      <c r="B56" s="9">
        <v>46143</v>
      </c>
      <c r="C56" s="4">
        <v>817395</v>
      </c>
      <c r="D56" s="11" t="s">
        <v>45</v>
      </c>
      <c r="E56" s="28">
        <f t="shared" si="1"/>
        <v>0</v>
      </c>
      <c r="F56" s="4" t="s">
        <v>19</v>
      </c>
      <c r="G56" s="9">
        <v>46143</v>
      </c>
      <c r="H56" s="4">
        <v>16705</v>
      </c>
      <c r="J56" s="13" t="s">
        <v>30</v>
      </c>
      <c r="K56" s="13" t="s">
        <v>69</v>
      </c>
      <c r="L56" s="14">
        <f>IF(O56="USD",Q56*$S$1)</f>
        <v>0</v>
      </c>
      <c r="M56" s="15" t="s">
        <v>29</v>
      </c>
      <c r="N56" s="24" t="s">
        <v>92</v>
      </c>
      <c r="O56" s="24" t="s">
        <v>38</v>
      </c>
      <c r="P56" s="27">
        <v>0.25</v>
      </c>
      <c r="Q56" s="37"/>
    </row>
    <row r="57" spans="1:17" x14ac:dyDescent="0.25">
      <c r="A57" s="4" t="str">
        <f>CONCATENATE(J57,Q57,M57,K57,M57,N57)</f>
        <v>CUSTO OFFSHORE USD -0,508160982186397 - RPS - MAIO 26</v>
      </c>
      <c r="B57" s="9">
        <v>46143</v>
      </c>
      <c r="C57" s="4">
        <v>817395</v>
      </c>
      <c r="D57" s="11" t="s">
        <v>45</v>
      </c>
      <c r="E57" s="10">
        <f t="shared" si="1"/>
        <v>1.2848596354091966</v>
      </c>
      <c r="F57" s="4" t="s">
        <v>19</v>
      </c>
      <c r="G57" s="9">
        <v>46143</v>
      </c>
      <c r="H57" s="4">
        <v>12339</v>
      </c>
      <c r="J57" s="13" t="s">
        <v>30</v>
      </c>
      <c r="K57" s="13" t="s">
        <v>16</v>
      </c>
      <c r="L57" s="14">
        <f>IF(O57="USD",Q57*$S$1)</f>
        <v>-2.5697192708183931</v>
      </c>
      <c r="M57" s="15" t="s">
        <v>29</v>
      </c>
      <c r="N57" s="24" t="s">
        <v>92</v>
      </c>
      <c r="O57" s="24" t="s">
        <v>38</v>
      </c>
      <c r="P57" s="16">
        <v>0.5</v>
      </c>
      <c r="Q57" s="35">
        <v>-0.50816098218639749</v>
      </c>
    </row>
    <row r="58" spans="1:17" x14ac:dyDescent="0.25">
      <c r="A58" s="17" t="str">
        <f>CONCATENATE(J58,Q58,M58,K58,M58,N58)</f>
        <v>CUSTO OFFSHORE USD -0,508160982186397 - RPS - MAIO 26</v>
      </c>
      <c r="B58" s="18">
        <v>46143</v>
      </c>
      <c r="C58" s="17">
        <v>817395</v>
      </c>
      <c r="D58" s="23" t="s">
        <v>12</v>
      </c>
      <c r="E58" s="19">
        <f t="shared" si="1"/>
        <v>1.2848596354091966</v>
      </c>
      <c r="F58" s="17" t="s">
        <v>19</v>
      </c>
      <c r="G58" s="18">
        <v>46143</v>
      </c>
      <c r="H58" s="17">
        <v>12339</v>
      </c>
      <c r="J58" s="20" t="s">
        <v>30</v>
      </c>
      <c r="K58" s="20" t="s">
        <v>16</v>
      </c>
      <c r="L58" s="33">
        <f>IF(O58="USD",Q58*$S$1)</f>
        <v>-2.5697192708183931</v>
      </c>
      <c r="M58" s="21" t="s">
        <v>29</v>
      </c>
      <c r="N58" s="25" t="s">
        <v>92</v>
      </c>
      <c r="O58" s="25" t="s">
        <v>38</v>
      </c>
      <c r="P58" s="22">
        <v>0.5</v>
      </c>
      <c r="Q58" s="37">
        <v>-0.50816098218639749</v>
      </c>
    </row>
    <row r="59" spans="1:17" x14ac:dyDescent="0.25">
      <c r="A59" s="4" t="str">
        <f t="shared" si="0"/>
        <v>CUSTO OFFSHORE USD 33,7522146758163 - ASSET1 - MAIO 26</v>
      </c>
      <c r="B59" s="9">
        <v>46143</v>
      </c>
      <c r="C59" s="4">
        <v>817395</v>
      </c>
      <c r="D59" s="11" t="s">
        <v>12</v>
      </c>
      <c r="E59" s="12">
        <f>-L59*P59</f>
        <v>-56.905236903004777</v>
      </c>
      <c r="F59" s="4" t="s">
        <v>52</v>
      </c>
      <c r="G59" s="9">
        <v>46143</v>
      </c>
      <c r="H59" s="4">
        <v>80834</v>
      </c>
      <c r="J59" s="13" t="s">
        <v>30</v>
      </c>
      <c r="K59" s="13" t="s">
        <v>14</v>
      </c>
      <c r="L59" s="14">
        <f>IF(O59="USD",Q59*$S$1)</f>
        <v>170.68157439413551</v>
      </c>
      <c r="M59" s="15" t="s">
        <v>29</v>
      </c>
      <c r="N59" s="24" t="s">
        <v>92</v>
      </c>
      <c r="O59" s="24" t="s">
        <v>38</v>
      </c>
      <c r="P59" s="16">
        <v>0.33339999999999997</v>
      </c>
      <c r="Q59" s="36">
        <v>33.752214675816312</v>
      </c>
    </row>
    <row r="60" spans="1:17" x14ac:dyDescent="0.25">
      <c r="A60" s="4" t="str">
        <f t="shared" si="0"/>
        <v>CUSTO OFFSHORE USD 33,7522146758163 - ASSET1 - MAIO 26</v>
      </c>
      <c r="B60" s="9">
        <v>46143</v>
      </c>
      <c r="C60" s="4">
        <v>817395</v>
      </c>
      <c r="D60" s="11" t="s">
        <v>45</v>
      </c>
      <c r="E60" s="12">
        <f t="shared" ref="E60:E70" si="7">-L60*P60</f>
        <v>-56.888168745565366</v>
      </c>
      <c r="F60" s="4" t="s">
        <v>52</v>
      </c>
      <c r="G60" s="9">
        <v>46143</v>
      </c>
      <c r="H60" s="4">
        <v>80834</v>
      </c>
      <c r="J60" s="13" t="s">
        <v>30</v>
      </c>
      <c r="K60" s="13" t="s">
        <v>14</v>
      </c>
      <c r="L60" s="14">
        <f t="shared" ref="L60:L70" si="8">IF(O60="USD",Q60*$S$1)</f>
        <v>170.68157439413551</v>
      </c>
      <c r="M60" s="15" t="s">
        <v>29</v>
      </c>
      <c r="N60" s="24" t="s">
        <v>92</v>
      </c>
      <c r="O60" s="24" t="s">
        <v>38</v>
      </c>
      <c r="P60" s="16">
        <v>0.33329999999999999</v>
      </c>
      <c r="Q60" s="36">
        <v>33.752214675816312</v>
      </c>
    </row>
    <row r="61" spans="1:17" x14ac:dyDescent="0.25">
      <c r="A61" s="4" t="str">
        <f t="shared" si="0"/>
        <v>CUSTO OFFSHORE USD 33,7522146758163 - ASSET1 - MAIO 26</v>
      </c>
      <c r="B61" s="9">
        <v>46143</v>
      </c>
      <c r="C61" s="4">
        <v>817395</v>
      </c>
      <c r="D61" s="11" t="s">
        <v>46</v>
      </c>
      <c r="E61" s="12">
        <f t="shared" si="7"/>
        <v>-56.888168745565366</v>
      </c>
      <c r="F61" s="4" t="s">
        <v>52</v>
      </c>
      <c r="G61" s="9">
        <v>46143</v>
      </c>
      <c r="H61" s="4">
        <v>80834</v>
      </c>
      <c r="J61" s="13" t="s">
        <v>30</v>
      </c>
      <c r="K61" s="13" t="s">
        <v>14</v>
      </c>
      <c r="L61" s="14">
        <f t="shared" si="8"/>
        <v>170.68157439413551</v>
      </c>
      <c r="M61" s="15" t="s">
        <v>29</v>
      </c>
      <c r="N61" s="24" t="s">
        <v>92</v>
      </c>
      <c r="O61" s="24" t="s">
        <v>38</v>
      </c>
      <c r="P61" s="16">
        <v>0.33329999999999999</v>
      </c>
      <c r="Q61" s="37">
        <v>33.752214675816312</v>
      </c>
    </row>
    <row r="62" spans="1:17" x14ac:dyDescent="0.25">
      <c r="A62" s="4" t="str">
        <f t="shared" si="0"/>
        <v>CUSTO OFFSHORE USD 326,599016347824 - BRADESCO_BZL - MAIO 26</v>
      </c>
      <c r="B62" s="9">
        <v>46143</v>
      </c>
      <c r="C62" s="4">
        <v>817395</v>
      </c>
      <c r="D62" s="11" t="s">
        <v>12</v>
      </c>
      <c r="E62" s="28">
        <f t="shared" si="7"/>
        <v>-1238.6839243269849</v>
      </c>
      <c r="F62" s="4" t="s">
        <v>52</v>
      </c>
      <c r="G62" s="9">
        <v>46143</v>
      </c>
      <c r="H62" s="4">
        <v>16705</v>
      </c>
      <c r="J62" s="13" t="s">
        <v>30</v>
      </c>
      <c r="K62" s="13" t="s">
        <v>27</v>
      </c>
      <c r="L62" s="14">
        <f t="shared" si="8"/>
        <v>1651.5785657693132</v>
      </c>
      <c r="M62" s="15" t="s">
        <v>29</v>
      </c>
      <c r="N62" s="24" t="s">
        <v>92</v>
      </c>
      <c r="O62" s="24" t="s">
        <v>38</v>
      </c>
      <c r="P62" s="27">
        <v>0.75</v>
      </c>
      <c r="Q62" s="35">
        <v>326.59901634782443</v>
      </c>
    </row>
    <row r="63" spans="1:17" x14ac:dyDescent="0.25">
      <c r="A63" s="4" t="str">
        <f t="shared" si="0"/>
        <v>CUSTO OFFSHORE USD 326,599016347824 - BRADESCO_BZL - MAIO 26</v>
      </c>
      <c r="B63" s="9">
        <v>46143</v>
      </c>
      <c r="C63" s="4">
        <v>817395</v>
      </c>
      <c r="D63" s="11" t="s">
        <v>45</v>
      </c>
      <c r="E63" s="28">
        <f t="shared" si="7"/>
        <v>-412.89464144232829</v>
      </c>
      <c r="F63" s="4" t="s">
        <v>52</v>
      </c>
      <c r="G63" s="9">
        <v>46143</v>
      </c>
      <c r="H63" s="4">
        <v>16705</v>
      </c>
      <c r="J63" s="13" t="s">
        <v>30</v>
      </c>
      <c r="K63" s="13" t="s">
        <v>27</v>
      </c>
      <c r="L63" s="14">
        <f t="shared" si="8"/>
        <v>1651.5785657693132</v>
      </c>
      <c r="M63" s="15" t="s">
        <v>29</v>
      </c>
      <c r="N63" s="24" t="s">
        <v>92</v>
      </c>
      <c r="O63" s="24" t="s">
        <v>38</v>
      </c>
      <c r="P63" s="27">
        <v>0.25</v>
      </c>
      <c r="Q63" s="37">
        <v>326.59901634782443</v>
      </c>
    </row>
    <row r="64" spans="1:17" x14ac:dyDescent="0.25">
      <c r="A64" s="4" t="str">
        <f t="shared" si="0"/>
        <v>CUSTO OFFSHORE USD  - BRADESCO_MO - MAIO 26</v>
      </c>
      <c r="B64" s="9">
        <v>46143</v>
      </c>
      <c r="C64" s="4">
        <v>817395</v>
      </c>
      <c r="D64" s="11" t="s">
        <v>12</v>
      </c>
      <c r="E64" s="30">
        <f t="shared" si="7"/>
        <v>0</v>
      </c>
      <c r="F64" s="4" t="s">
        <v>52</v>
      </c>
      <c r="G64" s="9">
        <v>46143</v>
      </c>
      <c r="H64" s="4">
        <v>16705</v>
      </c>
      <c r="J64" s="13" t="s">
        <v>30</v>
      </c>
      <c r="K64" s="13" t="s">
        <v>69</v>
      </c>
      <c r="L64" s="14">
        <f t="shared" si="8"/>
        <v>0</v>
      </c>
      <c r="M64" s="15" t="s">
        <v>29</v>
      </c>
      <c r="N64" s="24" t="s">
        <v>92</v>
      </c>
      <c r="O64" s="24" t="s">
        <v>38</v>
      </c>
      <c r="P64" s="27">
        <v>0.75</v>
      </c>
      <c r="Q64" s="35"/>
    </row>
    <row r="65" spans="1:17" x14ac:dyDescent="0.25">
      <c r="A65" s="4" t="str">
        <f t="shared" si="0"/>
        <v>CUSTO OFFSHORE USD  - BRADESCO_MO - MAIO 26</v>
      </c>
      <c r="B65" s="9">
        <v>46143</v>
      </c>
      <c r="C65" s="4">
        <v>817395</v>
      </c>
      <c r="D65" s="11" t="s">
        <v>45</v>
      </c>
      <c r="E65" s="30">
        <f t="shared" si="7"/>
        <v>0</v>
      </c>
      <c r="F65" s="4" t="s">
        <v>52</v>
      </c>
      <c r="G65" s="9">
        <v>46143</v>
      </c>
      <c r="H65" s="4">
        <v>16705</v>
      </c>
      <c r="J65" s="13" t="s">
        <v>30</v>
      </c>
      <c r="K65" s="13" t="s">
        <v>69</v>
      </c>
      <c r="L65" s="14">
        <f t="shared" si="8"/>
        <v>0</v>
      </c>
      <c r="M65" s="15" t="s">
        <v>29</v>
      </c>
      <c r="N65" s="24" t="s">
        <v>92</v>
      </c>
      <c r="O65" s="24" t="s">
        <v>38</v>
      </c>
      <c r="P65" s="27">
        <v>0.25</v>
      </c>
      <c r="Q65" s="37"/>
    </row>
    <row r="66" spans="1:17" x14ac:dyDescent="0.25">
      <c r="A66" s="4" t="str">
        <f t="shared" si="0"/>
        <v>CUSTO OFFSHORE USD  - CLAVE_MO - MAIO 26</v>
      </c>
      <c r="B66" s="9">
        <v>46143</v>
      </c>
      <c r="C66" s="4">
        <v>817395</v>
      </c>
      <c r="D66" s="11" t="s">
        <v>12</v>
      </c>
      <c r="E66" s="30">
        <f t="shared" si="7"/>
        <v>0</v>
      </c>
      <c r="F66" s="4" t="s">
        <v>52</v>
      </c>
      <c r="G66" s="9">
        <v>46143</v>
      </c>
      <c r="H66" s="4">
        <v>81541</v>
      </c>
      <c r="J66" s="13" t="s">
        <v>30</v>
      </c>
      <c r="K66" s="13" t="s">
        <v>71</v>
      </c>
      <c r="L66" s="14">
        <f t="shared" si="8"/>
        <v>0</v>
      </c>
      <c r="M66" s="15" t="s">
        <v>29</v>
      </c>
      <c r="N66" s="24" t="s">
        <v>92</v>
      </c>
      <c r="O66" s="24" t="s">
        <v>38</v>
      </c>
      <c r="P66" s="27">
        <v>0.66669999999999996</v>
      </c>
      <c r="Q66" s="35"/>
    </row>
    <row r="67" spans="1:17" x14ac:dyDescent="0.25">
      <c r="A67" s="4" t="str">
        <f t="shared" si="0"/>
        <v>CUSTO OFFSHORE USD  - CLAVE_MO - MAIO 26</v>
      </c>
      <c r="B67" s="9">
        <v>46143</v>
      </c>
      <c r="C67" s="4">
        <v>817395</v>
      </c>
      <c r="D67" s="11" t="s">
        <v>45</v>
      </c>
      <c r="E67" s="30">
        <f t="shared" si="7"/>
        <v>0</v>
      </c>
      <c r="F67" s="4" t="s">
        <v>52</v>
      </c>
      <c r="G67" s="9">
        <v>46143</v>
      </c>
      <c r="H67" s="4">
        <v>81541</v>
      </c>
      <c r="J67" s="13" t="s">
        <v>30</v>
      </c>
      <c r="K67" s="13" t="s">
        <v>71</v>
      </c>
      <c r="L67" s="14">
        <f t="shared" si="8"/>
        <v>0</v>
      </c>
      <c r="M67" s="15" t="s">
        <v>29</v>
      </c>
      <c r="N67" s="24" t="s">
        <v>92</v>
      </c>
      <c r="O67" s="24" t="s">
        <v>38</v>
      </c>
      <c r="P67" s="27">
        <v>0.33329999999999999</v>
      </c>
      <c r="Q67" s="37"/>
    </row>
    <row r="68" spans="1:17" x14ac:dyDescent="0.25">
      <c r="A68" s="4" t="str">
        <f t="shared" si="0"/>
        <v>CUSTO OFFSHORE USD 148,671636827439 - CITIGBL_MO - MAIO 26</v>
      </c>
      <c r="B68" s="9">
        <v>46143</v>
      </c>
      <c r="C68" s="4">
        <v>817395</v>
      </c>
      <c r="D68" s="11" t="s">
        <v>12</v>
      </c>
      <c r="E68" s="28">
        <f t="shared" si="7"/>
        <v>-375.90880013633819</v>
      </c>
      <c r="F68" s="4" t="s">
        <v>52</v>
      </c>
      <c r="G68" s="9">
        <v>46143</v>
      </c>
      <c r="H68" s="4">
        <v>79791</v>
      </c>
      <c r="J68" s="13" t="s">
        <v>30</v>
      </c>
      <c r="K68" s="13" t="s">
        <v>48</v>
      </c>
      <c r="L68" s="14">
        <f t="shared" si="8"/>
        <v>751.81760027267637</v>
      </c>
      <c r="M68" s="15" t="s">
        <v>29</v>
      </c>
      <c r="N68" s="24" t="s">
        <v>92</v>
      </c>
      <c r="O68" s="24" t="s">
        <v>38</v>
      </c>
      <c r="P68" s="27">
        <v>0.5</v>
      </c>
      <c r="Q68" s="35">
        <v>148.67163682743902</v>
      </c>
    </row>
    <row r="69" spans="1:17" x14ac:dyDescent="0.25">
      <c r="A69" s="4" t="str">
        <f t="shared" si="0"/>
        <v>CUSTO OFFSHORE USD 148,671636827439 - CITIGBL_MO - MAIO 26</v>
      </c>
      <c r="B69" s="9">
        <v>46143</v>
      </c>
      <c r="C69" s="4">
        <v>817395</v>
      </c>
      <c r="D69" s="11" t="s">
        <v>45</v>
      </c>
      <c r="E69" s="28">
        <f t="shared" si="7"/>
        <v>-375.90880013633819</v>
      </c>
      <c r="F69" s="4" t="s">
        <v>52</v>
      </c>
      <c r="G69" s="9">
        <v>46143</v>
      </c>
      <c r="H69" s="4">
        <v>79791</v>
      </c>
      <c r="J69" s="13" t="s">
        <v>30</v>
      </c>
      <c r="K69" s="13" t="s">
        <v>48</v>
      </c>
      <c r="L69" s="14">
        <f t="shared" si="8"/>
        <v>751.81760027267637</v>
      </c>
      <c r="M69" s="15" t="s">
        <v>29</v>
      </c>
      <c r="N69" s="24" t="s">
        <v>92</v>
      </c>
      <c r="O69" s="24" t="s">
        <v>38</v>
      </c>
      <c r="P69" s="27">
        <v>0.5</v>
      </c>
      <c r="Q69" s="37">
        <v>148.67163682743902</v>
      </c>
    </row>
    <row r="70" spans="1:17" x14ac:dyDescent="0.25">
      <c r="A70" s="4" t="str">
        <f t="shared" si="0"/>
        <v>CUSTO OFFSHORE USD 2660,10074224758 - GOLDMAN SACHS IL - BRAS - MAIO 26</v>
      </c>
      <c r="B70" s="9">
        <v>46143</v>
      </c>
      <c r="C70" s="4">
        <v>817395</v>
      </c>
      <c r="D70" s="11" t="s">
        <v>12</v>
      </c>
      <c r="E70" s="10">
        <f t="shared" si="7"/>
        <v>-13451.86344347179</v>
      </c>
      <c r="F70" s="4" t="s">
        <v>52</v>
      </c>
      <c r="G70" s="9">
        <v>46143</v>
      </c>
      <c r="H70" s="4">
        <v>79791</v>
      </c>
      <c r="J70" s="13" t="s">
        <v>30</v>
      </c>
      <c r="K70" s="13" t="s">
        <v>24</v>
      </c>
      <c r="L70" s="14">
        <f t="shared" si="8"/>
        <v>13451.86344347179</v>
      </c>
      <c r="M70" s="15" t="s">
        <v>29</v>
      </c>
      <c r="N70" s="24" t="s">
        <v>92</v>
      </c>
      <c r="O70" s="24" t="s">
        <v>38</v>
      </c>
      <c r="P70" s="16">
        <v>1</v>
      </c>
      <c r="Q70" s="12">
        <v>2660.1007422475805</v>
      </c>
    </row>
    <row r="71" spans="1:17" x14ac:dyDescent="0.25">
      <c r="A71" s="4" t="str">
        <f t="shared" si="0"/>
        <v>CUSTO OFFSHORE USD 152,028558954267 - ITAÚ - MSCO - MAIO 26</v>
      </c>
      <c r="B71" s="9">
        <v>46143</v>
      </c>
      <c r="C71" s="4">
        <v>817395</v>
      </c>
      <c r="D71" s="11" t="s">
        <v>12</v>
      </c>
      <c r="E71" s="10">
        <f>-L71*P71</f>
        <v>-768.79321977583129</v>
      </c>
      <c r="F71" s="4" t="s">
        <v>52</v>
      </c>
      <c r="G71" s="9">
        <v>46143</v>
      </c>
      <c r="H71" s="4">
        <v>79460</v>
      </c>
      <c r="J71" s="13" t="s">
        <v>30</v>
      </c>
      <c r="K71" s="13" t="s">
        <v>17</v>
      </c>
      <c r="L71" s="14">
        <f>IF(O71="USD",Q71*$S$1)</f>
        <v>768.79321977583129</v>
      </c>
      <c r="M71" s="15" t="s">
        <v>29</v>
      </c>
      <c r="N71" s="24" t="s">
        <v>92</v>
      </c>
      <c r="O71" s="24" t="s">
        <v>38</v>
      </c>
      <c r="P71" s="16">
        <v>1</v>
      </c>
      <c r="Q71" s="12">
        <v>152.02855895426671</v>
      </c>
    </row>
    <row r="72" spans="1:17" x14ac:dyDescent="0.25">
      <c r="A72" s="4" t="str">
        <f t="shared" si="0"/>
        <v>CUSTO OFFSHORE USD 729,03 - ITAÚ - NASSAU - MAIO 26</v>
      </c>
      <c r="B72" s="9">
        <v>46143</v>
      </c>
      <c r="C72" s="4">
        <v>817395</v>
      </c>
      <c r="D72" s="11" t="s">
        <v>12</v>
      </c>
      <c r="E72" s="10">
        <f>-L72*P72</f>
        <v>-3686.6318069999998</v>
      </c>
      <c r="F72" s="4" t="s">
        <v>52</v>
      </c>
      <c r="G72" s="9">
        <v>46143</v>
      </c>
      <c r="H72" s="4">
        <v>79460</v>
      </c>
      <c r="J72" s="13" t="s">
        <v>30</v>
      </c>
      <c r="K72" s="13" t="s">
        <v>18</v>
      </c>
      <c r="L72" s="14">
        <f>IF(O72="USD",Q72*$S$1)</f>
        <v>3686.6318069999998</v>
      </c>
      <c r="M72" s="15" t="s">
        <v>29</v>
      </c>
      <c r="N72" s="24" t="s">
        <v>92</v>
      </c>
      <c r="O72" s="24" t="s">
        <v>38</v>
      </c>
      <c r="P72" s="16">
        <v>1</v>
      </c>
      <c r="Q72" s="12">
        <v>729.03</v>
      </c>
    </row>
    <row r="73" spans="1:17" x14ac:dyDescent="0.25">
      <c r="A73" s="4" t="str">
        <f t="shared" si="0"/>
        <v>CUSTO OFFSHORE USD  - GENOA_MO - MAIO 26</v>
      </c>
      <c r="B73" s="9">
        <v>46143</v>
      </c>
      <c r="C73" s="4">
        <v>817395</v>
      </c>
      <c r="D73" s="11" t="s">
        <v>12</v>
      </c>
      <c r="E73" s="30">
        <f t="shared" ref="E73:E107" si="9">-L73*P73</f>
        <v>0</v>
      </c>
      <c r="F73" s="4" t="s">
        <v>52</v>
      </c>
      <c r="G73" s="9">
        <v>46143</v>
      </c>
      <c r="H73" s="4">
        <v>80883</v>
      </c>
      <c r="J73" s="13" t="s">
        <v>30</v>
      </c>
      <c r="K73" s="13" t="s">
        <v>90</v>
      </c>
      <c r="L73" s="14">
        <f t="shared" ref="L73:L85" si="10">IF(O73="USD",Q73*$S$1)</f>
        <v>0</v>
      </c>
      <c r="M73" s="15" t="s">
        <v>29</v>
      </c>
      <c r="N73" s="24" t="s">
        <v>92</v>
      </c>
      <c r="O73" s="24" t="s">
        <v>38</v>
      </c>
      <c r="P73" s="16">
        <v>1</v>
      </c>
      <c r="Q73" s="12"/>
    </row>
    <row r="74" spans="1:17" x14ac:dyDescent="0.25">
      <c r="A74" s="4" t="str">
        <f t="shared" si="0"/>
        <v>CUSTO OFFSHORE USD  - BNP_MO - MAIO 26</v>
      </c>
      <c r="B74" s="9">
        <v>46143</v>
      </c>
      <c r="C74" s="4">
        <v>817395</v>
      </c>
      <c r="D74" s="11" t="s">
        <v>12</v>
      </c>
      <c r="E74" s="30">
        <f t="shared" si="9"/>
        <v>0</v>
      </c>
      <c r="F74" s="4" t="s">
        <v>52</v>
      </c>
      <c r="G74" s="9">
        <v>46143</v>
      </c>
      <c r="H74" s="4">
        <v>95005</v>
      </c>
      <c r="J74" s="13" t="s">
        <v>30</v>
      </c>
      <c r="K74" s="13" t="s">
        <v>57</v>
      </c>
      <c r="L74" s="14">
        <f t="shared" si="10"/>
        <v>0</v>
      </c>
      <c r="M74" s="15" t="s">
        <v>29</v>
      </c>
      <c r="N74" s="24" t="s">
        <v>92</v>
      </c>
      <c r="O74" s="24" t="s">
        <v>38</v>
      </c>
      <c r="P74" s="16">
        <v>1</v>
      </c>
      <c r="Q74" s="12"/>
    </row>
    <row r="75" spans="1:17" x14ac:dyDescent="0.25">
      <c r="A75" s="4" t="str">
        <f t="shared" si="0"/>
        <v>CUSTO OFFSHORE USD  - ADAMGestao_MO - MAIO 26</v>
      </c>
      <c r="B75" s="9">
        <v>46143</v>
      </c>
      <c r="C75" s="4">
        <v>817395</v>
      </c>
      <c r="D75" s="11" t="s">
        <v>12</v>
      </c>
      <c r="E75" s="30">
        <f t="shared" si="9"/>
        <v>0</v>
      </c>
      <c r="F75" s="4" t="s">
        <v>52</v>
      </c>
      <c r="G75" s="9">
        <v>46143</v>
      </c>
      <c r="H75" s="4">
        <v>79973</v>
      </c>
      <c r="J75" s="13" t="s">
        <v>30</v>
      </c>
      <c r="K75" s="13" t="s">
        <v>77</v>
      </c>
      <c r="L75" s="14">
        <f t="shared" si="10"/>
        <v>0</v>
      </c>
      <c r="M75" s="15" t="s">
        <v>29</v>
      </c>
      <c r="N75" s="24" t="s">
        <v>92</v>
      </c>
      <c r="O75" s="24" t="s">
        <v>38</v>
      </c>
      <c r="P75" s="27">
        <v>1</v>
      </c>
      <c r="Q75" s="26"/>
    </row>
    <row r="76" spans="1:17" x14ac:dyDescent="0.25">
      <c r="A76" s="4" t="str">
        <f t="shared" si="0"/>
        <v>CUSTO OFFSHORE USD 115,224557091946 - SPRINGS_MO - MAIO 26</v>
      </c>
      <c r="B76" s="9">
        <v>46143</v>
      </c>
      <c r="C76" s="4">
        <v>817395</v>
      </c>
      <c r="D76" s="11" t="s">
        <v>12</v>
      </c>
      <c r="E76" s="30">
        <f t="shared" si="9"/>
        <v>-388.41386323465724</v>
      </c>
      <c r="F76" s="4" t="s">
        <v>52</v>
      </c>
      <c r="G76" s="9">
        <v>46143</v>
      </c>
      <c r="H76" s="4">
        <v>82748</v>
      </c>
      <c r="J76" s="13" t="s">
        <v>30</v>
      </c>
      <c r="K76" s="13" t="s">
        <v>56</v>
      </c>
      <c r="L76" s="14">
        <f t="shared" si="10"/>
        <v>582.67906275826169</v>
      </c>
      <c r="M76" s="15" t="s">
        <v>29</v>
      </c>
      <c r="N76" s="24" t="s">
        <v>92</v>
      </c>
      <c r="O76" s="24" t="s">
        <v>38</v>
      </c>
      <c r="P76" s="16">
        <v>0.66659999999999997</v>
      </c>
      <c r="Q76" s="35">
        <v>115.22455709194601</v>
      </c>
    </row>
    <row r="77" spans="1:17" x14ac:dyDescent="0.25">
      <c r="A77" s="4" t="str">
        <f t="shared" si="0"/>
        <v>CUSTO OFFSHORE USD 115,224557091946 - SPRINGS_MO - MAIO 26</v>
      </c>
      <c r="B77" s="9">
        <v>46143</v>
      </c>
      <c r="C77" s="4">
        <v>817395</v>
      </c>
      <c r="D77" s="11" t="s">
        <v>45</v>
      </c>
      <c r="E77" s="30">
        <f t="shared" si="9"/>
        <v>-194.20693161732862</v>
      </c>
      <c r="F77" s="4" t="s">
        <v>52</v>
      </c>
      <c r="G77" s="9">
        <v>46143</v>
      </c>
      <c r="H77" s="4">
        <v>82748</v>
      </c>
      <c r="J77" s="13" t="s">
        <v>30</v>
      </c>
      <c r="K77" s="13" t="s">
        <v>56</v>
      </c>
      <c r="L77" s="14">
        <f t="shared" si="10"/>
        <v>582.67906275826169</v>
      </c>
      <c r="M77" s="15" t="s">
        <v>29</v>
      </c>
      <c r="N77" s="24" t="s">
        <v>92</v>
      </c>
      <c r="O77" s="24" t="s">
        <v>38</v>
      </c>
      <c r="P77" s="16">
        <v>0.33329999999999999</v>
      </c>
      <c r="Q77" s="37">
        <v>115.22455709194601</v>
      </c>
    </row>
    <row r="78" spans="1:17" x14ac:dyDescent="0.25">
      <c r="A78" s="4" t="str">
        <f t="shared" si="0"/>
        <v>CUSTO OFFSHORE USD 0,207947054022319 - JPMPLC_MO - MAIO 26</v>
      </c>
      <c r="B78" s="9">
        <v>46143</v>
      </c>
      <c r="C78" s="4">
        <v>817395</v>
      </c>
      <c r="D78" s="11" t="s">
        <v>12</v>
      </c>
      <c r="E78" s="30">
        <f t="shared" si="9"/>
        <v>-0.70108002390555935</v>
      </c>
      <c r="F78" s="4" t="s">
        <v>52</v>
      </c>
      <c r="G78" s="9">
        <v>46143</v>
      </c>
      <c r="H78" s="4">
        <v>81541</v>
      </c>
      <c r="J78" s="13" t="s">
        <v>30</v>
      </c>
      <c r="K78" s="13" t="s">
        <v>55</v>
      </c>
      <c r="L78" s="14">
        <f t="shared" si="10"/>
        <v>1.0515674574854648</v>
      </c>
      <c r="M78" s="15" t="s">
        <v>29</v>
      </c>
      <c r="N78" s="24" t="s">
        <v>92</v>
      </c>
      <c r="O78" s="24" t="s">
        <v>38</v>
      </c>
      <c r="P78" s="27">
        <v>0.66669999999999996</v>
      </c>
      <c r="Q78" s="35">
        <v>0.20794705402231897</v>
      </c>
    </row>
    <row r="79" spans="1:17" x14ac:dyDescent="0.25">
      <c r="A79" s="4" t="str">
        <f t="shared" si="0"/>
        <v>CUSTO OFFSHORE USD 0,207947054022319 - JPMPLC_MO - MAIO 26</v>
      </c>
      <c r="B79" s="9">
        <v>46143</v>
      </c>
      <c r="C79" s="4">
        <v>817395</v>
      </c>
      <c r="D79" s="11" t="s">
        <v>45</v>
      </c>
      <c r="E79" s="30">
        <f t="shared" si="9"/>
        <v>-0.35048743357990542</v>
      </c>
      <c r="F79" s="4" t="s">
        <v>52</v>
      </c>
      <c r="G79" s="9">
        <v>46143</v>
      </c>
      <c r="H79" s="4">
        <v>81541</v>
      </c>
      <c r="J79" s="13" t="s">
        <v>30</v>
      </c>
      <c r="K79" s="13" t="s">
        <v>55</v>
      </c>
      <c r="L79" s="14">
        <f t="shared" si="10"/>
        <v>1.0515674574854648</v>
      </c>
      <c r="M79" s="15" t="s">
        <v>29</v>
      </c>
      <c r="N79" s="24" t="s">
        <v>92</v>
      </c>
      <c r="O79" s="24" t="s">
        <v>38</v>
      </c>
      <c r="P79" s="27">
        <v>0.33329999999999999</v>
      </c>
      <c r="Q79" s="37">
        <v>0.20794705402231897</v>
      </c>
    </row>
    <row r="80" spans="1:17" x14ac:dyDescent="0.25">
      <c r="A80" s="4" t="str">
        <f t="shared" si="0"/>
        <v>CUSTO OFFSHORE USD 146,850020634204 - KAPITALO - MAIO 26</v>
      </c>
      <c r="B80" s="9">
        <v>46143</v>
      </c>
      <c r="C80" s="4">
        <v>817395</v>
      </c>
      <c r="D80" s="11" t="s">
        <v>12</v>
      </c>
      <c r="E80" s="28">
        <f t="shared" si="9"/>
        <v>-556.95440200882786</v>
      </c>
      <c r="F80" s="4" t="s">
        <v>52</v>
      </c>
      <c r="G80" s="9">
        <v>46143</v>
      </c>
      <c r="H80" s="4">
        <v>12413</v>
      </c>
      <c r="J80" s="13" t="s">
        <v>30</v>
      </c>
      <c r="K80" s="13" t="s">
        <v>26</v>
      </c>
      <c r="L80" s="14">
        <f t="shared" si="10"/>
        <v>742.60586934510377</v>
      </c>
      <c r="M80" s="15" t="s">
        <v>29</v>
      </c>
      <c r="N80" s="24" t="s">
        <v>92</v>
      </c>
      <c r="O80" s="24" t="s">
        <v>38</v>
      </c>
      <c r="P80" s="27">
        <v>0.75</v>
      </c>
      <c r="Q80" s="35">
        <v>146.85002063420353</v>
      </c>
    </row>
    <row r="81" spans="1:19" x14ac:dyDescent="0.25">
      <c r="A81" s="4" t="str">
        <f t="shared" si="0"/>
        <v>CUSTO OFFSHORE USD 146,850020634204 - KAPITALO - MAIO 26</v>
      </c>
      <c r="B81" s="9">
        <v>46143</v>
      </c>
      <c r="C81" s="4">
        <v>817395</v>
      </c>
      <c r="D81" s="11" t="s">
        <v>45</v>
      </c>
      <c r="E81" s="28">
        <f t="shared" si="9"/>
        <v>-185.65146733627594</v>
      </c>
      <c r="F81" s="4" t="s">
        <v>52</v>
      </c>
      <c r="G81" s="9">
        <v>46143</v>
      </c>
      <c r="H81" s="4">
        <v>12413</v>
      </c>
      <c r="J81" s="13" t="s">
        <v>30</v>
      </c>
      <c r="K81" s="13" t="s">
        <v>26</v>
      </c>
      <c r="L81" s="14">
        <f t="shared" si="10"/>
        <v>742.60586934510377</v>
      </c>
      <c r="M81" s="15" t="s">
        <v>29</v>
      </c>
      <c r="N81" s="24" t="s">
        <v>92</v>
      </c>
      <c r="O81" s="24" t="s">
        <v>38</v>
      </c>
      <c r="P81" s="27">
        <v>0.25</v>
      </c>
      <c r="Q81" s="37">
        <v>146.85002063420353</v>
      </c>
    </row>
    <row r="82" spans="1:19" x14ac:dyDescent="0.25">
      <c r="A82" s="4" t="str">
        <f t="shared" si="0"/>
        <v>CUSTO OFFSHORE USD 294,855351322228 - RPS - MAIO 26</v>
      </c>
      <c r="B82" s="9">
        <v>46143</v>
      </c>
      <c r="C82" s="4">
        <v>817395</v>
      </c>
      <c r="D82" s="11" t="s">
        <v>45</v>
      </c>
      <c r="E82" s="10">
        <f t="shared" si="9"/>
        <v>-745.52701305068706</v>
      </c>
      <c r="F82" s="4" t="s">
        <v>52</v>
      </c>
      <c r="G82" s="9">
        <v>46143</v>
      </c>
      <c r="H82" s="4">
        <v>12339</v>
      </c>
      <c r="J82" s="13" t="s">
        <v>30</v>
      </c>
      <c r="K82" s="13" t="s">
        <v>16</v>
      </c>
      <c r="L82" s="14">
        <f t="shared" si="10"/>
        <v>1491.0540261013741</v>
      </c>
      <c r="M82" s="15" t="s">
        <v>29</v>
      </c>
      <c r="N82" s="24" t="s">
        <v>92</v>
      </c>
      <c r="O82" s="24" t="s">
        <v>38</v>
      </c>
      <c r="P82" s="16">
        <v>0.5</v>
      </c>
      <c r="Q82" s="35">
        <v>294.85535132222788</v>
      </c>
    </row>
    <row r="83" spans="1:19" x14ac:dyDescent="0.25">
      <c r="A83" s="4" t="str">
        <f t="shared" si="0"/>
        <v>CUSTO OFFSHORE USD 294,855351322228 - RPS - MAIO 26</v>
      </c>
      <c r="B83" s="9">
        <v>46143</v>
      </c>
      <c r="C83" s="4">
        <v>817395</v>
      </c>
      <c r="D83" s="11" t="s">
        <v>12</v>
      </c>
      <c r="E83" s="28">
        <f t="shared" si="9"/>
        <v>-745.52701305068706</v>
      </c>
      <c r="F83" s="4" t="s">
        <v>52</v>
      </c>
      <c r="G83" s="9">
        <v>46143</v>
      </c>
      <c r="H83" s="4">
        <v>12339</v>
      </c>
      <c r="J83" s="13" t="s">
        <v>30</v>
      </c>
      <c r="K83" s="13" t="s">
        <v>16</v>
      </c>
      <c r="L83" s="34">
        <f t="shared" si="10"/>
        <v>1491.0540261013741</v>
      </c>
      <c r="M83" s="15" t="s">
        <v>29</v>
      </c>
      <c r="N83" s="24" t="s">
        <v>92</v>
      </c>
      <c r="O83" s="24" t="s">
        <v>38</v>
      </c>
      <c r="P83" s="27">
        <v>0.5</v>
      </c>
      <c r="Q83" s="37">
        <v>294.85535132222788</v>
      </c>
    </row>
    <row r="84" spans="1:19" x14ac:dyDescent="0.25">
      <c r="A84" s="4" t="str">
        <f t="shared" si="0"/>
        <v>CUSTO OFFSHORE USD 27,4004171877956 - SPX_MO - MAIO 26</v>
      </c>
      <c r="B84" s="9">
        <v>46143</v>
      </c>
      <c r="C84" s="4">
        <v>817395</v>
      </c>
      <c r="D84" s="11" t="s">
        <v>12</v>
      </c>
      <c r="E84" s="28">
        <f t="shared" si="9"/>
        <v>-83.136701806178209</v>
      </c>
      <c r="F84" s="4" t="s">
        <v>52</v>
      </c>
      <c r="G84" s="9">
        <v>46143</v>
      </c>
      <c r="H84" s="4">
        <v>79931</v>
      </c>
      <c r="J84" s="13" t="s">
        <v>30</v>
      </c>
      <c r="K84" s="13" t="s">
        <v>31</v>
      </c>
      <c r="L84" s="34">
        <f t="shared" si="10"/>
        <v>138.56116967696369</v>
      </c>
      <c r="M84" s="15" t="s">
        <v>29</v>
      </c>
      <c r="N84" s="24" t="s">
        <v>92</v>
      </c>
      <c r="O84" s="24" t="s">
        <v>38</v>
      </c>
      <c r="P84" s="27">
        <v>0.6</v>
      </c>
      <c r="Q84" s="36">
        <v>27.400417187795625</v>
      </c>
    </row>
    <row r="85" spans="1:19" x14ac:dyDescent="0.25">
      <c r="A85" s="17" t="str">
        <f t="shared" si="0"/>
        <v>CUSTO OFFSHORE USD 27,4004171877956 - SPX_MO - MAIO 26</v>
      </c>
      <c r="B85" s="18">
        <v>46143</v>
      </c>
      <c r="C85" s="17">
        <v>817395</v>
      </c>
      <c r="D85" s="23" t="s">
        <v>45</v>
      </c>
      <c r="E85" s="19">
        <f t="shared" si="9"/>
        <v>-55.424467870785477</v>
      </c>
      <c r="F85" s="17" t="s">
        <v>52</v>
      </c>
      <c r="G85" s="18">
        <v>46143</v>
      </c>
      <c r="H85" s="17">
        <v>79931</v>
      </c>
      <c r="J85" s="20" t="s">
        <v>30</v>
      </c>
      <c r="K85" s="20" t="s">
        <v>31</v>
      </c>
      <c r="L85" s="33">
        <f t="shared" si="10"/>
        <v>138.56116967696369</v>
      </c>
      <c r="M85" s="21" t="s">
        <v>29</v>
      </c>
      <c r="N85" s="25" t="s">
        <v>92</v>
      </c>
      <c r="O85" s="25" t="s">
        <v>38</v>
      </c>
      <c r="P85" s="22">
        <v>0.4</v>
      </c>
      <c r="Q85" s="37">
        <v>27.400417187795625</v>
      </c>
    </row>
    <row r="86" spans="1:19" x14ac:dyDescent="0.25">
      <c r="A86" s="17" t="str">
        <f t="shared" si="0"/>
        <v>CUSTO OFFSHORE USD 408,28 - BGC - MAIO 26</v>
      </c>
      <c r="B86" s="18">
        <v>46143</v>
      </c>
      <c r="C86" s="17">
        <v>817395</v>
      </c>
      <c r="D86" s="23" t="s">
        <v>12</v>
      </c>
      <c r="E86" s="19">
        <f t="shared" si="9"/>
        <v>-2064.6311319999995</v>
      </c>
      <c r="F86" s="17" t="s">
        <v>33</v>
      </c>
      <c r="G86" s="18">
        <v>46143</v>
      </c>
      <c r="H86" s="17">
        <v>1170</v>
      </c>
      <c r="J86" s="20" t="s">
        <v>30</v>
      </c>
      <c r="K86" s="20" t="s">
        <v>21</v>
      </c>
      <c r="L86" s="33">
        <f t="shared" si="4"/>
        <v>2064.6311319999995</v>
      </c>
      <c r="M86" s="21" t="s">
        <v>29</v>
      </c>
      <c r="N86" s="25" t="s">
        <v>92</v>
      </c>
      <c r="O86" s="25" t="s">
        <v>38</v>
      </c>
      <c r="P86" s="22">
        <v>1</v>
      </c>
      <c r="Q86" s="26">
        <v>408.28</v>
      </c>
    </row>
    <row r="87" spans="1:19" x14ac:dyDescent="0.25">
      <c r="A87" s="17" t="str">
        <f t="shared" si="0"/>
        <v>CUSTO OFFSHORE USD 907,13 - BGC - MAIO 26</v>
      </c>
      <c r="B87" s="18">
        <v>46143</v>
      </c>
      <c r="C87" s="17">
        <v>817395</v>
      </c>
      <c r="D87" s="23" t="s">
        <v>12</v>
      </c>
      <c r="E87" s="19">
        <f t="shared" si="9"/>
        <v>-4587.2656969999998</v>
      </c>
      <c r="F87" s="17" t="s">
        <v>40</v>
      </c>
      <c r="G87" s="18">
        <v>46143</v>
      </c>
      <c r="H87" s="17">
        <v>1170</v>
      </c>
      <c r="J87" s="20" t="s">
        <v>30</v>
      </c>
      <c r="K87" s="20" t="s">
        <v>21</v>
      </c>
      <c r="L87" s="33">
        <f t="shared" si="4"/>
        <v>4587.2656969999998</v>
      </c>
      <c r="M87" s="21" t="s">
        <v>29</v>
      </c>
      <c r="N87" s="25" t="s">
        <v>92</v>
      </c>
      <c r="O87" s="25" t="s">
        <v>38</v>
      </c>
      <c r="P87" s="22">
        <v>1</v>
      </c>
      <c r="Q87" s="26">
        <v>907.13</v>
      </c>
    </row>
    <row r="88" spans="1:19" x14ac:dyDescent="0.25">
      <c r="A88" s="4" t="str">
        <f t="shared" si="0"/>
        <v>CUSTO OFFSHORE USD 88,215 - BGC - MAIO 26</v>
      </c>
      <c r="B88" s="9">
        <v>46143</v>
      </c>
      <c r="C88" s="4">
        <v>817395</v>
      </c>
      <c r="D88" s="11" t="s">
        <v>47</v>
      </c>
      <c r="E88" s="12">
        <f t="shared" si="9"/>
        <v>-446.09443349999998</v>
      </c>
      <c r="F88" s="4" t="s">
        <v>22</v>
      </c>
      <c r="G88" s="9">
        <v>46143</v>
      </c>
      <c r="H88" s="4">
        <v>1170</v>
      </c>
      <c r="J88" s="13" t="s">
        <v>30</v>
      </c>
      <c r="K88" s="13" t="s">
        <v>21</v>
      </c>
      <c r="L88" s="14">
        <f t="shared" si="4"/>
        <v>446.09443349999998</v>
      </c>
      <c r="M88" s="15" t="s">
        <v>29</v>
      </c>
      <c r="N88" s="24" t="s">
        <v>92</v>
      </c>
      <c r="O88" s="24" t="s">
        <v>38</v>
      </c>
      <c r="P88" s="16">
        <v>1</v>
      </c>
      <c r="Q88" s="12">
        <v>88.215000000000003</v>
      </c>
    </row>
    <row r="89" spans="1:19" x14ac:dyDescent="0.25">
      <c r="A89" s="17" t="str">
        <f t="shared" si="0"/>
        <v>CUSTO OFFSHORE USD 88,215 - BGC - MAIO 26</v>
      </c>
      <c r="B89" s="18">
        <v>46143</v>
      </c>
      <c r="C89" s="17">
        <v>817395</v>
      </c>
      <c r="D89" s="23" t="s">
        <v>12</v>
      </c>
      <c r="E89" s="26">
        <f t="shared" si="9"/>
        <v>-446.09443349999998</v>
      </c>
      <c r="F89" s="17" t="s">
        <v>22</v>
      </c>
      <c r="G89" s="18">
        <v>46143</v>
      </c>
      <c r="H89" s="17">
        <v>1170</v>
      </c>
      <c r="J89" s="20" t="s">
        <v>30</v>
      </c>
      <c r="K89" s="20" t="s">
        <v>21</v>
      </c>
      <c r="L89" s="33">
        <f t="shared" si="4"/>
        <v>446.09443349999998</v>
      </c>
      <c r="M89" s="21" t="s">
        <v>29</v>
      </c>
      <c r="N89" s="25" t="s">
        <v>92</v>
      </c>
      <c r="O89" s="25" t="s">
        <v>38</v>
      </c>
      <c r="P89" s="22">
        <v>1</v>
      </c>
      <c r="Q89" s="26">
        <v>88.215000000000003</v>
      </c>
    </row>
    <row r="90" spans="1:19" x14ac:dyDescent="0.25">
      <c r="A90" s="4" t="str">
        <f>CONCATENATE(J90,Q90,M90,K90,M90,N90)</f>
        <v>CUSTO OFFSHORE USD 486,84 - BGC BONDS - MAIO 26</v>
      </c>
      <c r="B90" s="9">
        <v>46143</v>
      </c>
      <c r="C90" s="4">
        <v>817395</v>
      </c>
      <c r="D90" s="11" t="s">
        <v>32</v>
      </c>
      <c r="E90" s="10">
        <f>-L90*P90</f>
        <v>-2461.9011959999998</v>
      </c>
      <c r="F90" s="4" t="s">
        <v>23</v>
      </c>
      <c r="G90" s="9">
        <v>46143</v>
      </c>
      <c r="H90" s="4">
        <v>1170</v>
      </c>
      <c r="J90" s="13" t="s">
        <v>30</v>
      </c>
      <c r="K90" s="13" t="s">
        <v>51</v>
      </c>
      <c r="L90" s="14">
        <f>IF(O90="USD",Q90*$S$1)</f>
        <v>2461.9011959999998</v>
      </c>
      <c r="M90" s="15" t="s">
        <v>29</v>
      </c>
      <c r="N90" s="24" t="s">
        <v>92</v>
      </c>
      <c r="O90" s="24" t="s">
        <v>38</v>
      </c>
      <c r="P90" s="16">
        <v>1</v>
      </c>
      <c r="Q90" s="12">
        <v>486.84</v>
      </c>
    </row>
    <row r="91" spans="1:19" x14ac:dyDescent="0.25">
      <c r="A91" s="4" t="str">
        <f>CONCATENATE(J91,Q91,M91,K91,M91,N91)</f>
        <v>CUSTO OFFSHORE USD 876,5 - BGC - MAIO 26</v>
      </c>
      <c r="B91" s="9">
        <v>46143</v>
      </c>
      <c r="C91" s="4">
        <v>817395</v>
      </c>
      <c r="D91" s="11" t="s">
        <v>46</v>
      </c>
      <c r="E91" s="10">
        <f>-L91*P91</f>
        <v>-4432.3728499999997</v>
      </c>
      <c r="F91" s="4" t="s">
        <v>23</v>
      </c>
      <c r="G91" s="9">
        <v>46143</v>
      </c>
      <c r="H91" s="4">
        <v>1170</v>
      </c>
      <c r="J91" s="13" t="s">
        <v>30</v>
      </c>
      <c r="K91" s="13" t="s">
        <v>21</v>
      </c>
      <c r="L91" s="14">
        <f>IF(O91="USD",Q91*$S$1)</f>
        <v>4432.3728499999997</v>
      </c>
      <c r="M91" s="15" t="s">
        <v>29</v>
      </c>
      <c r="N91" s="24" t="s">
        <v>92</v>
      </c>
      <c r="O91" s="24" t="s">
        <v>38</v>
      </c>
      <c r="P91" s="16">
        <v>1</v>
      </c>
      <c r="Q91" s="12">
        <v>876.5</v>
      </c>
    </row>
    <row r="92" spans="1:19" x14ac:dyDescent="0.25">
      <c r="A92" s="4" t="str">
        <f>CONCATENATE(J92,Q92,M92,K92,M92,N92)</f>
        <v>CUSTO OFFSHORE USD 227,5 - VINLAND  - MAIO 26</v>
      </c>
      <c r="B92" s="9">
        <v>46143</v>
      </c>
      <c r="C92" s="4">
        <v>817395</v>
      </c>
      <c r="D92" s="11" t="s">
        <v>47</v>
      </c>
      <c r="E92" s="10">
        <f>-L92*P92</f>
        <v>-1150.4447499999999</v>
      </c>
      <c r="F92" s="4" t="s">
        <v>23</v>
      </c>
      <c r="G92" s="9">
        <v>46143</v>
      </c>
      <c r="H92" s="4">
        <v>80359</v>
      </c>
      <c r="J92" s="13" t="s">
        <v>30</v>
      </c>
      <c r="K92" s="13" t="s">
        <v>20</v>
      </c>
      <c r="L92" s="14">
        <f>IF(O92="USD",Q92*$S$1)</f>
        <v>1150.4447499999999</v>
      </c>
      <c r="M92" s="15" t="s">
        <v>29</v>
      </c>
      <c r="N92" s="24" t="s">
        <v>92</v>
      </c>
      <c r="O92" s="24" t="s">
        <v>38</v>
      </c>
      <c r="P92" s="16">
        <v>1</v>
      </c>
      <c r="Q92" s="12">
        <v>227.5</v>
      </c>
    </row>
    <row r="93" spans="1:19" x14ac:dyDescent="0.25">
      <c r="A93" s="4" t="str">
        <f>CONCATENATE(J93,Q93,M93,K93,M93,N93)</f>
        <v>CUSTO OFFSHORE USD 9205 - BGC NDF OFFSHORE - MAIO 26</v>
      </c>
      <c r="B93" s="9">
        <v>46143</v>
      </c>
      <c r="C93" s="4">
        <v>817395</v>
      </c>
      <c r="D93" s="11" t="s">
        <v>58</v>
      </c>
      <c r="E93" s="10">
        <f t="shared" si="9"/>
        <v>-46477.967899999996</v>
      </c>
      <c r="F93" s="4" t="s">
        <v>23</v>
      </c>
      <c r="G93" s="9">
        <v>46143</v>
      </c>
      <c r="H93" s="4">
        <v>1170</v>
      </c>
      <c r="J93" s="13" t="s">
        <v>30</v>
      </c>
      <c r="K93" s="13" t="s">
        <v>35</v>
      </c>
      <c r="L93" s="14">
        <f>IF(O93="USD",Q93*$S$1)</f>
        <v>46548.764499999997</v>
      </c>
      <c r="M93" s="15" t="s">
        <v>29</v>
      </c>
      <c r="N93" s="24" t="s">
        <v>92</v>
      </c>
      <c r="O93" s="24" t="s">
        <v>38</v>
      </c>
      <c r="P93" s="55">
        <v>0.99847908745247149</v>
      </c>
      <c r="Q93" s="30">
        <v>9205</v>
      </c>
    </row>
    <row r="94" spans="1:19" x14ac:dyDescent="0.25">
      <c r="A94" s="4" t="str">
        <f>CONCATENATE(J94,Q94,M94,K94,M94,N94)</f>
        <v>CUSTO OFFSHORE USD 9205 - BGC NDF OFFSHORE - MAIO 26</v>
      </c>
      <c r="B94" s="9">
        <v>46143</v>
      </c>
      <c r="C94" s="4">
        <v>817395</v>
      </c>
      <c r="D94" s="11" t="s">
        <v>43</v>
      </c>
      <c r="E94" s="10">
        <f t="shared" si="9"/>
        <v>-70.796599999999998</v>
      </c>
      <c r="F94" s="4" t="s">
        <v>23</v>
      </c>
      <c r="G94" s="9">
        <v>46143</v>
      </c>
      <c r="H94" s="4">
        <v>1170</v>
      </c>
      <c r="J94" s="13" t="s">
        <v>30</v>
      </c>
      <c r="K94" s="13" t="s">
        <v>35</v>
      </c>
      <c r="L94" s="14">
        <f>IF(O94="USD",Q94*$S$1)</f>
        <v>46548.764499999997</v>
      </c>
      <c r="M94" s="15" t="s">
        <v>29</v>
      </c>
      <c r="N94" s="24" t="s">
        <v>92</v>
      </c>
      <c r="O94" s="24" t="s">
        <v>38</v>
      </c>
      <c r="P94" s="55">
        <v>1.520912547528517E-3</v>
      </c>
      <c r="Q94" s="30">
        <v>9205</v>
      </c>
      <c r="S94" s="57"/>
    </row>
    <row r="95" spans="1:19" x14ac:dyDescent="0.25">
      <c r="A95" s="17" t="str">
        <f t="shared" si="0"/>
        <v>CUSTO OFFSHORE USD 9205 - BGC NDF OFFSHORE - MAIO 26</v>
      </c>
      <c r="B95" s="18">
        <v>46143</v>
      </c>
      <c r="C95" s="17">
        <v>817395</v>
      </c>
      <c r="D95" s="23" t="s">
        <v>42</v>
      </c>
      <c r="E95" s="19">
        <f t="shared" si="9"/>
        <v>0</v>
      </c>
      <c r="F95" s="17" t="s">
        <v>23</v>
      </c>
      <c r="G95" s="18">
        <v>46143</v>
      </c>
      <c r="H95" s="17">
        <v>1170</v>
      </c>
      <c r="J95" s="20" t="s">
        <v>30</v>
      </c>
      <c r="K95" s="20" t="s">
        <v>35</v>
      </c>
      <c r="L95" s="33">
        <f t="shared" si="4"/>
        <v>46548.764499999997</v>
      </c>
      <c r="M95" s="21" t="s">
        <v>29</v>
      </c>
      <c r="N95" s="25" t="s">
        <v>92</v>
      </c>
      <c r="O95" s="25" t="s">
        <v>38</v>
      </c>
      <c r="P95" s="56">
        <v>0</v>
      </c>
      <c r="Q95" s="26">
        <v>9205</v>
      </c>
    </row>
    <row r="96" spans="1:19" x14ac:dyDescent="0.25">
      <c r="A96" s="4" t="str">
        <f t="shared" si="0"/>
        <v>CUSTO OFFSHORE USD 1234,09 - BGC DI FUTURES - MAIO 26</v>
      </c>
      <c r="B96" s="9">
        <v>46143</v>
      </c>
      <c r="C96" s="4">
        <v>817395</v>
      </c>
      <c r="D96" s="32" t="s">
        <v>28</v>
      </c>
      <c r="E96" s="10">
        <f t="shared" si="9"/>
        <v>-1188.6989944761904</v>
      </c>
      <c r="F96" s="4" t="s">
        <v>23</v>
      </c>
      <c r="G96" s="9">
        <v>46143</v>
      </c>
      <c r="H96" s="4">
        <v>1170</v>
      </c>
      <c r="J96" s="13" t="s">
        <v>30</v>
      </c>
      <c r="K96" s="13" t="s">
        <v>34</v>
      </c>
      <c r="L96" s="14">
        <f t="shared" si="4"/>
        <v>6240.6697209999993</v>
      </c>
      <c r="M96" s="15" t="s">
        <v>29</v>
      </c>
      <c r="N96" s="24" t="s">
        <v>92</v>
      </c>
      <c r="O96" s="24" t="s">
        <v>38</v>
      </c>
      <c r="P96" s="27">
        <v>0.19047619047619047</v>
      </c>
      <c r="Q96" s="30">
        <v>1234.0899999999999</v>
      </c>
    </row>
    <row r="97" spans="1:17" x14ac:dyDescent="0.25">
      <c r="A97" s="4" t="str">
        <f t="shared" si="0"/>
        <v>CUSTO OFFSHORE USD 1234,09 - BGC DI FUTURES - MAIO 26</v>
      </c>
      <c r="B97" s="9">
        <v>46143</v>
      </c>
      <c r="C97" s="4">
        <v>817395</v>
      </c>
      <c r="D97" s="32" t="s">
        <v>32</v>
      </c>
      <c r="E97" s="10">
        <f t="shared" si="9"/>
        <v>-297.17474861904759</v>
      </c>
      <c r="F97" s="4" t="s">
        <v>23</v>
      </c>
      <c r="G97" s="9">
        <v>46143</v>
      </c>
      <c r="H97" s="4">
        <v>1170</v>
      </c>
      <c r="J97" s="13" t="s">
        <v>30</v>
      </c>
      <c r="K97" s="13" t="s">
        <v>34</v>
      </c>
      <c r="L97" s="14">
        <f t="shared" ref="L97:L105" si="11">IF(O97="USD",Q97*$S$1)</f>
        <v>6240.6697209999993</v>
      </c>
      <c r="M97" s="15" t="s">
        <v>29</v>
      </c>
      <c r="N97" s="24" t="s">
        <v>92</v>
      </c>
      <c r="O97" s="24" t="s">
        <v>38</v>
      </c>
      <c r="P97" s="27">
        <v>4.7619047619047616E-2</v>
      </c>
      <c r="Q97" s="30">
        <v>1234.0899999999999</v>
      </c>
    </row>
    <row r="98" spans="1:17" x14ac:dyDescent="0.25">
      <c r="A98" s="4" t="str">
        <f t="shared" si="0"/>
        <v>CUSTO OFFSHORE USD 1234,09 - BGC DI FUTURES - MAIO 26</v>
      </c>
      <c r="B98" s="9">
        <v>46143</v>
      </c>
      <c r="C98" s="4">
        <v>817395</v>
      </c>
      <c r="D98" s="32" t="s">
        <v>25</v>
      </c>
      <c r="E98" s="10">
        <f t="shared" si="9"/>
        <v>-965.81793301190453</v>
      </c>
      <c r="F98" s="4" t="s">
        <v>23</v>
      </c>
      <c r="G98" s="9">
        <v>46143</v>
      </c>
      <c r="H98" s="4">
        <v>1170</v>
      </c>
      <c r="J98" s="13" t="s">
        <v>30</v>
      </c>
      <c r="K98" s="13" t="s">
        <v>34</v>
      </c>
      <c r="L98" s="14">
        <f t="shared" si="11"/>
        <v>6240.6697209999993</v>
      </c>
      <c r="M98" s="15" t="s">
        <v>29</v>
      </c>
      <c r="N98" s="24" t="s">
        <v>92</v>
      </c>
      <c r="O98" s="24" t="s">
        <v>38</v>
      </c>
      <c r="P98" s="27">
        <v>0.15476190476190474</v>
      </c>
      <c r="Q98" s="30">
        <v>1234.0899999999999</v>
      </c>
    </row>
    <row r="99" spans="1:17" x14ac:dyDescent="0.25">
      <c r="A99" s="4" t="str">
        <f t="shared" si="0"/>
        <v>CUSTO OFFSHORE USD 1234,09 - BGC DI FUTURES - MAIO 26</v>
      </c>
      <c r="B99" s="9">
        <v>46143</v>
      </c>
      <c r="C99" s="4">
        <v>817395</v>
      </c>
      <c r="D99" s="11" t="s">
        <v>41</v>
      </c>
      <c r="E99" s="28">
        <f t="shared" si="9"/>
        <v>-3788.9780448928573</v>
      </c>
      <c r="F99" s="4" t="s">
        <v>23</v>
      </c>
      <c r="G99" s="9">
        <v>46143</v>
      </c>
      <c r="H99" s="4">
        <v>1170</v>
      </c>
      <c r="J99" s="13" t="s">
        <v>30</v>
      </c>
      <c r="K99" s="13" t="s">
        <v>34</v>
      </c>
      <c r="L99" s="34">
        <f t="shared" si="11"/>
        <v>6240.6697209999993</v>
      </c>
      <c r="M99" s="15" t="s">
        <v>29</v>
      </c>
      <c r="N99" s="24" t="s">
        <v>92</v>
      </c>
      <c r="O99" s="24" t="s">
        <v>38</v>
      </c>
      <c r="P99" s="27">
        <v>0.60714285714285721</v>
      </c>
      <c r="Q99" s="30">
        <v>1234.0899999999999</v>
      </c>
    </row>
    <row r="100" spans="1:17" x14ac:dyDescent="0.25">
      <c r="A100" s="17" t="str">
        <f t="shared" si="0"/>
        <v>CUSTO OFFSHORE USD 1234,09 - BGC DI FUTURES - MAIO 26</v>
      </c>
      <c r="B100" s="18">
        <v>46143</v>
      </c>
      <c r="C100" s="17">
        <v>817395</v>
      </c>
      <c r="D100" s="23" t="s">
        <v>91</v>
      </c>
      <c r="E100" s="19">
        <f t="shared" si="9"/>
        <v>0</v>
      </c>
      <c r="F100" s="17" t="s">
        <v>23</v>
      </c>
      <c r="G100" s="18">
        <v>46143</v>
      </c>
      <c r="H100" s="17">
        <v>1170</v>
      </c>
      <c r="I100" s="31"/>
      <c r="J100" s="20" t="s">
        <v>30</v>
      </c>
      <c r="K100" s="20" t="s">
        <v>34</v>
      </c>
      <c r="L100" s="33">
        <f t="shared" si="11"/>
        <v>6240.6697209999993</v>
      </c>
      <c r="M100" s="21" t="s">
        <v>29</v>
      </c>
      <c r="N100" s="25" t="s">
        <v>92</v>
      </c>
      <c r="O100" s="25" t="s">
        <v>38</v>
      </c>
      <c r="P100" s="22">
        <v>0</v>
      </c>
      <c r="Q100" s="26">
        <v>1234.0899999999999</v>
      </c>
    </row>
    <row r="101" spans="1:17" x14ac:dyDescent="0.25">
      <c r="A101" s="17" t="str">
        <f t="shared" si="0"/>
        <v>CUSTO OFFSHORE USD 1682,32 - BGC - MAIO 26</v>
      </c>
      <c r="B101" s="18">
        <v>46143</v>
      </c>
      <c r="C101" s="17">
        <v>817395</v>
      </c>
      <c r="D101" s="23" t="s">
        <v>12</v>
      </c>
      <c r="E101" s="26">
        <f t="shared" si="9"/>
        <v>-1682.32</v>
      </c>
      <c r="F101" s="17" t="s">
        <v>53</v>
      </c>
      <c r="G101" s="18">
        <v>46143</v>
      </c>
      <c r="H101" s="17">
        <v>1170</v>
      </c>
      <c r="J101" s="20" t="s">
        <v>30</v>
      </c>
      <c r="K101" s="20" t="s">
        <v>21</v>
      </c>
      <c r="L101" s="33">
        <f>IF(O101="USD",Q101*$S$1,Q101)</f>
        <v>1682.32</v>
      </c>
      <c r="M101" s="21" t="s">
        <v>29</v>
      </c>
      <c r="N101" s="25" t="s">
        <v>92</v>
      </c>
      <c r="O101" s="25" t="s">
        <v>54</v>
      </c>
      <c r="P101" s="22">
        <v>1</v>
      </c>
      <c r="Q101" s="26">
        <v>1682.32</v>
      </c>
    </row>
    <row r="102" spans="1:17" x14ac:dyDescent="0.25">
      <c r="A102" s="4" t="str">
        <f t="shared" si="0"/>
        <v>CUSTO OFFSHORE USD 3413,29 - BGC - GALBUQUERQUE - MAIO 26</v>
      </c>
      <c r="B102" s="9">
        <v>46143</v>
      </c>
      <c r="C102" s="4">
        <v>817395</v>
      </c>
      <c r="D102" s="11" t="s">
        <v>47</v>
      </c>
      <c r="E102" s="12">
        <f t="shared" si="9"/>
        <v>-17260.666201</v>
      </c>
      <c r="F102" s="4" t="s">
        <v>36</v>
      </c>
      <c r="G102" s="9">
        <v>46143</v>
      </c>
      <c r="H102" s="4">
        <v>1170</v>
      </c>
      <c r="J102" s="13" t="s">
        <v>30</v>
      </c>
      <c r="K102" s="13" t="s">
        <v>64</v>
      </c>
      <c r="L102" s="14">
        <f t="shared" si="11"/>
        <v>17260.666201</v>
      </c>
      <c r="M102" s="15" t="s">
        <v>29</v>
      </c>
      <c r="N102" s="24" t="s">
        <v>92</v>
      </c>
      <c r="O102" s="24" t="s">
        <v>38</v>
      </c>
      <c r="P102" s="16">
        <v>1</v>
      </c>
      <c r="Q102" s="12">
        <v>3413.29</v>
      </c>
    </row>
    <row r="103" spans="1:17" x14ac:dyDescent="0.25">
      <c r="A103" s="4" t="str">
        <f t="shared" si="0"/>
        <v>CUSTO OFFSHORE USD 3413,29 - BGC - CMALTA - MAIO 26</v>
      </c>
      <c r="B103" s="9">
        <v>46143</v>
      </c>
      <c r="C103" s="4">
        <v>817395</v>
      </c>
      <c r="D103" s="11" t="s">
        <v>47</v>
      </c>
      <c r="E103" s="12">
        <f t="shared" si="9"/>
        <v>-17260.666201</v>
      </c>
      <c r="F103" s="4" t="s">
        <v>36</v>
      </c>
      <c r="G103" s="9">
        <v>46143</v>
      </c>
      <c r="H103" s="4">
        <v>1170</v>
      </c>
      <c r="J103" s="13" t="s">
        <v>30</v>
      </c>
      <c r="K103" s="13" t="s">
        <v>65</v>
      </c>
      <c r="L103" s="14">
        <f t="shared" si="11"/>
        <v>17260.666201</v>
      </c>
      <c r="M103" s="15" t="s">
        <v>29</v>
      </c>
      <c r="N103" s="24" t="s">
        <v>92</v>
      </c>
      <c r="O103" s="24" t="s">
        <v>38</v>
      </c>
      <c r="P103" s="16">
        <v>1</v>
      </c>
      <c r="Q103" s="12">
        <v>3413.29</v>
      </c>
    </row>
    <row r="104" spans="1:17" x14ac:dyDescent="0.25">
      <c r="A104" s="4" t="str">
        <f t="shared" ref="A104:A105" si="12">CONCATENATE(J104,Q104,M104,K104,M104,N104)</f>
        <v>CUSTO OFFSHORE USD 3413,29 - BGC - CPACINI - MAIO 26</v>
      </c>
      <c r="B104" s="9">
        <v>46143</v>
      </c>
      <c r="C104" s="4">
        <v>817395</v>
      </c>
      <c r="D104" s="11" t="s">
        <v>61</v>
      </c>
      <c r="E104" s="30">
        <f t="shared" si="9"/>
        <v>-17260.666201</v>
      </c>
      <c r="F104" s="4" t="s">
        <v>36</v>
      </c>
      <c r="G104" s="9">
        <v>46143</v>
      </c>
      <c r="H104" s="4">
        <v>1170</v>
      </c>
      <c r="J104" s="13" t="s">
        <v>30</v>
      </c>
      <c r="K104" s="13" t="s">
        <v>63</v>
      </c>
      <c r="L104" s="14">
        <f t="shared" si="11"/>
        <v>17260.666201</v>
      </c>
      <c r="M104" s="15" t="s">
        <v>29</v>
      </c>
      <c r="N104" s="24" t="s">
        <v>92</v>
      </c>
      <c r="O104" s="24" t="s">
        <v>38</v>
      </c>
      <c r="P104" s="27">
        <v>1</v>
      </c>
      <c r="Q104" s="12">
        <v>3413.29</v>
      </c>
    </row>
    <row r="105" spans="1:17" x14ac:dyDescent="0.25">
      <c r="A105" s="4" t="str">
        <f t="shared" si="12"/>
        <v>CUSTO OFFSHORE USD 3413,29 - BGC - AFIUZA - MAIO 26</v>
      </c>
      <c r="B105" s="9">
        <v>46143</v>
      </c>
      <c r="C105" s="4">
        <v>817395</v>
      </c>
      <c r="D105" s="11" t="s">
        <v>61</v>
      </c>
      <c r="E105" s="30">
        <f t="shared" si="9"/>
        <v>-17260.666201</v>
      </c>
      <c r="F105" s="4" t="s">
        <v>36</v>
      </c>
      <c r="G105" s="9">
        <v>46143</v>
      </c>
      <c r="H105" s="4">
        <v>1170</v>
      </c>
      <c r="J105" s="13" t="s">
        <v>30</v>
      </c>
      <c r="K105" s="13" t="s">
        <v>62</v>
      </c>
      <c r="L105" s="14">
        <f t="shared" si="11"/>
        <v>17260.666201</v>
      </c>
      <c r="M105" s="15" t="s">
        <v>29</v>
      </c>
      <c r="N105" s="24" t="s">
        <v>92</v>
      </c>
      <c r="O105" s="24" t="s">
        <v>38</v>
      </c>
      <c r="P105" s="27">
        <v>1</v>
      </c>
      <c r="Q105" s="12">
        <v>3413.29</v>
      </c>
    </row>
    <row r="106" spans="1:17" x14ac:dyDescent="0.25">
      <c r="A106" s="4" t="str">
        <f>CONCATENATE(J106,Q107,M106,K106,M106,N106)</f>
        <v>CUSTO OFFSHORE USD 3413,29 - BGC - JJUNQUEIRA - MAIO 26</v>
      </c>
      <c r="B106" s="9">
        <v>46143</v>
      </c>
      <c r="C106" s="4">
        <v>817395</v>
      </c>
      <c r="D106" s="11" t="s">
        <v>12</v>
      </c>
      <c r="E106" s="30">
        <f t="shared" si="9"/>
        <v>-17260.666201</v>
      </c>
      <c r="F106" s="4" t="s">
        <v>36</v>
      </c>
      <c r="G106" s="9">
        <v>46143</v>
      </c>
      <c r="H106" s="4">
        <v>1170</v>
      </c>
      <c r="J106" s="13" t="s">
        <v>30</v>
      </c>
      <c r="K106" s="13" t="s">
        <v>66</v>
      </c>
      <c r="L106" s="14">
        <f>IF(O106="USD",Q107*$S$1)</f>
        <v>17260.666201</v>
      </c>
      <c r="M106" s="15" t="s">
        <v>29</v>
      </c>
      <c r="N106" s="24" t="s">
        <v>92</v>
      </c>
      <c r="O106" s="24" t="s">
        <v>38</v>
      </c>
      <c r="P106" s="27">
        <v>1</v>
      </c>
      <c r="Q106" s="30">
        <v>3413.29</v>
      </c>
    </row>
    <row r="107" spans="1:17" x14ac:dyDescent="0.25">
      <c r="A107" s="17" t="str">
        <f>CONCATENATE(J107,Q107,M107,K107,M107,N107)</f>
        <v>CUSTO OFFSHORE USD 3413,29 - BGC - ASOARES - MAIO 26</v>
      </c>
      <c r="B107" s="18">
        <v>46143</v>
      </c>
      <c r="C107" s="17">
        <v>817395</v>
      </c>
      <c r="D107" s="23" t="s">
        <v>12</v>
      </c>
      <c r="E107" s="19">
        <f t="shared" si="9"/>
        <v>-17260.666201</v>
      </c>
      <c r="F107" s="17" t="s">
        <v>36</v>
      </c>
      <c r="G107" s="18">
        <v>46143</v>
      </c>
      <c r="H107" s="17">
        <v>1170</v>
      </c>
      <c r="J107" s="20" t="s">
        <v>30</v>
      </c>
      <c r="K107" s="20" t="s">
        <v>67</v>
      </c>
      <c r="L107" s="33">
        <f>IF(O107="USD",Q107*$S$1)</f>
        <v>17260.666201</v>
      </c>
      <c r="M107" s="21" t="s">
        <v>29</v>
      </c>
      <c r="N107" s="25" t="s">
        <v>92</v>
      </c>
      <c r="O107" s="25" t="s">
        <v>38</v>
      </c>
      <c r="P107" s="22">
        <v>1</v>
      </c>
      <c r="Q107" s="30">
        <v>3413.29</v>
      </c>
    </row>
    <row r="108" spans="1:17" x14ac:dyDescent="0.25">
      <c r="A108" s="4" t="str">
        <f t="shared" ref="A108:A143" si="13">CONCATENATE(J108,Q108,M108,K108,M108,N108)</f>
        <v>CUSTO OFFSHORE USD 16,6846799046006 - ASSET1 - MAIO 26</v>
      </c>
      <c r="B108" s="9">
        <v>46143</v>
      </c>
      <c r="C108" s="4">
        <v>817395</v>
      </c>
      <c r="D108" s="11" t="s">
        <v>12</v>
      </c>
      <c r="E108" s="12">
        <f>-L108*P108</f>
        <v>-28.129877453712233</v>
      </c>
      <c r="F108" s="4" t="s">
        <v>44</v>
      </c>
      <c r="G108" s="9">
        <v>46143</v>
      </c>
      <c r="H108" s="4">
        <v>80834</v>
      </c>
      <c r="J108" s="13" t="s">
        <v>30</v>
      </c>
      <c r="K108" s="13" t="s">
        <v>14</v>
      </c>
      <c r="L108" s="14">
        <f>IF(O108="USD",Q108*$S$1)</f>
        <v>84.372757809574793</v>
      </c>
      <c r="M108" s="15" t="s">
        <v>29</v>
      </c>
      <c r="N108" s="24" t="s">
        <v>92</v>
      </c>
      <c r="O108" s="24" t="s">
        <v>38</v>
      </c>
      <c r="P108" s="16">
        <v>0.33339999999999997</v>
      </c>
      <c r="Q108" s="35">
        <v>16.684679904600603</v>
      </c>
    </row>
    <row r="109" spans="1:17" x14ac:dyDescent="0.25">
      <c r="A109" s="4" t="str">
        <f t="shared" si="13"/>
        <v>CUSTO OFFSHORE USD 16,6846799046006 - ASSET1 - MAIO 26</v>
      </c>
      <c r="B109" s="9">
        <v>46143</v>
      </c>
      <c r="C109" s="4">
        <v>817395</v>
      </c>
      <c r="D109" s="11" t="s">
        <v>45</v>
      </c>
      <c r="E109" s="12">
        <f t="shared" ref="E109:E143" si="14">-L109*P109</f>
        <v>-28.121440177931277</v>
      </c>
      <c r="F109" s="4" t="s">
        <v>44</v>
      </c>
      <c r="G109" s="9">
        <v>46143</v>
      </c>
      <c r="H109" s="4">
        <v>80834</v>
      </c>
      <c r="J109" s="13" t="s">
        <v>30</v>
      </c>
      <c r="K109" s="13" t="s">
        <v>14</v>
      </c>
      <c r="L109" s="14">
        <f t="shared" ref="L109:L138" si="15">IF(O109="USD",Q109*$S$1)</f>
        <v>84.372757809574793</v>
      </c>
      <c r="M109" s="15" t="s">
        <v>29</v>
      </c>
      <c r="N109" s="24" t="s">
        <v>92</v>
      </c>
      <c r="O109" s="24" t="s">
        <v>38</v>
      </c>
      <c r="P109" s="16">
        <v>0.33329999999999999</v>
      </c>
      <c r="Q109" s="36">
        <v>16.684679904600603</v>
      </c>
    </row>
    <row r="110" spans="1:17" x14ac:dyDescent="0.25">
      <c r="A110" s="4" t="str">
        <f>CONCATENATE(J110,Q110,M110,K110,M110,N110)</f>
        <v>CUSTO OFFSHORE USD 16,6846799046006 - ASSET1 - MAIO 26</v>
      </c>
      <c r="B110" s="9">
        <v>46143</v>
      </c>
      <c r="C110" s="4">
        <v>817395</v>
      </c>
      <c r="D110" s="11" t="s">
        <v>46</v>
      </c>
      <c r="E110" s="12">
        <f t="shared" si="14"/>
        <v>-28.121440177931277</v>
      </c>
      <c r="F110" s="4" t="s">
        <v>44</v>
      </c>
      <c r="G110" s="9">
        <v>46143</v>
      </c>
      <c r="H110" s="4">
        <v>80834</v>
      </c>
      <c r="J110" s="13" t="s">
        <v>30</v>
      </c>
      <c r="K110" s="13" t="s">
        <v>14</v>
      </c>
      <c r="L110" s="14">
        <f t="shared" si="15"/>
        <v>84.372757809574793</v>
      </c>
      <c r="M110" s="15" t="s">
        <v>29</v>
      </c>
      <c r="N110" s="24" t="s">
        <v>92</v>
      </c>
      <c r="O110" s="24" t="s">
        <v>38</v>
      </c>
      <c r="P110" s="16">
        <v>0.33329999999999999</v>
      </c>
      <c r="Q110" s="37">
        <v>16.684679904600603</v>
      </c>
    </row>
    <row r="111" spans="1:17" x14ac:dyDescent="0.25">
      <c r="A111" s="4" t="str">
        <f t="shared" si="13"/>
        <v>CUSTO OFFSHORE USD 140,202613525751 - RPS - MAIO 26</v>
      </c>
      <c r="B111" s="9">
        <v>46143</v>
      </c>
      <c r="C111" s="4">
        <v>817395</v>
      </c>
      <c r="D111" s="11" t="s">
        <v>45</v>
      </c>
      <c r="E111" s="10">
        <f t="shared" si="14"/>
        <v>-354.49529816918556</v>
      </c>
      <c r="F111" s="4" t="s">
        <v>44</v>
      </c>
      <c r="G111" s="9">
        <v>46143</v>
      </c>
      <c r="H111" s="4">
        <v>12339</v>
      </c>
      <c r="J111" s="13" t="s">
        <v>30</v>
      </c>
      <c r="K111" s="13" t="s">
        <v>16</v>
      </c>
      <c r="L111" s="14">
        <f t="shared" si="15"/>
        <v>708.99059633837112</v>
      </c>
      <c r="M111" s="15" t="s">
        <v>29</v>
      </c>
      <c r="N111" s="24" t="s">
        <v>92</v>
      </c>
      <c r="O111" s="24" t="s">
        <v>38</v>
      </c>
      <c r="P111" s="16">
        <v>0.5</v>
      </c>
      <c r="Q111" s="35">
        <v>140.20261352575119</v>
      </c>
    </row>
    <row r="112" spans="1:17" x14ac:dyDescent="0.25">
      <c r="A112" s="4" t="str">
        <f t="shared" si="13"/>
        <v>CUSTO OFFSHORE USD 140,202613525751 - RPS - MAIO 26</v>
      </c>
      <c r="B112" s="9">
        <v>46143</v>
      </c>
      <c r="C112" s="4">
        <v>817395</v>
      </c>
      <c r="D112" s="11" t="s">
        <v>12</v>
      </c>
      <c r="E112" s="10">
        <f t="shared" si="14"/>
        <v>-354.49529816918556</v>
      </c>
      <c r="F112" s="4" t="s">
        <v>44</v>
      </c>
      <c r="G112" s="9">
        <v>46143</v>
      </c>
      <c r="H112" s="4">
        <v>12339</v>
      </c>
      <c r="J112" s="13" t="s">
        <v>30</v>
      </c>
      <c r="K112" s="13" t="s">
        <v>16</v>
      </c>
      <c r="L112" s="14">
        <f t="shared" si="15"/>
        <v>708.99059633837112</v>
      </c>
      <c r="M112" s="15" t="s">
        <v>29</v>
      </c>
      <c r="N112" s="24" t="s">
        <v>92</v>
      </c>
      <c r="O112" s="24" t="s">
        <v>38</v>
      </c>
      <c r="P112" s="16">
        <v>0.5</v>
      </c>
      <c r="Q112" s="37">
        <v>140.20261352575119</v>
      </c>
    </row>
    <row r="113" spans="1:17" x14ac:dyDescent="0.25">
      <c r="A113" s="4" t="str">
        <f t="shared" si="13"/>
        <v>CUSTO OFFSHORE USD 7781,5 - GOLDMAN SACHS IL - BRAS - MAIO 26</v>
      </c>
      <c r="B113" s="9">
        <v>46143</v>
      </c>
      <c r="C113" s="4">
        <v>817395</v>
      </c>
      <c r="D113" s="11" t="s">
        <v>12</v>
      </c>
      <c r="E113" s="10">
        <f t="shared" si="14"/>
        <v>-39350.267349999995</v>
      </c>
      <c r="F113" s="4" t="s">
        <v>44</v>
      </c>
      <c r="G113" s="9">
        <v>46143</v>
      </c>
      <c r="H113" s="4">
        <v>79791</v>
      </c>
      <c r="J113" s="13" t="s">
        <v>30</v>
      </c>
      <c r="K113" s="13" t="s">
        <v>24</v>
      </c>
      <c r="L113" s="14">
        <f t="shared" si="15"/>
        <v>39350.267349999995</v>
      </c>
      <c r="M113" s="15" t="s">
        <v>29</v>
      </c>
      <c r="N113" s="24" t="s">
        <v>92</v>
      </c>
      <c r="O113" s="24" t="s">
        <v>38</v>
      </c>
      <c r="P113" s="16">
        <v>1</v>
      </c>
      <c r="Q113" s="12">
        <v>7781.5</v>
      </c>
    </row>
    <row r="114" spans="1:17" x14ac:dyDescent="0.25">
      <c r="A114" s="4" t="str">
        <f t="shared" si="13"/>
        <v>CUSTO OFFSHORE USD 72,4488555568722 - ITAÚ - MSCO - MAIO 26</v>
      </c>
      <c r="B114" s="9">
        <v>46143</v>
      </c>
      <c r="C114" s="4">
        <v>817395</v>
      </c>
      <c r="D114" s="11" t="s">
        <v>12</v>
      </c>
      <c r="E114" s="10">
        <f t="shared" si="14"/>
        <v>-366.3666176655471</v>
      </c>
      <c r="F114" s="4" t="s">
        <v>44</v>
      </c>
      <c r="G114" s="9">
        <v>46143</v>
      </c>
      <c r="H114" s="4">
        <v>79460</v>
      </c>
      <c r="J114" s="13" t="s">
        <v>30</v>
      </c>
      <c r="K114" s="13" t="s">
        <v>17</v>
      </c>
      <c r="L114" s="14">
        <f t="shared" si="15"/>
        <v>366.3666176655471</v>
      </c>
      <c r="M114" s="15" t="s">
        <v>29</v>
      </c>
      <c r="N114" s="24" t="s">
        <v>92</v>
      </c>
      <c r="O114" s="24" t="s">
        <v>38</v>
      </c>
      <c r="P114" s="16">
        <v>1</v>
      </c>
      <c r="Q114" s="12">
        <v>72.448855556872218</v>
      </c>
    </row>
    <row r="115" spans="1:17" x14ac:dyDescent="0.25">
      <c r="A115" s="4" t="str">
        <f t="shared" si="13"/>
        <v>CUSTO OFFSHORE USD 2990,41 - ITAÚ - NASSAU - MAIO 26</v>
      </c>
      <c r="B115" s="9">
        <v>46143</v>
      </c>
      <c r="C115" s="4">
        <v>817395</v>
      </c>
      <c r="D115" s="11" t="s">
        <v>12</v>
      </c>
      <c r="E115" s="10">
        <f t="shared" si="14"/>
        <v>-15122.204328999998</v>
      </c>
      <c r="F115" s="4" t="s">
        <v>44</v>
      </c>
      <c r="G115" s="9">
        <v>46143</v>
      </c>
      <c r="H115" s="4">
        <v>79460</v>
      </c>
      <c r="J115" s="13" t="s">
        <v>30</v>
      </c>
      <c r="K115" s="13" t="s">
        <v>18</v>
      </c>
      <c r="L115" s="14">
        <f t="shared" si="15"/>
        <v>15122.204328999998</v>
      </c>
      <c r="M115" s="15" t="s">
        <v>29</v>
      </c>
      <c r="N115" s="24" t="s">
        <v>92</v>
      </c>
      <c r="O115" s="24" t="s">
        <v>38</v>
      </c>
      <c r="P115" s="16">
        <v>1</v>
      </c>
      <c r="Q115" s="12">
        <v>2990.41</v>
      </c>
    </row>
    <row r="116" spans="1:17" x14ac:dyDescent="0.25">
      <c r="A116" s="4" t="str">
        <f t="shared" si="13"/>
        <v>CUSTO OFFSHORE USD 3366,37687022371 - XPADVISORY_MO - MAIO 26</v>
      </c>
      <c r="B116" s="9">
        <v>46143</v>
      </c>
      <c r="C116" s="4">
        <v>817395</v>
      </c>
      <c r="D116" s="11" t="s">
        <v>50</v>
      </c>
      <c r="E116" s="28">
        <f t="shared" si="14"/>
        <v>-17023.431195034289</v>
      </c>
      <c r="F116" s="4" t="s">
        <v>44</v>
      </c>
      <c r="G116" s="9">
        <v>46143</v>
      </c>
      <c r="H116" s="4">
        <v>80769</v>
      </c>
      <c r="J116" s="13" t="s">
        <v>30</v>
      </c>
      <c r="K116" s="13" t="s">
        <v>49</v>
      </c>
      <c r="L116" s="14">
        <f t="shared" si="15"/>
        <v>17023.431195034289</v>
      </c>
      <c r="M116" s="15" t="s">
        <v>29</v>
      </c>
      <c r="N116" s="24" t="s">
        <v>92</v>
      </c>
      <c r="O116" s="24" t="s">
        <v>38</v>
      </c>
      <c r="P116" s="27">
        <v>1</v>
      </c>
      <c r="Q116" s="30">
        <v>3366.3768702237121</v>
      </c>
    </row>
    <row r="117" spans="1:17" x14ac:dyDescent="0.25">
      <c r="A117" s="4" t="str">
        <f>CONCATENATE(J117,Q117,M117,K117,M117,N117)</f>
        <v>CUSTO OFFSHORE USD 102,392590746796 - VINLAND  - MAIO 26</v>
      </c>
      <c r="B117" s="9">
        <v>46143</v>
      </c>
      <c r="C117" s="4">
        <v>817395</v>
      </c>
      <c r="D117" s="11" t="s">
        <v>47</v>
      </c>
      <c r="E117" s="28">
        <f t="shared" si="14"/>
        <v>-517.78909214747137</v>
      </c>
      <c r="F117" s="4" t="s">
        <v>44</v>
      </c>
      <c r="G117" s="9">
        <v>46143</v>
      </c>
      <c r="H117" s="4">
        <v>80359</v>
      </c>
      <c r="J117" s="13" t="s">
        <v>30</v>
      </c>
      <c r="K117" s="13" t="s">
        <v>20</v>
      </c>
      <c r="L117" s="14">
        <f>IF(O117="USD",Q117*$S$1)</f>
        <v>517.78909214747137</v>
      </c>
      <c r="M117" s="15" t="s">
        <v>29</v>
      </c>
      <c r="N117" s="24" t="s">
        <v>92</v>
      </c>
      <c r="O117" s="24" t="s">
        <v>38</v>
      </c>
      <c r="P117" s="27">
        <v>1</v>
      </c>
      <c r="Q117" s="30">
        <v>102.39259074679573</v>
      </c>
    </row>
    <row r="118" spans="1:17" x14ac:dyDescent="0.25">
      <c r="A118" s="4" t="str">
        <f>CONCATENATE(J118,Q118,M118,K118,M118,N118)</f>
        <v>CUSTO OFFSHORE USD 1033,68 - SCHONFELD_MO - MAIO 26</v>
      </c>
      <c r="B118" s="9">
        <v>46143</v>
      </c>
      <c r="C118" s="4">
        <v>817395</v>
      </c>
      <c r="D118" s="11" t="s">
        <v>47</v>
      </c>
      <c r="E118" s="30">
        <f t="shared" si="14"/>
        <v>-5227.2163920000003</v>
      </c>
      <c r="F118" s="4" t="s">
        <v>44</v>
      </c>
      <c r="G118" s="9">
        <v>46143</v>
      </c>
      <c r="H118" s="4">
        <v>83061</v>
      </c>
      <c r="J118" s="13" t="s">
        <v>30</v>
      </c>
      <c r="K118" s="13" t="s">
        <v>59</v>
      </c>
      <c r="L118" s="14">
        <f>IF(O118="USD",Q118*$S$1)</f>
        <v>5227.2163920000003</v>
      </c>
      <c r="M118" s="15" t="s">
        <v>29</v>
      </c>
      <c r="N118" s="24" t="s">
        <v>92</v>
      </c>
      <c r="O118" s="24" t="s">
        <v>38</v>
      </c>
      <c r="P118" s="27">
        <v>1</v>
      </c>
      <c r="Q118" s="30">
        <v>1033.68</v>
      </c>
    </row>
    <row r="119" spans="1:17" x14ac:dyDescent="0.25">
      <c r="A119" s="4" t="str">
        <f t="shared" ref="A119" si="16">CONCATENATE(J119,Q119,M119,K119,M119,N119)</f>
        <v>CUSTO OFFSHORE USD  - GENOA_MO - MAIO 26</v>
      </c>
      <c r="B119" s="9">
        <v>46143</v>
      </c>
      <c r="C119" s="4">
        <v>817395</v>
      </c>
      <c r="D119" s="11" t="s">
        <v>12</v>
      </c>
      <c r="E119" s="30">
        <f t="shared" si="14"/>
        <v>0</v>
      </c>
      <c r="F119" s="4" t="s">
        <v>44</v>
      </c>
      <c r="G119" s="9">
        <v>46143</v>
      </c>
      <c r="H119" s="4">
        <v>80883</v>
      </c>
      <c r="J119" s="13" t="s">
        <v>30</v>
      </c>
      <c r="K119" s="13" t="s">
        <v>90</v>
      </c>
      <c r="L119" s="14">
        <f t="shared" ref="L119" si="17">IF(O119="USD",Q119*$S$1)</f>
        <v>0</v>
      </c>
      <c r="M119" s="15" t="s">
        <v>29</v>
      </c>
      <c r="N119" s="24" t="s">
        <v>92</v>
      </c>
      <c r="O119" s="24" t="s">
        <v>38</v>
      </c>
      <c r="P119" s="16">
        <v>1</v>
      </c>
      <c r="Q119" s="12"/>
    </row>
    <row r="120" spans="1:17" x14ac:dyDescent="0.25">
      <c r="A120" s="4" t="str">
        <f t="shared" si="13"/>
        <v>CUSTO OFFSHORE USD  - BNP_MO - MAIO 26</v>
      </c>
      <c r="B120" s="9">
        <v>46143</v>
      </c>
      <c r="C120" s="4">
        <v>817395</v>
      </c>
      <c r="D120" s="11" t="s">
        <v>12</v>
      </c>
      <c r="E120" s="30">
        <f t="shared" si="14"/>
        <v>0</v>
      </c>
      <c r="F120" s="4" t="s">
        <v>44</v>
      </c>
      <c r="G120" s="9">
        <v>46143</v>
      </c>
      <c r="H120" s="4">
        <v>95005</v>
      </c>
      <c r="J120" s="13" t="s">
        <v>30</v>
      </c>
      <c r="K120" s="13" t="s">
        <v>57</v>
      </c>
      <c r="L120" s="14">
        <f t="shared" si="15"/>
        <v>0</v>
      </c>
      <c r="M120" s="15" t="s">
        <v>29</v>
      </c>
      <c r="N120" s="24" t="s">
        <v>92</v>
      </c>
      <c r="O120" s="24" t="s">
        <v>38</v>
      </c>
      <c r="P120" s="16">
        <v>1</v>
      </c>
      <c r="Q120" s="12"/>
    </row>
    <row r="121" spans="1:17" x14ac:dyDescent="0.25">
      <c r="A121" s="4" t="str">
        <f t="shared" si="13"/>
        <v>CUSTO OFFSHORE USD 127,071917909058 - MSIPLC_SUN - MAIO 26</v>
      </c>
      <c r="B121" s="9">
        <v>46143</v>
      </c>
      <c r="C121" s="4">
        <v>817395</v>
      </c>
      <c r="D121" s="11" t="s">
        <v>88</v>
      </c>
      <c r="E121" s="30">
        <f t="shared" si="14"/>
        <v>-642.58998167431662</v>
      </c>
      <c r="F121" s="4" t="s">
        <v>44</v>
      </c>
      <c r="G121" s="9">
        <v>46143</v>
      </c>
      <c r="H121" s="4">
        <v>80754</v>
      </c>
      <c r="J121" s="13" t="s">
        <v>30</v>
      </c>
      <c r="K121" s="13" t="s">
        <v>89</v>
      </c>
      <c r="L121" s="14">
        <f t="shared" si="15"/>
        <v>642.58998167431662</v>
      </c>
      <c r="M121" s="15" t="s">
        <v>29</v>
      </c>
      <c r="N121" s="24" t="s">
        <v>92</v>
      </c>
      <c r="O121" s="24" t="s">
        <v>38</v>
      </c>
      <c r="P121" s="27">
        <v>1</v>
      </c>
      <c r="Q121" s="30">
        <v>127.07191790905826</v>
      </c>
    </row>
    <row r="122" spans="1:17" x14ac:dyDescent="0.25">
      <c r="A122" s="4" t="str">
        <f t="shared" si="13"/>
        <v>CUSTO OFFSHORE USD  - ADAMGestao_MO - MAIO 26</v>
      </c>
      <c r="B122" s="9">
        <v>46143</v>
      </c>
      <c r="C122" s="4">
        <v>817395</v>
      </c>
      <c r="D122" s="11" t="s">
        <v>12</v>
      </c>
      <c r="E122" s="30">
        <f t="shared" si="14"/>
        <v>0</v>
      </c>
      <c r="F122" s="4" t="s">
        <v>44</v>
      </c>
      <c r="G122" s="9">
        <v>46143</v>
      </c>
      <c r="H122" s="4">
        <v>79973</v>
      </c>
      <c r="J122" s="13" t="s">
        <v>30</v>
      </c>
      <c r="K122" s="13" t="s">
        <v>77</v>
      </c>
      <c r="L122" s="14">
        <f t="shared" si="15"/>
        <v>0</v>
      </c>
      <c r="M122" s="15" t="s">
        <v>29</v>
      </c>
      <c r="N122" s="24" t="s">
        <v>92</v>
      </c>
      <c r="O122" s="24" t="s">
        <v>38</v>
      </c>
      <c r="P122" s="27">
        <v>1</v>
      </c>
      <c r="Q122" s="26"/>
    </row>
    <row r="123" spans="1:17" x14ac:dyDescent="0.25">
      <c r="A123" s="4" t="str">
        <f t="shared" si="13"/>
        <v>CUSTO OFFSHORE USD 111,616832241172 - SPRINGS_MO - MAIO 26</v>
      </c>
      <c r="B123" s="9">
        <v>46143</v>
      </c>
      <c r="C123" s="4">
        <v>817395</v>
      </c>
      <c r="D123" s="11" t="s">
        <v>12</v>
      </c>
      <c r="E123" s="30">
        <f t="shared" si="14"/>
        <v>-376.25247696298982</v>
      </c>
      <c r="F123" s="4" t="s">
        <v>44</v>
      </c>
      <c r="G123" s="9">
        <v>46143</v>
      </c>
      <c r="H123" s="4">
        <v>82748</v>
      </c>
      <c r="J123" s="13" t="s">
        <v>30</v>
      </c>
      <c r="K123" s="13" t="s">
        <v>56</v>
      </c>
      <c r="L123" s="14">
        <f t="shared" si="15"/>
        <v>564.43515896038082</v>
      </c>
      <c r="M123" s="15" t="s">
        <v>29</v>
      </c>
      <c r="N123" s="24" t="s">
        <v>92</v>
      </c>
      <c r="O123" s="24" t="s">
        <v>38</v>
      </c>
      <c r="P123" s="16">
        <v>0.66659999999999997</v>
      </c>
      <c r="Q123" s="35">
        <v>111.61683224117164</v>
      </c>
    </row>
    <row r="124" spans="1:17" x14ac:dyDescent="0.25">
      <c r="A124" s="4" t="str">
        <f t="shared" si="13"/>
        <v>CUSTO OFFSHORE USD 111,616832241172 - SPRINGS_MO - MAIO 26</v>
      </c>
      <c r="B124" s="9">
        <v>46143</v>
      </c>
      <c r="C124" s="4">
        <v>817395</v>
      </c>
      <c r="D124" s="11" t="s">
        <v>45</v>
      </c>
      <c r="E124" s="30">
        <f t="shared" si="14"/>
        <v>-188.12623848149491</v>
      </c>
      <c r="F124" s="4" t="s">
        <v>44</v>
      </c>
      <c r="G124" s="9">
        <v>46143</v>
      </c>
      <c r="H124" s="4">
        <v>82748</v>
      </c>
      <c r="J124" s="13" t="s">
        <v>30</v>
      </c>
      <c r="K124" s="13" t="s">
        <v>56</v>
      </c>
      <c r="L124" s="14">
        <f t="shared" si="15"/>
        <v>564.43515896038082</v>
      </c>
      <c r="M124" s="15" t="s">
        <v>29</v>
      </c>
      <c r="N124" s="24" t="s">
        <v>92</v>
      </c>
      <c r="O124" s="24" t="s">
        <v>38</v>
      </c>
      <c r="P124" s="16">
        <v>0.33329999999999999</v>
      </c>
      <c r="Q124" s="37">
        <v>111.61683224117164</v>
      </c>
    </row>
    <row r="125" spans="1:17" x14ac:dyDescent="0.25">
      <c r="A125" s="4" t="str">
        <f t="shared" si="13"/>
        <v>CUSTO OFFSHORE USD 1030,30068893979 - KAPITALO - MAIO 26</v>
      </c>
      <c r="B125" s="9">
        <v>46143</v>
      </c>
      <c r="C125" s="4">
        <v>817395</v>
      </c>
      <c r="D125" s="11" t="s">
        <v>12</v>
      </c>
      <c r="E125" s="28">
        <f t="shared" si="14"/>
        <v>-3907.5956654247025</v>
      </c>
      <c r="F125" s="4" t="s">
        <v>44</v>
      </c>
      <c r="G125" s="9">
        <v>46143</v>
      </c>
      <c r="H125" s="4">
        <v>12413</v>
      </c>
      <c r="J125" s="13" t="s">
        <v>30</v>
      </c>
      <c r="K125" s="13" t="s">
        <v>26</v>
      </c>
      <c r="L125" s="14">
        <f t="shared" si="15"/>
        <v>5210.1275538996033</v>
      </c>
      <c r="M125" s="15" t="s">
        <v>29</v>
      </c>
      <c r="N125" s="24" t="s">
        <v>92</v>
      </c>
      <c r="O125" s="24" t="s">
        <v>38</v>
      </c>
      <c r="P125" s="27">
        <v>0.75</v>
      </c>
      <c r="Q125" s="35">
        <v>1030.3006889397859</v>
      </c>
    </row>
    <row r="126" spans="1:17" x14ac:dyDescent="0.25">
      <c r="A126" s="4" t="str">
        <f t="shared" si="13"/>
        <v>CUSTO OFFSHORE USD 1030,30068893979 - KAPITALO - MAIO 26</v>
      </c>
      <c r="B126" s="9">
        <v>46143</v>
      </c>
      <c r="C126" s="4">
        <v>817395</v>
      </c>
      <c r="D126" s="11" t="s">
        <v>45</v>
      </c>
      <c r="E126" s="28">
        <f t="shared" si="14"/>
        <v>-1302.5318884749008</v>
      </c>
      <c r="F126" s="4" t="s">
        <v>44</v>
      </c>
      <c r="G126" s="9">
        <v>46143</v>
      </c>
      <c r="H126" s="4">
        <v>12413</v>
      </c>
      <c r="J126" s="13" t="s">
        <v>30</v>
      </c>
      <c r="K126" s="13" t="s">
        <v>26</v>
      </c>
      <c r="L126" s="14">
        <f t="shared" si="15"/>
        <v>5210.1275538996033</v>
      </c>
      <c r="M126" s="15" t="s">
        <v>29</v>
      </c>
      <c r="N126" s="24" t="s">
        <v>92</v>
      </c>
      <c r="O126" s="24" t="s">
        <v>38</v>
      </c>
      <c r="P126" s="27">
        <v>0.25</v>
      </c>
      <c r="Q126" s="36">
        <v>1030.3006889397859</v>
      </c>
    </row>
    <row r="127" spans="1:17" x14ac:dyDescent="0.25">
      <c r="A127" s="4" t="str">
        <f t="shared" si="13"/>
        <v>CUSTO OFFSHORE USD 77,69 - CITIGBL_MO - MAIO 26</v>
      </c>
      <c r="B127" s="9">
        <v>46143</v>
      </c>
      <c r="C127" s="4">
        <v>817395</v>
      </c>
      <c r="D127" s="11" t="s">
        <v>12</v>
      </c>
      <c r="E127" s="28">
        <f t="shared" si="14"/>
        <v>-196.43528049999998</v>
      </c>
      <c r="F127" s="4" t="s">
        <v>44</v>
      </c>
      <c r="G127" s="9">
        <v>46143</v>
      </c>
      <c r="H127" s="4">
        <v>79791</v>
      </c>
      <c r="J127" s="13" t="s">
        <v>30</v>
      </c>
      <c r="K127" s="13" t="s">
        <v>48</v>
      </c>
      <c r="L127" s="14">
        <f t="shared" si="15"/>
        <v>392.87056099999995</v>
      </c>
      <c r="M127" s="15" t="s">
        <v>29</v>
      </c>
      <c r="N127" s="24" t="s">
        <v>92</v>
      </c>
      <c r="O127" s="24" t="s">
        <v>38</v>
      </c>
      <c r="P127" s="27">
        <v>0.5</v>
      </c>
      <c r="Q127" s="35">
        <v>77.69</v>
      </c>
    </row>
    <row r="128" spans="1:17" x14ac:dyDescent="0.25">
      <c r="A128" s="4" t="str">
        <f t="shared" si="13"/>
        <v>CUSTO OFFSHORE USD 77,69 - CITIGBL_MO - MAIO 26</v>
      </c>
      <c r="B128" s="9">
        <v>46143</v>
      </c>
      <c r="C128" s="4">
        <v>817395</v>
      </c>
      <c r="D128" s="11" t="s">
        <v>45</v>
      </c>
      <c r="E128" s="28">
        <f t="shared" si="14"/>
        <v>-196.43528049999998</v>
      </c>
      <c r="F128" s="4" t="s">
        <v>44</v>
      </c>
      <c r="G128" s="9">
        <v>46143</v>
      </c>
      <c r="H128" s="4">
        <v>79791</v>
      </c>
      <c r="J128" s="13" t="s">
        <v>30</v>
      </c>
      <c r="K128" s="13" t="s">
        <v>48</v>
      </c>
      <c r="L128" s="14">
        <f t="shared" si="15"/>
        <v>392.87056099999995</v>
      </c>
      <c r="M128" s="15" t="s">
        <v>29</v>
      </c>
      <c r="N128" s="24" t="s">
        <v>92</v>
      </c>
      <c r="O128" s="24" t="s">
        <v>38</v>
      </c>
      <c r="P128" s="27">
        <v>0.5</v>
      </c>
      <c r="Q128" s="37">
        <v>77.69</v>
      </c>
    </row>
    <row r="129" spans="1:17" x14ac:dyDescent="0.25">
      <c r="A129" s="4" t="str">
        <f>CONCATENATE(J129,Q129,M129,K129,M129,N129)</f>
        <v>CUSTO OFFSHORE USD 161,586545052929 - BRADESCO_BZL - MAIO 26</v>
      </c>
      <c r="B129" s="9">
        <v>46143</v>
      </c>
      <c r="C129" s="4">
        <v>817395</v>
      </c>
      <c r="D129" s="11" t="s">
        <v>12</v>
      </c>
      <c r="E129" s="28">
        <f t="shared" si="14"/>
        <v>-612.84524975861564</v>
      </c>
      <c r="F129" s="4" t="s">
        <v>44</v>
      </c>
      <c r="G129" s="9">
        <v>46143</v>
      </c>
      <c r="H129" s="4">
        <v>16705</v>
      </c>
      <c r="J129" s="13" t="s">
        <v>30</v>
      </c>
      <c r="K129" s="13" t="s">
        <v>27</v>
      </c>
      <c r="L129" s="14">
        <f>IF(O129="USD",Q129*$S$1)</f>
        <v>817.12699967815422</v>
      </c>
      <c r="M129" s="15" t="s">
        <v>29</v>
      </c>
      <c r="N129" s="24" t="s">
        <v>92</v>
      </c>
      <c r="O129" s="24" t="s">
        <v>38</v>
      </c>
      <c r="P129" s="27">
        <v>0.75</v>
      </c>
      <c r="Q129" s="35">
        <v>161.58654505292853</v>
      </c>
    </row>
    <row r="130" spans="1:17" x14ac:dyDescent="0.25">
      <c r="A130" s="4" t="str">
        <f>CONCATENATE(J130,Q130,M130,K130,M130,N130)</f>
        <v>CUSTO OFFSHORE USD 161,586545052929 - BRADESCO_BZL - MAIO 26</v>
      </c>
      <c r="B130" s="9">
        <v>46143</v>
      </c>
      <c r="C130" s="4">
        <v>817395</v>
      </c>
      <c r="D130" s="11" t="s">
        <v>45</v>
      </c>
      <c r="E130" s="28">
        <f t="shared" si="14"/>
        <v>-204.28174991953856</v>
      </c>
      <c r="F130" s="4" t="s">
        <v>44</v>
      </c>
      <c r="G130" s="9">
        <v>46143</v>
      </c>
      <c r="H130" s="4">
        <v>16705</v>
      </c>
      <c r="J130" s="13" t="s">
        <v>30</v>
      </c>
      <c r="K130" s="13" t="s">
        <v>27</v>
      </c>
      <c r="L130" s="14">
        <f>IF(O130="USD",Q130*$S$1)</f>
        <v>817.12699967815422</v>
      </c>
      <c r="M130" s="15" t="s">
        <v>29</v>
      </c>
      <c r="N130" s="24" t="s">
        <v>92</v>
      </c>
      <c r="O130" s="24" t="s">
        <v>38</v>
      </c>
      <c r="P130" s="27">
        <v>0.25</v>
      </c>
      <c r="Q130" s="37">
        <v>161.58654505292853</v>
      </c>
    </row>
    <row r="131" spans="1:17" x14ac:dyDescent="0.25">
      <c r="A131" s="4" t="str">
        <f t="shared" si="13"/>
        <v>CUSTO OFFSHORE USD 433,337256453181 - BRADESCO_MO - MAIO 26</v>
      </c>
      <c r="B131" s="9">
        <v>46143</v>
      </c>
      <c r="C131" s="4">
        <v>817395</v>
      </c>
      <c r="D131" s="11" t="s">
        <v>12</v>
      </c>
      <c r="E131" s="28">
        <f t="shared" si="14"/>
        <v>-1643.5073791185687</v>
      </c>
      <c r="F131" s="4" t="s">
        <v>44</v>
      </c>
      <c r="G131" s="9">
        <v>46143</v>
      </c>
      <c r="H131" s="4">
        <v>16705</v>
      </c>
      <c r="J131" s="13" t="s">
        <v>30</v>
      </c>
      <c r="K131" s="13" t="s">
        <v>69</v>
      </c>
      <c r="L131" s="14">
        <f t="shared" si="15"/>
        <v>2191.3431721580914</v>
      </c>
      <c r="M131" s="15" t="s">
        <v>29</v>
      </c>
      <c r="N131" s="24" t="s">
        <v>92</v>
      </c>
      <c r="O131" s="24" t="s">
        <v>38</v>
      </c>
      <c r="P131" s="27">
        <v>0.75</v>
      </c>
      <c r="Q131" s="35">
        <v>433.33725645318111</v>
      </c>
    </row>
    <row r="132" spans="1:17" x14ac:dyDescent="0.25">
      <c r="A132" s="4" t="str">
        <f>CONCATENATE(J132,Q132,M132,K132,M132,N132)</f>
        <v>CUSTO OFFSHORE USD 433,337256453181 - BRADESCO_MO - MAIO 26</v>
      </c>
      <c r="B132" s="9">
        <v>46143</v>
      </c>
      <c r="C132" s="4">
        <v>817395</v>
      </c>
      <c r="D132" s="11" t="s">
        <v>45</v>
      </c>
      <c r="E132" s="28">
        <f t="shared" si="14"/>
        <v>-547.83579303952285</v>
      </c>
      <c r="F132" s="4" t="s">
        <v>44</v>
      </c>
      <c r="G132" s="9">
        <v>46143</v>
      </c>
      <c r="H132" s="4">
        <v>16705</v>
      </c>
      <c r="J132" s="13" t="s">
        <v>30</v>
      </c>
      <c r="K132" s="13" t="s">
        <v>69</v>
      </c>
      <c r="L132" s="14">
        <f>IF(O132="USD",Q132*$S$1)</f>
        <v>2191.3431721580914</v>
      </c>
      <c r="M132" s="15" t="s">
        <v>29</v>
      </c>
      <c r="N132" s="24" t="s">
        <v>92</v>
      </c>
      <c r="O132" s="24" t="s">
        <v>38</v>
      </c>
      <c r="P132" s="27">
        <v>0.25</v>
      </c>
      <c r="Q132" s="37">
        <v>433.33725645318111</v>
      </c>
    </row>
    <row r="133" spans="1:17" x14ac:dyDescent="0.25">
      <c r="A133" s="4" t="str">
        <f>CONCATENATE(J133,Q133,M133,K133,M133,N133)</f>
        <v>CUSTO OFFSHORE USD  - BRAMBRAD_MO - MAIO 26</v>
      </c>
      <c r="B133" s="9">
        <v>46143</v>
      </c>
      <c r="C133" s="4">
        <v>817395</v>
      </c>
      <c r="D133" s="11" t="s">
        <v>12</v>
      </c>
      <c r="E133" s="30">
        <f t="shared" si="14"/>
        <v>0</v>
      </c>
      <c r="F133" s="4" t="s">
        <v>44</v>
      </c>
      <c r="G133" s="9">
        <v>46143</v>
      </c>
      <c r="H133" s="4">
        <v>16705</v>
      </c>
      <c r="J133" s="13" t="s">
        <v>30</v>
      </c>
      <c r="K133" s="13" t="s">
        <v>85</v>
      </c>
      <c r="L133" s="14">
        <f>IF(O133="USD",Q133*$S$1)</f>
        <v>0</v>
      </c>
      <c r="M133" s="15" t="s">
        <v>29</v>
      </c>
      <c r="N133" s="24" t="s">
        <v>92</v>
      </c>
      <c r="O133" s="24" t="s">
        <v>38</v>
      </c>
      <c r="P133" s="27">
        <v>0.75</v>
      </c>
      <c r="Q133" s="35"/>
    </row>
    <row r="134" spans="1:17" x14ac:dyDescent="0.25">
      <c r="A134" s="4" t="str">
        <f t="shared" si="13"/>
        <v>CUSTO OFFSHORE USD  - BRAMBRAD_MO - MAIO 26</v>
      </c>
      <c r="B134" s="9">
        <v>46143</v>
      </c>
      <c r="C134" s="4">
        <v>817395</v>
      </c>
      <c r="D134" s="11" t="s">
        <v>45</v>
      </c>
      <c r="E134" s="30">
        <f t="shared" si="14"/>
        <v>0</v>
      </c>
      <c r="F134" s="4" t="s">
        <v>44</v>
      </c>
      <c r="G134" s="9">
        <v>46143</v>
      </c>
      <c r="H134" s="4">
        <v>16705</v>
      </c>
      <c r="J134" s="13" t="s">
        <v>30</v>
      </c>
      <c r="K134" s="13" t="s">
        <v>85</v>
      </c>
      <c r="L134" s="14">
        <f t="shared" si="15"/>
        <v>0</v>
      </c>
      <c r="M134" s="15" t="s">
        <v>29</v>
      </c>
      <c r="N134" s="24" t="s">
        <v>92</v>
      </c>
      <c r="O134" s="24" t="s">
        <v>38</v>
      </c>
      <c r="P134" s="27">
        <v>0.25</v>
      </c>
      <c r="Q134" s="37"/>
    </row>
    <row r="135" spans="1:17" x14ac:dyDescent="0.25">
      <c r="A135" s="4" t="str">
        <f t="shared" si="13"/>
        <v>CUSTO OFFSHORE USD 1947,16798631504 - JPMPLC_MO - MAIO 26</v>
      </c>
      <c r="B135" s="9">
        <v>46143</v>
      </c>
      <c r="C135" s="4">
        <v>817395</v>
      </c>
      <c r="D135" s="11" t="s">
        <v>12</v>
      </c>
      <c r="E135" s="30">
        <f t="shared" si="14"/>
        <v>-6564.7507477906793</v>
      </c>
      <c r="F135" s="4" t="s">
        <v>44</v>
      </c>
      <c r="G135" s="9">
        <v>46143</v>
      </c>
      <c r="H135" s="4">
        <v>81541</v>
      </c>
      <c r="J135" s="13" t="s">
        <v>30</v>
      </c>
      <c r="K135" s="13" t="s">
        <v>55</v>
      </c>
      <c r="L135" s="14">
        <f t="shared" si="15"/>
        <v>9846.6337899965201</v>
      </c>
      <c r="M135" s="15" t="s">
        <v>29</v>
      </c>
      <c r="N135" s="24" t="s">
        <v>92</v>
      </c>
      <c r="O135" s="24" t="s">
        <v>38</v>
      </c>
      <c r="P135" s="27">
        <v>0.66669999999999996</v>
      </c>
      <c r="Q135" s="36">
        <v>1947.1679863150389</v>
      </c>
    </row>
    <row r="136" spans="1:17" x14ac:dyDescent="0.25">
      <c r="A136" s="4" t="str">
        <f t="shared" si="13"/>
        <v>CUSTO OFFSHORE USD 1947,16798631504 - JPMPLC_MO - MAIO 26</v>
      </c>
      <c r="B136" s="9">
        <v>46143</v>
      </c>
      <c r="C136" s="4">
        <v>817395</v>
      </c>
      <c r="D136" s="11" t="s">
        <v>45</v>
      </c>
      <c r="E136" s="30">
        <f t="shared" si="14"/>
        <v>-3281.88304220584</v>
      </c>
      <c r="F136" s="4" t="s">
        <v>44</v>
      </c>
      <c r="G136" s="9">
        <v>46143</v>
      </c>
      <c r="H136" s="4">
        <v>81541</v>
      </c>
      <c r="J136" s="13" t="s">
        <v>30</v>
      </c>
      <c r="K136" s="13" t="s">
        <v>55</v>
      </c>
      <c r="L136" s="34">
        <f t="shared" si="15"/>
        <v>9846.6337899965201</v>
      </c>
      <c r="M136" s="15" t="s">
        <v>29</v>
      </c>
      <c r="N136" s="24" t="s">
        <v>92</v>
      </c>
      <c r="O136" s="24" t="s">
        <v>38</v>
      </c>
      <c r="P136" s="27">
        <v>0.33329999999999999</v>
      </c>
      <c r="Q136" s="37">
        <v>1947.1679863150389</v>
      </c>
    </row>
    <row r="137" spans="1:17" x14ac:dyDescent="0.25">
      <c r="A137" s="4" t="str">
        <f t="shared" si="13"/>
        <v>CUSTO OFFSHORE USD 1084,95906058593 - SPX_MO - MAIO 26</v>
      </c>
      <c r="B137" s="9">
        <v>46143</v>
      </c>
      <c r="C137" s="4">
        <v>817395</v>
      </c>
      <c r="D137" s="11" t="s">
        <v>12</v>
      </c>
      <c r="E137" s="28">
        <f t="shared" si="14"/>
        <v>-3291.9176840861987</v>
      </c>
      <c r="F137" s="4" t="s">
        <v>44</v>
      </c>
      <c r="G137" s="9">
        <v>46143</v>
      </c>
      <c r="H137" s="4">
        <v>79931</v>
      </c>
      <c r="J137" s="13" t="s">
        <v>30</v>
      </c>
      <c r="K137" s="13" t="s">
        <v>31</v>
      </c>
      <c r="L137" s="34">
        <f t="shared" si="15"/>
        <v>5486.5294734769977</v>
      </c>
      <c r="M137" s="15" t="s">
        <v>29</v>
      </c>
      <c r="N137" s="24" t="s">
        <v>92</v>
      </c>
      <c r="O137" s="24" t="s">
        <v>38</v>
      </c>
      <c r="P137" s="27">
        <v>0.6</v>
      </c>
      <c r="Q137" s="35">
        <v>1084.9590605859316</v>
      </c>
    </row>
    <row r="138" spans="1:17" x14ac:dyDescent="0.25">
      <c r="A138" s="17" t="str">
        <f t="shared" si="13"/>
        <v>CUSTO OFFSHORE USD 1084,95906058593 - SPX_MO - MAIO 26</v>
      </c>
      <c r="B138" s="18">
        <v>46143</v>
      </c>
      <c r="C138" s="17">
        <v>817395</v>
      </c>
      <c r="D138" s="23" t="s">
        <v>45</v>
      </c>
      <c r="E138" s="19">
        <f t="shared" si="14"/>
        <v>-2194.611789390799</v>
      </c>
      <c r="F138" s="17" t="s">
        <v>44</v>
      </c>
      <c r="G138" s="18">
        <v>46143</v>
      </c>
      <c r="H138" s="17">
        <v>79931</v>
      </c>
      <c r="J138" s="20" t="s">
        <v>30</v>
      </c>
      <c r="K138" s="20" t="s">
        <v>31</v>
      </c>
      <c r="L138" s="33">
        <f t="shared" si="15"/>
        <v>5486.5294734769977</v>
      </c>
      <c r="M138" s="21" t="s">
        <v>29</v>
      </c>
      <c r="N138" s="25" t="s">
        <v>92</v>
      </c>
      <c r="O138" s="25" t="s">
        <v>38</v>
      </c>
      <c r="P138" s="22">
        <v>0.4</v>
      </c>
      <c r="Q138" s="37">
        <v>1084.9590605859316</v>
      </c>
    </row>
    <row r="139" spans="1:17" x14ac:dyDescent="0.25">
      <c r="A139" s="17" t="str">
        <f t="shared" si="13"/>
        <v>CUSTO OFFSHORE USD 1275,39 - BGC - MAIO 26</v>
      </c>
      <c r="B139" s="18">
        <v>46143</v>
      </c>
      <c r="C139" s="17">
        <v>817395</v>
      </c>
      <c r="D139" s="23" t="s">
        <v>61</v>
      </c>
      <c r="E139" s="26">
        <f t="shared" si="14"/>
        <v>-6449.5196910000004</v>
      </c>
      <c r="F139" s="17" t="s">
        <v>83</v>
      </c>
      <c r="G139" s="18">
        <v>46143</v>
      </c>
      <c r="H139" s="17">
        <v>1170</v>
      </c>
      <c r="I139" s="31"/>
      <c r="J139" s="20" t="s">
        <v>30</v>
      </c>
      <c r="K139" s="20" t="s">
        <v>21</v>
      </c>
      <c r="L139" s="33">
        <f t="shared" ref="L139:L143" si="18">IF(O139="USD",Q139*$S$1,Q139)</f>
        <v>6449.5196910000004</v>
      </c>
      <c r="M139" s="21" t="s">
        <v>29</v>
      </c>
      <c r="N139" s="25" t="s">
        <v>92</v>
      </c>
      <c r="O139" s="25" t="s">
        <v>38</v>
      </c>
      <c r="P139" s="22">
        <v>1</v>
      </c>
      <c r="Q139" s="26">
        <v>1275.3900000000001</v>
      </c>
    </row>
    <row r="140" spans="1:17" x14ac:dyDescent="0.25">
      <c r="A140" s="17" t="str">
        <f t="shared" si="13"/>
        <v>CUSTO OFFSHORE USD 0 - BGC - MAIO 26</v>
      </c>
      <c r="B140" s="18">
        <v>46143</v>
      </c>
      <c r="C140" s="17">
        <v>817395</v>
      </c>
      <c r="D140" s="23" t="s">
        <v>61</v>
      </c>
      <c r="E140" s="26">
        <f t="shared" si="14"/>
        <v>0</v>
      </c>
      <c r="F140" s="17" t="s">
        <v>78</v>
      </c>
      <c r="G140" s="18">
        <v>46143</v>
      </c>
      <c r="H140" s="17">
        <v>1170</v>
      </c>
      <c r="J140" s="20" t="s">
        <v>30</v>
      </c>
      <c r="K140" s="20" t="s">
        <v>21</v>
      </c>
      <c r="L140" s="33">
        <f t="shared" si="18"/>
        <v>0</v>
      </c>
      <c r="M140" s="21" t="s">
        <v>29</v>
      </c>
      <c r="N140" s="25" t="s">
        <v>92</v>
      </c>
      <c r="O140" s="25" t="s">
        <v>38</v>
      </c>
      <c r="P140" s="22">
        <v>1</v>
      </c>
      <c r="Q140" s="26">
        <v>0</v>
      </c>
    </row>
    <row r="141" spans="1:17" x14ac:dyDescent="0.25">
      <c r="A141" s="17" t="str">
        <f t="shared" si="13"/>
        <v>CUSTO OFFSHORE USD 655,32 - BGC - MAIO 26</v>
      </c>
      <c r="B141" s="18">
        <v>46143</v>
      </c>
      <c r="C141" s="17">
        <v>817395</v>
      </c>
      <c r="D141" s="23" t="s">
        <v>61</v>
      </c>
      <c r="E141" s="26">
        <f t="shared" si="14"/>
        <v>-3313.8877080000002</v>
      </c>
      <c r="F141" s="17" t="s">
        <v>79</v>
      </c>
      <c r="G141" s="18">
        <v>46143</v>
      </c>
      <c r="H141" s="17">
        <v>1170</v>
      </c>
      <c r="J141" s="20" t="s">
        <v>30</v>
      </c>
      <c r="K141" s="20" t="s">
        <v>21</v>
      </c>
      <c r="L141" s="33">
        <f t="shared" si="18"/>
        <v>3313.8877080000002</v>
      </c>
      <c r="M141" s="21" t="s">
        <v>29</v>
      </c>
      <c r="N141" s="25" t="s">
        <v>92</v>
      </c>
      <c r="O141" s="25" t="s">
        <v>38</v>
      </c>
      <c r="P141" s="22">
        <v>1</v>
      </c>
      <c r="Q141" s="26">
        <v>655.32000000000005</v>
      </c>
    </row>
    <row r="142" spans="1:17" x14ac:dyDescent="0.25">
      <c r="A142" s="17" t="str">
        <f t="shared" si="13"/>
        <v>CUSTO OFFSHORE USD 96,23 - BGC - MAIO 26</v>
      </c>
      <c r="B142" s="18">
        <v>46143</v>
      </c>
      <c r="C142" s="17">
        <v>817395</v>
      </c>
      <c r="D142" s="23" t="s">
        <v>61</v>
      </c>
      <c r="E142" s="26">
        <f t="shared" si="14"/>
        <v>-486.62548700000002</v>
      </c>
      <c r="F142" s="17" t="s">
        <v>80</v>
      </c>
      <c r="G142" s="18">
        <v>46143</v>
      </c>
      <c r="H142" s="17">
        <v>1170</v>
      </c>
      <c r="J142" s="20" t="s">
        <v>30</v>
      </c>
      <c r="K142" s="20" t="s">
        <v>21</v>
      </c>
      <c r="L142" s="33">
        <f t="shared" si="18"/>
        <v>486.62548700000002</v>
      </c>
      <c r="M142" s="21" t="s">
        <v>29</v>
      </c>
      <c r="N142" s="25" t="s">
        <v>92</v>
      </c>
      <c r="O142" s="25" t="s">
        <v>38</v>
      </c>
      <c r="P142" s="22">
        <v>1</v>
      </c>
      <c r="Q142" s="26">
        <v>96.23</v>
      </c>
    </row>
    <row r="143" spans="1:17" x14ac:dyDescent="0.25">
      <c r="A143" s="17" t="str">
        <f t="shared" si="13"/>
        <v>CUSTO OFFSHORE USD 2013,56 - BGC - MAIO 26</v>
      </c>
      <c r="B143" s="18">
        <v>46143</v>
      </c>
      <c r="C143" s="17">
        <v>817395</v>
      </c>
      <c r="D143" s="23" t="s">
        <v>61</v>
      </c>
      <c r="E143" s="26">
        <f t="shared" si="14"/>
        <v>-10182.371563999999</v>
      </c>
      <c r="F143" s="17" t="s">
        <v>81</v>
      </c>
      <c r="G143" s="18">
        <v>46143</v>
      </c>
      <c r="H143" s="17">
        <v>1170</v>
      </c>
      <c r="J143" s="20" t="s">
        <v>30</v>
      </c>
      <c r="K143" s="20" t="s">
        <v>21</v>
      </c>
      <c r="L143" s="33">
        <f t="shared" si="18"/>
        <v>10182.371563999999</v>
      </c>
      <c r="M143" s="21" t="s">
        <v>29</v>
      </c>
      <c r="N143" s="25" t="s">
        <v>92</v>
      </c>
      <c r="O143" s="25" t="s">
        <v>38</v>
      </c>
      <c r="P143" s="22">
        <v>1</v>
      </c>
      <c r="Q143" s="26">
        <v>2013.56</v>
      </c>
    </row>
  </sheetData>
  <autoFilter ref="A1:Q143" xr:uid="{86920FE8-52B5-46CC-9B38-62C273FC0EBA}"/>
  <pageMargins left="0.511811024" right="0.511811024" top="0.78740157499999996" bottom="0.78740157499999996" header="0.31496062000000002" footer="0.3149606200000000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B00C1-CF9E-40B5-86A5-F12DEAD2843F}">
  <dimension ref="A1:S143"/>
  <sheetViews>
    <sheetView showGridLines="0" tabSelected="1" topLeftCell="A118" zoomScaleNormal="100" workbookViewId="0">
      <selection activeCell="F134" sqref="F134"/>
    </sheetView>
  </sheetViews>
  <sheetFormatPr defaultRowHeight="15" x14ac:dyDescent="0.25"/>
  <cols>
    <col min="1" max="1" width="49" customWidth="1"/>
    <col min="2" max="2" width="10.5703125" customWidth="1"/>
    <col min="3" max="3" width="10.7109375" bestFit="1" customWidth="1"/>
    <col min="4" max="4" width="30" bestFit="1" customWidth="1"/>
    <col min="5" max="5" width="15.7109375" customWidth="1"/>
    <col min="6" max="6" width="17.28515625" bestFit="1" customWidth="1"/>
    <col min="7" max="7" width="11" customWidth="1"/>
    <col min="8" max="8" width="12.28515625" customWidth="1"/>
    <col min="9" max="9" width="2.7109375" customWidth="1"/>
    <col min="10" max="10" width="15.7109375" bestFit="1" customWidth="1"/>
    <col min="11" max="11" width="18.28515625" bestFit="1" customWidth="1"/>
    <col min="12" max="12" width="13.85546875" customWidth="1"/>
    <col min="14" max="14" width="10.85546875" bestFit="1" customWidth="1"/>
    <col min="15" max="15" width="10.85546875" customWidth="1"/>
    <col min="17" max="17" width="11.7109375" bestFit="1" customWidth="1"/>
    <col min="18" max="18" width="12.5703125" bestFit="1" customWidth="1"/>
    <col min="19" max="19" width="9.5703125" bestFit="1" customWidth="1"/>
  </cols>
  <sheetData>
    <row r="1" spans="1:19" x14ac:dyDescent="0.25">
      <c r="A1" s="29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2" t="s">
        <v>6</v>
      </c>
      <c r="H1" s="1" t="s">
        <v>7</v>
      </c>
      <c r="J1" s="5" t="s">
        <v>8</v>
      </c>
      <c r="K1" s="5" t="s">
        <v>13</v>
      </c>
      <c r="L1" s="6" t="s">
        <v>4</v>
      </c>
      <c r="M1" s="7" t="s">
        <v>9</v>
      </c>
      <c r="N1" s="5" t="s">
        <v>10</v>
      </c>
      <c r="O1" s="5" t="s">
        <v>37</v>
      </c>
      <c r="P1" s="8" t="s">
        <v>11</v>
      </c>
      <c r="Q1" s="6" t="s">
        <v>4</v>
      </c>
      <c r="R1" s="38" t="s">
        <v>39</v>
      </c>
      <c r="S1" s="39">
        <v>5.1765999999999996</v>
      </c>
    </row>
    <row r="2" spans="1:19" x14ac:dyDescent="0.25">
      <c r="A2" s="4" t="str">
        <f t="shared" ref="A2:A103" si="0">CONCATENATE(J2,Q2,M2,K2,M2,N2)</f>
        <v>CUSTO OFFSHORE USD -0,25 - ASSET1 - JUNHO 26</v>
      </c>
      <c r="B2" s="9">
        <v>46174</v>
      </c>
      <c r="C2" s="4">
        <v>817395</v>
      </c>
      <c r="D2" s="11" t="s">
        <v>12</v>
      </c>
      <c r="E2" s="30">
        <f>-L2*P2</f>
        <v>0.43146960999999995</v>
      </c>
      <c r="F2" s="4" t="s">
        <v>68</v>
      </c>
      <c r="G2" s="9">
        <v>46174</v>
      </c>
      <c r="H2" s="4">
        <v>80834</v>
      </c>
      <c r="J2" s="13" t="s">
        <v>30</v>
      </c>
      <c r="K2" s="13" t="s">
        <v>14</v>
      </c>
      <c r="L2" s="14">
        <f>IF(O2="USD",Q2*$S$1)</f>
        <v>-1.2941499999999999</v>
      </c>
      <c r="M2" s="15" t="s">
        <v>29</v>
      </c>
      <c r="N2" s="24" t="s">
        <v>93</v>
      </c>
      <c r="O2" s="24" t="s">
        <v>38</v>
      </c>
      <c r="P2" s="16">
        <v>0.33339999999999997</v>
      </c>
      <c r="Q2" s="35">
        <v>-0.25</v>
      </c>
    </row>
    <row r="3" spans="1:19" x14ac:dyDescent="0.25">
      <c r="A3" s="4" t="str">
        <f t="shared" si="0"/>
        <v>CUSTO OFFSHORE USD -0,25 - ASSET1 - JUNHO 26</v>
      </c>
      <c r="B3" s="9">
        <v>46174</v>
      </c>
      <c r="C3" s="4">
        <v>817395</v>
      </c>
      <c r="D3" s="11" t="s">
        <v>45</v>
      </c>
      <c r="E3" s="30">
        <f t="shared" ref="E3:E58" si="1">-L3*P3</f>
        <v>0.43134019499999993</v>
      </c>
      <c r="F3" s="4" t="s">
        <v>68</v>
      </c>
      <c r="G3" s="9">
        <v>46174</v>
      </c>
      <c r="H3" s="4">
        <v>80834</v>
      </c>
      <c r="J3" s="13" t="s">
        <v>30</v>
      </c>
      <c r="K3" s="13" t="s">
        <v>14</v>
      </c>
      <c r="L3" s="14">
        <f t="shared" ref="L3:L25" si="2">IF(O3="USD",Q3*$S$1)</f>
        <v>-1.2941499999999999</v>
      </c>
      <c r="M3" s="15" t="s">
        <v>29</v>
      </c>
      <c r="N3" s="24" t="s">
        <v>93</v>
      </c>
      <c r="O3" s="24" t="s">
        <v>38</v>
      </c>
      <c r="P3" s="16">
        <v>0.33329999999999999</v>
      </c>
      <c r="Q3" s="36">
        <v>-0.25</v>
      </c>
    </row>
    <row r="4" spans="1:19" x14ac:dyDescent="0.25">
      <c r="A4" s="4" t="str">
        <f t="shared" si="0"/>
        <v>CUSTO OFFSHORE USD -0,25 - ASSET1 - JUNHO 26</v>
      </c>
      <c r="B4" s="9">
        <v>46174</v>
      </c>
      <c r="C4" s="4">
        <v>817395</v>
      </c>
      <c r="D4" s="11" t="s">
        <v>46</v>
      </c>
      <c r="E4" s="30">
        <f t="shared" si="1"/>
        <v>0.43134019499999993</v>
      </c>
      <c r="F4" s="4" t="s">
        <v>68</v>
      </c>
      <c r="G4" s="9">
        <v>46174</v>
      </c>
      <c r="H4" s="4">
        <v>80834</v>
      </c>
      <c r="J4" s="13" t="s">
        <v>30</v>
      </c>
      <c r="K4" s="13" t="s">
        <v>14</v>
      </c>
      <c r="L4" s="14">
        <f t="shared" si="2"/>
        <v>-1.2941499999999999</v>
      </c>
      <c r="M4" s="15" t="s">
        <v>29</v>
      </c>
      <c r="N4" s="24" t="s">
        <v>93</v>
      </c>
      <c r="O4" s="24" t="s">
        <v>38</v>
      </c>
      <c r="P4" s="16">
        <v>0.33329999999999999</v>
      </c>
      <c r="Q4" s="37">
        <v>-0.25</v>
      </c>
    </row>
    <row r="5" spans="1:19" x14ac:dyDescent="0.25">
      <c r="A5" s="4" t="str">
        <f t="shared" si="0"/>
        <v>CUSTO OFFSHORE USD  - RPS - JUNHO 26</v>
      </c>
      <c r="B5" s="9">
        <v>46174</v>
      </c>
      <c r="C5" s="4">
        <v>817395</v>
      </c>
      <c r="D5" s="11" t="s">
        <v>45</v>
      </c>
      <c r="E5" s="30">
        <f t="shared" si="1"/>
        <v>0</v>
      </c>
      <c r="F5" s="4" t="s">
        <v>68</v>
      </c>
      <c r="G5" s="9">
        <v>46174</v>
      </c>
      <c r="H5" s="4">
        <v>12339</v>
      </c>
      <c r="J5" s="13" t="s">
        <v>30</v>
      </c>
      <c r="K5" s="13" t="s">
        <v>16</v>
      </c>
      <c r="L5" s="14">
        <f t="shared" si="2"/>
        <v>0</v>
      </c>
      <c r="M5" s="15" t="s">
        <v>29</v>
      </c>
      <c r="N5" s="24" t="s">
        <v>93</v>
      </c>
      <c r="O5" s="24" t="s">
        <v>38</v>
      </c>
      <c r="P5" s="16">
        <v>0.5</v>
      </c>
      <c r="Q5" s="35"/>
    </row>
    <row r="6" spans="1:19" x14ac:dyDescent="0.25">
      <c r="A6" s="4" t="str">
        <f t="shared" si="0"/>
        <v>CUSTO OFFSHORE USD  - RPS - JUNHO 26</v>
      </c>
      <c r="B6" s="9">
        <v>46174</v>
      </c>
      <c r="C6" s="4">
        <v>817395</v>
      </c>
      <c r="D6" s="11" t="s">
        <v>12</v>
      </c>
      <c r="E6" s="30">
        <f t="shared" si="1"/>
        <v>0</v>
      </c>
      <c r="F6" s="4" t="s">
        <v>68</v>
      </c>
      <c r="G6" s="9">
        <v>46174</v>
      </c>
      <c r="H6" s="4">
        <v>12339</v>
      </c>
      <c r="J6" s="13" t="s">
        <v>30</v>
      </c>
      <c r="K6" s="13" t="s">
        <v>16</v>
      </c>
      <c r="L6" s="14">
        <f t="shared" si="2"/>
        <v>0</v>
      </c>
      <c r="M6" s="15" t="s">
        <v>29</v>
      </c>
      <c r="N6" s="24" t="s">
        <v>93</v>
      </c>
      <c r="O6" s="24" t="s">
        <v>38</v>
      </c>
      <c r="P6" s="16">
        <v>0.5</v>
      </c>
      <c r="Q6" s="37"/>
    </row>
    <row r="7" spans="1:19" x14ac:dyDescent="0.25">
      <c r="A7" s="4" t="str">
        <f t="shared" si="0"/>
        <v>CUSTO OFFSHORE USD 14075,46 - GOLDMAN SACHS IL - BRAS - JUNHO 26</v>
      </c>
      <c r="B7" s="9">
        <v>46174</v>
      </c>
      <c r="C7" s="4">
        <v>817395</v>
      </c>
      <c r="D7" s="11" t="s">
        <v>12</v>
      </c>
      <c r="E7" s="30">
        <f t="shared" si="1"/>
        <v>-72863.026236000005</v>
      </c>
      <c r="F7" s="4" t="s">
        <v>68</v>
      </c>
      <c r="G7" s="9">
        <v>46174</v>
      </c>
      <c r="H7" s="4">
        <v>79791</v>
      </c>
      <c r="J7" s="13" t="s">
        <v>30</v>
      </c>
      <c r="K7" s="13" t="s">
        <v>24</v>
      </c>
      <c r="L7" s="14">
        <f t="shared" si="2"/>
        <v>72863.026236000005</v>
      </c>
      <c r="M7" s="15" t="s">
        <v>29</v>
      </c>
      <c r="N7" s="24" t="s">
        <v>93</v>
      </c>
      <c r="O7" s="24" t="s">
        <v>38</v>
      </c>
      <c r="P7" s="16">
        <v>1</v>
      </c>
      <c r="Q7" s="12">
        <v>14075.460000000001</v>
      </c>
    </row>
    <row r="8" spans="1:19" x14ac:dyDescent="0.25">
      <c r="A8" s="4" t="str">
        <f t="shared" si="0"/>
        <v>CUSTO OFFSHORE USD 6273,42 - ITAÚ - MSCO - JUNHO 26</v>
      </c>
      <c r="B8" s="9">
        <v>46174</v>
      </c>
      <c r="C8" s="4">
        <v>817395</v>
      </c>
      <c r="D8" s="11" t="s">
        <v>12</v>
      </c>
      <c r="E8" s="30">
        <f t="shared" si="1"/>
        <v>-32474.985971999999</v>
      </c>
      <c r="F8" s="4" t="s">
        <v>68</v>
      </c>
      <c r="G8" s="9">
        <v>46174</v>
      </c>
      <c r="H8" s="4">
        <v>79460</v>
      </c>
      <c r="J8" s="13" t="s">
        <v>30</v>
      </c>
      <c r="K8" s="13" t="s">
        <v>17</v>
      </c>
      <c r="L8" s="14">
        <f t="shared" si="2"/>
        <v>32474.985971999999</v>
      </c>
      <c r="M8" s="15" t="s">
        <v>29</v>
      </c>
      <c r="N8" s="24" t="s">
        <v>93</v>
      </c>
      <c r="O8" s="24" t="s">
        <v>38</v>
      </c>
      <c r="P8" s="16">
        <v>1</v>
      </c>
      <c r="Q8" s="12">
        <v>6273.42</v>
      </c>
    </row>
    <row r="9" spans="1:19" x14ac:dyDescent="0.25">
      <c r="A9" s="4" t="str">
        <f t="shared" si="0"/>
        <v>CUSTO OFFSHORE USD  - ITAÚ - NASSAU - JUNHO 26</v>
      </c>
      <c r="B9" s="9">
        <v>46174</v>
      </c>
      <c r="C9" s="4">
        <v>817395</v>
      </c>
      <c r="D9" s="11" t="s">
        <v>12</v>
      </c>
      <c r="E9" s="30">
        <f t="shared" si="1"/>
        <v>0</v>
      </c>
      <c r="F9" s="4" t="s">
        <v>68</v>
      </c>
      <c r="G9" s="9">
        <v>46174</v>
      </c>
      <c r="H9" s="4">
        <v>79460</v>
      </c>
      <c r="J9" s="13" t="s">
        <v>30</v>
      </c>
      <c r="K9" s="13" t="s">
        <v>18</v>
      </c>
      <c r="L9" s="14">
        <f t="shared" si="2"/>
        <v>0</v>
      </c>
      <c r="M9" s="15" t="s">
        <v>29</v>
      </c>
      <c r="N9" s="24" t="s">
        <v>93</v>
      </c>
      <c r="O9" s="24" t="s">
        <v>38</v>
      </c>
      <c r="P9" s="16">
        <v>1</v>
      </c>
      <c r="Q9" s="26"/>
    </row>
    <row r="10" spans="1:19" x14ac:dyDescent="0.25">
      <c r="A10" s="4" t="str">
        <f t="shared" si="0"/>
        <v>CUSTO OFFSHORE USD  - SPRINGS_MO - JUNHO 26</v>
      </c>
      <c r="B10" s="9">
        <v>46174</v>
      </c>
      <c r="C10" s="4">
        <v>817395</v>
      </c>
      <c r="D10" s="11" t="s">
        <v>12</v>
      </c>
      <c r="E10" s="30">
        <f t="shared" si="1"/>
        <v>0</v>
      </c>
      <c r="F10" s="4" t="s">
        <v>68</v>
      </c>
      <c r="G10" s="9">
        <v>46174</v>
      </c>
      <c r="H10" s="4">
        <v>82748</v>
      </c>
      <c r="J10" s="13" t="s">
        <v>30</v>
      </c>
      <c r="K10" s="13" t="s">
        <v>56</v>
      </c>
      <c r="L10" s="14">
        <f t="shared" si="2"/>
        <v>0</v>
      </c>
      <c r="M10" s="15" t="s">
        <v>29</v>
      </c>
      <c r="N10" s="24" t="s">
        <v>93</v>
      </c>
      <c r="O10" s="24" t="s">
        <v>38</v>
      </c>
      <c r="P10" s="16">
        <v>0.66659999999999997</v>
      </c>
      <c r="Q10" s="35"/>
    </row>
    <row r="11" spans="1:19" x14ac:dyDescent="0.25">
      <c r="A11" s="4" t="str">
        <f t="shared" si="0"/>
        <v>CUSTO OFFSHORE USD  - SPRINGS_MO - JUNHO 26</v>
      </c>
      <c r="B11" s="9">
        <v>46174</v>
      </c>
      <c r="C11" s="4">
        <v>817395</v>
      </c>
      <c r="D11" s="11" t="s">
        <v>45</v>
      </c>
      <c r="E11" s="30">
        <f t="shared" si="1"/>
        <v>0</v>
      </c>
      <c r="F11" s="4" t="s">
        <v>68</v>
      </c>
      <c r="G11" s="9">
        <v>46174</v>
      </c>
      <c r="H11" s="4">
        <v>82748</v>
      </c>
      <c r="J11" s="13" t="s">
        <v>30</v>
      </c>
      <c r="K11" s="13" t="s">
        <v>56</v>
      </c>
      <c r="L11" s="14">
        <f t="shared" si="2"/>
        <v>0</v>
      </c>
      <c r="M11" s="15" t="s">
        <v>29</v>
      </c>
      <c r="N11" s="24" t="s">
        <v>93</v>
      </c>
      <c r="O11" s="24" t="s">
        <v>38</v>
      </c>
      <c r="P11" s="16">
        <v>0.33329999999999999</v>
      </c>
      <c r="Q11" s="37"/>
    </row>
    <row r="12" spans="1:19" x14ac:dyDescent="0.25">
      <c r="A12" s="4" t="str">
        <f t="shared" si="0"/>
        <v>CUSTO OFFSHORE USD  - MSIPLC_SUN - JUNHO 26</v>
      </c>
      <c r="B12" s="9">
        <v>46174</v>
      </c>
      <c r="C12" s="4">
        <v>817395</v>
      </c>
      <c r="D12" s="11" t="s">
        <v>88</v>
      </c>
      <c r="E12" s="30">
        <f t="shared" si="1"/>
        <v>0</v>
      </c>
      <c r="F12" s="4" t="s">
        <v>68</v>
      </c>
      <c r="G12" s="9">
        <v>46174</v>
      </c>
      <c r="H12" s="4">
        <v>80754</v>
      </c>
      <c r="J12" s="13" t="s">
        <v>30</v>
      </c>
      <c r="K12" s="13" t="s">
        <v>89</v>
      </c>
      <c r="L12" s="14">
        <f t="shared" si="2"/>
        <v>0</v>
      </c>
      <c r="M12" s="15" t="s">
        <v>29</v>
      </c>
      <c r="N12" s="24" t="s">
        <v>93</v>
      </c>
      <c r="O12" s="24" t="s">
        <v>38</v>
      </c>
      <c r="P12" s="27">
        <v>1</v>
      </c>
      <c r="Q12" s="30"/>
    </row>
    <row r="13" spans="1:19" x14ac:dyDescent="0.25">
      <c r="A13" s="4" t="str">
        <f t="shared" si="0"/>
        <v>CUSTO OFFSHORE USD 224,32 - VINLAND  - JUNHO 26</v>
      </c>
      <c r="B13" s="9">
        <v>46174</v>
      </c>
      <c r="C13" s="4">
        <v>817395</v>
      </c>
      <c r="D13" s="11" t="s">
        <v>47</v>
      </c>
      <c r="E13" s="30">
        <f t="shared" si="1"/>
        <v>-1161.2149119999999</v>
      </c>
      <c r="F13" s="4" t="s">
        <v>68</v>
      </c>
      <c r="G13" s="9">
        <v>46174</v>
      </c>
      <c r="H13" s="4">
        <v>80359</v>
      </c>
      <c r="J13" s="13" t="s">
        <v>30</v>
      </c>
      <c r="K13" s="13" t="s">
        <v>20</v>
      </c>
      <c r="L13" s="14">
        <f t="shared" si="2"/>
        <v>1161.2149119999999</v>
      </c>
      <c r="M13" s="15" t="s">
        <v>29</v>
      </c>
      <c r="N13" s="24" t="s">
        <v>93</v>
      </c>
      <c r="O13" s="24" t="s">
        <v>38</v>
      </c>
      <c r="P13" s="27">
        <v>1</v>
      </c>
      <c r="Q13" s="30">
        <v>224.32</v>
      </c>
    </row>
    <row r="14" spans="1:19" x14ac:dyDescent="0.25">
      <c r="A14" s="4" t="str">
        <f t="shared" si="0"/>
        <v>CUSTO OFFSHORE USD 2441,27 - SCHONFELD_MO - JUNHO 26</v>
      </c>
      <c r="B14" s="9">
        <v>46174</v>
      </c>
      <c r="C14" s="4">
        <v>817395</v>
      </c>
      <c r="D14" s="11" t="s">
        <v>47</v>
      </c>
      <c r="E14" s="30">
        <f t="shared" si="1"/>
        <v>-12637.478281999998</v>
      </c>
      <c r="F14" s="4" t="s">
        <v>68</v>
      </c>
      <c r="G14" s="9">
        <v>46174</v>
      </c>
      <c r="H14" s="4">
        <v>83061</v>
      </c>
      <c r="J14" s="13" t="s">
        <v>30</v>
      </c>
      <c r="K14" s="13" t="s">
        <v>59</v>
      </c>
      <c r="L14" s="14">
        <f t="shared" si="2"/>
        <v>12637.478281999998</v>
      </c>
      <c r="M14" s="15" t="s">
        <v>29</v>
      </c>
      <c r="N14" s="24" t="s">
        <v>93</v>
      </c>
      <c r="O14" s="24" t="s">
        <v>38</v>
      </c>
      <c r="P14" s="27">
        <v>1</v>
      </c>
      <c r="Q14" s="12">
        <v>2441.27</v>
      </c>
    </row>
    <row r="15" spans="1:19" x14ac:dyDescent="0.25">
      <c r="A15" s="4" t="str">
        <f t="shared" si="0"/>
        <v>CUSTO OFFSHORE USD 11061,65 - XPADVISORY_MO - JUNHO 26</v>
      </c>
      <c r="B15" s="9">
        <v>46174</v>
      </c>
      <c r="C15" s="4">
        <v>817395</v>
      </c>
      <c r="D15" s="11" t="s">
        <v>50</v>
      </c>
      <c r="E15" s="30">
        <f t="shared" si="1"/>
        <v>-57261.737389999995</v>
      </c>
      <c r="F15" s="4" t="s">
        <v>68</v>
      </c>
      <c r="G15" s="9">
        <v>46174</v>
      </c>
      <c r="H15" s="4">
        <v>80769</v>
      </c>
      <c r="J15" s="13" t="s">
        <v>30</v>
      </c>
      <c r="K15" s="13" t="s">
        <v>49</v>
      </c>
      <c r="L15" s="14">
        <f t="shared" si="2"/>
        <v>57261.737389999995</v>
      </c>
      <c r="M15" s="15" t="s">
        <v>29</v>
      </c>
      <c r="N15" s="24" t="s">
        <v>93</v>
      </c>
      <c r="O15" s="24" t="s">
        <v>38</v>
      </c>
      <c r="P15" s="27">
        <v>1</v>
      </c>
      <c r="Q15" s="30">
        <v>11061.65</v>
      </c>
    </row>
    <row r="16" spans="1:19" x14ac:dyDescent="0.25">
      <c r="A16" s="4" t="str">
        <f t="shared" si="0"/>
        <v>CUSTO OFFSHORE USD  - ABSOLUTE_CP - JUNHO 26</v>
      </c>
      <c r="B16" s="9">
        <v>46174</v>
      </c>
      <c r="C16" s="4">
        <v>817395</v>
      </c>
      <c r="D16" s="11" t="s">
        <v>61</v>
      </c>
      <c r="E16" s="30">
        <f t="shared" si="1"/>
        <v>0</v>
      </c>
      <c r="F16" s="4" t="s">
        <v>68</v>
      </c>
      <c r="G16" s="9">
        <v>46174</v>
      </c>
      <c r="H16" s="4">
        <v>144548</v>
      </c>
      <c r="J16" s="13" t="s">
        <v>30</v>
      </c>
      <c r="K16" s="13" t="s">
        <v>72</v>
      </c>
      <c r="L16" s="14">
        <f t="shared" si="2"/>
        <v>0</v>
      </c>
      <c r="M16" s="15" t="s">
        <v>29</v>
      </c>
      <c r="N16" s="24" t="s">
        <v>93</v>
      </c>
      <c r="O16" s="24" t="s">
        <v>38</v>
      </c>
      <c r="P16" s="27">
        <v>1</v>
      </c>
      <c r="Q16" s="30"/>
    </row>
    <row r="17" spans="1:17" x14ac:dyDescent="0.25">
      <c r="A17" s="4" t="str">
        <f t="shared" si="0"/>
        <v>CUSTO OFFSHORE USD  - BTGCAY_CP - JUNHO 26</v>
      </c>
      <c r="B17" s="9">
        <v>46174</v>
      </c>
      <c r="C17" s="4">
        <v>817395</v>
      </c>
      <c r="D17" s="11" t="s">
        <v>61</v>
      </c>
      <c r="E17" s="30">
        <f t="shared" si="1"/>
        <v>0</v>
      </c>
      <c r="F17" s="4" t="s">
        <v>68</v>
      </c>
      <c r="G17" s="9">
        <v>46174</v>
      </c>
      <c r="H17" s="4">
        <v>82964</v>
      </c>
      <c r="J17" s="13" t="s">
        <v>30</v>
      </c>
      <c r="K17" s="13" t="s">
        <v>73</v>
      </c>
      <c r="L17" s="14">
        <f t="shared" si="2"/>
        <v>0</v>
      </c>
      <c r="M17" s="15" t="s">
        <v>29</v>
      </c>
      <c r="N17" s="24" t="s">
        <v>93</v>
      </c>
      <c r="O17" s="24" t="s">
        <v>38</v>
      </c>
      <c r="P17" s="27">
        <v>1</v>
      </c>
      <c r="Q17" s="30"/>
    </row>
    <row r="18" spans="1:17" x14ac:dyDescent="0.25">
      <c r="A18" s="4" t="str">
        <f t="shared" si="0"/>
        <v>CUSTO OFFSHORE USD  - DIG_CP - JUNHO 26</v>
      </c>
      <c r="B18" s="9">
        <v>46174</v>
      </c>
      <c r="C18" s="4">
        <v>817395</v>
      </c>
      <c r="D18" s="11" t="s">
        <v>61</v>
      </c>
      <c r="E18" s="30">
        <f t="shared" si="1"/>
        <v>0</v>
      </c>
      <c r="F18" s="4" t="s">
        <v>68</v>
      </c>
      <c r="G18" s="9">
        <v>46174</v>
      </c>
      <c r="H18" s="4">
        <v>125520</v>
      </c>
      <c r="J18" s="13" t="s">
        <v>30</v>
      </c>
      <c r="K18" s="13" t="s">
        <v>74</v>
      </c>
      <c r="L18" s="14">
        <f t="shared" si="2"/>
        <v>0</v>
      </c>
      <c r="M18" s="15" t="s">
        <v>29</v>
      </c>
      <c r="N18" s="24" t="s">
        <v>93</v>
      </c>
      <c r="O18" s="24" t="s">
        <v>38</v>
      </c>
      <c r="P18" s="27">
        <v>1</v>
      </c>
      <c r="Q18" s="30"/>
    </row>
    <row r="19" spans="1:17" x14ac:dyDescent="0.25">
      <c r="A19" s="4" t="str">
        <f t="shared" si="0"/>
        <v>CUSTO OFFSHORE USD  - KAPITALO_CP - JUNHO 26</v>
      </c>
      <c r="B19" s="9">
        <v>46174</v>
      </c>
      <c r="C19" s="4">
        <v>817395</v>
      </c>
      <c r="D19" s="11" t="s">
        <v>61</v>
      </c>
      <c r="E19" s="30">
        <f t="shared" si="1"/>
        <v>0</v>
      </c>
      <c r="F19" s="4" t="s">
        <v>68</v>
      </c>
      <c r="G19" s="9">
        <v>46174</v>
      </c>
      <c r="H19" s="4">
        <v>12413</v>
      </c>
      <c r="J19" s="13" t="s">
        <v>30</v>
      </c>
      <c r="K19" s="13" t="s">
        <v>70</v>
      </c>
      <c r="L19" s="14">
        <f t="shared" si="2"/>
        <v>0</v>
      </c>
      <c r="M19" s="15" t="s">
        <v>29</v>
      </c>
      <c r="N19" s="24" t="s">
        <v>93</v>
      </c>
      <c r="O19" s="24" t="s">
        <v>38</v>
      </c>
      <c r="P19" s="27">
        <v>1</v>
      </c>
      <c r="Q19" s="30"/>
    </row>
    <row r="20" spans="1:17" x14ac:dyDescent="0.25">
      <c r="A20" s="4" t="str">
        <f t="shared" si="0"/>
        <v>CUSTO OFFSHORE USD  - SHARP_CP - JUNHO 26</v>
      </c>
      <c r="B20" s="9">
        <v>46174</v>
      </c>
      <c r="C20" s="4">
        <v>817395</v>
      </c>
      <c r="D20" s="11" t="s">
        <v>61</v>
      </c>
      <c r="E20" s="30">
        <f t="shared" si="1"/>
        <v>0</v>
      </c>
      <c r="F20" s="4" t="s">
        <v>68</v>
      </c>
      <c r="G20" s="9">
        <v>46174</v>
      </c>
      <c r="H20" s="4">
        <v>80515</v>
      </c>
      <c r="J20" s="13" t="s">
        <v>30</v>
      </c>
      <c r="K20" s="13" t="s">
        <v>75</v>
      </c>
      <c r="L20" s="14">
        <f t="shared" si="2"/>
        <v>0</v>
      </c>
      <c r="M20" s="15" t="s">
        <v>29</v>
      </c>
      <c r="N20" s="24" t="s">
        <v>93</v>
      </c>
      <c r="O20" s="24" t="s">
        <v>38</v>
      </c>
      <c r="P20" s="27">
        <v>1</v>
      </c>
      <c r="Q20" s="30"/>
    </row>
    <row r="21" spans="1:17" x14ac:dyDescent="0.25">
      <c r="A21" s="4" t="str">
        <f t="shared" si="0"/>
        <v>CUSTO OFFSHORE USD  - TRUXT_CP - JUNHO 26</v>
      </c>
      <c r="B21" s="9">
        <v>46174</v>
      </c>
      <c r="C21" s="4">
        <v>817395</v>
      </c>
      <c r="D21" s="11" t="s">
        <v>61</v>
      </c>
      <c r="E21" s="30">
        <f t="shared" si="1"/>
        <v>0</v>
      </c>
      <c r="F21" s="4" t="s">
        <v>68</v>
      </c>
      <c r="G21" s="9">
        <v>46174</v>
      </c>
      <c r="H21" s="4">
        <v>12402</v>
      </c>
      <c r="J21" s="13" t="s">
        <v>30</v>
      </c>
      <c r="K21" s="13" t="s">
        <v>76</v>
      </c>
      <c r="L21" s="14">
        <f t="shared" si="2"/>
        <v>0</v>
      </c>
      <c r="M21" s="15" t="s">
        <v>29</v>
      </c>
      <c r="N21" s="24" t="s">
        <v>93</v>
      </c>
      <c r="O21" s="24" t="s">
        <v>38</v>
      </c>
      <c r="P21" s="27">
        <v>1</v>
      </c>
      <c r="Q21" s="30"/>
    </row>
    <row r="22" spans="1:17" x14ac:dyDescent="0.25">
      <c r="A22" s="4" t="str">
        <f t="shared" si="0"/>
        <v>CUSTO OFFSHORE USD  - VISTA_CP - JUNHO 26</v>
      </c>
      <c r="B22" s="9">
        <v>46174</v>
      </c>
      <c r="C22" s="4">
        <v>817395</v>
      </c>
      <c r="D22" s="11" t="s">
        <v>61</v>
      </c>
      <c r="E22" s="30">
        <f t="shared" si="1"/>
        <v>0</v>
      </c>
      <c r="F22" s="4" t="s">
        <v>68</v>
      </c>
      <c r="G22" s="9">
        <v>46174</v>
      </c>
      <c r="H22" s="4">
        <v>80360</v>
      </c>
      <c r="J22" s="13" t="s">
        <v>30</v>
      </c>
      <c r="K22" s="13" t="s">
        <v>86</v>
      </c>
      <c r="L22" s="14">
        <f t="shared" si="2"/>
        <v>0</v>
      </c>
      <c r="M22" s="15" t="s">
        <v>29</v>
      </c>
      <c r="N22" s="24" t="s">
        <v>93</v>
      </c>
      <c r="O22" s="24" t="s">
        <v>38</v>
      </c>
      <c r="P22" s="27">
        <v>1</v>
      </c>
      <c r="Q22" s="30"/>
    </row>
    <row r="23" spans="1:17" x14ac:dyDescent="0.25">
      <c r="A23" s="4" t="str">
        <f t="shared" si="0"/>
        <v>CUSTO OFFSHORE USD  - ADAMGestao_MO - JUNHO 26</v>
      </c>
      <c r="B23" s="9">
        <v>46174</v>
      </c>
      <c r="C23" s="4">
        <v>817395</v>
      </c>
      <c r="D23" s="11" t="s">
        <v>12</v>
      </c>
      <c r="E23" s="30">
        <f t="shared" si="1"/>
        <v>0</v>
      </c>
      <c r="F23" s="4" t="s">
        <v>68</v>
      </c>
      <c r="G23" s="9">
        <v>46174</v>
      </c>
      <c r="H23" s="4">
        <v>79973</v>
      </c>
      <c r="J23" s="13" t="s">
        <v>30</v>
      </c>
      <c r="K23" s="13" t="s">
        <v>77</v>
      </c>
      <c r="L23" s="14">
        <f t="shared" si="2"/>
        <v>0</v>
      </c>
      <c r="M23" s="15" t="s">
        <v>29</v>
      </c>
      <c r="N23" s="24" t="s">
        <v>93</v>
      </c>
      <c r="O23" s="24" t="s">
        <v>38</v>
      </c>
      <c r="P23" s="27">
        <v>1</v>
      </c>
      <c r="Q23" s="26"/>
    </row>
    <row r="24" spans="1:17" x14ac:dyDescent="0.25">
      <c r="A24" s="4" t="str">
        <f t="shared" si="0"/>
        <v>CUSTO OFFSHORE USD  - CITIGBL_MO - JUNHO 26</v>
      </c>
      <c r="B24" s="9">
        <v>46174</v>
      </c>
      <c r="C24" s="4">
        <v>817395</v>
      </c>
      <c r="D24" s="11" t="s">
        <v>12</v>
      </c>
      <c r="E24" s="30">
        <f t="shared" si="1"/>
        <v>0</v>
      </c>
      <c r="F24" s="4" t="s">
        <v>68</v>
      </c>
      <c r="G24" s="9">
        <v>46174</v>
      </c>
      <c r="H24" s="4">
        <v>79791</v>
      </c>
      <c r="J24" s="13" t="s">
        <v>30</v>
      </c>
      <c r="K24" s="13" t="s">
        <v>48</v>
      </c>
      <c r="L24" s="14">
        <f t="shared" si="2"/>
        <v>0</v>
      </c>
      <c r="M24" s="15" t="s">
        <v>29</v>
      </c>
      <c r="N24" s="24" t="s">
        <v>93</v>
      </c>
      <c r="O24" s="24" t="s">
        <v>38</v>
      </c>
      <c r="P24" s="27">
        <v>0.5</v>
      </c>
      <c r="Q24" s="36"/>
    </row>
    <row r="25" spans="1:17" x14ac:dyDescent="0.25">
      <c r="A25" s="4" t="str">
        <f t="shared" si="0"/>
        <v>CUSTO OFFSHORE USD  - CITIGBL_MO - JUNHO 26</v>
      </c>
      <c r="B25" s="9">
        <v>46174</v>
      </c>
      <c r="C25" s="4">
        <v>817395</v>
      </c>
      <c r="D25" s="11" t="s">
        <v>45</v>
      </c>
      <c r="E25" s="30">
        <f t="shared" si="1"/>
        <v>0</v>
      </c>
      <c r="F25" s="4" t="s">
        <v>68</v>
      </c>
      <c r="G25" s="9">
        <v>46174</v>
      </c>
      <c r="H25" s="4">
        <v>79791</v>
      </c>
      <c r="J25" s="13" t="s">
        <v>30</v>
      </c>
      <c r="K25" s="13" t="s">
        <v>48</v>
      </c>
      <c r="L25" s="14">
        <f t="shared" si="2"/>
        <v>0</v>
      </c>
      <c r="M25" s="15" t="s">
        <v>29</v>
      </c>
      <c r="N25" s="24" t="s">
        <v>93</v>
      </c>
      <c r="O25" s="24" t="s">
        <v>38</v>
      </c>
      <c r="P25" s="27">
        <v>0.5</v>
      </c>
      <c r="Q25" s="37"/>
    </row>
    <row r="26" spans="1:17" x14ac:dyDescent="0.25">
      <c r="A26" s="4" t="str">
        <f>CONCATENATE(J26,Q26,M26,K26,M26,N26)</f>
        <v>CUSTO OFFSHORE USD 1050,1 - KAPITALO - JUNHO 26</v>
      </c>
      <c r="B26" s="9">
        <v>46174</v>
      </c>
      <c r="C26" s="4">
        <v>817395</v>
      </c>
      <c r="D26" s="11" t="s">
        <v>12</v>
      </c>
      <c r="E26" s="30">
        <f t="shared" si="1"/>
        <v>-4076.9607450000003</v>
      </c>
      <c r="F26" s="4" t="s">
        <v>68</v>
      </c>
      <c r="G26" s="9">
        <v>46174</v>
      </c>
      <c r="H26" s="4">
        <v>12413</v>
      </c>
      <c r="J26" s="13" t="s">
        <v>30</v>
      </c>
      <c r="K26" s="13" t="s">
        <v>26</v>
      </c>
      <c r="L26" s="14">
        <f>IF(O26="USD",Q26*$S$1)</f>
        <v>5435.9476600000007</v>
      </c>
      <c r="M26" s="15" t="s">
        <v>29</v>
      </c>
      <c r="N26" s="24" t="s">
        <v>93</v>
      </c>
      <c r="O26" s="24" t="s">
        <v>38</v>
      </c>
      <c r="P26" s="27">
        <v>0.75</v>
      </c>
      <c r="Q26" s="36">
        <v>1050.1000000000001</v>
      </c>
    </row>
    <row r="27" spans="1:17" x14ac:dyDescent="0.25">
      <c r="A27" s="4" t="str">
        <f>CONCATENATE(J27,Q27,M27,K27,M27,N27)</f>
        <v>CUSTO OFFSHORE USD 1050,1 - KAPITALO - JUNHO 26</v>
      </c>
      <c r="B27" s="9">
        <v>46174</v>
      </c>
      <c r="C27" s="4">
        <v>817395</v>
      </c>
      <c r="D27" s="11" t="s">
        <v>45</v>
      </c>
      <c r="E27" s="30">
        <f t="shared" si="1"/>
        <v>-1358.9869150000002</v>
      </c>
      <c r="F27" s="4" t="s">
        <v>68</v>
      </c>
      <c r="G27" s="9">
        <v>46174</v>
      </c>
      <c r="H27" s="4">
        <v>12413</v>
      </c>
      <c r="J27" s="13" t="s">
        <v>30</v>
      </c>
      <c r="K27" s="13" t="s">
        <v>26</v>
      </c>
      <c r="L27" s="14">
        <f>IF(O27="USD",Q27*$S$1)</f>
        <v>5435.9476600000007</v>
      </c>
      <c r="M27" s="15" t="s">
        <v>29</v>
      </c>
      <c r="N27" s="24" t="s">
        <v>93</v>
      </c>
      <c r="O27" s="24" t="s">
        <v>38</v>
      </c>
      <c r="P27" s="27">
        <v>0.25</v>
      </c>
      <c r="Q27" s="36">
        <v>1050.1000000000001</v>
      </c>
    </row>
    <row r="28" spans="1:17" x14ac:dyDescent="0.25">
      <c r="A28" s="4" t="str">
        <f t="shared" ref="A28:A37" si="3">CONCATENATE(J28,Q28,M28,K28,M28,N28)</f>
        <v>CUSTO OFFSHORE USD  - BRADESCO_BZL - JUNHO 26</v>
      </c>
      <c r="B28" s="9">
        <v>46174</v>
      </c>
      <c r="C28" s="4">
        <v>817395</v>
      </c>
      <c r="D28" s="11" t="s">
        <v>12</v>
      </c>
      <c r="E28" s="30">
        <f t="shared" si="1"/>
        <v>0</v>
      </c>
      <c r="F28" s="4" t="s">
        <v>68</v>
      </c>
      <c r="G28" s="9">
        <v>46174</v>
      </c>
      <c r="H28" s="4">
        <v>16705</v>
      </c>
      <c r="J28" s="13" t="s">
        <v>30</v>
      </c>
      <c r="K28" s="13" t="s">
        <v>27</v>
      </c>
      <c r="L28" s="14">
        <f t="shared" ref="L28:L96" si="4">IF(O28="USD",Q28*$S$1)</f>
        <v>0</v>
      </c>
      <c r="M28" s="15" t="s">
        <v>29</v>
      </c>
      <c r="N28" s="24" t="s">
        <v>93</v>
      </c>
      <c r="O28" s="24" t="s">
        <v>38</v>
      </c>
      <c r="P28" s="27">
        <v>0.75</v>
      </c>
      <c r="Q28" s="35"/>
    </row>
    <row r="29" spans="1:17" x14ac:dyDescent="0.25">
      <c r="A29" s="4" t="str">
        <f t="shared" si="3"/>
        <v>CUSTO OFFSHORE USD  - BRADESCO_BZL - JUNHO 26</v>
      </c>
      <c r="B29" s="9">
        <v>46174</v>
      </c>
      <c r="C29" s="4">
        <v>817395</v>
      </c>
      <c r="D29" s="11" t="s">
        <v>45</v>
      </c>
      <c r="E29" s="30">
        <f t="shared" si="1"/>
        <v>0</v>
      </c>
      <c r="F29" s="4" t="s">
        <v>68</v>
      </c>
      <c r="G29" s="9">
        <v>46174</v>
      </c>
      <c r="H29" s="4">
        <v>16705</v>
      </c>
      <c r="J29" s="13" t="s">
        <v>30</v>
      </c>
      <c r="K29" s="13" t="s">
        <v>27</v>
      </c>
      <c r="L29" s="14">
        <f t="shared" si="4"/>
        <v>0</v>
      </c>
      <c r="M29" s="15" t="s">
        <v>29</v>
      </c>
      <c r="N29" s="24" t="s">
        <v>93</v>
      </c>
      <c r="O29" s="24" t="s">
        <v>38</v>
      </c>
      <c r="P29" s="27">
        <v>0.25</v>
      </c>
      <c r="Q29" s="37"/>
    </row>
    <row r="30" spans="1:17" x14ac:dyDescent="0.25">
      <c r="A30" s="4" t="str">
        <f t="shared" si="3"/>
        <v>CUSTO OFFSHORE USD  - BRADESCO_MO - JUNHO 26</v>
      </c>
      <c r="B30" s="9">
        <v>46174</v>
      </c>
      <c r="C30" s="4">
        <v>817395</v>
      </c>
      <c r="D30" s="11" t="s">
        <v>12</v>
      </c>
      <c r="E30" s="30">
        <f t="shared" si="1"/>
        <v>0</v>
      </c>
      <c r="F30" s="4" t="s">
        <v>68</v>
      </c>
      <c r="G30" s="9">
        <v>46174</v>
      </c>
      <c r="H30" s="4">
        <v>16705</v>
      </c>
      <c r="J30" s="13" t="s">
        <v>30</v>
      </c>
      <c r="K30" s="13" t="s">
        <v>69</v>
      </c>
      <c r="L30" s="14">
        <f t="shared" si="4"/>
        <v>0</v>
      </c>
      <c r="M30" s="15" t="s">
        <v>29</v>
      </c>
      <c r="N30" s="24" t="s">
        <v>93</v>
      </c>
      <c r="O30" s="24" t="s">
        <v>38</v>
      </c>
      <c r="P30" s="27">
        <v>0.75</v>
      </c>
      <c r="Q30" s="35"/>
    </row>
    <row r="31" spans="1:17" x14ac:dyDescent="0.25">
      <c r="A31" s="4" t="str">
        <f t="shared" si="3"/>
        <v>CUSTO OFFSHORE USD  - BRADESCO_MO - JUNHO 26</v>
      </c>
      <c r="B31" s="9">
        <v>46174</v>
      </c>
      <c r="C31" s="4">
        <v>817395</v>
      </c>
      <c r="D31" s="11" t="s">
        <v>45</v>
      </c>
      <c r="E31" s="30">
        <f t="shared" si="1"/>
        <v>0</v>
      </c>
      <c r="F31" s="4" t="s">
        <v>68</v>
      </c>
      <c r="G31" s="9">
        <v>46174</v>
      </c>
      <c r="H31" s="4">
        <v>16705</v>
      </c>
      <c r="J31" s="13" t="s">
        <v>30</v>
      </c>
      <c r="K31" s="13" t="s">
        <v>69</v>
      </c>
      <c r="L31" s="14">
        <f t="shared" si="4"/>
        <v>0</v>
      </c>
      <c r="M31" s="15" t="s">
        <v>29</v>
      </c>
      <c r="N31" s="24" t="s">
        <v>93</v>
      </c>
      <c r="O31" s="24" t="s">
        <v>38</v>
      </c>
      <c r="P31" s="27">
        <v>0.25</v>
      </c>
      <c r="Q31" s="37"/>
    </row>
    <row r="32" spans="1:17" x14ac:dyDescent="0.25">
      <c r="A32" s="4" t="str">
        <f t="shared" si="3"/>
        <v>CUSTO OFFSHORE USD  - BRAMBRAD_MO - JUNHO 26</v>
      </c>
      <c r="B32" s="9">
        <v>46174</v>
      </c>
      <c r="C32" s="4">
        <v>817395</v>
      </c>
      <c r="D32" s="11" t="s">
        <v>12</v>
      </c>
      <c r="E32" s="30">
        <f t="shared" si="1"/>
        <v>0</v>
      </c>
      <c r="F32" s="4" t="s">
        <v>68</v>
      </c>
      <c r="G32" s="9">
        <v>46174</v>
      </c>
      <c r="H32" s="4">
        <v>16705</v>
      </c>
      <c r="J32" s="13" t="s">
        <v>30</v>
      </c>
      <c r="K32" s="13" t="s">
        <v>85</v>
      </c>
      <c r="L32" s="14">
        <f t="shared" si="4"/>
        <v>0</v>
      </c>
      <c r="M32" s="15" t="s">
        <v>29</v>
      </c>
      <c r="N32" s="24" t="s">
        <v>93</v>
      </c>
      <c r="O32" s="24" t="s">
        <v>38</v>
      </c>
      <c r="P32" s="27">
        <v>0.75</v>
      </c>
      <c r="Q32" s="35"/>
    </row>
    <row r="33" spans="1:17" x14ac:dyDescent="0.25">
      <c r="A33" s="4" t="str">
        <f t="shared" si="3"/>
        <v>CUSTO OFFSHORE USD  - BRAMBRAD_MO - JUNHO 26</v>
      </c>
      <c r="B33" s="9">
        <v>46174</v>
      </c>
      <c r="C33" s="4">
        <v>817395</v>
      </c>
      <c r="D33" s="11" t="s">
        <v>45</v>
      </c>
      <c r="E33" s="30">
        <f t="shared" si="1"/>
        <v>0</v>
      </c>
      <c r="F33" s="4" t="s">
        <v>68</v>
      </c>
      <c r="G33" s="9">
        <v>46174</v>
      </c>
      <c r="H33" s="4">
        <v>16705</v>
      </c>
      <c r="J33" s="13" t="s">
        <v>30</v>
      </c>
      <c r="K33" s="13" t="s">
        <v>85</v>
      </c>
      <c r="L33" s="14">
        <f t="shared" si="4"/>
        <v>0</v>
      </c>
      <c r="M33" s="15" t="s">
        <v>29</v>
      </c>
      <c r="N33" s="24" t="s">
        <v>93</v>
      </c>
      <c r="O33" s="24" t="s">
        <v>38</v>
      </c>
      <c r="P33" s="27">
        <v>0.25</v>
      </c>
      <c r="Q33" s="37"/>
    </row>
    <row r="34" spans="1:17" x14ac:dyDescent="0.25">
      <c r="A34" s="4" t="str">
        <f t="shared" si="3"/>
        <v>CUSTO OFFSHORE USD 7150,82 - JPMPLC_MO - JUNHO 26</v>
      </c>
      <c r="B34" s="9">
        <v>46174</v>
      </c>
      <c r="C34" s="4">
        <v>817395</v>
      </c>
      <c r="D34" s="11" t="s">
        <v>12</v>
      </c>
      <c r="E34" s="30">
        <f t="shared" si="1"/>
        <v>-24679.190439160397</v>
      </c>
      <c r="F34" s="4" t="s">
        <v>68</v>
      </c>
      <c r="G34" s="9">
        <v>46174</v>
      </c>
      <c r="H34" s="4">
        <v>81541</v>
      </c>
      <c r="J34" s="13" t="s">
        <v>30</v>
      </c>
      <c r="K34" s="13" t="s">
        <v>55</v>
      </c>
      <c r="L34" s="14">
        <f t="shared" si="4"/>
        <v>37016.934812</v>
      </c>
      <c r="M34" s="15" t="s">
        <v>29</v>
      </c>
      <c r="N34" s="24" t="s">
        <v>93</v>
      </c>
      <c r="O34" s="24" t="s">
        <v>38</v>
      </c>
      <c r="P34" s="27">
        <v>0.66669999999999996</v>
      </c>
      <c r="Q34" s="35">
        <v>7150.82</v>
      </c>
    </row>
    <row r="35" spans="1:17" x14ac:dyDescent="0.25">
      <c r="A35" s="4" t="str">
        <f t="shared" si="3"/>
        <v>CUSTO OFFSHORE USD 7150,82 - JPMPLC_MO - JUNHO 26</v>
      </c>
      <c r="B35" s="9">
        <v>46174</v>
      </c>
      <c r="C35" s="4">
        <v>817395</v>
      </c>
      <c r="D35" s="11" t="s">
        <v>45</v>
      </c>
      <c r="E35" s="30">
        <f t="shared" si="1"/>
        <v>-12337.744372839599</v>
      </c>
      <c r="F35" s="4" t="s">
        <v>68</v>
      </c>
      <c r="G35" s="9">
        <v>46174</v>
      </c>
      <c r="H35" s="4">
        <v>81541</v>
      </c>
      <c r="J35" s="13" t="s">
        <v>30</v>
      </c>
      <c r="K35" s="13" t="s">
        <v>55</v>
      </c>
      <c r="L35" s="14">
        <f t="shared" si="4"/>
        <v>37016.934812</v>
      </c>
      <c r="M35" s="15" t="s">
        <v>29</v>
      </c>
      <c r="N35" s="24" t="s">
        <v>93</v>
      </c>
      <c r="O35" s="24" t="s">
        <v>38</v>
      </c>
      <c r="P35" s="27">
        <v>0.33329999999999999</v>
      </c>
      <c r="Q35" s="37">
        <v>7150.82</v>
      </c>
    </row>
    <row r="36" spans="1:17" x14ac:dyDescent="0.25">
      <c r="A36" s="4" t="str">
        <f t="shared" si="3"/>
        <v>CUSTO OFFSHORE USD -22,88 - SPX_MO - JUNHO 26</v>
      </c>
      <c r="B36" s="9">
        <v>46174</v>
      </c>
      <c r="C36" s="4">
        <v>817395</v>
      </c>
      <c r="D36" s="11" t="s">
        <v>12</v>
      </c>
      <c r="E36" s="30">
        <f t="shared" si="1"/>
        <v>71.064364799999993</v>
      </c>
      <c r="F36" s="4" t="s">
        <v>68</v>
      </c>
      <c r="G36" s="9">
        <v>46174</v>
      </c>
      <c r="H36" s="4">
        <v>79931</v>
      </c>
      <c r="J36" s="13" t="s">
        <v>30</v>
      </c>
      <c r="K36" s="13" t="s">
        <v>31</v>
      </c>
      <c r="L36" s="14">
        <f t="shared" si="4"/>
        <v>-118.44060799999998</v>
      </c>
      <c r="M36" s="15" t="s">
        <v>29</v>
      </c>
      <c r="N36" s="24" t="s">
        <v>93</v>
      </c>
      <c r="O36" s="24" t="s">
        <v>38</v>
      </c>
      <c r="P36" s="27">
        <v>0.6</v>
      </c>
      <c r="Q36" s="35">
        <v>-22.88</v>
      </c>
    </row>
    <row r="37" spans="1:17" x14ac:dyDescent="0.25">
      <c r="A37" s="17" t="str">
        <f t="shared" si="3"/>
        <v>CUSTO OFFSHORE USD -22,88 - SPX_MO - JUNHO 26</v>
      </c>
      <c r="B37" s="18">
        <v>46174</v>
      </c>
      <c r="C37" s="17">
        <v>817395</v>
      </c>
      <c r="D37" s="23" t="s">
        <v>45</v>
      </c>
      <c r="E37" s="26">
        <f t="shared" si="1"/>
        <v>47.376243199999998</v>
      </c>
      <c r="F37" s="17" t="s">
        <v>68</v>
      </c>
      <c r="G37" s="18">
        <v>46174</v>
      </c>
      <c r="H37" s="17">
        <v>79931</v>
      </c>
      <c r="J37" s="20" t="s">
        <v>30</v>
      </c>
      <c r="K37" s="20" t="s">
        <v>31</v>
      </c>
      <c r="L37" s="33">
        <f t="shared" si="4"/>
        <v>-118.44060799999998</v>
      </c>
      <c r="M37" s="21" t="s">
        <v>29</v>
      </c>
      <c r="N37" s="25" t="s">
        <v>93</v>
      </c>
      <c r="O37" s="25" t="s">
        <v>38</v>
      </c>
      <c r="P37" s="22">
        <v>0.4</v>
      </c>
      <c r="Q37" s="37">
        <v>-22.88</v>
      </c>
    </row>
    <row r="38" spans="1:17" x14ac:dyDescent="0.25">
      <c r="A38" s="4" t="str">
        <f t="shared" si="0"/>
        <v>CUSTO OFFSHORE USD  - VINLAND  - JUNHO 26</v>
      </c>
      <c r="B38" s="9">
        <v>46174</v>
      </c>
      <c r="C38" s="4">
        <v>817395</v>
      </c>
      <c r="D38" s="11" t="s">
        <v>47</v>
      </c>
      <c r="E38" s="10">
        <f t="shared" si="1"/>
        <v>0</v>
      </c>
      <c r="F38" s="4" t="s">
        <v>19</v>
      </c>
      <c r="G38" s="9">
        <v>46174</v>
      </c>
      <c r="H38" s="4">
        <v>80359</v>
      </c>
      <c r="J38" s="13" t="s">
        <v>30</v>
      </c>
      <c r="K38" s="13" t="s">
        <v>20</v>
      </c>
      <c r="L38" s="14">
        <f t="shared" si="4"/>
        <v>0</v>
      </c>
      <c r="M38" s="15" t="s">
        <v>29</v>
      </c>
      <c r="N38" s="24" t="s">
        <v>93</v>
      </c>
      <c r="O38" s="24" t="s">
        <v>38</v>
      </c>
      <c r="P38" s="16">
        <v>1</v>
      </c>
      <c r="Q38" s="43"/>
    </row>
    <row r="39" spans="1:17" x14ac:dyDescent="0.25">
      <c r="A39" s="4" t="str">
        <f t="shared" si="0"/>
        <v>CUSTO OFFSHORE USD -10 - SCHONFELD_MO - JUNHO 26</v>
      </c>
      <c r="B39" s="9">
        <v>46174</v>
      </c>
      <c r="C39" s="4">
        <v>817395</v>
      </c>
      <c r="D39" s="11" t="s">
        <v>47</v>
      </c>
      <c r="E39" s="30">
        <f t="shared" si="1"/>
        <v>51.765999999999998</v>
      </c>
      <c r="F39" s="4" t="s">
        <v>19</v>
      </c>
      <c r="G39" s="9">
        <v>46174</v>
      </c>
      <c r="H39" s="4">
        <v>83061</v>
      </c>
      <c r="J39" s="13" t="s">
        <v>30</v>
      </c>
      <c r="K39" s="13" t="s">
        <v>59</v>
      </c>
      <c r="L39" s="14">
        <f t="shared" si="4"/>
        <v>-51.765999999999998</v>
      </c>
      <c r="M39" s="15" t="s">
        <v>29</v>
      </c>
      <c r="N39" s="24" t="s">
        <v>93</v>
      </c>
      <c r="O39" s="24" t="s">
        <v>38</v>
      </c>
      <c r="P39" s="27">
        <v>1</v>
      </c>
      <c r="Q39" s="43">
        <v>-10</v>
      </c>
    </row>
    <row r="40" spans="1:17" x14ac:dyDescent="0.25">
      <c r="A40" s="4" t="str">
        <f t="shared" si="0"/>
        <v>CUSTO OFFSHORE USD -40,6790317161982 - GOLDMAN SACHS IL - BRAS - JUNHO 26</v>
      </c>
      <c r="B40" s="9">
        <v>46174</v>
      </c>
      <c r="C40" s="4">
        <v>817395</v>
      </c>
      <c r="D40" s="11" t="s">
        <v>12</v>
      </c>
      <c r="E40" s="10">
        <f t="shared" si="1"/>
        <v>210.57907558207134</v>
      </c>
      <c r="F40" s="4" t="s">
        <v>19</v>
      </c>
      <c r="G40" s="9">
        <v>46174</v>
      </c>
      <c r="H40" s="4">
        <v>79791</v>
      </c>
      <c r="J40" s="13" t="s">
        <v>30</v>
      </c>
      <c r="K40" s="13" t="s">
        <v>24</v>
      </c>
      <c r="L40" s="14">
        <f t="shared" si="4"/>
        <v>-210.57907558207134</v>
      </c>
      <c r="M40" s="15" t="s">
        <v>29</v>
      </c>
      <c r="N40" s="24" t="s">
        <v>93</v>
      </c>
      <c r="O40" s="24" t="s">
        <v>38</v>
      </c>
      <c r="P40" s="16">
        <v>1</v>
      </c>
      <c r="Q40" s="43">
        <v>-40.679031716198153</v>
      </c>
    </row>
    <row r="41" spans="1:17" x14ac:dyDescent="0.25">
      <c r="A41" s="4" t="str">
        <f t="shared" si="0"/>
        <v>CUSTO OFFSHORE USD -40,03 - ITAÚ - NASSAU - JUNHO 26</v>
      </c>
      <c r="B41" s="9">
        <v>46174</v>
      </c>
      <c r="C41" s="4">
        <v>817395</v>
      </c>
      <c r="D41" s="11" t="s">
        <v>12</v>
      </c>
      <c r="E41" s="30">
        <f t="shared" si="1"/>
        <v>207.21929799999998</v>
      </c>
      <c r="F41" s="4" t="s">
        <v>19</v>
      </c>
      <c r="G41" s="9">
        <v>46174</v>
      </c>
      <c r="H41" s="4">
        <v>79460</v>
      </c>
      <c r="J41" s="13" t="s">
        <v>30</v>
      </c>
      <c r="K41" s="13" t="s">
        <v>18</v>
      </c>
      <c r="L41" s="14">
        <f t="shared" si="4"/>
        <v>-207.21929799999998</v>
      </c>
      <c r="M41" s="15" t="s">
        <v>29</v>
      </c>
      <c r="N41" s="24" t="s">
        <v>93</v>
      </c>
      <c r="O41" s="24" t="s">
        <v>38</v>
      </c>
      <c r="P41" s="16">
        <v>1</v>
      </c>
      <c r="Q41" s="45">
        <v>-40.03</v>
      </c>
    </row>
    <row r="42" spans="1:17" x14ac:dyDescent="0.25">
      <c r="A42" s="4" t="str">
        <f t="shared" si="0"/>
        <v>CUSTO OFFSHORE USD  - SPX_MO - JUNHO 26</v>
      </c>
      <c r="B42" s="9">
        <v>46174</v>
      </c>
      <c r="C42" s="4">
        <v>817395</v>
      </c>
      <c r="D42" s="11" t="s">
        <v>12</v>
      </c>
      <c r="E42" s="30">
        <f t="shared" si="1"/>
        <v>0</v>
      </c>
      <c r="F42" s="4" t="s">
        <v>19</v>
      </c>
      <c r="G42" s="9">
        <v>46174</v>
      </c>
      <c r="H42" s="4">
        <v>79931</v>
      </c>
      <c r="J42" s="13" t="s">
        <v>30</v>
      </c>
      <c r="K42" s="13" t="s">
        <v>31</v>
      </c>
      <c r="L42" s="14">
        <f t="shared" si="4"/>
        <v>0</v>
      </c>
      <c r="M42" s="15" t="s">
        <v>29</v>
      </c>
      <c r="N42" s="24" t="s">
        <v>93</v>
      </c>
      <c r="O42" s="24" t="s">
        <v>38</v>
      </c>
      <c r="P42" s="27">
        <v>0.6</v>
      </c>
      <c r="Q42" s="58"/>
    </row>
    <row r="43" spans="1:17" x14ac:dyDescent="0.25">
      <c r="A43" s="4" t="str">
        <f t="shared" si="0"/>
        <v>CUSTO OFFSHORE USD  - SPX_MO - JUNHO 26</v>
      </c>
      <c r="B43" s="9">
        <v>46174</v>
      </c>
      <c r="C43" s="4">
        <v>817395</v>
      </c>
      <c r="D43" s="11" t="s">
        <v>45</v>
      </c>
      <c r="E43" s="30">
        <f t="shared" si="1"/>
        <v>0</v>
      </c>
      <c r="F43" s="4" t="s">
        <v>19</v>
      </c>
      <c r="G43" s="9">
        <v>46174</v>
      </c>
      <c r="H43" s="4">
        <v>79931</v>
      </c>
      <c r="J43" s="13" t="s">
        <v>30</v>
      </c>
      <c r="K43" s="13" t="s">
        <v>31</v>
      </c>
      <c r="L43" s="14">
        <f t="shared" si="4"/>
        <v>0</v>
      </c>
      <c r="M43" s="15" t="s">
        <v>29</v>
      </c>
      <c r="N43" s="24" t="s">
        <v>93</v>
      </c>
      <c r="O43" s="24" t="s">
        <v>38</v>
      </c>
      <c r="P43" s="27">
        <v>0.4</v>
      </c>
      <c r="Q43" s="60"/>
    </row>
    <row r="44" spans="1:17" x14ac:dyDescent="0.25">
      <c r="A44" s="4" t="str">
        <f t="shared" si="0"/>
        <v>CUSTO OFFSHORE USD  - CITIGBL_MO - JUNHO 26</v>
      </c>
      <c r="B44" s="9">
        <v>46174</v>
      </c>
      <c r="C44" s="4">
        <v>817395</v>
      </c>
      <c r="D44" s="11" t="s">
        <v>12</v>
      </c>
      <c r="E44" s="30">
        <f t="shared" si="1"/>
        <v>0</v>
      </c>
      <c r="F44" s="4" t="s">
        <v>19</v>
      </c>
      <c r="G44" s="9">
        <v>46174</v>
      </c>
      <c r="H44" s="4">
        <v>79791</v>
      </c>
      <c r="J44" s="13" t="s">
        <v>30</v>
      </c>
      <c r="K44" s="13" t="s">
        <v>48</v>
      </c>
      <c r="L44" s="14">
        <f t="shared" si="4"/>
        <v>0</v>
      </c>
      <c r="M44" s="15" t="s">
        <v>29</v>
      </c>
      <c r="N44" s="24" t="s">
        <v>93</v>
      </c>
      <c r="O44" s="24" t="s">
        <v>38</v>
      </c>
      <c r="P44" s="27">
        <v>0.5</v>
      </c>
      <c r="Q44" s="58"/>
    </row>
    <row r="45" spans="1:17" x14ac:dyDescent="0.25">
      <c r="A45" s="4" t="str">
        <f t="shared" si="0"/>
        <v>CUSTO OFFSHORE USD  - CITIGBL_MO - JUNHO 26</v>
      </c>
      <c r="B45" s="9">
        <v>46174</v>
      </c>
      <c r="C45" s="4">
        <v>817395</v>
      </c>
      <c r="D45" s="11" t="s">
        <v>45</v>
      </c>
      <c r="E45" s="30">
        <f t="shared" si="1"/>
        <v>0</v>
      </c>
      <c r="F45" s="4" t="s">
        <v>19</v>
      </c>
      <c r="G45" s="9">
        <v>46174</v>
      </c>
      <c r="H45" s="4">
        <v>79791</v>
      </c>
      <c r="J45" s="13" t="s">
        <v>30</v>
      </c>
      <c r="K45" s="13" t="s">
        <v>48</v>
      </c>
      <c r="L45" s="14">
        <f t="shared" si="4"/>
        <v>0</v>
      </c>
      <c r="M45" s="15" t="s">
        <v>29</v>
      </c>
      <c r="N45" s="24" t="s">
        <v>93</v>
      </c>
      <c r="O45" s="24" t="s">
        <v>38</v>
      </c>
      <c r="P45" s="27">
        <v>0.5</v>
      </c>
      <c r="Q45" s="60"/>
    </row>
    <row r="46" spans="1:17" x14ac:dyDescent="0.25">
      <c r="A46" s="4" t="str">
        <f t="shared" si="0"/>
        <v>CUSTO OFFSHORE USD -0,503372374694643 - ASSET1 - JUNHO 26</v>
      </c>
      <c r="B46" s="9">
        <v>46174</v>
      </c>
      <c r="C46" s="4">
        <v>817395</v>
      </c>
      <c r="D46" s="11" t="s">
        <v>12</v>
      </c>
      <c r="E46" s="30">
        <f>-L46*P46</f>
        <v>0.86875952877708507</v>
      </c>
      <c r="F46" s="4" t="s">
        <v>19</v>
      </c>
      <c r="G46" s="9">
        <v>46174</v>
      </c>
      <c r="H46" s="4">
        <v>80834</v>
      </c>
      <c r="J46" s="13" t="s">
        <v>30</v>
      </c>
      <c r="K46" s="13" t="s">
        <v>14</v>
      </c>
      <c r="L46" s="14">
        <f>IF(O46="USD",Q46*$S$1)</f>
        <v>-2.6057574348442865</v>
      </c>
      <c r="M46" s="15" t="s">
        <v>29</v>
      </c>
      <c r="N46" s="24" t="s">
        <v>93</v>
      </c>
      <c r="O46" s="24" t="s">
        <v>38</v>
      </c>
      <c r="P46" s="16">
        <v>0.33339999999999997</v>
      </c>
      <c r="Q46" s="58">
        <v>-0.50337237469464258</v>
      </c>
    </row>
    <row r="47" spans="1:17" x14ac:dyDescent="0.25">
      <c r="A47" s="4" t="str">
        <f t="shared" si="0"/>
        <v>CUSTO OFFSHORE USD -0,503372374694643 - ASSET1 - JUNHO 26</v>
      </c>
      <c r="B47" s="9">
        <v>46174</v>
      </c>
      <c r="C47" s="4">
        <v>817395</v>
      </c>
      <c r="D47" s="11" t="s">
        <v>45</v>
      </c>
      <c r="E47" s="30">
        <f t="shared" ref="E47:E52" si="5">-L47*P47</f>
        <v>0.86849895303360058</v>
      </c>
      <c r="F47" s="4" t="s">
        <v>19</v>
      </c>
      <c r="G47" s="9">
        <v>46174</v>
      </c>
      <c r="H47" s="4">
        <v>80834</v>
      </c>
      <c r="J47" s="13" t="s">
        <v>30</v>
      </c>
      <c r="K47" s="13" t="s">
        <v>14</v>
      </c>
      <c r="L47" s="14">
        <f t="shared" ref="L47:L50" si="6">IF(O47="USD",Q47*$S$1)</f>
        <v>-2.6057574348442865</v>
      </c>
      <c r="M47" s="15" t="s">
        <v>29</v>
      </c>
      <c r="N47" s="24" t="s">
        <v>93</v>
      </c>
      <c r="O47" s="24" t="s">
        <v>38</v>
      </c>
      <c r="P47" s="16">
        <v>0.33329999999999999</v>
      </c>
      <c r="Q47" s="59">
        <v>-0.50337237469464258</v>
      </c>
    </row>
    <row r="48" spans="1:17" x14ac:dyDescent="0.25">
      <c r="A48" s="4" t="str">
        <f t="shared" si="0"/>
        <v>CUSTO OFFSHORE USD -0,503372374694643 - ASSET1 - JUNHO 26</v>
      </c>
      <c r="B48" s="9">
        <v>46174</v>
      </c>
      <c r="C48" s="4">
        <v>817395</v>
      </c>
      <c r="D48" s="11" t="s">
        <v>46</v>
      </c>
      <c r="E48" s="30">
        <f t="shared" si="5"/>
        <v>0.86849895303360058</v>
      </c>
      <c r="F48" s="4" t="s">
        <v>19</v>
      </c>
      <c r="G48" s="9">
        <v>46174</v>
      </c>
      <c r="H48" s="4">
        <v>80834</v>
      </c>
      <c r="J48" s="13" t="s">
        <v>30</v>
      </c>
      <c r="K48" s="13" t="s">
        <v>14</v>
      </c>
      <c r="L48" s="14">
        <f t="shared" si="6"/>
        <v>-2.6057574348442865</v>
      </c>
      <c r="M48" s="15" t="s">
        <v>29</v>
      </c>
      <c r="N48" s="24" t="s">
        <v>93</v>
      </c>
      <c r="O48" s="24" t="s">
        <v>38</v>
      </c>
      <c r="P48" s="16">
        <v>0.33329999999999999</v>
      </c>
      <c r="Q48" s="60">
        <v>-0.50337237469464258</v>
      </c>
    </row>
    <row r="49" spans="1:17" x14ac:dyDescent="0.25">
      <c r="A49" s="4" t="str">
        <f t="shared" si="0"/>
        <v>CUSTO OFFSHORE USD  - BRADESCO_BZL - JUNHO 26</v>
      </c>
      <c r="B49" s="9">
        <v>46174</v>
      </c>
      <c r="C49" s="4">
        <v>817395</v>
      </c>
      <c r="D49" s="11" t="s">
        <v>12</v>
      </c>
      <c r="E49" s="30">
        <f t="shared" si="5"/>
        <v>0</v>
      </c>
      <c r="F49" s="4" t="s">
        <v>19</v>
      </c>
      <c r="G49" s="9">
        <v>46174</v>
      </c>
      <c r="H49" s="4">
        <v>16705</v>
      </c>
      <c r="J49" s="13" t="s">
        <v>30</v>
      </c>
      <c r="K49" s="13" t="s">
        <v>27</v>
      </c>
      <c r="L49" s="14">
        <f t="shared" si="6"/>
        <v>0</v>
      </c>
      <c r="M49" s="15" t="s">
        <v>29</v>
      </c>
      <c r="N49" s="24" t="s">
        <v>93</v>
      </c>
      <c r="O49" s="24" t="s">
        <v>38</v>
      </c>
      <c r="P49" s="27">
        <v>0.75</v>
      </c>
      <c r="Q49" s="58"/>
    </row>
    <row r="50" spans="1:17" x14ac:dyDescent="0.25">
      <c r="A50" s="4" t="str">
        <f t="shared" si="0"/>
        <v>CUSTO OFFSHORE USD  - BRADESCO_BZL - JUNHO 26</v>
      </c>
      <c r="B50" s="9">
        <v>46174</v>
      </c>
      <c r="C50" s="4">
        <v>817395</v>
      </c>
      <c r="D50" s="11" t="s">
        <v>45</v>
      </c>
      <c r="E50" s="30">
        <f t="shared" si="5"/>
        <v>0</v>
      </c>
      <c r="F50" s="4" t="s">
        <v>19</v>
      </c>
      <c r="G50" s="9">
        <v>46174</v>
      </c>
      <c r="H50" s="4">
        <v>16705</v>
      </c>
      <c r="J50" s="13" t="s">
        <v>30</v>
      </c>
      <c r="K50" s="13" t="s">
        <v>27</v>
      </c>
      <c r="L50" s="14">
        <f t="shared" si="6"/>
        <v>0</v>
      </c>
      <c r="M50" s="15" t="s">
        <v>29</v>
      </c>
      <c r="N50" s="24" t="s">
        <v>93</v>
      </c>
      <c r="O50" s="24" t="s">
        <v>38</v>
      </c>
      <c r="P50" s="27">
        <v>0.25</v>
      </c>
      <c r="Q50" s="60"/>
    </row>
    <row r="51" spans="1:17" x14ac:dyDescent="0.25">
      <c r="A51" s="4" t="str">
        <f>CONCATENATE(J51,Q51,M51,K51,M51,N51)</f>
        <v>CUSTO OFFSHORE USD -1,47236419598183 - KAPITALO - JUNHO 26</v>
      </c>
      <c r="B51" s="9">
        <v>46174</v>
      </c>
      <c r="C51" s="4">
        <v>817395</v>
      </c>
      <c r="D51" s="11" t="s">
        <v>12</v>
      </c>
      <c r="E51" s="30">
        <f t="shared" si="5"/>
        <v>5.7163803726896543</v>
      </c>
      <c r="F51" s="4" t="s">
        <v>19</v>
      </c>
      <c r="G51" s="9">
        <v>46174</v>
      </c>
      <c r="H51" s="4">
        <v>12413</v>
      </c>
      <c r="J51" s="13" t="s">
        <v>30</v>
      </c>
      <c r="K51" s="13" t="s">
        <v>26</v>
      </c>
      <c r="L51" s="14">
        <f>IF(O51="USD",Q51*$S$1)</f>
        <v>-7.621840496919539</v>
      </c>
      <c r="M51" s="15" t="s">
        <v>29</v>
      </c>
      <c r="N51" s="24" t="s">
        <v>93</v>
      </c>
      <c r="O51" s="24" t="s">
        <v>38</v>
      </c>
      <c r="P51" s="27">
        <v>0.75</v>
      </c>
      <c r="Q51" s="59">
        <v>-1.4723641959818297</v>
      </c>
    </row>
    <row r="52" spans="1:17" x14ac:dyDescent="0.25">
      <c r="A52" s="4" t="str">
        <f>CONCATENATE(J52,Q52,M52,K52,M52,N52)</f>
        <v>CUSTO OFFSHORE USD -1,47236419598183 - KAPITALO - JUNHO 26</v>
      </c>
      <c r="B52" s="9">
        <v>46174</v>
      </c>
      <c r="C52" s="4">
        <v>817395</v>
      </c>
      <c r="D52" s="11" t="s">
        <v>45</v>
      </c>
      <c r="E52" s="30">
        <f t="shared" si="5"/>
        <v>1.9054601242298848</v>
      </c>
      <c r="F52" s="4" t="s">
        <v>19</v>
      </c>
      <c r="G52" s="9">
        <v>46174</v>
      </c>
      <c r="H52" s="4">
        <v>12413</v>
      </c>
      <c r="J52" s="13" t="s">
        <v>30</v>
      </c>
      <c r="K52" s="13" t="s">
        <v>26</v>
      </c>
      <c r="L52" s="14">
        <f>IF(O52="USD",Q52*$S$1)</f>
        <v>-7.621840496919539</v>
      </c>
      <c r="M52" s="15" t="s">
        <v>29</v>
      </c>
      <c r="N52" s="24" t="s">
        <v>93</v>
      </c>
      <c r="O52" s="24" t="s">
        <v>38</v>
      </c>
      <c r="P52" s="27">
        <v>0.25</v>
      </c>
      <c r="Q52" s="59">
        <v>-1.4723641959818297</v>
      </c>
    </row>
    <row r="53" spans="1:17" x14ac:dyDescent="0.25">
      <c r="A53" s="4" t="str">
        <f t="shared" si="0"/>
        <v>CUSTO OFFSHORE USD  - SPRINGS_MO - JUNHO 26</v>
      </c>
      <c r="B53" s="9">
        <v>46174</v>
      </c>
      <c r="C53" s="4">
        <v>817395</v>
      </c>
      <c r="D53" s="11" t="s">
        <v>12</v>
      </c>
      <c r="E53" s="28">
        <f t="shared" si="1"/>
        <v>0</v>
      </c>
      <c r="F53" s="4" t="s">
        <v>19</v>
      </c>
      <c r="G53" s="9">
        <v>46174</v>
      </c>
      <c r="H53" s="4">
        <v>82748</v>
      </c>
      <c r="J53" s="13" t="s">
        <v>30</v>
      </c>
      <c r="K53" s="13" t="s">
        <v>56</v>
      </c>
      <c r="L53" s="14">
        <f t="shared" si="4"/>
        <v>0</v>
      </c>
      <c r="M53" s="15" t="s">
        <v>29</v>
      </c>
      <c r="N53" s="24" t="s">
        <v>93</v>
      </c>
      <c r="O53" s="24" t="s">
        <v>38</v>
      </c>
      <c r="P53" s="27">
        <v>0.66659999999999997</v>
      </c>
      <c r="Q53" s="58"/>
    </row>
    <row r="54" spans="1:17" x14ac:dyDescent="0.25">
      <c r="A54" s="4" t="str">
        <f t="shared" si="0"/>
        <v>CUSTO OFFSHORE USD  - SPRINGS_MO - JUNHO 26</v>
      </c>
      <c r="B54" s="9">
        <v>46174</v>
      </c>
      <c r="C54" s="4">
        <v>817395</v>
      </c>
      <c r="D54" s="11" t="s">
        <v>45</v>
      </c>
      <c r="E54" s="28">
        <f t="shared" si="1"/>
        <v>0</v>
      </c>
      <c r="F54" s="4" t="s">
        <v>19</v>
      </c>
      <c r="G54" s="9">
        <v>46174</v>
      </c>
      <c r="H54" s="4">
        <v>82748</v>
      </c>
      <c r="J54" s="13" t="s">
        <v>30</v>
      </c>
      <c r="K54" s="13" t="s">
        <v>56</v>
      </c>
      <c r="L54" s="14">
        <f t="shared" si="4"/>
        <v>0</v>
      </c>
      <c r="M54" s="15" t="s">
        <v>29</v>
      </c>
      <c r="N54" s="24" t="s">
        <v>93</v>
      </c>
      <c r="O54" s="24" t="s">
        <v>38</v>
      </c>
      <c r="P54" s="27">
        <v>0.33329999999999999</v>
      </c>
      <c r="Q54" s="60"/>
    </row>
    <row r="55" spans="1:17" x14ac:dyDescent="0.25">
      <c r="A55" s="4" t="str">
        <f t="shared" si="0"/>
        <v>CUSTO OFFSHORE USD -0,100674474938929 - BRADESCO_MO - JUNHO 26</v>
      </c>
      <c r="B55" s="9">
        <v>46174</v>
      </c>
      <c r="C55" s="4">
        <v>817395</v>
      </c>
      <c r="D55" s="11" t="s">
        <v>12</v>
      </c>
      <c r="E55" s="28">
        <f t="shared" si="1"/>
        <v>0.39086361522664304</v>
      </c>
      <c r="F55" s="4" t="s">
        <v>19</v>
      </c>
      <c r="G55" s="9">
        <v>46174</v>
      </c>
      <c r="H55" s="4">
        <v>16705</v>
      </c>
      <c r="J55" s="13" t="s">
        <v>30</v>
      </c>
      <c r="K55" s="13" t="s">
        <v>69</v>
      </c>
      <c r="L55" s="14">
        <f t="shared" si="4"/>
        <v>-0.52115148696885738</v>
      </c>
      <c r="M55" s="15" t="s">
        <v>29</v>
      </c>
      <c r="N55" s="24" t="s">
        <v>93</v>
      </c>
      <c r="O55" s="24" t="s">
        <v>38</v>
      </c>
      <c r="P55" s="27">
        <v>0.75</v>
      </c>
      <c r="Q55" s="58">
        <v>-0.10067447493892853</v>
      </c>
    </row>
    <row r="56" spans="1:17" x14ac:dyDescent="0.25">
      <c r="A56" s="4" t="str">
        <f>CONCATENATE(J56,Q56,M56,K56,M56,N56)</f>
        <v>CUSTO OFFSHORE USD -0,100674474938929 - BRADESCO_MO - JUNHO 26</v>
      </c>
      <c r="B56" s="9">
        <v>46174</v>
      </c>
      <c r="C56" s="4">
        <v>817395</v>
      </c>
      <c r="D56" s="11" t="s">
        <v>45</v>
      </c>
      <c r="E56" s="28">
        <f t="shared" si="1"/>
        <v>0.13028787174221435</v>
      </c>
      <c r="F56" s="4" t="s">
        <v>19</v>
      </c>
      <c r="G56" s="9">
        <v>46174</v>
      </c>
      <c r="H56" s="4">
        <v>16705</v>
      </c>
      <c r="J56" s="13" t="s">
        <v>30</v>
      </c>
      <c r="K56" s="13" t="s">
        <v>69</v>
      </c>
      <c r="L56" s="14">
        <f>IF(O56="USD",Q56*$S$1)</f>
        <v>-0.52115148696885738</v>
      </c>
      <c r="M56" s="15" t="s">
        <v>29</v>
      </c>
      <c r="N56" s="24" t="s">
        <v>93</v>
      </c>
      <c r="O56" s="24" t="s">
        <v>38</v>
      </c>
      <c r="P56" s="27">
        <v>0.25</v>
      </c>
      <c r="Q56" s="60">
        <v>-0.10067447493892853</v>
      </c>
    </row>
    <row r="57" spans="1:17" x14ac:dyDescent="0.25">
      <c r="A57" s="4" t="str">
        <f>CONCATENATE(J57,Q57,M57,K57,M57,N57)</f>
        <v>CUSTO OFFSHORE USD -15,5078961195925 - RPS - JUNHO 26</v>
      </c>
      <c r="B57" s="9">
        <v>46174</v>
      </c>
      <c r="C57" s="4">
        <v>817395</v>
      </c>
      <c r="D57" s="11" t="s">
        <v>45</v>
      </c>
      <c r="E57" s="10">
        <f t="shared" si="1"/>
        <v>40.139087526341392</v>
      </c>
      <c r="F57" s="4" t="s">
        <v>19</v>
      </c>
      <c r="G57" s="9">
        <v>46174</v>
      </c>
      <c r="H57" s="4">
        <v>12339</v>
      </c>
      <c r="J57" s="13" t="s">
        <v>30</v>
      </c>
      <c r="K57" s="13" t="s">
        <v>16</v>
      </c>
      <c r="L57" s="14">
        <f>IF(O57="USD",Q57*$S$1)</f>
        <v>-80.278175052682784</v>
      </c>
      <c r="M57" s="15" t="s">
        <v>29</v>
      </c>
      <c r="N57" s="24" t="s">
        <v>93</v>
      </c>
      <c r="O57" s="24" t="s">
        <v>38</v>
      </c>
      <c r="P57" s="16">
        <v>0.5</v>
      </c>
      <c r="Q57" s="58">
        <v>-15.50789611959255</v>
      </c>
    </row>
    <row r="58" spans="1:17" x14ac:dyDescent="0.25">
      <c r="A58" s="17" t="str">
        <f>CONCATENATE(J58,Q58,M58,K58,M58,N58)</f>
        <v>CUSTO OFFSHORE USD -15,5078961195925 - RPS - JUNHO 26</v>
      </c>
      <c r="B58" s="18">
        <v>46174</v>
      </c>
      <c r="C58" s="17">
        <v>817395</v>
      </c>
      <c r="D58" s="23" t="s">
        <v>12</v>
      </c>
      <c r="E58" s="19">
        <f t="shared" si="1"/>
        <v>40.139087526341392</v>
      </c>
      <c r="F58" s="17" t="s">
        <v>19</v>
      </c>
      <c r="G58" s="18">
        <v>46174</v>
      </c>
      <c r="H58" s="17">
        <v>12339</v>
      </c>
      <c r="J58" s="20" t="s">
        <v>30</v>
      </c>
      <c r="K58" s="20" t="s">
        <v>16</v>
      </c>
      <c r="L58" s="33">
        <f>IF(O58="USD",Q58*$S$1)</f>
        <v>-80.278175052682784</v>
      </c>
      <c r="M58" s="21" t="s">
        <v>29</v>
      </c>
      <c r="N58" s="25" t="s">
        <v>93</v>
      </c>
      <c r="O58" s="25" t="s">
        <v>38</v>
      </c>
      <c r="P58" s="22">
        <v>0.5</v>
      </c>
      <c r="Q58" s="60">
        <v>-15.50789611959255</v>
      </c>
    </row>
    <row r="59" spans="1:17" x14ac:dyDescent="0.25">
      <c r="A59" s="4" t="str">
        <f t="shared" si="0"/>
        <v>CUSTO OFFSHORE USD 131,313955497016 - ASSET1 - JUNHO 26</v>
      </c>
      <c r="B59" s="9">
        <v>46174</v>
      </c>
      <c r="C59" s="4">
        <v>817395</v>
      </c>
      <c r="D59" s="11" t="s">
        <v>12</v>
      </c>
      <c r="E59" s="12">
        <f>-L59*P59</f>
        <v>-226.63192466341954</v>
      </c>
      <c r="F59" s="4" t="s">
        <v>52</v>
      </c>
      <c r="G59" s="9">
        <v>46174</v>
      </c>
      <c r="H59" s="4">
        <v>80834</v>
      </c>
      <c r="J59" s="13" t="s">
        <v>30</v>
      </c>
      <c r="K59" s="13" t="s">
        <v>14</v>
      </c>
      <c r="L59" s="14">
        <f>IF(O59="USD",Q59*$S$1)</f>
        <v>679.75982202585351</v>
      </c>
      <c r="M59" s="15" t="s">
        <v>29</v>
      </c>
      <c r="N59" s="24" t="s">
        <v>93</v>
      </c>
      <c r="O59" s="24" t="s">
        <v>38</v>
      </c>
      <c r="P59" s="16">
        <v>0.33339999999999997</v>
      </c>
      <c r="Q59" s="36">
        <v>131.31395549701611</v>
      </c>
    </row>
    <row r="60" spans="1:17" x14ac:dyDescent="0.25">
      <c r="A60" s="4" t="str">
        <f t="shared" si="0"/>
        <v>CUSTO OFFSHORE USD 131,313955497016 - ASSET1 - JUNHO 26</v>
      </c>
      <c r="B60" s="9">
        <v>46174</v>
      </c>
      <c r="C60" s="4">
        <v>817395</v>
      </c>
      <c r="D60" s="11" t="s">
        <v>45</v>
      </c>
      <c r="E60" s="12">
        <f t="shared" ref="E60:E70" si="7">-L60*P60</f>
        <v>-226.56394868121697</v>
      </c>
      <c r="F60" s="4" t="s">
        <v>52</v>
      </c>
      <c r="G60" s="9">
        <v>46174</v>
      </c>
      <c r="H60" s="4">
        <v>80834</v>
      </c>
      <c r="J60" s="13" t="s">
        <v>30</v>
      </c>
      <c r="K60" s="13" t="s">
        <v>14</v>
      </c>
      <c r="L60" s="14">
        <f t="shared" ref="L60:L70" si="8">IF(O60="USD",Q60*$S$1)</f>
        <v>679.75982202585351</v>
      </c>
      <c r="M60" s="15" t="s">
        <v>29</v>
      </c>
      <c r="N60" s="24" t="s">
        <v>93</v>
      </c>
      <c r="O60" s="24" t="s">
        <v>38</v>
      </c>
      <c r="P60" s="16">
        <v>0.33329999999999999</v>
      </c>
      <c r="Q60" s="36">
        <v>131.31395549701611</v>
      </c>
    </row>
    <row r="61" spans="1:17" x14ac:dyDescent="0.25">
      <c r="A61" s="4" t="str">
        <f t="shared" si="0"/>
        <v>CUSTO OFFSHORE USD 131,313955497016 - ASSET1 - JUNHO 26</v>
      </c>
      <c r="B61" s="9">
        <v>46174</v>
      </c>
      <c r="C61" s="4">
        <v>817395</v>
      </c>
      <c r="D61" s="11" t="s">
        <v>46</v>
      </c>
      <c r="E61" s="12">
        <f t="shared" si="7"/>
        <v>-226.56394868121697</v>
      </c>
      <c r="F61" s="4" t="s">
        <v>52</v>
      </c>
      <c r="G61" s="9">
        <v>46174</v>
      </c>
      <c r="H61" s="4">
        <v>80834</v>
      </c>
      <c r="J61" s="13" t="s">
        <v>30</v>
      </c>
      <c r="K61" s="13" t="s">
        <v>14</v>
      </c>
      <c r="L61" s="14">
        <f t="shared" si="8"/>
        <v>679.75982202585351</v>
      </c>
      <c r="M61" s="15" t="s">
        <v>29</v>
      </c>
      <c r="N61" s="24" t="s">
        <v>93</v>
      </c>
      <c r="O61" s="24" t="s">
        <v>38</v>
      </c>
      <c r="P61" s="16">
        <v>0.33329999999999999</v>
      </c>
      <c r="Q61" s="37">
        <v>131.31395549701611</v>
      </c>
    </row>
    <row r="62" spans="1:17" x14ac:dyDescent="0.25">
      <c r="A62" s="4" t="str">
        <f t="shared" si="0"/>
        <v>CUSTO OFFSHORE USD 450,134979379472 - BRADESCO_BZL - JUNHO 26</v>
      </c>
      <c r="B62" s="9">
        <v>46174</v>
      </c>
      <c r="C62" s="4">
        <v>817395</v>
      </c>
      <c r="D62" s="11" t="s">
        <v>12</v>
      </c>
      <c r="E62" s="28">
        <f t="shared" si="7"/>
        <v>-1747.6265506918294</v>
      </c>
      <c r="F62" s="4" t="s">
        <v>52</v>
      </c>
      <c r="G62" s="9">
        <v>46174</v>
      </c>
      <c r="H62" s="4">
        <v>16705</v>
      </c>
      <c r="J62" s="13" t="s">
        <v>30</v>
      </c>
      <c r="K62" s="13" t="s">
        <v>27</v>
      </c>
      <c r="L62" s="14">
        <f t="shared" si="8"/>
        <v>2330.1687342557725</v>
      </c>
      <c r="M62" s="15" t="s">
        <v>29</v>
      </c>
      <c r="N62" s="24" t="s">
        <v>93</v>
      </c>
      <c r="O62" s="24" t="s">
        <v>38</v>
      </c>
      <c r="P62" s="27">
        <v>0.75</v>
      </c>
      <c r="Q62" s="35">
        <v>450.13497937947159</v>
      </c>
    </row>
    <row r="63" spans="1:17" x14ac:dyDescent="0.25">
      <c r="A63" s="4" t="str">
        <f t="shared" si="0"/>
        <v>CUSTO OFFSHORE USD 450,134979379472 - BRADESCO_BZL - JUNHO 26</v>
      </c>
      <c r="B63" s="9">
        <v>46174</v>
      </c>
      <c r="C63" s="4">
        <v>817395</v>
      </c>
      <c r="D63" s="11" t="s">
        <v>45</v>
      </c>
      <c r="E63" s="28">
        <f t="shared" si="7"/>
        <v>-582.54218356394313</v>
      </c>
      <c r="F63" s="4" t="s">
        <v>52</v>
      </c>
      <c r="G63" s="9">
        <v>46174</v>
      </c>
      <c r="H63" s="4">
        <v>16705</v>
      </c>
      <c r="J63" s="13" t="s">
        <v>30</v>
      </c>
      <c r="K63" s="13" t="s">
        <v>27</v>
      </c>
      <c r="L63" s="14">
        <f t="shared" si="8"/>
        <v>2330.1687342557725</v>
      </c>
      <c r="M63" s="15" t="s">
        <v>29</v>
      </c>
      <c r="N63" s="24" t="s">
        <v>93</v>
      </c>
      <c r="O63" s="24" t="s">
        <v>38</v>
      </c>
      <c r="P63" s="27">
        <v>0.25</v>
      </c>
      <c r="Q63" s="37">
        <v>450.13497937947159</v>
      </c>
    </row>
    <row r="64" spans="1:17" x14ac:dyDescent="0.25">
      <c r="A64" s="4" t="str">
        <f t="shared" si="0"/>
        <v>CUSTO OFFSHORE USD 6,59548739290878 - BRADESCO_MO - JUNHO 26</v>
      </c>
      <c r="B64" s="9">
        <v>46174</v>
      </c>
      <c r="C64" s="4">
        <v>817395</v>
      </c>
      <c r="D64" s="11" t="s">
        <v>12</v>
      </c>
      <c r="E64" s="30">
        <f t="shared" si="7"/>
        <v>-25.606650028598679</v>
      </c>
      <c r="F64" s="4" t="s">
        <v>52</v>
      </c>
      <c r="G64" s="9">
        <v>46174</v>
      </c>
      <c r="H64" s="4">
        <v>16705</v>
      </c>
      <c r="J64" s="13" t="s">
        <v>30</v>
      </c>
      <c r="K64" s="13" t="s">
        <v>69</v>
      </c>
      <c r="L64" s="14">
        <f t="shared" si="8"/>
        <v>34.14220003813157</v>
      </c>
      <c r="M64" s="15" t="s">
        <v>29</v>
      </c>
      <c r="N64" s="24" t="s">
        <v>93</v>
      </c>
      <c r="O64" s="24" t="s">
        <v>38</v>
      </c>
      <c r="P64" s="27">
        <v>0.75</v>
      </c>
      <c r="Q64" s="35">
        <v>6.5954873929087769</v>
      </c>
    </row>
    <row r="65" spans="1:17" x14ac:dyDescent="0.25">
      <c r="A65" s="4" t="str">
        <f t="shared" si="0"/>
        <v>CUSTO OFFSHORE USD 6,59548739290878 - BRADESCO_MO - JUNHO 26</v>
      </c>
      <c r="B65" s="9">
        <v>46174</v>
      </c>
      <c r="C65" s="4">
        <v>817395</v>
      </c>
      <c r="D65" s="11" t="s">
        <v>45</v>
      </c>
      <c r="E65" s="30">
        <f t="shared" si="7"/>
        <v>-8.5355500095328924</v>
      </c>
      <c r="F65" s="4" t="s">
        <v>52</v>
      </c>
      <c r="G65" s="9">
        <v>46174</v>
      </c>
      <c r="H65" s="4">
        <v>16705</v>
      </c>
      <c r="J65" s="13" t="s">
        <v>30</v>
      </c>
      <c r="K65" s="13" t="s">
        <v>69</v>
      </c>
      <c r="L65" s="14">
        <f t="shared" si="8"/>
        <v>34.14220003813157</v>
      </c>
      <c r="M65" s="15" t="s">
        <v>29</v>
      </c>
      <c r="N65" s="24" t="s">
        <v>93</v>
      </c>
      <c r="O65" s="24" t="s">
        <v>38</v>
      </c>
      <c r="P65" s="27">
        <v>0.25</v>
      </c>
      <c r="Q65" s="37">
        <v>6.5954873929087769</v>
      </c>
    </row>
    <row r="66" spans="1:17" x14ac:dyDescent="0.25">
      <c r="A66" s="4" t="str">
        <f t="shared" si="0"/>
        <v>CUSTO OFFSHORE USD  - CLAVE_MO - JUNHO 26</v>
      </c>
      <c r="B66" s="9">
        <v>46174</v>
      </c>
      <c r="C66" s="4">
        <v>817395</v>
      </c>
      <c r="D66" s="11" t="s">
        <v>12</v>
      </c>
      <c r="E66" s="30">
        <f t="shared" si="7"/>
        <v>0</v>
      </c>
      <c r="F66" s="4" t="s">
        <v>52</v>
      </c>
      <c r="G66" s="9">
        <v>46174</v>
      </c>
      <c r="H66" s="4">
        <v>81541</v>
      </c>
      <c r="J66" s="13" t="s">
        <v>30</v>
      </c>
      <c r="K66" s="13" t="s">
        <v>71</v>
      </c>
      <c r="L66" s="14">
        <f t="shared" si="8"/>
        <v>0</v>
      </c>
      <c r="M66" s="15" t="s">
        <v>29</v>
      </c>
      <c r="N66" s="24" t="s">
        <v>93</v>
      </c>
      <c r="O66" s="24" t="s">
        <v>38</v>
      </c>
      <c r="P66" s="27">
        <v>0.66669999999999996</v>
      </c>
      <c r="Q66" s="35"/>
    </row>
    <row r="67" spans="1:17" x14ac:dyDescent="0.25">
      <c r="A67" s="4" t="str">
        <f t="shared" si="0"/>
        <v>CUSTO OFFSHORE USD  - CLAVE_MO - JUNHO 26</v>
      </c>
      <c r="B67" s="9">
        <v>46174</v>
      </c>
      <c r="C67" s="4">
        <v>817395</v>
      </c>
      <c r="D67" s="11" t="s">
        <v>45</v>
      </c>
      <c r="E67" s="30">
        <f t="shared" si="7"/>
        <v>0</v>
      </c>
      <c r="F67" s="4" t="s">
        <v>52</v>
      </c>
      <c r="G67" s="9">
        <v>46174</v>
      </c>
      <c r="H67" s="4">
        <v>81541</v>
      </c>
      <c r="J67" s="13" t="s">
        <v>30</v>
      </c>
      <c r="K67" s="13" t="s">
        <v>71</v>
      </c>
      <c r="L67" s="14">
        <f t="shared" si="8"/>
        <v>0</v>
      </c>
      <c r="M67" s="15" t="s">
        <v>29</v>
      </c>
      <c r="N67" s="24" t="s">
        <v>93</v>
      </c>
      <c r="O67" s="24" t="s">
        <v>38</v>
      </c>
      <c r="P67" s="27">
        <v>0.33329999999999999</v>
      </c>
      <c r="Q67" s="37"/>
    </row>
    <row r="68" spans="1:17" x14ac:dyDescent="0.25">
      <c r="A68" s="4" t="str">
        <f>CONCATENATE(J68,Q68,M68,K68,M68,N68)</f>
        <v>CUSTO OFFSHORE USD 21,7840154604586 - CITIGBL_MO - JUNHO 26</v>
      </c>
      <c r="B68" s="9">
        <v>46174</v>
      </c>
      <c r="C68" s="4">
        <v>817395</v>
      </c>
      <c r="D68" s="11" t="s">
        <v>12</v>
      </c>
      <c r="E68" s="28">
        <f t="shared" si="7"/>
        <v>-56.383567216305089</v>
      </c>
      <c r="F68" s="4" t="s">
        <v>52</v>
      </c>
      <c r="G68" s="9">
        <v>46174</v>
      </c>
      <c r="H68" s="4">
        <v>79791</v>
      </c>
      <c r="J68" s="13" t="s">
        <v>30</v>
      </c>
      <c r="K68" s="13" t="s">
        <v>48</v>
      </c>
      <c r="L68" s="14">
        <f>IF(O68="USD",Q68*$S$1)</f>
        <v>112.76713443261018</v>
      </c>
      <c r="M68" s="15" t="s">
        <v>29</v>
      </c>
      <c r="N68" s="24" t="s">
        <v>93</v>
      </c>
      <c r="O68" s="24" t="s">
        <v>38</v>
      </c>
      <c r="P68" s="27">
        <v>0.5</v>
      </c>
      <c r="Q68" s="35">
        <v>21.784015460458637</v>
      </c>
    </row>
    <row r="69" spans="1:17" x14ac:dyDescent="0.25">
      <c r="A69" s="4" t="str">
        <f>CONCATENATE(J69,Q69,M69,K69,M69,N69)</f>
        <v>CUSTO OFFSHORE USD 21,7840154604586 - CITIGBL_MO - JUNHO 26</v>
      </c>
      <c r="B69" s="9">
        <v>46174</v>
      </c>
      <c r="C69" s="4">
        <v>817395</v>
      </c>
      <c r="D69" s="11" t="s">
        <v>45</v>
      </c>
      <c r="E69" s="28">
        <f t="shared" si="7"/>
        <v>-56.383567216305089</v>
      </c>
      <c r="F69" s="4" t="s">
        <v>52</v>
      </c>
      <c r="G69" s="9">
        <v>46174</v>
      </c>
      <c r="H69" s="4">
        <v>79791</v>
      </c>
      <c r="J69" s="13" t="s">
        <v>30</v>
      </c>
      <c r="K69" s="13" t="s">
        <v>48</v>
      </c>
      <c r="L69" s="14">
        <f>IF(O69="USD",Q69*$S$1)</f>
        <v>112.76713443261018</v>
      </c>
      <c r="M69" s="15" t="s">
        <v>29</v>
      </c>
      <c r="N69" s="24" t="s">
        <v>93</v>
      </c>
      <c r="O69" s="24" t="s">
        <v>38</v>
      </c>
      <c r="P69" s="27">
        <v>0.5</v>
      </c>
      <c r="Q69" s="37">
        <v>21.784015460458637</v>
      </c>
    </row>
    <row r="70" spans="1:17" x14ac:dyDescent="0.25">
      <c r="A70" s="4" t="str">
        <f t="shared" si="0"/>
        <v>CUSTO OFFSHORE USD 2800,58509045927 - GOLDMAN SACHS IL - BRAS - JUNHO 26</v>
      </c>
      <c r="B70" s="9">
        <v>46174</v>
      </c>
      <c r="C70" s="4">
        <v>817395</v>
      </c>
      <c r="D70" s="11" t="s">
        <v>12</v>
      </c>
      <c r="E70" s="10">
        <f t="shared" si="7"/>
        <v>-14497.50877927148</v>
      </c>
      <c r="F70" s="4" t="s">
        <v>52</v>
      </c>
      <c r="G70" s="9">
        <v>46174</v>
      </c>
      <c r="H70" s="4">
        <v>79791</v>
      </c>
      <c r="J70" s="13" t="s">
        <v>30</v>
      </c>
      <c r="K70" s="13" t="s">
        <v>24</v>
      </c>
      <c r="L70" s="14">
        <f t="shared" si="8"/>
        <v>14497.50877927148</v>
      </c>
      <c r="M70" s="15" t="s">
        <v>29</v>
      </c>
      <c r="N70" s="24" t="s">
        <v>93</v>
      </c>
      <c r="O70" s="24" t="s">
        <v>38</v>
      </c>
      <c r="P70" s="16">
        <v>1</v>
      </c>
      <c r="Q70" s="12">
        <v>2800.5850904592749</v>
      </c>
    </row>
    <row r="71" spans="1:17" x14ac:dyDescent="0.25">
      <c r="A71" s="4" t="str">
        <f t="shared" si="0"/>
        <v>CUSTO OFFSHORE USD 143,594753022612 - ITAÚ - MSCO - JUNHO 26</v>
      </c>
      <c r="B71" s="9">
        <v>46174</v>
      </c>
      <c r="C71" s="4">
        <v>817395</v>
      </c>
      <c r="D71" s="11" t="s">
        <v>12</v>
      </c>
      <c r="E71" s="10">
        <f>-L71*P71</f>
        <v>-743.33259849685453</v>
      </c>
      <c r="F71" s="4" t="s">
        <v>52</v>
      </c>
      <c r="G71" s="9">
        <v>46174</v>
      </c>
      <c r="H71" s="4">
        <v>79460</v>
      </c>
      <c r="J71" s="13" t="s">
        <v>30</v>
      </c>
      <c r="K71" s="13" t="s">
        <v>17</v>
      </c>
      <c r="L71" s="14">
        <f>IF(O71="USD",Q71*$S$1)</f>
        <v>743.33259849685453</v>
      </c>
      <c r="M71" s="15" t="s">
        <v>29</v>
      </c>
      <c r="N71" s="24" t="s">
        <v>93</v>
      </c>
      <c r="O71" s="24" t="s">
        <v>38</v>
      </c>
      <c r="P71" s="16">
        <v>1</v>
      </c>
      <c r="Q71" s="12">
        <v>143.59475302261225</v>
      </c>
    </row>
    <row r="72" spans="1:17" x14ac:dyDescent="0.25">
      <c r="A72" s="4" t="str">
        <f t="shared" si="0"/>
        <v>CUSTO OFFSHORE USD 487,35 - ITAÚ - NASSAU - JUNHO 26</v>
      </c>
      <c r="B72" s="9">
        <v>46174</v>
      </c>
      <c r="C72" s="4">
        <v>817395</v>
      </c>
      <c r="D72" s="11" t="s">
        <v>12</v>
      </c>
      <c r="E72" s="10">
        <f>-L72*P72</f>
        <v>-2522.81601</v>
      </c>
      <c r="F72" s="4" t="s">
        <v>52</v>
      </c>
      <c r="G72" s="9">
        <v>46174</v>
      </c>
      <c r="H72" s="4">
        <v>79460</v>
      </c>
      <c r="J72" s="13" t="s">
        <v>30</v>
      </c>
      <c r="K72" s="13" t="s">
        <v>18</v>
      </c>
      <c r="L72" s="14">
        <f>IF(O72="USD",Q72*$S$1)</f>
        <v>2522.81601</v>
      </c>
      <c r="M72" s="15" t="s">
        <v>29</v>
      </c>
      <c r="N72" s="24" t="s">
        <v>93</v>
      </c>
      <c r="O72" s="24" t="s">
        <v>38</v>
      </c>
      <c r="P72" s="16">
        <v>1</v>
      </c>
      <c r="Q72" s="12">
        <v>487.35</v>
      </c>
    </row>
    <row r="73" spans="1:17" x14ac:dyDescent="0.25">
      <c r="A73" s="4" t="str">
        <f t="shared" si="0"/>
        <v>CUSTO OFFSHORE USD  - GENOA_MO - JUNHO 26</v>
      </c>
      <c r="B73" s="9">
        <v>46174</v>
      </c>
      <c r="C73" s="4">
        <v>817395</v>
      </c>
      <c r="D73" s="11" t="s">
        <v>12</v>
      </c>
      <c r="E73" s="30">
        <f t="shared" ref="E73:E107" si="9">-L73*P73</f>
        <v>0</v>
      </c>
      <c r="F73" s="4" t="s">
        <v>52</v>
      </c>
      <c r="G73" s="9">
        <v>46174</v>
      </c>
      <c r="H73" s="4">
        <v>80883</v>
      </c>
      <c r="J73" s="13" t="s">
        <v>30</v>
      </c>
      <c r="K73" s="13" t="s">
        <v>90</v>
      </c>
      <c r="L73" s="14">
        <f t="shared" ref="L73:L85" si="10">IF(O73="USD",Q73*$S$1)</f>
        <v>0</v>
      </c>
      <c r="M73" s="15" t="s">
        <v>29</v>
      </c>
      <c r="N73" s="24" t="s">
        <v>93</v>
      </c>
      <c r="O73" s="24" t="s">
        <v>38</v>
      </c>
      <c r="P73" s="16">
        <v>1</v>
      </c>
      <c r="Q73" s="12"/>
    </row>
    <row r="74" spans="1:17" x14ac:dyDescent="0.25">
      <c r="A74" s="4" t="str">
        <f t="shared" si="0"/>
        <v>CUSTO OFFSHORE USD 1,46727609534244 - BNP_MO - JUNHO 26</v>
      </c>
      <c r="B74" s="9">
        <v>46174</v>
      </c>
      <c r="C74" s="4">
        <v>817395</v>
      </c>
      <c r="D74" s="11" t="s">
        <v>12</v>
      </c>
      <c r="E74" s="30">
        <f t="shared" si="9"/>
        <v>-7.5955014351496706</v>
      </c>
      <c r="F74" s="4" t="s">
        <v>52</v>
      </c>
      <c r="G74" s="9">
        <v>46174</v>
      </c>
      <c r="H74" s="4">
        <v>95005</v>
      </c>
      <c r="J74" s="13" t="s">
        <v>30</v>
      </c>
      <c r="K74" s="13" t="s">
        <v>57</v>
      </c>
      <c r="L74" s="14">
        <f t="shared" si="10"/>
        <v>7.5955014351496706</v>
      </c>
      <c r="M74" s="15" t="s">
        <v>29</v>
      </c>
      <c r="N74" s="24" t="s">
        <v>93</v>
      </c>
      <c r="O74" s="24" t="s">
        <v>38</v>
      </c>
      <c r="P74" s="16">
        <v>1</v>
      </c>
      <c r="Q74" s="12">
        <v>1.4672760953424393</v>
      </c>
    </row>
    <row r="75" spans="1:17" x14ac:dyDescent="0.25">
      <c r="A75" s="4" t="str">
        <f t="shared" si="0"/>
        <v>CUSTO OFFSHORE USD 43,9699159527252 - ADAMGestao_MO - JUNHO 26</v>
      </c>
      <c r="B75" s="9">
        <v>46174</v>
      </c>
      <c r="C75" s="4">
        <v>817395</v>
      </c>
      <c r="D75" s="11" t="s">
        <v>12</v>
      </c>
      <c r="E75" s="30">
        <f t="shared" si="9"/>
        <v>-227.61466692087714</v>
      </c>
      <c r="F75" s="4" t="s">
        <v>52</v>
      </c>
      <c r="G75" s="9">
        <v>46174</v>
      </c>
      <c r="H75" s="4">
        <v>79973</v>
      </c>
      <c r="J75" s="13" t="s">
        <v>30</v>
      </c>
      <c r="K75" s="13" t="s">
        <v>77</v>
      </c>
      <c r="L75" s="14">
        <f t="shared" si="10"/>
        <v>227.61466692087714</v>
      </c>
      <c r="M75" s="15" t="s">
        <v>29</v>
      </c>
      <c r="N75" s="24" t="s">
        <v>93</v>
      </c>
      <c r="O75" s="24" t="s">
        <v>38</v>
      </c>
      <c r="P75" s="27">
        <v>1</v>
      </c>
      <c r="Q75" s="26">
        <v>43.969915952725181</v>
      </c>
    </row>
    <row r="76" spans="1:17" x14ac:dyDescent="0.25">
      <c r="A76" s="4" t="str">
        <f t="shared" si="0"/>
        <v>CUSTO OFFSHORE USD 7,78267512363236 - SPRINGS_MO - JUNHO 26</v>
      </c>
      <c r="B76" s="9">
        <v>46174</v>
      </c>
      <c r="C76" s="4">
        <v>817395</v>
      </c>
      <c r="D76" s="11" t="s">
        <v>12</v>
      </c>
      <c r="E76" s="30">
        <f t="shared" si="9"/>
        <v>-26.855844843593836</v>
      </c>
      <c r="F76" s="4" t="s">
        <v>52</v>
      </c>
      <c r="G76" s="9">
        <v>46174</v>
      </c>
      <c r="H76" s="4">
        <v>82748</v>
      </c>
      <c r="J76" s="13" t="s">
        <v>30</v>
      </c>
      <c r="K76" s="13" t="s">
        <v>56</v>
      </c>
      <c r="L76" s="14">
        <f t="shared" si="10"/>
        <v>40.287796044995254</v>
      </c>
      <c r="M76" s="15" t="s">
        <v>29</v>
      </c>
      <c r="N76" s="24" t="s">
        <v>93</v>
      </c>
      <c r="O76" s="24" t="s">
        <v>38</v>
      </c>
      <c r="P76" s="16">
        <v>0.66659999999999997</v>
      </c>
      <c r="Q76" s="35">
        <v>7.782675123632357</v>
      </c>
    </row>
    <row r="77" spans="1:17" x14ac:dyDescent="0.25">
      <c r="A77" s="4" t="str">
        <f t="shared" si="0"/>
        <v>CUSTO OFFSHORE USD 7,78267512363236 - SPRINGS_MO - JUNHO 26</v>
      </c>
      <c r="B77" s="9">
        <v>46174</v>
      </c>
      <c r="C77" s="4">
        <v>817395</v>
      </c>
      <c r="D77" s="11" t="s">
        <v>45</v>
      </c>
      <c r="E77" s="30">
        <f t="shared" si="9"/>
        <v>-13.427922421796918</v>
      </c>
      <c r="F77" s="4" t="s">
        <v>52</v>
      </c>
      <c r="G77" s="9">
        <v>46174</v>
      </c>
      <c r="H77" s="4">
        <v>82748</v>
      </c>
      <c r="J77" s="13" t="s">
        <v>30</v>
      </c>
      <c r="K77" s="13" t="s">
        <v>56</v>
      </c>
      <c r="L77" s="14">
        <f t="shared" si="10"/>
        <v>40.287796044995254</v>
      </c>
      <c r="M77" s="15" t="s">
        <v>29</v>
      </c>
      <c r="N77" s="24" t="s">
        <v>93</v>
      </c>
      <c r="O77" s="24" t="s">
        <v>38</v>
      </c>
      <c r="P77" s="16">
        <v>0.33329999999999999</v>
      </c>
      <c r="Q77" s="37">
        <v>7.782675123632357</v>
      </c>
    </row>
    <row r="78" spans="1:17" x14ac:dyDescent="0.25">
      <c r="A78" s="4" t="str">
        <f t="shared" si="0"/>
        <v>CUSTO OFFSHORE USD 0,0510051025051612 - JPMPLC_MO - JUNHO 26</v>
      </c>
      <c r="B78" s="9">
        <v>46174</v>
      </c>
      <c r="C78" s="4">
        <v>817395</v>
      </c>
      <c r="D78" s="11" t="s">
        <v>12</v>
      </c>
      <c r="E78" s="30">
        <f t="shared" si="9"/>
        <v>-0.17603081018593261</v>
      </c>
      <c r="F78" s="4" t="s">
        <v>52</v>
      </c>
      <c r="G78" s="9">
        <v>46174</v>
      </c>
      <c r="H78" s="4">
        <v>81541</v>
      </c>
      <c r="J78" s="13" t="s">
        <v>30</v>
      </c>
      <c r="K78" s="13" t="s">
        <v>55</v>
      </c>
      <c r="L78" s="14">
        <f t="shared" si="10"/>
        <v>0.26403301362821752</v>
      </c>
      <c r="M78" s="15" t="s">
        <v>29</v>
      </c>
      <c r="N78" s="24" t="s">
        <v>93</v>
      </c>
      <c r="O78" s="24" t="s">
        <v>38</v>
      </c>
      <c r="P78" s="27">
        <v>0.66669999999999996</v>
      </c>
      <c r="Q78" s="35">
        <v>5.1005102505161208E-2</v>
      </c>
    </row>
    <row r="79" spans="1:17" x14ac:dyDescent="0.25">
      <c r="A79" s="4" t="str">
        <f t="shared" si="0"/>
        <v>CUSTO OFFSHORE USD 0,0510051025051612 - JPMPLC_MO - JUNHO 26</v>
      </c>
      <c r="B79" s="9">
        <v>46174</v>
      </c>
      <c r="C79" s="4">
        <v>817395</v>
      </c>
      <c r="D79" s="11" t="s">
        <v>45</v>
      </c>
      <c r="E79" s="30">
        <f t="shared" si="9"/>
        <v>-8.800220344228489E-2</v>
      </c>
      <c r="F79" s="4" t="s">
        <v>52</v>
      </c>
      <c r="G79" s="9">
        <v>46174</v>
      </c>
      <c r="H79" s="4">
        <v>81541</v>
      </c>
      <c r="J79" s="13" t="s">
        <v>30</v>
      </c>
      <c r="K79" s="13" t="s">
        <v>55</v>
      </c>
      <c r="L79" s="14">
        <f t="shared" si="10"/>
        <v>0.26403301362821752</v>
      </c>
      <c r="M79" s="15" t="s">
        <v>29</v>
      </c>
      <c r="N79" s="24" t="s">
        <v>93</v>
      </c>
      <c r="O79" s="24" t="s">
        <v>38</v>
      </c>
      <c r="P79" s="27">
        <v>0.33329999999999999</v>
      </c>
      <c r="Q79" s="37">
        <v>5.1005102505161208E-2</v>
      </c>
    </row>
    <row r="80" spans="1:17" x14ac:dyDescent="0.25">
      <c r="A80" s="4" t="str">
        <f>CONCATENATE(J80,Q80,M80,K80,M80,N80)</f>
        <v>CUSTO OFFSHORE USD 34,0656923843738 - KAPITALO - JUNHO 26</v>
      </c>
      <c r="B80" s="9">
        <v>46174</v>
      </c>
      <c r="C80" s="4">
        <v>817395</v>
      </c>
      <c r="D80" s="11" t="s">
        <v>12</v>
      </c>
      <c r="E80" s="28">
        <f t="shared" si="9"/>
        <v>-132.25834739771216</v>
      </c>
      <c r="F80" s="4" t="s">
        <v>52</v>
      </c>
      <c r="G80" s="9">
        <v>46174</v>
      </c>
      <c r="H80" s="4">
        <v>12413</v>
      </c>
      <c r="J80" s="13" t="s">
        <v>30</v>
      </c>
      <c r="K80" s="13" t="s">
        <v>26</v>
      </c>
      <c r="L80" s="14">
        <f>IF(O80="USD",Q80*$S$1)</f>
        <v>176.34446319694956</v>
      </c>
      <c r="M80" s="15" t="s">
        <v>29</v>
      </c>
      <c r="N80" s="24" t="s">
        <v>93</v>
      </c>
      <c r="O80" s="24" t="s">
        <v>38</v>
      </c>
      <c r="P80" s="27">
        <v>0.75</v>
      </c>
      <c r="Q80" s="35">
        <v>34.065692384373833</v>
      </c>
    </row>
    <row r="81" spans="1:17" x14ac:dyDescent="0.25">
      <c r="A81" s="4" t="str">
        <f>CONCATENATE(J81,Q81,M81,K81,M81,N81)</f>
        <v>CUSTO OFFSHORE USD 34,0656923843738 - KAPITALO - JUNHO 26</v>
      </c>
      <c r="B81" s="9">
        <v>46174</v>
      </c>
      <c r="C81" s="4">
        <v>817395</v>
      </c>
      <c r="D81" s="11" t="s">
        <v>45</v>
      </c>
      <c r="E81" s="28">
        <f t="shared" si="9"/>
        <v>-44.08611579923739</v>
      </c>
      <c r="F81" s="4" t="s">
        <v>52</v>
      </c>
      <c r="G81" s="9">
        <v>46174</v>
      </c>
      <c r="H81" s="4">
        <v>12413</v>
      </c>
      <c r="J81" s="13" t="s">
        <v>30</v>
      </c>
      <c r="K81" s="13" t="s">
        <v>26</v>
      </c>
      <c r="L81" s="14">
        <f>IF(O81="USD",Q81*$S$1)</f>
        <v>176.34446319694956</v>
      </c>
      <c r="M81" s="15" t="s">
        <v>29</v>
      </c>
      <c r="N81" s="24" t="s">
        <v>93</v>
      </c>
      <c r="O81" s="24" t="s">
        <v>38</v>
      </c>
      <c r="P81" s="27">
        <v>0.25</v>
      </c>
      <c r="Q81" s="37">
        <v>34.065692384373833</v>
      </c>
    </row>
    <row r="82" spans="1:17" x14ac:dyDescent="0.25">
      <c r="A82" s="4" t="str">
        <f>CONCATENATE(J82,Q82,M82,K82,M82,N82)</f>
        <v>CUSTO OFFSHORE USD 292,144475873937 - RPS - JUNHO 26</v>
      </c>
      <c r="B82" s="9">
        <v>46174</v>
      </c>
      <c r="C82" s="4">
        <v>817395</v>
      </c>
      <c r="D82" s="11" t="s">
        <v>45</v>
      </c>
      <c r="E82" s="10">
        <f t="shared" si="9"/>
        <v>-756.15754690451138</v>
      </c>
      <c r="F82" s="4" t="s">
        <v>52</v>
      </c>
      <c r="G82" s="9">
        <v>46174</v>
      </c>
      <c r="H82" s="4">
        <v>12339</v>
      </c>
      <c r="J82" s="13" t="s">
        <v>30</v>
      </c>
      <c r="K82" s="13" t="s">
        <v>16</v>
      </c>
      <c r="L82" s="14">
        <f>IF(O82="USD",Q82*$S$1)</f>
        <v>1512.3150938090228</v>
      </c>
      <c r="M82" s="15" t="s">
        <v>29</v>
      </c>
      <c r="N82" s="24" t="s">
        <v>93</v>
      </c>
      <c r="O82" s="24" t="s">
        <v>38</v>
      </c>
      <c r="P82" s="16">
        <v>0.5</v>
      </c>
      <c r="Q82" s="35">
        <v>292.1444758739371</v>
      </c>
    </row>
    <row r="83" spans="1:17" x14ac:dyDescent="0.25">
      <c r="A83" s="4" t="str">
        <f t="shared" si="0"/>
        <v>CUSTO OFFSHORE USD 292,144475873937 - RPS - JUNHO 26</v>
      </c>
      <c r="B83" s="9">
        <v>46174</v>
      </c>
      <c r="C83" s="4">
        <v>817395</v>
      </c>
      <c r="D83" s="11" t="s">
        <v>12</v>
      </c>
      <c r="E83" s="28">
        <f t="shared" si="9"/>
        <v>-756.15754690451138</v>
      </c>
      <c r="F83" s="4" t="s">
        <v>52</v>
      </c>
      <c r="G83" s="9">
        <v>46174</v>
      </c>
      <c r="H83" s="4">
        <v>12339</v>
      </c>
      <c r="J83" s="13" t="s">
        <v>30</v>
      </c>
      <c r="K83" s="13" t="s">
        <v>16</v>
      </c>
      <c r="L83" s="34">
        <f t="shared" si="10"/>
        <v>1512.3150938090228</v>
      </c>
      <c r="M83" s="15" t="s">
        <v>29</v>
      </c>
      <c r="N83" s="24" t="s">
        <v>93</v>
      </c>
      <c r="O83" s="24" t="s">
        <v>38</v>
      </c>
      <c r="P83" s="27">
        <v>0.5</v>
      </c>
      <c r="Q83" s="37">
        <v>292.1444758739371</v>
      </c>
    </row>
    <row r="84" spans="1:17" x14ac:dyDescent="0.25">
      <c r="A84" s="4" t="str">
        <f t="shared" si="0"/>
        <v>CUSTO OFFSHORE USD 9,40604442060697 - SPX_MO - JUNHO 26</v>
      </c>
      <c r="B84" s="9">
        <v>46174</v>
      </c>
      <c r="C84" s="4">
        <v>817395</v>
      </c>
      <c r="D84" s="11" t="s">
        <v>12</v>
      </c>
      <c r="E84" s="28">
        <f t="shared" si="9"/>
        <v>-29.214797728628422</v>
      </c>
      <c r="F84" s="4" t="s">
        <v>52</v>
      </c>
      <c r="G84" s="9">
        <v>46174</v>
      </c>
      <c r="H84" s="4">
        <v>79931</v>
      </c>
      <c r="J84" s="13" t="s">
        <v>30</v>
      </c>
      <c r="K84" s="13" t="s">
        <v>31</v>
      </c>
      <c r="L84" s="34">
        <f t="shared" si="10"/>
        <v>48.691329547714041</v>
      </c>
      <c r="M84" s="15" t="s">
        <v>29</v>
      </c>
      <c r="N84" s="24" t="s">
        <v>93</v>
      </c>
      <c r="O84" s="24" t="s">
        <v>38</v>
      </c>
      <c r="P84" s="27">
        <v>0.6</v>
      </c>
      <c r="Q84" s="36">
        <v>9.4060444206069711</v>
      </c>
    </row>
    <row r="85" spans="1:17" x14ac:dyDescent="0.25">
      <c r="A85" s="17" t="str">
        <f t="shared" si="0"/>
        <v>CUSTO OFFSHORE USD 9,40604442060697 - SPX_MO - JUNHO 26</v>
      </c>
      <c r="B85" s="18">
        <v>46174</v>
      </c>
      <c r="C85" s="17">
        <v>817395</v>
      </c>
      <c r="D85" s="23" t="s">
        <v>45</v>
      </c>
      <c r="E85" s="19">
        <f t="shared" si="9"/>
        <v>-19.476531819085618</v>
      </c>
      <c r="F85" s="17" t="s">
        <v>52</v>
      </c>
      <c r="G85" s="18">
        <v>46174</v>
      </c>
      <c r="H85" s="17">
        <v>79931</v>
      </c>
      <c r="J85" s="20" t="s">
        <v>30</v>
      </c>
      <c r="K85" s="20" t="s">
        <v>31</v>
      </c>
      <c r="L85" s="33">
        <f t="shared" si="10"/>
        <v>48.691329547714041</v>
      </c>
      <c r="M85" s="21" t="s">
        <v>29</v>
      </c>
      <c r="N85" s="25" t="s">
        <v>93</v>
      </c>
      <c r="O85" s="25" t="s">
        <v>38</v>
      </c>
      <c r="P85" s="22">
        <v>0.4</v>
      </c>
      <c r="Q85" s="37">
        <v>9.4060444206069711</v>
      </c>
    </row>
    <row r="86" spans="1:17" x14ac:dyDescent="0.25">
      <c r="A86" s="17" t="str">
        <f t="shared" si="0"/>
        <v>CUSTO OFFSHORE USD 408,28 - BGC - JUNHO 26</v>
      </c>
      <c r="B86" s="18">
        <v>46174</v>
      </c>
      <c r="C86" s="17">
        <v>817395</v>
      </c>
      <c r="D86" s="23" t="s">
        <v>12</v>
      </c>
      <c r="E86" s="19">
        <f t="shared" si="9"/>
        <v>-2113.5022479999998</v>
      </c>
      <c r="F86" s="17" t="s">
        <v>33</v>
      </c>
      <c r="G86" s="18">
        <v>46174</v>
      </c>
      <c r="H86" s="17">
        <v>1170</v>
      </c>
      <c r="J86" s="20" t="s">
        <v>30</v>
      </c>
      <c r="K86" s="20" t="s">
        <v>21</v>
      </c>
      <c r="L86" s="33">
        <f t="shared" si="4"/>
        <v>2113.5022479999998</v>
      </c>
      <c r="M86" s="21" t="s">
        <v>29</v>
      </c>
      <c r="N86" s="25" t="s">
        <v>93</v>
      </c>
      <c r="O86" s="25" t="s">
        <v>38</v>
      </c>
      <c r="P86" s="22">
        <v>1</v>
      </c>
      <c r="Q86" s="26">
        <v>408.28</v>
      </c>
    </row>
    <row r="87" spans="1:17" x14ac:dyDescent="0.25">
      <c r="A87" s="17" t="str">
        <f t="shared" si="0"/>
        <v>CUSTO OFFSHORE USD 907,13 - BGC - JUNHO 26</v>
      </c>
      <c r="B87" s="18">
        <v>46174</v>
      </c>
      <c r="C87" s="17">
        <v>817395</v>
      </c>
      <c r="D87" s="23" t="s">
        <v>12</v>
      </c>
      <c r="E87" s="19">
        <f t="shared" si="9"/>
        <v>-4695.849158</v>
      </c>
      <c r="F87" s="17" t="s">
        <v>40</v>
      </c>
      <c r="G87" s="18">
        <v>46174</v>
      </c>
      <c r="H87" s="17">
        <v>1170</v>
      </c>
      <c r="J87" s="20" t="s">
        <v>30</v>
      </c>
      <c r="K87" s="20" t="s">
        <v>21</v>
      </c>
      <c r="L87" s="33">
        <f t="shared" si="4"/>
        <v>4695.849158</v>
      </c>
      <c r="M87" s="21" t="s">
        <v>29</v>
      </c>
      <c r="N87" s="25" t="s">
        <v>93</v>
      </c>
      <c r="O87" s="25" t="s">
        <v>38</v>
      </c>
      <c r="P87" s="22">
        <v>1</v>
      </c>
      <c r="Q87" s="26">
        <v>907.13</v>
      </c>
    </row>
    <row r="88" spans="1:17" x14ac:dyDescent="0.25">
      <c r="A88" s="4" t="str">
        <f t="shared" si="0"/>
        <v>CUSTO OFFSHORE USD 90 - BGC - JUNHO 26</v>
      </c>
      <c r="B88" s="9">
        <v>46174</v>
      </c>
      <c r="C88" s="4">
        <v>817395</v>
      </c>
      <c r="D88" s="11" t="s">
        <v>47</v>
      </c>
      <c r="E88" s="12">
        <f t="shared" si="9"/>
        <v>-465.89399999999995</v>
      </c>
      <c r="F88" s="4" t="s">
        <v>22</v>
      </c>
      <c r="G88" s="9">
        <v>46174</v>
      </c>
      <c r="H88" s="4">
        <v>1170</v>
      </c>
      <c r="J88" s="13" t="s">
        <v>30</v>
      </c>
      <c r="K88" s="13" t="s">
        <v>21</v>
      </c>
      <c r="L88" s="14">
        <f t="shared" si="4"/>
        <v>465.89399999999995</v>
      </c>
      <c r="M88" s="15" t="s">
        <v>29</v>
      </c>
      <c r="N88" s="24" t="s">
        <v>93</v>
      </c>
      <c r="O88" s="24" t="s">
        <v>38</v>
      </c>
      <c r="P88" s="16">
        <v>1</v>
      </c>
      <c r="Q88" s="45">
        <v>90</v>
      </c>
    </row>
    <row r="89" spans="1:17" x14ac:dyDescent="0.25">
      <c r="A89" s="17" t="str">
        <f t="shared" si="0"/>
        <v>CUSTO OFFSHORE USD 90 - BGC - JUNHO 26</v>
      </c>
      <c r="B89" s="18">
        <v>46174</v>
      </c>
      <c r="C89" s="17">
        <v>817395</v>
      </c>
      <c r="D89" s="23" t="s">
        <v>12</v>
      </c>
      <c r="E89" s="26">
        <f t="shared" si="9"/>
        <v>-465.89399999999995</v>
      </c>
      <c r="F89" s="17" t="s">
        <v>22</v>
      </c>
      <c r="G89" s="18">
        <v>46174</v>
      </c>
      <c r="H89" s="17">
        <v>1170</v>
      </c>
      <c r="J89" s="20" t="s">
        <v>30</v>
      </c>
      <c r="K89" s="20" t="s">
        <v>21</v>
      </c>
      <c r="L89" s="33">
        <f t="shared" si="4"/>
        <v>465.89399999999995</v>
      </c>
      <c r="M89" s="21" t="s">
        <v>29</v>
      </c>
      <c r="N89" s="25" t="s">
        <v>93</v>
      </c>
      <c r="O89" s="25" t="s">
        <v>38</v>
      </c>
      <c r="P89" s="22">
        <v>1</v>
      </c>
      <c r="Q89" s="52">
        <v>90</v>
      </c>
    </row>
    <row r="90" spans="1:17" x14ac:dyDescent="0.25">
      <c r="A90" s="4" t="str">
        <f>CONCATENATE(J90,Q90,M90,K90,M90,N90)</f>
        <v>CUSTO OFFSHORE USD 462,11 - BGC BONDS - JUNHO 26</v>
      </c>
      <c r="B90" s="9">
        <v>46174</v>
      </c>
      <c r="C90" s="4">
        <v>817395</v>
      </c>
      <c r="D90" s="11" t="s">
        <v>32</v>
      </c>
      <c r="E90" s="10">
        <f>-L90*P90</f>
        <v>-2392.1586259999999</v>
      </c>
      <c r="F90" s="4" t="s">
        <v>23</v>
      </c>
      <c r="G90" s="9">
        <v>46174</v>
      </c>
      <c r="H90" s="4">
        <v>1170</v>
      </c>
      <c r="J90" s="13" t="s">
        <v>30</v>
      </c>
      <c r="K90" s="13" t="s">
        <v>51</v>
      </c>
      <c r="L90" s="14">
        <f>IF(O90="USD",Q90*$S$1)</f>
        <v>2392.1586259999999</v>
      </c>
      <c r="M90" s="15" t="s">
        <v>29</v>
      </c>
      <c r="N90" s="24" t="s">
        <v>93</v>
      </c>
      <c r="O90" s="24" t="s">
        <v>38</v>
      </c>
      <c r="P90" s="16">
        <v>1</v>
      </c>
      <c r="Q90" s="12">
        <v>462.11</v>
      </c>
    </row>
    <row r="91" spans="1:17" x14ac:dyDescent="0.25">
      <c r="A91" s="4" t="str">
        <f>CONCATENATE(J91,Q91,M91,K91,M91,N91)</f>
        <v>CUSTO OFFSHORE USD 670,2 - BGC - JUNHO 26</v>
      </c>
      <c r="B91" s="9">
        <v>46174</v>
      </c>
      <c r="C91" s="4">
        <v>817395</v>
      </c>
      <c r="D91" s="11" t="s">
        <v>46</v>
      </c>
      <c r="E91" s="10">
        <f>-L91*P91</f>
        <v>-3469.3573200000001</v>
      </c>
      <c r="F91" s="4" t="s">
        <v>23</v>
      </c>
      <c r="G91" s="9">
        <v>46174</v>
      </c>
      <c r="H91" s="4">
        <v>1170</v>
      </c>
      <c r="J91" s="13" t="s">
        <v>30</v>
      </c>
      <c r="K91" s="13" t="s">
        <v>21</v>
      </c>
      <c r="L91" s="14">
        <f>IF(O91="USD",Q91*$S$1)</f>
        <v>3469.3573200000001</v>
      </c>
      <c r="M91" s="15" t="s">
        <v>29</v>
      </c>
      <c r="N91" s="24" t="s">
        <v>93</v>
      </c>
      <c r="O91" s="24" t="s">
        <v>38</v>
      </c>
      <c r="P91" s="16">
        <v>1</v>
      </c>
      <c r="Q91" s="12">
        <v>670.2</v>
      </c>
    </row>
    <row r="92" spans="1:17" x14ac:dyDescent="0.25">
      <c r="A92" s="4" t="str">
        <f>CONCATENATE(J92,Q92,M92,K92,M92,N92)</f>
        <v>CUSTO OFFSHORE USD 1099,35 - VINLAND  - JUNHO 26</v>
      </c>
      <c r="B92" s="9">
        <v>46174</v>
      </c>
      <c r="C92" s="4">
        <v>817395</v>
      </c>
      <c r="D92" s="11" t="s">
        <v>47</v>
      </c>
      <c r="E92" s="10">
        <f>-L92*P92</f>
        <v>-5690.8952099999988</v>
      </c>
      <c r="F92" s="4" t="s">
        <v>23</v>
      </c>
      <c r="G92" s="9">
        <v>46174</v>
      </c>
      <c r="H92" s="4">
        <v>80359</v>
      </c>
      <c r="J92" s="13" t="s">
        <v>30</v>
      </c>
      <c r="K92" s="13" t="s">
        <v>20</v>
      </c>
      <c r="L92" s="14">
        <f>IF(O92="USD",Q92*$S$1)</f>
        <v>5690.8952099999988</v>
      </c>
      <c r="M92" s="15" t="s">
        <v>29</v>
      </c>
      <c r="N92" s="24" t="s">
        <v>93</v>
      </c>
      <c r="O92" s="24" t="s">
        <v>38</v>
      </c>
      <c r="P92" s="16">
        <v>1</v>
      </c>
      <c r="Q92" s="12">
        <v>1099.3499999999999</v>
      </c>
    </row>
    <row r="93" spans="1:17" x14ac:dyDescent="0.25">
      <c r="A93" s="4" t="str">
        <f>CONCATENATE(J93,Q93,M93,K93,M93,N93)</f>
        <v>CUSTO OFFSHORE USD 8927,34 - BGC NDF OFFSHORE - JUNHO 26</v>
      </c>
      <c r="B93" s="9">
        <v>46174</v>
      </c>
      <c r="C93" s="4">
        <v>817395</v>
      </c>
      <c r="D93" s="11" t="s">
        <v>58</v>
      </c>
      <c r="E93" s="10">
        <f t="shared" si="9"/>
        <v>-45932.122885861594</v>
      </c>
      <c r="F93" s="4" t="s">
        <v>23</v>
      </c>
      <c r="G93" s="9">
        <v>46174</v>
      </c>
      <c r="H93" s="4">
        <v>1170</v>
      </c>
      <c r="J93" s="13" t="s">
        <v>30</v>
      </c>
      <c r="K93" s="13" t="s">
        <v>35</v>
      </c>
      <c r="L93" s="14">
        <f>IF(O93="USD",Q93*$S$1)</f>
        <v>46213.268243999999</v>
      </c>
      <c r="M93" s="15" t="s">
        <v>29</v>
      </c>
      <c r="N93" s="24" t="s">
        <v>93</v>
      </c>
      <c r="O93" s="24" t="s">
        <v>38</v>
      </c>
      <c r="P93" s="55">
        <v>0.99391634980988597</v>
      </c>
      <c r="Q93" s="30">
        <v>8927.34</v>
      </c>
    </row>
    <row r="94" spans="1:17" x14ac:dyDescent="0.25">
      <c r="A94" s="4" t="str">
        <f>CONCATENATE(J94,Q94,M94,K94,M94,N94)</f>
        <v>CUSTO OFFSHORE USD 8927,34 - BGC NDF OFFSHORE - JUNHO 26</v>
      </c>
      <c r="B94" s="9">
        <v>46174</v>
      </c>
      <c r="C94" s="4">
        <v>817395</v>
      </c>
      <c r="D94" s="11" t="s">
        <v>43</v>
      </c>
      <c r="E94" s="10">
        <f t="shared" si="9"/>
        <v>-281.14535813840303</v>
      </c>
      <c r="F94" s="4" t="s">
        <v>23</v>
      </c>
      <c r="G94" s="9">
        <v>46174</v>
      </c>
      <c r="H94" s="4">
        <v>1170</v>
      </c>
      <c r="J94" s="13" t="s">
        <v>30</v>
      </c>
      <c r="K94" s="13" t="s">
        <v>35</v>
      </c>
      <c r="L94" s="14">
        <f>IF(O94="USD",Q94*$S$1)</f>
        <v>46213.268243999999</v>
      </c>
      <c r="M94" s="15" t="s">
        <v>29</v>
      </c>
      <c r="N94" s="24" t="s">
        <v>93</v>
      </c>
      <c r="O94" s="24" t="s">
        <v>38</v>
      </c>
      <c r="P94" s="55">
        <v>6.0836501901140681E-3</v>
      </c>
      <c r="Q94" s="30">
        <v>8927.34</v>
      </c>
    </row>
    <row r="95" spans="1:17" x14ac:dyDescent="0.25">
      <c r="A95" s="17" t="str">
        <f t="shared" si="0"/>
        <v>CUSTO OFFSHORE USD 8927,34 - BGC NDF OFFSHORE - JUNHO 26</v>
      </c>
      <c r="B95" s="18">
        <v>46174</v>
      </c>
      <c r="C95" s="17">
        <v>817395</v>
      </c>
      <c r="D95" s="23" t="s">
        <v>42</v>
      </c>
      <c r="E95" s="19">
        <f t="shared" si="9"/>
        <v>0</v>
      </c>
      <c r="F95" s="17" t="s">
        <v>23</v>
      </c>
      <c r="G95" s="18">
        <v>46174</v>
      </c>
      <c r="H95" s="17">
        <v>1170</v>
      </c>
      <c r="J95" s="20" t="s">
        <v>30</v>
      </c>
      <c r="K95" s="20" t="s">
        <v>35</v>
      </c>
      <c r="L95" s="33">
        <f t="shared" si="4"/>
        <v>46213.268243999999</v>
      </c>
      <c r="M95" s="21" t="s">
        <v>29</v>
      </c>
      <c r="N95" s="25" t="s">
        <v>93</v>
      </c>
      <c r="O95" s="25" t="s">
        <v>38</v>
      </c>
      <c r="P95" s="56">
        <v>0</v>
      </c>
      <c r="Q95" s="26">
        <v>8927.34</v>
      </c>
    </row>
    <row r="96" spans="1:17" x14ac:dyDescent="0.25">
      <c r="A96" s="4" t="str">
        <f t="shared" si="0"/>
        <v>CUSTO OFFSHORE USD 2626,84966966735 - BGC DI FUTURES - JUNHO 26</v>
      </c>
      <c r="B96" s="9">
        <v>46174</v>
      </c>
      <c r="C96" s="4">
        <v>817395</v>
      </c>
      <c r="D96" s="32" t="s">
        <v>28</v>
      </c>
      <c r="E96" s="10">
        <f t="shared" si="9"/>
        <v>-3554.0619318181816</v>
      </c>
      <c r="F96" s="4" t="s">
        <v>23</v>
      </c>
      <c r="G96" s="9">
        <v>46174</v>
      </c>
      <c r="H96" s="4">
        <v>1170</v>
      </c>
      <c r="J96" s="13" t="s">
        <v>30</v>
      </c>
      <c r="K96" s="13" t="s">
        <v>34</v>
      </c>
      <c r="L96" s="14">
        <f t="shared" si="4"/>
        <v>13598.150000000003</v>
      </c>
      <c r="M96" s="15" t="s">
        <v>29</v>
      </c>
      <c r="N96" s="24" t="s">
        <v>93</v>
      </c>
      <c r="O96" s="24" t="s">
        <v>38</v>
      </c>
      <c r="P96" s="27">
        <v>0.2613636363636363</v>
      </c>
      <c r="Q96" s="30">
        <v>2626.8496696673501</v>
      </c>
    </row>
    <row r="97" spans="1:17" x14ac:dyDescent="0.25">
      <c r="A97" s="4" t="str">
        <f t="shared" si="0"/>
        <v>CUSTO OFFSHORE USD 2626,84966966735 - BGC DI FUTURES - JUNHO 26</v>
      </c>
      <c r="B97" s="9">
        <v>46174</v>
      </c>
      <c r="C97" s="4">
        <v>817395</v>
      </c>
      <c r="D97" s="32" t="s">
        <v>32</v>
      </c>
      <c r="E97" s="10">
        <f t="shared" si="9"/>
        <v>-618.0977272727273</v>
      </c>
      <c r="F97" s="4" t="s">
        <v>23</v>
      </c>
      <c r="G97" s="9">
        <v>46174</v>
      </c>
      <c r="H97" s="4">
        <v>1170</v>
      </c>
      <c r="J97" s="13" t="s">
        <v>30</v>
      </c>
      <c r="K97" s="13" t="s">
        <v>34</v>
      </c>
      <c r="L97" s="14">
        <f t="shared" ref="L97:L105" si="11">IF(O97="USD",Q97*$S$1)</f>
        <v>13598.150000000003</v>
      </c>
      <c r="M97" s="15" t="s">
        <v>29</v>
      </c>
      <c r="N97" s="24" t="s">
        <v>93</v>
      </c>
      <c r="O97" s="24" t="s">
        <v>38</v>
      </c>
      <c r="P97" s="27">
        <v>4.5454545454545442E-2</v>
      </c>
      <c r="Q97" s="30">
        <v>2626.8496696673501</v>
      </c>
    </row>
    <row r="98" spans="1:17" x14ac:dyDescent="0.25">
      <c r="A98" s="4" t="str">
        <f t="shared" si="0"/>
        <v>CUSTO OFFSHORE USD 2626,84966966735 - BGC DI FUTURES - JUNHO 26</v>
      </c>
      <c r="B98" s="9">
        <v>46174</v>
      </c>
      <c r="C98" s="4">
        <v>817395</v>
      </c>
      <c r="D98" s="32" t="s">
        <v>25</v>
      </c>
      <c r="E98" s="10">
        <f t="shared" si="9"/>
        <v>-1699.7687500000009</v>
      </c>
      <c r="F98" s="4" t="s">
        <v>23</v>
      </c>
      <c r="G98" s="9">
        <v>46174</v>
      </c>
      <c r="H98" s="4">
        <v>1170</v>
      </c>
      <c r="J98" s="13" t="s">
        <v>30</v>
      </c>
      <c r="K98" s="13" t="s">
        <v>34</v>
      </c>
      <c r="L98" s="14">
        <f t="shared" si="11"/>
        <v>13598.150000000003</v>
      </c>
      <c r="M98" s="15" t="s">
        <v>29</v>
      </c>
      <c r="N98" s="24" t="s">
        <v>93</v>
      </c>
      <c r="O98" s="24" t="s">
        <v>38</v>
      </c>
      <c r="P98" s="27">
        <v>0.12500000000000003</v>
      </c>
      <c r="Q98" s="30">
        <v>2626.8496696673501</v>
      </c>
    </row>
    <row r="99" spans="1:17" x14ac:dyDescent="0.25">
      <c r="A99" s="4" t="str">
        <f t="shared" si="0"/>
        <v>CUSTO OFFSHORE USD 2626,84966966735 - BGC DI FUTURES - JUNHO 26</v>
      </c>
      <c r="B99" s="9">
        <v>46174</v>
      </c>
      <c r="C99" s="4">
        <v>817395</v>
      </c>
      <c r="D99" s="11" t="s">
        <v>41</v>
      </c>
      <c r="E99" s="28">
        <f t="shared" si="9"/>
        <v>-5871.9284090909132</v>
      </c>
      <c r="F99" s="4" t="s">
        <v>23</v>
      </c>
      <c r="G99" s="9">
        <v>46174</v>
      </c>
      <c r="H99" s="4">
        <v>1170</v>
      </c>
      <c r="J99" s="13" t="s">
        <v>30</v>
      </c>
      <c r="K99" s="13" t="s">
        <v>34</v>
      </c>
      <c r="L99" s="34">
        <f t="shared" si="11"/>
        <v>13598.150000000003</v>
      </c>
      <c r="M99" s="15" t="s">
        <v>29</v>
      </c>
      <c r="N99" s="24" t="s">
        <v>93</v>
      </c>
      <c r="O99" s="24" t="s">
        <v>38</v>
      </c>
      <c r="P99" s="27">
        <v>0.43181818181818199</v>
      </c>
      <c r="Q99" s="30">
        <v>2626.8496696673501</v>
      </c>
    </row>
    <row r="100" spans="1:17" x14ac:dyDescent="0.25">
      <c r="A100" s="17" t="str">
        <f t="shared" si="0"/>
        <v>CUSTO OFFSHORE USD 2626,84966966735 - BGC DI FUTURES - JUNHO 26</v>
      </c>
      <c r="B100" s="18">
        <v>46174</v>
      </c>
      <c r="C100" s="17">
        <v>817395</v>
      </c>
      <c r="D100" s="23" t="s">
        <v>91</v>
      </c>
      <c r="E100" s="19">
        <f t="shared" si="9"/>
        <v>-1854.293181818181</v>
      </c>
      <c r="F100" s="17" t="s">
        <v>23</v>
      </c>
      <c r="G100" s="18">
        <v>46174</v>
      </c>
      <c r="H100" s="17">
        <v>1170</v>
      </c>
      <c r="I100" s="31"/>
      <c r="J100" s="20" t="s">
        <v>30</v>
      </c>
      <c r="K100" s="20" t="s">
        <v>34</v>
      </c>
      <c r="L100" s="33">
        <f t="shared" si="11"/>
        <v>13598.150000000003</v>
      </c>
      <c r="M100" s="21" t="s">
        <v>29</v>
      </c>
      <c r="N100" s="25" t="s">
        <v>93</v>
      </c>
      <c r="O100" s="25" t="s">
        <v>38</v>
      </c>
      <c r="P100" s="22">
        <v>0.13636363636363627</v>
      </c>
      <c r="Q100" s="26">
        <v>2626.8496696673501</v>
      </c>
    </row>
    <row r="101" spans="1:17" x14ac:dyDescent="0.25">
      <c r="A101" s="17" t="str">
        <f t="shared" si="0"/>
        <v>CUSTO OFFSHORE USD 1732,28 - BGC - JUNHO 26</v>
      </c>
      <c r="B101" s="18">
        <v>46174</v>
      </c>
      <c r="C101" s="17">
        <v>817395</v>
      </c>
      <c r="D101" s="23" t="s">
        <v>12</v>
      </c>
      <c r="E101" s="26">
        <f t="shared" si="9"/>
        <v>-1732.28</v>
      </c>
      <c r="F101" s="17" t="s">
        <v>53</v>
      </c>
      <c r="G101" s="18">
        <v>46174</v>
      </c>
      <c r="H101" s="17">
        <v>1170</v>
      </c>
      <c r="J101" s="20" t="s">
        <v>30</v>
      </c>
      <c r="K101" s="20" t="s">
        <v>21</v>
      </c>
      <c r="L101" s="33">
        <f>IF(O101="USD",Q101*$S$1,Q101)</f>
        <v>1732.28</v>
      </c>
      <c r="M101" s="21" t="s">
        <v>29</v>
      </c>
      <c r="N101" s="25" t="s">
        <v>93</v>
      </c>
      <c r="O101" s="25" t="s">
        <v>54</v>
      </c>
      <c r="P101" s="22">
        <v>1</v>
      </c>
      <c r="Q101" s="26">
        <v>1732.28</v>
      </c>
    </row>
    <row r="102" spans="1:17" x14ac:dyDescent="0.25">
      <c r="A102" s="4" t="str">
        <f t="shared" si="0"/>
        <v>CUSTO OFFSHORE USD 3413,29 - BGC - GALBUQUERQUE - JUNHO 26</v>
      </c>
      <c r="B102" s="9">
        <v>46174</v>
      </c>
      <c r="C102" s="4">
        <v>817395</v>
      </c>
      <c r="D102" s="11" t="s">
        <v>47</v>
      </c>
      <c r="E102" s="12">
        <f t="shared" si="9"/>
        <v>-17669.237013999998</v>
      </c>
      <c r="F102" s="4" t="s">
        <v>36</v>
      </c>
      <c r="G102" s="9">
        <v>46174</v>
      </c>
      <c r="H102" s="4">
        <v>1170</v>
      </c>
      <c r="J102" s="13" t="s">
        <v>30</v>
      </c>
      <c r="K102" s="13" t="s">
        <v>64</v>
      </c>
      <c r="L102" s="14">
        <f t="shared" si="11"/>
        <v>17669.237013999998</v>
      </c>
      <c r="M102" s="15" t="s">
        <v>29</v>
      </c>
      <c r="N102" s="24" t="s">
        <v>93</v>
      </c>
      <c r="O102" s="24" t="s">
        <v>38</v>
      </c>
      <c r="P102" s="16">
        <v>1</v>
      </c>
      <c r="Q102" s="12">
        <v>3413.29</v>
      </c>
    </row>
    <row r="103" spans="1:17" x14ac:dyDescent="0.25">
      <c r="A103" s="4" t="str">
        <f t="shared" si="0"/>
        <v>CUSTO OFFSHORE USD 3413,29 - BGC - CMALTA - JUNHO 26</v>
      </c>
      <c r="B103" s="9">
        <v>46174</v>
      </c>
      <c r="C103" s="4">
        <v>817395</v>
      </c>
      <c r="D103" s="11" t="s">
        <v>47</v>
      </c>
      <c r="E103" s="12">
        <f t="shared" si="9"/>
        <v>-17669.237013999998</v>
      </c>
      <c r="F103" s="4" t="s">
        <v>36</v>
      </c>
      <c r="G103" s="9">
        <v>46174</v>
      </c>
      <c r="H103" s="4">
        <v>1170</v>
      </c>
      <c r="J103" s="13" t="s">
        <v>30</v>
      </c>
      <c r="K103" s="13" t="s">
        <v>65</v>
      </c>
      <c r="L103" s="14">
        <f t="shared" si="11"/>
        <v>17669.237013999998</v>
      </c>
      <c r="M103" s="15" t="s">
        <v>29</v>
      </c>
      <c r="N103" s="24" t="s">
        <v>93</v>
      </c>
      <c r="O103" s="24" t="s">
        <v>38</v>
      </c>
      <c r="P103" s="16">
        <v>1</v>
      </c>
      <c r="Q103" s="12">
        <v>3413.29</v>
      </c>
    </row>
    <row r="104" spans="1:17" x14ac:dyDescent="0.25">
      <c r="A104" s="4" t="str">
        <f t="shared" ref="A104:A105" si="12">CONCATENATE(J104,Q104,M104,K104,M104,N104)</f>
        <v>CUSTO OFFSHORE USD 3413,29 - BGC - CPACINI - JUNHO 26</v>
      </c>
      <c r="B104" s="9">
        <v>46174</v>
      </c>
      <c r="C104" s="4">
        <v>817395</v>
      </c>
      <c r="D104" s="11" t="s">
        <v>61</v>
      </c>
      <c r="E104" s="30">
        <f t="shared" si="9"/>
        <v>-17669.237013999998</v>
      </c>
      <c r="F104" s="4" t="s">
        <v>36</v>
      </c>
      <c r="G104" s="9">
        <v>46174</v>
      </c>
      <c r="H104" s="4">
        <v>1170</v>
      </c>
      <c r="J104" s="13" t="s">
        <v>30</v>
      </c>
      <c r="K104" s="13" t="s">
        <v>63</v>
      </c>
      <c r="L104" s="14">
        <f t="shared" si="11"/>
        <v>17669.237013999998</v>
      </c>
      <c r="M104" s="15" t="s">
        <v>29</v>
      </c>
      <c r="N104" s="24" t="s">
        <v>93</v>
      </c>
      <c r="O104" s="24" t="s">
        <v>38</v>
      </c>
      <c r="P104" s="27">
        <v>1</v>
      </c>
      <c r="Q104" s="12">
        <v>3413.29</v>
      </c>
    </row>
    <row r="105" spans="1:17" x14ac:dyDescent="0.25">
      <c r="A105" s="4" t="str">
        <f t="shared" si="12"/>
        <v>CUSTO OFFSHORE USD 3413,29 - BGC - AFIUZA - JUNHO 26</v>
      </c>
      <c r="B105" s="9">
        <v>46174</v>
      </c>
      <c r="C105" s="4">
        <v>817395</v>
      </c>
      <c r="D105" s="11" t="s">
        <v>61</v>
      </c>
      <c r="E105" s="30">
        <f t="shared" si="9"/>
        <v>-17669.237013999998</v>
      </c>
      <c r="F105" s="4" t="s">
        <v>36</v>
      </c>
      <c r="G105" s="9">
        <v>46174</v>
      </c>
      <c r="H105" s="4">
        <v>1170</v>
      </c>
      <c r="J105" s="13" t="s">
        <v>30</v>
      </c>
      <c r="K105" s="13" t="s">
        <v>62</v>
      </c>
      <c r="L105" s="14">
        <f t="shared" si="11"/>
        <v>17669.237013999998</v>
      </c>
      <c r="M105" s="15" t="s">
        <v>29</v>
      </c>
      <c r="N105" s="24" t="s">
        <v>93</v>
      </c>
      <c r="O105" s="24" t="s">
        <v>38</v>
      </c>
      <c r="P105" s="27">
        <v>1</v>
      </c>
      <c r="Q105" s="12">
        <v>3413.29</v>
      </c>
    </row>
    <row r="106" spans="1:17" x14ac:dyDescent="0.25">
      <c r="A106" s="4" t="str">
        <f>CONCATENATE(J106,Q107,M106,K106,M106,N106)</f>
        <v>CUSTO OFFSHORE USD 3413,29 - BGC - JJUNQUEIRA - JUNHO 26</v>
      </c>
      <c r="B106" s="9">
        <v>46174</v>
      </c>
      <c r="C106" s="4">
        <v>817395</v>
      </c>
      <c r="D106" s="11" t="s">
        <v>12</v>
      </c>
      <c r="E106" s="30">
        <f t="shared" si="9"/>
        <v>-17669.237013999998</v>
      </c>
      <c r="F106" s="4" t="s">
        <v>36</v>
      </c>
      <c r="G106" s="9">
        <v>46174</v>
      </c>
      <c r="H106" s="4">
        <v>1170</v>
      </c>
      <c r="J106" s="13" t="s">
        <v>30</v>
      </c>
      <c r="K106" s="13" t="s">
        <v>66</v>
      </c>
      <c r="L106" s="14">
        <f>IF(O106="USD",Q107*$S$1)</f>
        <v>17669.237013999998</v>
      </c>
      <c r="M106" s="15" t="s">
        <v>29</v>
      </c>
      <c r="N106" s="24" t="s">
        <v>93</v>
      </c>
      <c r="O106" s="24" t="s">
        <v>38</v>
      </c>
      <c r="P106" s="27">
        <v>1</v>
      </c>
      <c r="Q106" s="30">
        <v>3413.29</v>
      </c>
    </row>
    <row r="107" spans="1:17" x14ac:dyDescent="0.25">
      <c r="A107" s="17" t="str">
        <f>CONCATENATE(J107,Q107,M107,K107,M107,N107)</f>
        <v>CUSTO OFFSHORE USD 3413,29 - BGC - ASOARES - JUNHO 26</v>
      </c>
      <c r="B107" s="18">
        <v>46174</v>
      </c>
      <c r="C107" s="17">
        <v>817395</v>
      </c>
      <c r="D107" s="23" t="s">
        <v>12</v>
      </c>
      <c r="E107" s="19">
        <f t="shared" si="9"/>
        <v>-17669.237013999998</v>
      </c>
      <c r="F107" s="17" t="s">
        <v>36</v>
      </c>
      <c r="G107" s="18">
        <v>46174</v>
      </c>
      <c r="H107" s="17">
        <v>1170</v>
      </c>
      <c r="J107" s="20" t="s">
        <v>30</v>
      </c>
      <c r="K107" s="20" t="s">
        <v>67</v>
      </c>
      <c r="L107" s="33">
        <f>IF(O107="USD",Q107*$S$1)</f>
        <v>17669.237013999998</v>
      </c>
      <c r="M107" s="21" t="s">
        <v>29</v>
      </c>
      <c r="N107" s="25" t="s">
        <v>93</v>
      </c>
      <c r="O107" s="25" t="s">
        <v>38</v>
      </c>
      <c r="P107" s="22">
        <v>1</v>
      </c>
      <c r="Q107" s="30">
        <v>3413.29</v>
      </c>
    </row>
    <row r="108" spans="1:17" x14ac:dyDescent="0.25">
      <c r="A108" s="4" t="str">
        <f t="shared" ref="A108:A143" si="13">CONCATENATE(J108,Q108,M108,K108,M108,N108)</f>
        <v>CUSTO OFFSHORE USD 81,3025097087962 - ASSET1 - JUNHO 26</v>
      </c>
      <c r="B108" s="9">
        <v>46174</v>
      </c>
      <c r="C108" s="4">
        <v>817395</v>
      </c>
      <c r="D108" s="11" t="s">
        <v>12</v>
      </c>
      <c r="E108" s="12">
        <f>-L108*P108</f>
        <v>-140.31824862430207</v>
      </c>
      <c r="F108" s="4" t="s">
        <v>44</v>
      </c>
      <c r="G108" s="9">
        <v>46174</v>
      </c>
      <c r="H108" s="4">
        <v>80834</v>
      </c>
      <c r="J108" s="13" t="s">
        <v>30</v>
      </c>
      <c r="K108" s="13" t="s">
        <v>14</v>
      </c>
      <c r="L108" s="14">
        <f>IF(O108="USD",Q108*$S$1)</f>
        <v>420.87057175855455</v>
      </c>
      <c r="M108" s="15" t="s">
        <v>29</v>
      </c>
      <c r="N108" s="24" t="s">
        <v>93</v>
      </c>
      <c r="O108" s="24" t="s">
        <v>38</v>
      </c>
      <c r="P108" s="16">
        <v>0.33339999999999997</v>
      </c>
      <c r="Q108" s="58">
        <v>81.302509708796237</v>
      </c>
    </row>
    <row r="109" spans="1:17" x14ac:dyDescent="0.25">
      <c r="A109" s="4" t="str">
        <f t="shared" si="13"/>
        <v>CUSTO OFFSHORE USD 81,3025097087962 - ASSET1 - JUNHO 26</v>
      </c>
      <c r="B109" s="9">
        <v>46174</v>
      </c>
      <c r="C109" s="4">
        <v>817395</v>
      </c>
      <c r="D109" s="11" t="s">
        <v>45</v>
      </c>
      <c r="E109" s="12">
        <f t="shared" ref="E109:E143" si="14">-L109*P109</f>
        <v>-140.27616156712622</v>
      </c>
      <c r="F109" s="4" t="s">
        <v>44</v>
      </c>
      <c r="G109" s="9">
        <v>46174</v>
      </c>
      <c r="H109" s="4">
        <v>80834</v>
      </c>
      <c r="J109" s="13" t="s">
        <v>30</v>
      </c>
      <c r="K109" s="13" t="s">
        <v>14</v>
      </c>
      <c r="L109" s="14">
        <f t="shared" ref="L109:L138" si="15">IF(O109="USD",Q109*$S$1)</f>
        <v>420.87057175855455</v>
      </c>
      <c r="M109" s="15" t="s">
        <v>29</v>
      </c>
      <c r="N109" s="24" t="s">
        <v>93</v>
      </c>
      <c r="O109" s="24" t="s">
        <v>38</v>
      </c>
      <c r="P109" s="16">
        <v>0.33329999999999999</v>
      </c>
      <c r="Q109" s="59">
        <v>81.302509708796237</v>
      </c>
    </row>
    <row r="110" spans="1:17" x14ac:dyDescent="0.25">
      <c r="A110" s="4" t="str">
        <f>CONCATENATE(J110,Q110,M110,K110,M110,N110)</f>
        <v>CUSTO OFFSHORE USD 81,3025097087962 - ASSET1 - JUNHO 26</v>
      </c>
      <c r="B110" s="9">
        <v>46174</v>
      </c>
      <c r="C110" s="4">
        <v>817395</v>
      </c>
      <c r="D110" s="11" t="s">
        <v>46</v>
      </c>
      <c r="E110" s="12">
        <f t="shared" si="14"/>
        <v>-140.27616156712622</v>
      </c>
      <c r="F110" s="4" t="s">
        <v>44</v>
      </c>
      <c r="G110" s="9">
        <v>46174</v>
      </c>
      <c r="H110" s="4">
        <v>80834</v>
      </c>
      <c r="J110" s="13" t="s">
        <v>30</v>
      </c>
      <c r="K110" s="13" t="s">
        <v>14</v>
      </c>
      <c r="L110" s="14">
        <f t="shared" si="15"/>
        <v>420.87057175855455</v>
      </c>
      <c r="M110" s="15" t="s">
        <v>29</v>
      </c>
      <c r="N110" s="24" t="s">
        <v>93</v>
      </c>
      <c r="O110" s="24" t="s">
        <v>38</v>
      </c>
      <c r="P110" s="16">
        <v>0.33329999999999999</v>
      </c>
      <c r="Q110" s="60">
        <v>81.302509708796237</v>
      </c>
    </row>
    <row r="111" spans="1:17" x14ac:dyDescent="0.25">
      <c r="A111" s="4" t="str">
        <f t="shared" si="13"/>
        <v>CUSTO OFFSHORE USD 188,554712872017 - RPS - JUNHO 26</v>
      </c>
      <c r="B111" s="9">
        <v>46174</v>
      </c>
      <c r="C111" s="4">
        <v>817395</v>
      </c>
      <c r="D111" s="11" t="s">
        <v>45</v>
      </c>
      <c r="E111" s="10">
        <f t="shared" si="14"/>
        <v>-488.03616332664222</v>
      </c>
      <c r="F111" s="4" t="s">
        <v>44</v>
      </c>
      <c r="G111" s="9">
        <v>46174</v>
      </c>
      <c r="H111" s="4">
        <v>12339</v>
      </c>
      <c r="J111" s="13" t="s">
        <v>30</v>
      </c>
      <c r="K111" s="13" t="s">
        <v>16</v>
      </c>
      <c r="L111" s="14">
        <f t="shared" si="15"/>
        <v>976.07232665328445</v>
      </c>
      <c r="M111" s="15" t="s">
        <v>29</v>
      </c>
      <c r="N111" s="24" t="s">
        <v>93</v>
      </c>
      <c r="O111" s="24" t="s">
        <v>38</v>
      </c>
      <c r="P111" s="16">
        <v>0.5</v>
      </c>
      <c r="Q111" s="58">
        <v>188.55471287201726</v>
      </c>
    </row>
    <row r="112" spans="1:17" x14ac:dyDescent="0.25">
      <c r="A112" s="4" t="str">
        <f t="shared" si="13"/>
        <v>CUSTO OFFSHORE USD 188,554712872017 - RPS - JUNHO 26</v>
      </c>
      <c r="B112" s="9">
        <v>46174</v>
      </c>
      <c r="C112" s="4">
        <v>817395</v>
      </c>
      <c r="D112" s="11" t="s">
        <v>12</v>
      </c>
      <c r="E112" s="10">
        <f t="shared" si="14"/>
        <v>-488.03616332664222</v>
      </c>
      <c r="F112" s="4" t="s">
        <v>44</v>
      </c>
      <c r="G112" s="9">
        <v>46174</v>
      </c>
      <c r="H112" s="4">
        <v>12339</v>
      </c>
      <c r="J112" s="13" t="s">
        <v>30</v>
      </c>
      <c r="K112" s="13" t="s">
        <v>16</v>
      </c>
      <c r="L112" s="14">
        <f t="shared" si="15"/>
        <v>976.07232665328445</v>
      </c>
      <c r="M112" s="15" t="s">
        <v>29</v>
      </c>
      <c r="N112" s="24" t="s">
        <v>93</v>
      </c>
      <c r="O112" s="24" t="s">
        <v>38</v>
      </c>
      <c r="P112" s="16">
        <v>0.5</v>
      </c>
      <c r="Q112" s="60">
        <v>188.55471287201726</v>
      </c>
    </row>
    <row r="113" spans="1:17" x14ac:dyDescent="0.25">
      <c r="A113" s="4" t="str">
        <f t="shared" si="13"/>
        <v>CUSTO OFFSHORE USD 8215,38 - GOLDMAN SACHS IL - BRAS - JUNHO 26</v>
      </c>
      <c r="B113" s="9">
        <v>46174</v>
      </c>
      <c r="C113" s="4">
        <v>817395</v>
      </c>
      <c r="D113" s="11" t="s">
        <v>12</v>
      </c>
      <c r="E113" s="10">
        <f t="shared" si="14"/>
        <v>-42527.73610799999</v>
      </c>
      <c r="F113" s="4" t="s">
        <v>44</v>
      </c>
      <c r="G113" s="9">
        <v>46174</v>
      </c>
      <c r="H113" s="4">
        <v>79791</v>
      </c>
      <c r="J113" s="13" t="s">
        <v>30</v>
      </c>
      <c r="K113" s="13" t="s">
        <v>24</v>
      </c>
      <c r="L113" s="14">
        <f t="shared" si="15"/>
        <v>42527.73610799999</v>
      </c>
      <c r="M113" s="15" t="s">
        <v>29</v>
      </c>
      <c r="N113" s="24" t="s">
        <v>93</v>
      </c>
      <c r="O113" s="24" t="s">
        <v>38</v>
      </c>
      <c r="P113" s="16">
        <v>1</v>
      </c>
      <c r="Q113" s="45">
        <v>8215.3799999999992</v>
      </c>
    </row>
    <row r="114" spans="1:17" x14ac:dyDescent="0.25">
      <c r="A114" s="4" t="str">
        <f t="shared" si="13"/>
        <v>CUSTO OFFSHORE USD 87,8762418975993 - ITAÚ - MSCO - JUNHO 26</v>
      </c>
      <c r="B114" s="9">
        <v>46174</v>
      </c>
      <c r="C114" s="4">
        <v>817395</v>
      </c>
      <c r="D114" s="11" t="s">
        <v>12</v>
      </c>
      <c r="E114" s="10">
        <f t="shared" si="14"/>
        <v>-454.90015380711236</v>
      </c>
      <c r="F114" s="4" t="s">
        <v>44</v>
      </c>
      <c r="G114" s="9">
        <v>46174</v>
      </c>
      <c r="H114" s="4">
        <v>79460</v>
      </c>
      <c r="J114" s="13" t="s">
        <v>30</v>
      </c>
      <c r="K114" s="13" t="s">
        <v>17</v>
      </c>
      <c r="L114" s="14">
        <f t="shared" si="15"/>
        <v>454.90015380711236</v>
      </c>
      <c r="M114" s="15" t="s">
        <v>29</v>
      </c>
      <c r="N114" s="24" t="s">
        <v>93</v>
      </c>
      <c r="O114" s="24" t="s">
        <v>38</v>
      </c>
      <c r="P114" s="16">
        <v>1</v>
      </c>
      <c r="Q114" s="45">
        <v>87.876241897599272</v>
      </c>
    </row>
    <row r="115" spans="1:17" x14ac:dyDescent="0.25">
      <c r="A115" s="4" t="str">
        <f t="shared" si="13"/>
        <v>CUSTO OFFSHORE USD 3469,93 - ITAÚ - NASSAU - JUNHO 26</v>
      </c>
      <c r="B115" s="9">
        <v>46174</v>
      </c>
      <c r="C115" s="4">
        <v>817395</v>
      </c>
      <c r="D115" s="11" t="s">
        <v>12</v>
      </c>
      <c r="E115" s="10">
        <f t="shared" si="14"/>
        <v>-17962.439637999996</v>
      </c>
      <c r="F115" s="4" t="s">
        <v>44</v>
      </c>
      <c r="G115" s="9">
        <v>46174</v>
      </c>
      <c r="H115" s="4">
        <v>79460</v>
      </c>
      <c r="J115" s="13" t="s">
        <v>30</v>
      </c>
      <c r="K115" s="13" t="s">
        <v>18</v>
      </c>
      <c r="L115" s="14">
        <f t="shared" si="15"/>
        <v>17962.439637999996</v>
      </c>
      <c r="M115" s="15" t="s">
        <v>29</v>
      </c>
      <c r="N115" s="24" t="s">
        <v>93</v>
      </c>
      <c r="O115" s="24" t="s">
        <v>38</v>
      </c>
      <c r="P115" s="16">
        <v>1</v>
      </c>
      <c r="Q115" s="45">
        <v>3469.93</v>
      </c>
    </row>
    <row r="116" spans="1:17" x14ac:dyDescent="0.25">
      <c r="A116" s="4" t="str">
        <f t="shared" si="13"/>
        <v>CUSTO OFFSHORE USD 4978,61082604394 - XPADVISORY_MO - JUNHO 26</v>
      </c>
      <c r="B116" s="9">
        <v>46174</v>
      </c>
      <c r="C116" s="4">
        <v>817395</v>
      </c>
      <c r="D116" s="11" t="s">
        <v>50</v>
      </c>
      <c r="E116" s="28">
        <f t="shared" si="14"/>
        <v>-25772.276802099055</v>
      </c>
      <c r="F116" s="4" t="s">
        <v>44</v>
      </c>
      <c r="G116" s="9">
        <v>46174</v>
      </c>
      <c r="H116" s="4">
        <v>80769</v>
      </c>
      <c r="J116" s="13" t="s">
        <v>30</v>
      </c>
      <c r="K116" s="13" t="s">
        <v>49</v>
      </c>
      <c r="L116" s="14">
        <f t="shared" si="15"/>
        <v>25772.276802099055</v>
      </c>
      <c r="M116" s="15" t="s">
        <v>29</v>
      </c>
      <c r="N116" s="24" t="s">
        <v>93</v>
      </c>
      <c r="O116" s="24" t="s">
        <v>38</v>
      </c>
      <c r="P116" s="27">
        <v>1</v>
      </c>
      <c r="Q116" s="43">
        <v>4978.6108260439396</v>
      </c>
    </row>
    <row r="117" spans="1:17" x14ac:dyDescent="0.25">
      <c r="A117" s="4" t="str">
        <f>CONCATENATE(J117,Q117,M117,K117,M117,N117)</f>
        <v>CUSTO OFFSHORE USD 111,61 - VINLAND  - JUNHO 26</v>
      </c>
      <c r="B117" s="9">
        <v>46174</v>
      </c>
      <c r="C117" s="4">
        <v>817395</v>
      </c>
      <c r="D117" s="11" t="s">
        <v>47</v>
      </c>
      <c r="E117" s="28">
        <f t="shared" si="14"/>
        <v>-577.76032599999996</v>
      </c>
      <c r="F117" s="4" t="s">
        <v>44</v>
      </c>
      <c r="G117" s="9">
        <v>46174</v>
      </c>
      <c r="H117" s="4">
        <v>80359</v>
      </c>
      <c r="J117" s="13" t="s">
        <v>30</v>
      </c>
      <c r="K117" s="13" t="s">
        <v>20</v>
      </c>
      <c r="L117" s="14">
        <f>IF(O117="USD",Q117*$S$1)</f>
        <v>577.76032599999996</v>
      </c>
      <c r="M117" s="15" t="s">
        <v>29</v>
      </c>
      <c r="N117" s="24" t="s">
        <v>93</v>
      </c>
      <c r="O117" s="24" t="s">
        <v>38</v>
      </c>
      <c r="P117" s="27">
        <v>1</v>
      </c>
      <c r="Q117" s="43">
        <v>111.61</v>
      </c>
    </row>
    <row r="118" spans="1:17" x14ac:dyDescent="0.25">
      <c r="A118" s="4" t="str">
        <f>CONCATENATE(J118,Q118,M118,K118,M118,N118)</f>
        <v>CUSTO OFFSHORE USD  - SCHONFELD_MO - JUNHO 26</v>
      </c>
      <c r="B118" s="9">
        <v>46174</v>
      </c>
      <c r="C118" s="4">
        <v>817395</v>
      </c>
      <c r="D118" s="11" t="s">
        <v>47</v>
      </c>
      <c r="E118" s="30">
        <f t="shared" si="14"/>
        <v>0</v>
      </c>
      <c r="F118" s="4" t="s">
        <v>44</v>
      </c>
      <c r="G118" s="9">
        <v>46174</v>
      </c>
      <c r="H118" s="4">
        <v>83061</v>
      </c>
      <c r="J118" s="13" t="s">
        <v>30</v>
      </c>
      <c r="K118" s="13" t="s">
        <v>59</v>
      </c>
      <c r="L118" s="14">
        <f>IF(O118="USD",Q118*$S$1)</f>
        <v>0</v>
      </c>
      <c r="M118" s="15" t="s">
        <v>29</v>
      </c>
      <c r="N118" s="24" t="s">
        <v>93</v>
      </c>
      <c r="O118" s="24" t="s">
        <v>38</v>
      </c>
      <c r="P118" s="27">
        <v>1</v>
      </c>
      <c r="Q118" s="43"/>
    </row>
    <row r="119" spans="1:17" x14ac:dyDescent="0.25">
      <c r="A119" s="4" t="str">
        <f t="shared" ref="A119" si="16">CONCATENATE(J119,Q119,M119,K119,M119,N119)</f>
        <v>CUSTO OFFSHORE USD  - GENOA_MO - JUNHO 26</v>
      </c>
      <c r="B119" s="9">
        <v>46174</v>
      </c>
      <c r="C119" s="4">
        <v>817395</v>
      </c>
      <c r="D119" s="11" t="s">
        <v>12</v>
      </c>
      <c r="E119" s="30">
        <f t="shared" si="14"/>
        <v>0</v>
      </c>
      <c r="F119" s="4" t="s">
        <v>44</v>
      </c>
      <c r="G119" s="9">
        <v>46174</v>
      </c>
      <c r="H119" s="4">
        <v>80883</v>
      </c>
      <c r="J119" s="13" t="s">
        <v>30</v>
      </c>
      <c r="K119" s="13" t="s">
        <v>90</v>
      </c>
      <c r="L119" s="14">
        <f t="shared" ref="L119" si="17">IF(O119="USD",Q119*$S$1)</f>
        <v>0</v>
      </c>
      <c r="M119" s="15" t="s">
        <v>29</v>
      </c>
      <c r="N119" s="24" t="s">
        <v>93</v>
      </c>
      <c r="O119" s="24" t="s">
        <v>38</v>
      </c>
      <c r="P119" s="16">
        <v>1</v>
      </c>
      <c r="Q119" s="45"/>
    </row>
    <row r="120" spans="1:17" x14ac:dyDescent="0.25">
      <c r="A120" s="4" t="str">
        <f t="shared" si="13"/>
        <v>CUSTO OFFSHORE USD 1,79479302903464 - BNP_MO - JUNHO 26</v>
      </c>
      <c r="B120" s="9">
        <v>46174</v>
      </c>
      <c r="C120" s="4">
        <v>817395</v>
      </c>
      <c r="D120" s="11" t="s">
        <v>12</v>
      </c>
      <c r="E120" s="30">
        <f t="shared" si="14"/>
        <v>-9.2909255941007096</v>
      </c>
      <c r="F120" s="4" t="s">
        <v>44</v>
      </c>
      <c r="G120" s="9">
        <v>46174</v>
      </c>
      <c r="H120" s="4">
        <v>95005</v>
      </c>
      <c r="J120" s="13" t="s">
        <v>30</v>
      </c>
      <c r="K120" s="13" t="s">
        <v>57</v>
      </c>
      <c r="L120" s="14">
        <f t="shared" si="15"/>
        <v>9.2909255941007096</v>
      </c>
      <c r="M120" s="15" t="s">
        <v>29</v>
      </c>
      <c r="N120" s="24" t="s">
        <v>93</v>
      </c>
      <c r="O120" s="24" t="s">
        <v>38</v>
      </c>
      <c r="P120" s="16">
        <v>1</v>
      </c>
      <c r="Q120" s="45">
        <v>1.7947930290346388</v>
      </c>
    </row>
    <row r="121" spans="1:17" x14ac:dyDescent="0.25">
      <c r="A121" s="4" t="str">
        <f t="shared" si="13"/>
        <v>CUSTO OFFSHORE USD  - MSIPLC_SUN - JUNHO 26</v>
      </c>
      <c r="B121" s="9">
        <v>46174</v>
      </c>
      <c r="C121" s="4">
        <v>817395</v>
      </c>
      <c r="D121" s="11" t="s">
        <v>88</v>
      </c>
      <c r="E121" s="30">
        <f t="shared" si="14"/>
        <v>0</v>
      </c>
      <c r="F121" s="4" t="s">
        <v>44</v>
      </c>
      <c r="G121" s="9">
        <v>46174</v>
      </c>
      <c r="H121" s="4">
        <v>80754</v>
      </c>
      <c r="J121" s="13" t="s">
        <v>30</v>
      </c>
      <c r="K121" s="13" t="s">
        <v>89</v>
      </c>
      <c r="L121" s="14">
        <f t="shared" si="15"/>
        <v>0</v>
      </c>
      <c r="M121" s="15" t="s">
        <v>29</v>
      </c>
      <c r="N121" s="24" t="s">
        <v>93</v>
      </c>
      <c r="O121" s="24" t="s">
        <v>38</v>
      </c>
      <c r="P121" s="27">
        <v>1</v>
      </c>
      <c r="Q121" s="43"/>
    </row>
    <row r="122" spans="1:17" x14ac:dyDescent="0.25">
      <c r="A122" s="4" t="str">
        <f t="shared" si="13"/>
        <v>CUSTO OFFSHORE USD 27,4466100392104 - ADAMGestao_MO - JUNHO 26</v>
      </c>
      <c r="B122" s="9">
        <v>46174</v>
      </c>
      <c r="C122" s="4">
        <v>817395</v>
      </c>
      <c r="D122" s="11" t="s">
        <v>12</v>
      </c>
      <c r="E122" s="30">
        <f t="shared" si="14"/>
        <v>-142.08012152897638</v>
      </c>
      <c r="F122" s="4" t="s">
        <v>44</v>
      </c>
      <c r="G122" s="9">
        <v>46174</v>
      </c>
      <c r="H122" s="4">
        <v>79973</v>
      </c>
      <c r="J122" s="13" t="s">
        <v>30</v>
      </c>
      <c r="K122" s="13" t="s">
        <v>77</v>
      </c>
      <c r="L122" s="14">
        <f t="shared" si="15"/>
        <v>142.08012152897638</v>
      </c>
      <c r="M122" s="15" t="s">
        <v>29</v>
      </c>
      <c r="N122" s="24" t="s">
        <v>93</v>
      </c>
      <c r="O122" s="24" t="s">
        <v>38</v>
      </c>
      <c r="P122" s="27">
        <v>1</v>
      </c>
      <c r="Q122" s="52">
        <v>27.446610039210366</v>
      </c>
    </row>
    <row r="123" spans="1:17" x14ac:dyDescent="0.25">
      <c r="A123" s="4" t="str">
        <f t="shared" si="13"/>
        <v>CUSTO OFFSHORE USD 12,9698686655876 - SPRINGS_MO - JUNHO 26</v>
      </c>
      <c r="B123" s="9">
        <v>46174</v>
      </c>
      <c r="C123" s="4">
        <v>817395</v>
      </c>
      <c r="D123" s="11" t="s">
        <v>12</v>
      </c>
      <c r="E123" s="30">
        <f t="shared" si="14"/>
        <v>-44.755405434711697</v>
      </c>
      <c r="F123" s="4" t="s">
        <v>44</v>
      </c>
      <c r="G123" s="9">
        <v>46174</v>
      </c>
      <c r="H123" s="4">
        <v>82748</v>
      </c>
      <c r="J123" s="13" t="s">
        <v>30</v>
      </c>
      <c r="K123" s="13" t="s">
        <v>56</v>
      </c>
      <c r="L123" s="14">
        <f t="shared" si="15"/>
        <v>67.139822134280976</v>
      </c>
      <c r="M123" s="15" t="s">
        <v>29</v>
      </c>
      <c r="N123" s="24" t="s">
        <v>93</v>
      </c>
      <c r="O123" s="24" t="s">
        <v>38</v>
      </c>
      <c r="P123" s="16">
        <v>0.66659999999999997</v>
      </c>
      <c r="Q123" s="58">
        <v>12.969868665587642</v>
      </c>
    </row>
    <row r="124" spans="1:17" x14ac:dyDescent="0.25">
      <c r="A124" s="4" t="str">
        <f t="shared" si="13"/>
        <v>CUSTO OFFSHORE USD 12,9698686655876 - SPRINGS_MO - JUNHO 26</v>
      </c>
      <c r="B124" s="9">
        <v>46174</v>
      </c>
      <c r="C124" s="4">
        <v>817395</v>
      </c>
      <c r="D124" s="11" t="s">
        <v>45</v>
      </c>
      <c r="E124" s="30">
        <f t="shared" si="14"/>
        <v>-22.377702717355849</v>
      </c>
      <c r="F124" s="4" t="s">
        <v>44</v>
      </c>
      <c r="G124" s="9">
        <v>46174</v>
      </c>
      <c r="H124" s="4">
        <v>82748</v>
      </c>
      <c r="J124" s="13" t="s">
        <v>30</v>
      </c>
      <c r="K124" s="13" t="s">
        <v>56</v>
      </c>
      <c r="L124" s="14">
        <f t="shared" si="15"/>
        <v>67.139822134280976</v>
      </c>
      <c r="M124" s="15" t="s">
        <v>29</v>
      </c>
      <c r="N124" s="24" t="s">
        <v>93</v>
      </c>
      <c r="O124" s="24" t="s">
        <v>38</v>
      </c>
      <c r="P124" s="16">
        <v>0.33329999999999999</v>
      </c>
      <c r="Q124" s="60">
        <v>12.969868665587642</v>
      </c>
    </row>
    <row r="125" spans="1:17" x14ac:dyDescent="0.25">
      <c r="A125" s="4" t="str">
        <f t="shared" si="13"/>
        <v>CUSTO OFFSHORE USD  - KAPITALO - JUNHO 26</v>
      </c>
      <c r="B125" s="9">
        <v>46174</v>
      </c>
      <c r="C125" s="4">
        <v>817395</v>
      </c>
      <c r="D125" s="11" t="s">
        <v>12</v>
      </c>
      <c r="E125" s="28">
        <f t="shared" si="14"/>
        <v>0</v>
      </c>
      <c r="F125" s="4" t="s">
        <v>44</v>
      </c>
      <c r="G125" s="9">
        <v>46174</v>
      </c>
      <c r="H125" s="4">
        <v>12413</v>
      </c>
      <c r="J125" s="13" t="s">
        <v>30</v>
      </c>
      <c r="K125" s="13" t="s">
        <v>26</v>
      </c>
      <c r="L125" s="14">
        <f t="shared" si="15"/>
        <v>0</v>
      </c>
      <c r="M125" s="15" t="s">
        <v>29</v>
      </c>
      <c r="N125" s="24" t="s">
        <v>93</v>
      </c>
      <c r="O125" s="24" t="s">
        <v>38</v>
      </c>
      <c r="P125" s="27">
        <v>0.75</v>
      </c>
      <c r="Q125" s="58"/>
    </row>
    <row r="126" spans="1:17" x14ac:dyDescent="0.25">
      <c r="A126" s="4" t="str">
        <f t="shared" si="13"/>
        <v>CUSTO OFFSHORE USD  - KAPITALO - JUNHO 26</v>
      </c>
      <c r="B126" s="9">
        <v>46174</v>
      </c>
      <c r="C126" s="4">
        <v>817395</v>
      </c>
      <c r="D126" s="11" t="s">
        <v>45</v>
      </c>
      <c r="E126" s="28">
        <f t="shared" si="14"/>
        <v>0</v>
      </c>
      <c r="F126" s="4" t="s">
        <v>44</v>
      </c>
      <c r="G126" s="9">
        <v>46174</v>
      </c>
      <c r="H126" s="4">
        <v>12413</v>
      </c>
      <c r="J126" s="13" t="s">
        <v>30</v>
      </c>
      <c r="K126" s="13" t="s">
        <v>26</v>
      </c>
      <c r="L126" s="14">
        <f t="shared" si="15"/>
        <v>0</v>
      </c>
      <c r="M126" s="15" t="s">
        <v>29</v>
      </c>
      <c r="N126" s="24" t="s">
        <v>93</v>
      </c>
      <c r="O126" s="24" t="s">
        <v>38</v>
      </c>
      <c r="P126" s="27">
        <v>0.25</v>
      </c>
      <c r="Q126" s="59"/>
    </row>
    <row r="127" spans="1:17" x14ac:dyDescent="0.25">
      <c r="A127" s="4" t="str">
        <f t="shared" si="13"/>
        <v>CUSTO OFFSHORE USD 15,55 - CITIGBL_MO - JUNHO 26</v>
      </c>
      <c r="B127" s="9">
        <v>46174</v>
      </c>
      <c r="C127" s="4">
        <v>817395</v>
      </c>
      <c r="D127" s="11" t="s">
        <v>12</v>
      </c>
      <c r="E127" s="28">
        <f t="shared" si="14"/>
        <v>-40.248064999999997</v>
      </c>
      <c r="F127" s="4" t="s">
        <v>44</v>
      </c>
      <c r="G127" s="9">
        <v>46174</v>
      </c>
      <c r="H127" s="4">
        <v>79791</v>
      </c>
      <c r="J127" s="13" t="s">
        <v>30</v>
      </c>
      <c r="K127" s="13" t="s">
        <v>48</v>
      </c>
      <c r="L127" s="14">
        <f t="shared" si="15"/>
        <v>80.496129999999994</v>
      </c>
      <c r="M127" s="15" t="s">
        <v>29</v>
      </c>
      <c r="N127" s="24" t="s">
        <v>93</v>
      </c>
      <c r="O127" s="24" t="s">
        <v>38</v>
      </c>
      <c r="P127" s="27">
        <v>0.5</v>
      </c>
      <c r="Q127" s="58">
        <v>15.55</v>
      </c>
    </row>
    <row r="128" spans="1:17" x14ac:dyDescent="0.25">
      <c r="A128" s="4" t="str">
        <f t="shared" si="13"/>
        <v>CUSTO OFFSHORE USD 15,55 - CITIGBL_MO - JUNHO 26</v>
      </c>
      <c r="B128" s="9">
        <v>46174</v>
      </c>
      <c r="C128" s="4">
        <v>817395</v>
      </c>
      <c r="D128" s="11" t="s">
        <v>45</v>
      </c>
      <c r="E128" s="28">
        <f t="shared" si="14"/>
        <v>-40.248064999999997</v>
      </c>
      <c r="F128" s="4" t="s">
        <v>44</v>
      </c>
      <c r="G128" s="9">
        <v>46174</v>
      </c>
      <c r="H128" s="4">
        <v>79791</v>
      </c>
      <c r="J128" s="13" t="s">
        <v>30</v>
      </c>
      <c r="K128" s="13" t="s">
        <v>48</v>
      </c>
      <c r="L128" s="14">
        <f t="shared" si="15"/>
        <v>80.496129999999994</v>
      </c>
      <c r="M128" s="15" t="s">
        <v>29</v>
      </c>
      <c r="N128" s="24" t="s">
        <v>93</v>
      </c>
      <c r="O128" s="24" t="s">
        <v>38</v>
      </c>
      <c r="P128" s="27">
        <v>0.5</v>
      </c>
      <c r="Q128" s="60">
        <v>15.55</v>
      </c>
    </row>
    <row r="129" spans="1:17" x14ac:dyDescent="0.25">
      <c r="A129" s="4" t="str">
        <f>CONCATENATE(J129,Q129,M129,K129,M129,N129)</f>
        <v>CUSTO OFFSHORE USD 289,049399192937 - BRADESCO_BZL - JUNHO 26</v>
      </c>
      <c r="B129" s="9">
        <v>46174</v>
      </c>
      <c r="C129" s="4">
        <v>817395</v>
      </c>
      <c r="D129" s="11" t="s">
        <v>12</v>
      </c>
      <c r="E129" s="28">
        <f t="shared" si="14"/>
        <v>-1122.2198398966198</v>
      </c>
      <c r="F129" s="4" t="s">
        <v>44</v>
      </c>
      <c r="G129" s="9">
        <v>46174</v>
      </c>
      <c r="H129" s="4">
        <v>16705</v>
      </c>
      <c r="J129" s="13" t="s">
        <v>30</v>
      </c>
      <c r="K129" s="13" t="s">
        <v>27</v>
      </c>
      <c r="L129" s="14">
        <f>IF(O129="USD",Q129*$S$1)</f>
        <v>1496.2931198621598</v>
      </c>
      <c r="M129" s="15" t="s">
        <v>29</v>
      </c>
      <c r="N129" s="24" t="s">
        <v>93</v>
      </c>
      <c r="O129" s="24" t="s">
        <v>38</v>
      </c>
      <c r="P129" s="27">
        <v>0.75</v>
      </c>
      <c r="Q129" s="58">
        <v>289.04939919293741</v>
      </c>
    </row>
    <row r="130" spans="1:17" x14ac:dyDescent="0.25">
      <c r="A130" s="4" t="str">
        <f>CONCATENATE(J130,Q130,M130,K130,M130,N130)</f>
        <v>CUSTO OFFSHORE USD 289,049399192937 - BRADESCO_BZL - JUNHO 26</v>
      </c>
      <c r="B130" s="9">
        <v>46174</v>
      </c>
      <c r="C130" s="4">
        <v>817395</v>
      </c>
      <c r="D130" s="11" t="s">
        <v>45</v>
      </c>
      <c r="E130" s="28">
        <f t="shared" si="14"/>
        <v>-374.07327996553994</v>
      </c>
      <c r="F130" s="4" t="s">
        <v>44</v>
      </c>
      <c r="G130" s="9">
        <v>46174</v>
      </c>
      <c r="H130" s="4">
        <v>16705</v>
      </c>
      <c r="J130" s="13" t="s">
        <v>30</v>
      </c>
      <c r="K130" s="13" t="s">
        <v>27</v>
      </c>
      <c r="L130" s="14">
        <f>IF(O130="USD",Q130*$S$1)</f>
        <v>1496.2931198621598</v>
      </c>
      <c r="M130" s="15" t="s">
        <v>29</v>
      </c>
      <c r="N130" s="24" t="s">
        <v>93</v>
      </c>
      <c r="O130" s="24" t="s">
        <v>38</v>
      </c>
      <c r="P130" s="27">
        <v>0.25</v>
      </c>
      <c r="Q130" s="60">
        <v>289.04939919293741</v>
      </c>
    </row>
    <row r="131" spans="1:17" x14ac:dyDescent="0.25">
      <c r="A131" s="4" t="str">
        <f t="shared" si="13"/>
        <v>CUSTO OFFSHORE USD 163,253512850872 - BRADESCO_MO - JUNHO 26</v>
      </c>
      <c r="B131" s="9">
        <v>46174</v>
      </c>
      <c r="C131" s="4">
        <v>817395</v>
      </c>
      <c r="D131" s="11" t="s">
        <v>12</v>
      </c>
      <c r="E131" s="28">
        <f t="shared" si="14"/>
        <v>-633.82360096786738</v>
      </c>
      <c r="F131" s="4" t="s">
        <v>44</v>
      </c>
      <c r="G131" s="9">
        <v>46174</v>
      </c>
      <c r="H131" s="4">
        <v>16705</v>
      </c>
      <c r="J131" s="13" t="s">
        <v>30</v>
      </c>
      <c r="K131" s="13" t="s">
        <v>69</v>
      </c>
      <c r="L131" s="14">
        <f t="shared" si="15"/>
        <v>845.09813462382317</v>
      </c>
      <c r="M131" s="15" t="s">
        <v>29</v>
      </c>
      <c r="N131" s="24" t="s">
        <v>93</v>
      </c>
      <c r="O131" s="24" t="s">
        <v>38</v>
      </c>
      <c r="P131" s="27">
        <v>0.75</v>
      </c>
      <c r="Q131" s="58">
        <v>163.25351285087186</v>
      </c>
    </row>
    <row r="132" spans="1:17" x14ac:dyDescent="0.25">
      <c r="A132" s="4" t="str">
        <f>CONCATENATE(J132,Q132,M132,K132,M132,N132)</f>
        <v>CUSTO OFFSHORE USD 163,253512850872 - BRADESCO_MO - JUNHO 26</v>
      </c>
      <c r="B132" s="9">
        <v>46174</v>
      </c>
      <c r="C132" s="4">
        <v>817395</v>
      </c>
      <c r="D132" s="11" t="s">
        <v>45</v>
      </c>
      <c r="E132" s="28">
        <f t="shared" si="14"/>
        <v>-211.27453365595579</v>
      </c>
      <c r="F132" s="4" t="s">
        <v>44</v>
      </c>
      <c r="G132" s="9">
        <v>46174</v>
      </c>
      <c r="H132" s="4">
        <v>16705</v>
      </c>
      <c r="J132" s="13" t="s">
        <v>30</v>
      </c>
      <c r="K132" s="13" t="s">
        <v>69</v>
      </c>
      <c r="L132" s="14">
        <f>IF(O132="USD",Q132*$S$1)</f>
        <v>845.09813462382317</v>
      </c>
      <c r="M132" s="15" t="s">
        <v>29</v>
      </c>
      <c r="N132" s="24" t="s">
        <v>93</v>
      </c>
      <c r="O132" s="24" t="s">
        <v>38</v>
      </c>
      <c r="P132" s="27">
        <v>0.25</v>
      </c>
      <c r="Q132" s="60">
        <v>163.25351285087186</v>
      </c>
    </row>
    <row r="133" spans="1:17" x14ac:dyDescent="0.25">
      <c r="A133" s="4" t="str">
        <f>CONCATENATE(J133,Q133,M133,K133,M133,N133)</f>
        <v>CUSTO OFFSHORE USD  - BRAMBRAD_MO - JUNHO 26</v>
      </c>
      <c r="B133" s="9">
        <v>46174</v>
      </c>
      <c r="C133" s="4">
        <v>817395</v>
      </c>
      <c r="D133" s="11" t="s">
        <v>12</v>
      </c>
      <c r="E133" s="30">
        <f t="shared" si="14"/>
        <v>0</v>
      </c>
      <c r="F133" s="4" t="s">
        <v>44</v>
      </c>
      <c r="G133" s="9">
        <v>46174</v>
      </c>
      <c r="H133" s="4">
        <v>16705</v>
      </c>
      <c r="J133" s="13" t="s">
        <v>30</v>
      </c>
      <c r="K133" s="13" t="s">
        <v>85</v>
      </c>
      <c r="L133" s="14">
        <f>IF(O133="USD",Q133*$S$1)</f>
        <v>0</v>
      </c>
      <c r="M133" s="15" t="s">
        <v>29</v>
      </c>
      <c r="N133" s="24" t="s">
        <v>93</v>
      </c>
      <c r="O133" s="24" t="s">
        <v>38</v>
      </c>
      <c r="P133" s="27">
        <v>0.75</v>
      </c>
      <c r="Q133" s="58"/>
    </row>
    <row r="134" spans="1:17" x14ac:dyDescent="0.25">
      <c r="A134" s="4" t="str">
        <f t="shared" si="13"/>
        <v>CUSTO OFFSHORE USD  - BRAMBRAD_MO - JUNHO 26</v>
      </c>
      <c r="B134" s="9">
        <v>46174</v>
      </c>
      <c r="C134" s="4">
        <v>817395</v>
      </c>
      <c r="D134" s="11" t="s">
        <v>45</v>
      </c>
      <c r="E134" s="30">
        <f t="shared" si="14"/>
        <v>0</v>
      </c>
      <c r="F134" s="4" t="s">
        <v>44</v>
      </c>
      <c r="G134" s="9">
        <v>46174</v>
      </c>
      <c r="H134" s="4">
        <v>16705</v>
      </c>
      <c r="J134" s="13" t="s">
        <v>30</v>
      </c>
      <c r="K134" s="13" t="s">
        <v>85</v>
      </c>
      <c r="L134" s="14">
        <f t="shared" si="15"/>
        <v>0</v>
      </c>
      <c r="M134" s="15" t="s">
        <v>29</v>
      </c>
      <c r="N134" s="24" t="s">
        <v>93</v>
      </c>
      <c r="O134" s="24" t="s">
        <v>38</v>
      </c>
      <c r="P134" s="27">
        <v>0.25</v>
      </c>
      <c r="Q134" s="60"/>
    </row>
    <row r="135" spans="1:17" x14ac:dyDescent="0.25">
      <c r="A135" s="4" t="str">
        <f t="shared" si="13"/>
        <v>CUSTO OFFSHORE USD 3253,17860959133 - JPMPLC_MO - JUNHO 26</v>
      </c>
      <c r="B135" s="9">
        <v>46174</v>
      </c>
      <c r="C135" s="4">
        <v>817395</v>
      </c>
      <c r="D135" s="11" t="s">
        <v>12</v>
      </c>
      <c r="E135" s="30">
        <f t="shared" si="14"/>
        <v>-11227.497607086667</v>
      </c>
      <c r="F135" s="4" t="s">
        <v>44</v>
      </c>
      <c r="G135" s="9">
        <v>46174</v>
      </c>
      <c r="H135" s="4">
        <v>81541</v>
      </c>
      <c r="J135" s="13" t="s">
        <v>30</v>
      </c>
      <c r="K135" s="13" t="s">
        <v>55</v>
      </c>
      <c r="L135" s="14">
        <f t="shared" si="15"/>
        <v>16840.40439041048</v>
      </c>
      <c r="M135" s="15" t="s">
        <v>29</v>
      </c>
      <c r="N135" s="24" t="s">
        <v>93</v>
      </c>
      <c r="O135" s="24" t="s">
        <v>38</v>
      </c>
      <c r="P135" s="27">
        <v>0.66669999999999996</v>
      </c>
      <c r="Q135" s="59">
        <v>3253.1786095913308</v>
      </c>
    </row>
    <row r="136" spans="1:17" x14ac:dyDescent="0.25">
      <c r="A136" s="4" t="str">
        <f t="shared" si="13"/>
        <v>CUSTO OFFSHORE USD 3253,17860959133 - JPMPLC_MO - JUNHO 26</v>
      </c>
      <c r="B136" s="9">
        <v>46174</v>
      </c>
      <c r="C136" s="4">
        <v>817395</v>
      </c>
      <c r="D136" s="11" t="s">
        <v>45</v>
      </c>
      <c r="E136" s="30">
        <f t="shared" si="14"/>
        <v>-5612.9067833238132</v>
      </c>
      <c r="F136" s="4" t="s">
        <v>44</v>
      </c>
      <c r="G136" s="9">
        <v>46174</v>
      </c>
      <c r="H136" s="4">
        <v>81541</v>
      </c>
      <c r="J136" s="13" t="s">
        <v>30</v>
      </c>
      <c r="K136" s="13" t="s">
        <v>55</v>
      </c>
      <c r="L136" s="34">
        <f t="shared" si="15"/>
        <v>16840.40439041048</v>
      </c>
      <c r="M136" s="15" t="s">
        <v>29</v>
      </c>
      <c r="N136" s="24" t="s">
        <v>93</v>
      </c>
      <c r="O136" s="24" t="s">
        <v>38</v>
      </c>
      <c r="P136" s="27">
        <v>0.33329999999999999</v>
      </c>
      <c r="Q136" s="60">
        <v>3253.1786095913308</v>
      </c>
    </row>
    <row r="137" spans="1:17" x14ac:dyDescent="0.25">
      <c r="A137" s="4" t="str">
        <f t="shared" si="13"/>
        <v>CUSTO OFFSHORE USD 1200,81744307873 - SPX_MO - JUNHO 26</v>
      </c>
      <c r="B137" s="9">
        <v>46174</v>
      </c>
      <c r="C137" s="4">
        <v>817395</v>
      </c>
      <c r="D137" s="11" t="s">
        <v>12</v>
      </c>
      <c r="E137" s="28">
        <f t="shared" si="14"/>
        <v>-3729.690945504809</v>
      </c>
      <c r="F137" s="4" t="s">
        <v>44</v>
      </c>
      <c r="G137" s="9">
        <v>46174</v>
      </c>
      <c r="H137" s="4">
        <v>79931</v>
      </c>
      <c r="J137" s="13" t="s">
        <v>30</v>
      </c>
      <c r="K137" s="13" t="s">
        <v>31</v>
      </c>
      <c r="L137" s="34">
        <f t="shared" si="15"/>
        <v>6216.1515758413489</v>
      </c>
      <c r="M137" s="15" t="s">
        <v>29</v>
      </c>
      <c r="N137" s="24" t="s">
        <v>93</v>
      </c>
      <c r="O137" s="24" t="s">
        <v>38</v>
      </c>
      <c r="P137" s="27">
        <v>0.6</v>
      </c>
      <c r="Q137" s="58">
        <v>1200.8174430787292</v>
      </c>
    </row>
    <row r="138" spans="1:17" x14ac:dyDescent="0.25">
      <c r="A138" s="17" t="str">
        <f t="shared" si="13"/>
        <v>CUSTO OFFSHORE USD 1200,81744307873 - SPX_MO - JUNHO 26</v>
      </c>
      <c r="B138" s="18">
        <v>46174</v>
      </c>
      <c r="C138" s="17">
        <v>817395</v>
      </c>
      <c r="D138" s="23" t="s">
        <v>45</v>
      </c>
      <c r="E138" s="19">
        <f t="shared" si="14"/>
        <v>-2486.4606303365399</v>
      </c>
      <c r="F138" s="17" t="s">
        <v>44</v>
      </c>
      <c r="G138" s="18">
        <v>46174</v>
      </c>
      <c r="H138" s="17">
        <v>79931</v>
      </c>
      <c r="J138" s="20" t="s">
        <v>30</v>
      </c>
      <c r="K138" s="20" t="s">
        <v>31</v>
      </c>
      <c r="L138" s="33">
        <f t="shared" si="15"/>
        <v>6216.1515758413489</v>
      </c>
      <c r="M138" s="21" t="s">
        <v>29</v>
      </c>
      <c r="N138" s="25" t="s">
        <v>93</v>
      </c>
      <c r="O138" s="25" t="s">
        <v>38</v>
      </c>
      <c r="P138" s="22">
        <v>0.4</v>
      </c>
      <c r="Q138" s="60">
        <v>1200.8174430787292</v>
      </c>
    </row>
    <row r="139" spans="1:17" x14ac:dyDescent="0.25">
      <c r="A139" s="17" t="str">
        <f t="shared" si="13"/>
        <v>CUSTO OFFSHORE USD 1936,95 - BGC - JUNHO 26</v>
      </c>
      <c r="B139" s="18">
        <v>46174</v>
      </c>
      <c r="C139" s="17">
        <v>817395</v>
      </c>
      <c r="D139" s="23" t="s">
        <v>61</v>
      </c>
      <c r="E139" s="26">
        <f t="shared" si="14"/>
        <v>-10026.81537</v>
      </c>
      <c r="F139" s="17" t="s">
        <v>83</v>
      </c>
      <c r="G139" s="18">
        <v>46174</v>
      </c>
      <c r="H139" s="17">
        <v>1170</v>
      </c>
      <c r="I139" s="31"/>
      <c r="J139" s="20" t="s">
        <v>30</v>
      </c>
      <c r="K139" s="20" t="s">
        <v>21</v>
      </c>
      <c r="L139" s="33">
        <f t="shared" ref="L139:L143" si="18">IF(O139="USD",Q139*$S$1,Q139)</f>
        <v>10026.81537</v>
      </c>
      <c r="M139" s="21" t="s">
        <v>29</v>
      </c>
      <c r="N139" s="25" t="s">
        <v>93</v>
      </c>
      <c r="O139" s="25" t="s">
        <v>38</v>
      </c>
      <c r="P139" s="22">
        <v>1</v>
      </c>
      <c r="Q139" s="26">
        <v>1936.95</v>
      </c>
    </row>
    <row r="140" spans="1:17" x14ac:dyDescent="0.25">
      <c r="A140" s="17" t="str">
        <f t="shared" si="13"/>
        <v>CUSTO OFFSHORE USD 0 - BGC - JUNHO 26</v>
      </c>
      <c r="B140" s="18">
        <v>46174</v>
      </c>
      <c r="C140" s="17">
        <v>817395</v>
      </c>
      <c r="D140" s="23" t="s">
        <v>61</v>
      </c>
      <c r="E140" s="26">
        <f t="shared" si="14"/>
        <v>0</v>
      </c>
      <c r="F140" s="17" t="s">
        <v>78</v>
      </c>
      <c r="G140" s="18">
        <v>46174</v>
      </c>
      <c r="H140" s="17">
        <v>1170</v>
      </c>
      <c r="J140" s="20" t="s">
        <v>30</v>
      </c>
      <c r="K140" s="20" t="s">
        <v>21</v>
      </c>
      <c r="L140" s="33">
        <f t="shared" si="18"/>
        <v>0</v>
      </c>
      <c r="M140" s="21" t="s">
        <v>29</v>
      </c>
      <c r="N140" s="25" t="s">
        <v>93</v>
      </c>
      <c r="O140" s="25" t="s">
        <v>38</v>
      </c>
      <c r="P140" s="22">
        <v>1</v>
      </c>
      <c r="Q140" s="52">
        <v>0</v>
      </c>
    </row>
    <row r="141" spans="1:17" x14ac:dyDescent="0.25">
      <c r="A141" s="17" t="str">
        <f t="shared" si="13"/>
        <v>CUSTO OFFSHORE USD 589,38 - BGC - JUNHO 26</v>
      </c>
      <c r="B141" s="18">
        <v>46174</v>
      </c>
      <c r="C141" s="17">
        <v>817395</v>
      </c>
      <c r="D141" s="23" t="s">
        <v>61</v>
      </c>
      <c r="E141" s="26">
        <f t="shared" si="14"/>
        <v>-3050.9845079999996</v>
      </c>
      <c r="F141" s="17" t="s">
        <v>79</v>
      </c>
      <c r="G141" s="18">
        <v>46174</v>
      </c>
      <c r="H141" s="17">
        <v>1170</v>
      </c>
      <c r="J141" s="20" t="s">
        <v>30</v>
      </c>
      <c r="K141" s="20" t="s">
        <v>21</v>
      </c>
      <c r="L141" s="33">
        <f t="shared" si="18"/>
        <v>3050.9845079999996</v>
      </c>
      <c r="M141" s="21" t="s">
        <v>29</v>
      </c>
      <c r="N141" s="25" t="s">
        <v>93</v>
      </c>
      <c r="O141" s="25" t="s">
        <v>38</v>
      </c>
      <c r="P141" s="22">
        <v>1</v>
      </c>
      <c r="Q141" s="26">
        <v>589.38</v>
      </c>
    </row>
    <row r="142" spans="1:17" x14ac:dyDescent="0.25">
      <c r="A142" s="17" t="str">
        <f t="shared" si="13"/>
        <v>CUSTO OFFSHORE USD 91,78 - BGC - JUNHO 26</v>
      </c>
      <c r="B142" s="18">
        <v>46174</v>
      </c>
      <c r="C142" s="17">
        <v>817395</v>
      </c>
      <c r="D142" s="23" t="s">
        <v>61</v>
      </c>
      <c r="E142" s="26">
        <f t="shared" si="14"/>
        <v>-475.10834799999998</v>
      </c>
      <c r="F142" s="17" t="s">
        <v>80</v>
      </c>
      <c r="G142" s="18">
        <v>46174</v>
      </c>
      <c r="H142" s="17">
        <v>1170</v>
      </c>
      <c r="J142" s="20" t="s">
        <v>30</v>
      </c>
      <c r="K142" s="20" t="s">
        <v>21</v>
      </c>
      <c r="L142" s="33">
        <f t="shared" si="18"/>
        <v>475.10834799999998</v>
      </c>
      <c r="M142" s="21" t="s">
        <v>29</v>
      </c>
      <c r="N142" s="25" t="s">
        <v>93</v>
      </c>
      <c r="O142" s="25" t="s">
        <v>38</v>
      </c>
      <c r="P142" s="22">
        <v>1</v>
      </c>
      <c r="Q142" s="26">
        <v>91.78</v>
      </c>
    </row>
    <row r="143" spans="1:17" x14ac:dyDescent="0.25">
      <c r="A143" s="17" t="str">
        <f t="shared" si="13"/>
        <v>CUSTO OFFSHORE USD 0 - BGC - JUNHO 26</v>
      </c>
      <c r="B143" s="18">
        <v>46174</v>
      </c>
      <c r="C143" s="17">
        <v>817395</v>
      </c>
      <c r="D143" s="23" t="s">
        <v>61</v>
      </c>
      <c r="E143" s="26">
        <f t="shared" si="14"/>
        <v>0</v>
      </c>
      <c r="F143" s="17" t="s">
        <v>81</v>
      </c>
      <c r="G143" s="18">
        <v>46174</v>
      </c>
      <c r="H143" s="17">
        <v>1170</v>
      </c>
      <c r="J143" s="20" t="s">
        <v>30</v>
      </c>
      <c r="K143" s="20" t="s">
        <v>21</v>
      </c>
      <c r="L143" s="33">
        <f t="shared" si="18"/>
        <v>0</v>
      </c>
      <c r="M143" s="21" t="s">
        <v>29</v>
      </c>
      <c r="N143" s="25" t="s">
        <v>93</v>
      </c>
      <c r="O143" s="25" t="s">
        <v>38</v>
      </c>
      <c r="P143" s="22">
        <v>1</v>
      </c>
      <c r="Q143" s="52">
        <v>0</v>
      </c>
    </row>
  </sheetData>
  <autoFilter ref="A1:Q143" xr:uid="{86920FE8-52B5-46CC-9B38-62C273FC0EBA}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</vt:lpstr>
      <vt:lpstr>FEV</vt:lpstr>
      <vt:lpstr>MAR</vt:lpstr>
      <vt:lpstr>ABR</vt:lpstr>
      <vt:lpstr>MAI</vt:lpstr>
      <vt:lpstr>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Collete, Giovana</dc:creator>
  <cp:lastModifiedBy>Silva, Keity</cp:lastModifiedBy>
  <dcterms:created xsi:type="dcterms:W3CDTF">2022-03-22T13:21:17Z</dcterms:created>
  <dcterms:modified xsi:type="dcterms:W3CDTF">2026-07-21T17:41:46Z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